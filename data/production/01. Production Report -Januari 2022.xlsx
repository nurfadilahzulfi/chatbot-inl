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laporan produksi\laporan produksi 2022\"/>
    </mc:Choice>
  </mc:AlternateContent>
  <xr:revisionPtr revIDLastSave="0" documentId="13_ncr:1_{C590D4AD-3258-4B20-AAED-35707BAB50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nuari" sheetId="40" r:id="rId1"/>
    <sheet name="Sheet1" sheetId="42" state="hidden" r:id="rId2"/>
    <sheet name="Trace Quality" sheetId="41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60" i="40" l="1"/>
  <c r="I160" i="40" l="1"/>
  <c r="I158" i="40"/>
  <c r="AF160" i="40"/>
  <c r="AF158" i="40"/>
  <c r="V160" i="40"/>
  <c r="W160" i="40"/>
  <c r="X160" i="40"/>
  <c r="Y160" i="40"/>
  <c r="Z160" i="40"/>
  <c r="AA160" i="40"/>
  <c r="AB160" i="40"/>
  <c r="AC160" i="40"/>
  <c r="AD160" i="40"/>
  <c r="AE160" i="40"/>
  <c r="V158" i="40"/>
  <c r="W158" i="40"/>
  <c r="X158" i="40"/>
  <c r="Y158" i="40"/>
  <c r="Z158" i="40"/>
  <c r="AA158" i="40"/>
  <c r="AB158" i="40"/>
  <c r="AC158" i="40"/>
  <c r="AD158" i="40"/>
  <c r="AE158" i="40"/>
  <c r="N160" i="40"/>
  <c r="T160" i="40"/>
  <c r="U160" i="40"/>
  <c r="S158" i="40"/>
  <c r="T158" i="40"/>
  <c r="U158" i="40"/>
  <c r="R160" i="40"/>
  <c r="R158" i="40"/>
  <c r="M160" i="40"/>
  <c r="M158" i="40"/>
  <c r="Q160" i="40"/>
  <c r="Q158" i="40"/>
  <c r="P23" i="40" l="1"/>
  <c r="O23" i="40"/>
  <c r="AL121" i="40"/>
  <c r="H122" i="40"/>
  <c r="H123" i="40" s="1"/>
  <c r="AH122" i="40" l="1"/>
  <c r="AG122" i="40"/>
  <c r="AF122" i="40"/>
  <c r="AE122" i="40"/>
  <c r="AD122" i="40"/>
  <c r="AJ133" i="40"/>
  <c r="AJ132" i="40"/>
  <c r="AJ77" i="40"/>
  <c r="AL67" i="40"/>
  <c r="K156" i="40" l="1"/>
  <c r="AL25" i="40" l="1"/>
  <c r="D45" i="40" l="1"/>
  <c r="D39" i="40"/>
  <c r="D44" i="40"/>
  <c r="D38" i="40"/>
  <c r="D37" i="40" s="1"/>
  <c r="D34" i="40"/>
  <c r="D33" i="40"/>
  <c r="D23" i="40"/>
  <c r="D32" i="40" l="1"/>
  <c r="D42" i="40"/>
  <c r="H88" i="40" l="1"/>
  <c r="H89" i="40"/>
  <c r="H92" i="40"/>
  <c r="H95" i="40"/>
  <c r="H96" i="40" s="1"/>
  <c r="H101" i="40"/>
  <c r="H102" i="40"/>
  <c r="H103" i="40"/>
  <c r="H104" i="40"/>
  <c r="AL63" i="40" l="1"/>
  <c r="AL27" i="40"/>
  <c r="AL26" i="40"/>
  <c r="AJ32" i="40" l="1"/>
  <c r="AJ45" i="40"/>
  <c r="AJ44" i="40"/>
  <c r="AJ30" i="40"/>
  <c r="AJ29" i="40"/>
  <c r="AJ23" i="40"/>
  <c r="AJ41" i="40" s="1"/>
  <c r="AL81" i="40"/>
  <c r="AJ42" i="40" l="1"/>
  <c r="AL58" i="40"/>
  <c r="AI30" i="40"/>
  <c r="AI29" i="40"/>
  <c r="AI23" i="40"/>
  <c r="AH45" i="40"/>
  <c r="AH44" i="40"/>
  <c r="AH42" i="40" s="1"/>
  <c r="AH34" i="40"/>
  <c r="AH33" i="40"/>
  <c r="AH30" i="40"/>
  <c r="AH29" i="40"/>
  <c r="AH23" i="40"/>
  <c r="AH41" i="40" s="1"/>
  <c r="AI42" i="40"/>
  <c r="AG41" i="40"/>
  <c r="AG34" i="40"/>
  <c r="AG33" i="40"/>
  <c r="AI32" i="40"/>
  <c r="AG30" i="40"/>
  <c r="AG29" i="40"/>
  <c r="AG23" i="40"/>
  <c r="AI41" i="40"/>
  <c r="AF34" i="40"/>
  <c r="AF33" i="40"/>
  <c r="AF32" i="40" s="1"/>
  <c r="AF30" i="40"/>
  <c r="AF29" i="40"/>
  <c r="AG32" i="40" l="1"/>
  <c r="AH32" i="40"/>
  <c r="AE34" i="40"/>
  <c r="AE33" i="40"/>
  <c r="AE32" i="40" s="1"/>
  <c r="AE30" i="40"/>
  <c r="AE29" i="40"/>
  <c r="AE23" i="40"/>
  <c r="AP39" i="40"/>
  <c r="AP28" i="40"/>
  <c r="X45" i="40" l="1"/>
  <c r="X34" i="40" l="1"/>
  <c r="AD34" i="40" l="1"/>
  <c r="AD33" i="40"/>
  <c r="AD30" i="40"/>
  <c r="AD29" i="40"/>
  <c r="AD23" i="40"/>
  <c r="AA32" i="40"/>
  <c r="W32" i="40"/>
  <c r="V32" i="40"/>
  <c r="AD32" i="40" l="1"/>
  <c r="AJ122" i="40"/>
  <c r="AI122" i="40"/>
  <c r="AC34" i="40" l="1"/>
  <c r="AC33" i="40"/>
  <c r="AC30" i="40"/>
  <c r="AC29" i="40"/>
  <c r="AC23" i="40"/>
  <c r="AC32" i="40" l="1"/>
  <c r="AC122" i="40"/>
  <c r="AB122" i="40"/>
  <c r="AA122" i="40"/>
  <c r="Z122" i="40"/>
  <c r="V133" i="40"/>
  <c r="Y132" i="40"/>
  <c r="AC131" i="40"/>
  <c r="AB131" i="40"/>
  <c r="AA131" i="40"/>
  <c r="Z131" i="40"/>
  <c r="Y131" i="40"/>
  <c r="X131" i="40"/>
  <c r="AC130" i="40"/>
  <c r="AB130" i="40"/>
  <c r="AA130" i="40"/>
  <c r="Z130" i="40"/>
  <c r="Y130" i="40"/>
  <c r="X130" i="40"/>
  <c r="AC129" i="40"/>
  <c r="AB129" i="40"/>
  <c r="AA129" i="40"/>
  <c r="Z129" i="40"/>
  <c r="Y129" i="40"/>
  <c r="X129" i="40"/>
  <c r="AB34" i="40" l="1"/>
  <c r="AB33" i="40"/>
  <c r="Z34" i="40"/>
  <c r="Z33" i="40"/>
  <c r="Z30" i="40"/>
  <c r="Z29" i="40"/>
  <c r="Z23" i="40"/>
  <c r="Z32" i="40" l="1"/>
  <c r="AB32" i="40"/>
  <c r="AA30" i="40"/>
  <c r="AA29" i="40"/>
  <c r="AA23" i="40"/>
  <c r="AB30" i="40"/>
  <c r="AB29" i="40"/>
  <c r="AB23" i="40"/>
  <c r="X38" i="40" l="1"/>
  <c r="X33" i="40"/>
  <c r="X32" i="40" s="1"/>
  <c r="X30" i="40"/>
  <c r="X23" i="40"/>
  <c r="X29" i="40"/>
  <c r="AL22" i="40" l="1"/>
  <c r="Y64" i="40"/>
  <c r="Y122" i="40" l="1"/>
  <c r="X122" i="40"/>
  <c r="W122" i="40"/>
  <c r="V122" i="40"/>
  <c r="U122" i="40"/>
  <c r="T122" i="40"/>
  <c r="Y34" i="40" l="1"/>
  <c r="Y33" i="40"/>
  <c r="Y32" i="40" s="1"/>
  <c r="Y30" i="40"/>
  <c r="Y29" i="40"/>
  <c r="Y23" i="40"/>
  <c r="X133" i="40"/>
  <c r="X132" i="40"/>
  <c r="X42" i="40" l="1"/>
  <c r="X37" i="40"/>
  <c r="S122" i="40" l="1"/>
  <c r="P133" i="40"/>
  <c r="W130" i="40"/>
  <c r="V130" i="40"/>
  <c r="U130" i="40"/>
  <c r="T130" i="40"/>
  <c r="S130" i="40"/>
  <c r="R130" i="40"/>
  <c r="W131" i="40"/>
  <c r="V131" i="40"/>
  <c r="U131" i="40"/>
  <c r="T131" i="40"/>
  <c r="S131" i="40"/>
  <c r="R131" i="40"/>
  <c r="Q131" i="40"/>
  <c r="P131" i="40"/>
  <c r="O131" i="40"/>
  <c r="N131" i="40"/>
  <c r="M131" i="40"/>
  <c r="L131" i="40"/>
  <c r="K131" i="40"/>
  <c r="J131" i="40"/>
  <c r="I131" i="40"/>
  <c r="H131" i="40"/>
  <c r="G131" i="40"/>
  <c r="F131" i="40"/>
  <c r="AJ130" i="40"/>
  <c r="AI130" i="40"/>
  <c r="AH130" i="40"/>
  <c r="AG130" i="40"/>
  <c r="AF130" i="40"/>
  <c r="AE130" i="40"/>
  <c r="AD130" i="40"/>
  <c r="Q130" i="40"/>
  <c r="P130" i="40"/>
  <c r="O130" i="40"/>
  <c r="N130" i="40"/>
  <c r="M130" i="40"/>
  <c r="L130" i="40"/>
  <c r="K130" i="40"/>
  <c r="J130" i="40"/>
  <c r="I130" i="40"/>
  <c r="H130" i="40"/>
  <c r="G130" i="40"/>
  <c r="F130" i="40"/>
  <c r="AL126" i="40"/>
  <c r="AL130" i="40" s="1"/>
  <c r="H29" i="40" l="1"/>
  <c r="H30" i="40"/>
  <c r="W45" i="40"/>
  <c r="W44" i="40"/>
  <c r="W30" i="40"/>
  <c r="W29" i="40"/>
  <c r="W23" i="40"/>
  <c r="V42" i="40"/>
  <c r="V53" i="40" s="1"/>
  <c r="V30" i="40"/>
  <c r="V29" i="40"/>
  <c r="V23" i="40"/>
  <c r="V41" i="40" s="1"/>
  <c r="W42" i="40" l="1"/>
  <c r="U41" i="40"/>
  <c r="D29" i="40" l="1"/>
  <c r="S34" i="40"/>
  <c r="S32" i="40" s="1"/>
  <c r="S30" i="40"/>
  <c r="S29" i="40"/>
  <c r="T33" i="40"/>
  <c r="T32" i="40" s="1"/>
  <c r="T30" i="40"/>
  <c r="T29" i="40"/>
  <c r="T23" i="40"/>
  <c r="AJ57" i="40"/>
  <c r="AI57" i="40"/>
  <c r="AH57" i="40"/>
  <c r="AG57" i="40"/>
  <c r="AF57" i="40"/>
  <c r="AE57" i="40"/>
  <c r="AD57" i="40"/>
  <c r="AC57" i="40"/>
  <c r="AB57" i="40"/>
  <c r="AA57" i="40"/>
  <c r="Z57" i="40"/>
  <c r="Y57" i="40"/>
  <c r="X57" i="40"/>
  <c r="W57" i="40"/>
  <c r="V57" i="40"/>
  <c r="T57" i="40"/>
  <c r="S57" i="40"/>
  <c r="Q57" i="40"/>
  <c r="U59" i="40"/>
  <c r="U34" i="40"/>
  <c r="U33" i="40"/>
  <c r="U23" i="40"/>
  <c r="U57" i="40" s="1"/>
  <c r="H34" i="40"/>
  <c r="H33" i="40"/>
  <c r="I34" i="40"/>
  <c r="I32" i="40" s="1"/>
  <c r="J34" i="40"/>
  <c r="J33" i="40"/>
  <c r="J30" i="40"/>
  <c r="J29" i="40"/>
  <c r="K33" i="40"/>
  <c r="K32" i="40" s="1"/>
  <c r="K30" i="40"/>
  <c r="K29" i="40"/>
  <c r="L34" i="40"/>
  <c r="L33" i="40"/>
  <c r="L30" i="40"/>
  <c r="L29" i="40"/>
  <c r="M34" i="40"/>
  <c r="M33" i="40"/>
  <c r="M32" i="40" s="1"/>
  <c r="M30" i="40"/>
  <c r="M29" i="40"/>
  <c r="M23" i="40"/>
  <c r="N34" i="40"/>
  <c r="N33" i="40"/>
  <c r="N36" i="40"/>
  <c r="N30" i="40"/>
  <c r="O39" i="40"/>
  <c r="O34" i="40"/>
  <c r="O38" i="40"/>
  <c r="O33" i="40"/>
  <c r="O29" i="40"/>
  <c r="O57" i="40"/>
  <c r="P33" i="40"/>
  <c r="P32" i="40" s="1"/>
  <c r="P29" i="40"/>
  <c r="P57" i="40"/>
  <c r="Q33" i="40"/>
  <c r="Q32" i="40" s="1"/>
  <c r="Q30" i="40"/>
  <c r="Q29" i="40"/>
  <c r="R30" i="40"/>
  <c r="R23" i="40"/>
  <c r="R57" i="40" s="1"/>
  <c r="R34" i="40"/>
  <c r="R33" i="40"/>
  <c r="H32" i="40" l="1"/>
  <c r="R32" i="40"/>
  <c r="U32" i="40"/>
  <c r="L32" i="40"/>
  <c r="N32" i="40"/>
  <c r="J32" i="40"/>
  <c r="O32" i="40"/>
  <c r="AL23" i="40"/>
  <c r="AN23" i="40" s="1"/>
  <c r="AT57" i="40"/>
  <c r="AL29" i="40"/>
  <c r="AL30" i="40"/>
  <c r="AP23" i="40" l="1"/>
  <c r="AP27" i="40" s="1"/>
  <c r="AP29" i="40" s="1"/>
  <c r="AP25" i="40"/>
  <c r="N56" i="40"/>
  <c r="N57" i="40" s="1"/>
  <c r="O37" i="40" l="1"/>
  <c r="AL38" i="40"/>
  <c r="H149" i="40" l="1"/>
  <c r="D156" i="40"/>
  <c r="D162" i="40" s="1"/>
  <c r="N37" i="40"/>
  <c r="M37" i="40"/>
  <c r="L37" i="40"/>
  <c r="K37" i="40"/>
  <c r="J37" i="40"/>
  <c r="I37" i="40"/>
  <c r="H37" i="40"/>
  <c r="G37" i="40"/>
  <c r="F37" i="40"/>
  <c r="G32" i="40" l="1"/>
  <c r="F32" i="40"/>
  <c r="AL17" i="40" l="1"/>
  <c r="AJ19" i="40"/>
  <c r="AI19" i="40"/>
  <c r="AH19" i="40"/>
  <c r="AG19" i="40"/>
  <c r="AF19" i="40"/>
  <c r="AE19" i="40"/>
  <c r="AD19" i="40"/>
  <c r="AC19" i="40"/>
  <c r="AB19" i="40"/>
  <c r="AL13" i="40"/>
  <c r="AL9" i="40"/>
  <c r="AL19" i="40" l="1"/>
  <c r="AN19" i="40" s="1"/>
  <c r="AJ131" i="40"/>
  <c r="AI131" i="40"/>
  <c r="AH131" i="40"/>
  <c r="AG131" i="40"/>
  <c r="AF131" i="40"/>
  <c r="AE131" i="40"/>
  <c r="AD131" i="40"/>
  <c r="AJ129" i="40"/>
  <c r="AI129" i="40"/>
  <c r="AH129" i="40"/>
  <c r="AG129" i="40"/>
  <c r="AF129" i="40"/>
  <c r="AE129" i="40"/>
  <c r="AD129" i="40"/>
  <c r="AI132" i="40" l="1"/>
  <c r="AH132" i="40"/>
  <c r="AG132" i="40"/>
  <c r="AF132" i="40"/>
  <c r="AE132" i="40"/>
  <c r="AD132" i="40"/>
  <c r="AC132" i="40"/>
  <c r="AI95" i="40"/>
  <c r="AI104" i="40"/>
  <c r="AI78" i="40"/>
  <c r="AI68" i="40"/>
  <c r="AH133" i="40" l="1"/>
  <c r="AL44" i="40" l="1"/>
  <c r="AE10" i="40" l="1"/>
  <c r="AB132" i="40" l="1"/>
  <c r="AA132" i="40"/>
  <c r="Z132" i="40"/>
  <c r="AI189" i="40" l="1"/>
  <c r="AI182" i="40"/>
  <c r="AI175" i="40"/>
  <c r="AI170" i="40"/>
  <c r="AI162" i="40"/>
  <c r="AI163" i="40" s="1"/>
  <c r="AI154" i="40"/>
  <c r="AI153" i="40" s="1"/>
  <c r="AI144" i="40"/>
  <c r="AI143" i="40"/>
  <c r="AI133" i="40"/>
  <c r="AI147" i="40"/>
  <c r="AI146" i="40"/>
  <c r="AI123" i="40"/>
  <c r="AI115" i="40"/>
  <c r="AI114" i="40"/>
  <c r="AI103" i="40"/>
  <c r="AI102" i="40"/>
  <c r="AI118" i="40" s="1"/>
  <c r="AI101" i="40"/>
  <c r="AI117" i="40" s="1"/>
  <c r="AI96" i="40"/>
  <c r="AI89" i="40"/>
  <c r="AI88" i="40"/>
  <c r="AI77" i="40"/>
  <c r="AI76" i="40"/>
  <c r="AI92" i="40" s="1"/>
  <c r="AI75" i="40"/>
  <c r="AI91" i="40" s="1"/>
  <c r="AI69" i="40"/>
  <c r="AI64" i="40"/>
  <c r="AI62" i="40"/>
  <c r="AI61" i="40"/>
  <c r="AI59" i="40"/>
  <c r="AI54" i="40"/>
  <c r="AI53" i="40"/>
  <c r="AI52" i="40"/>
  <c r="AI51" i="40"/>
  <c r="AI50" i="40"/>
  <c r="AI49" i="40"/>
  <c r="AI48" i="40"/>
  <c r="AI47" i="40"/>
  <c r="AI18" i="40"/>
  <c r="AI14" i="40"/>
  <c r="AI10" i="40"/>
  <c r="W132" i="40" l="1"/>
  <c r="V132" i="40"/>
  <c r="U132" i="40"/>
  <c r="T132" i="40"/>
  <c r="S132" i="40"/>
  <c r="R132" i="40"/>
  <c r="Q132" i="40"/>
  <c r="P132" i="40"/>
  <c r="O132" i="40"/>
  <c r="N132" i="40"/>
  <c r="M132" i="40"/>
  <c r="L132" i="40"/>
  <c r="K132" i="40"/>
  <c r="J132" i="40"/>
  <c r="Y103" i="40"/>
  <c r="X103" i="40"/>
  <c r="W103" i="40"/>
  <c r="V103" i="40"/>
  <c r="U103" i="40"/>
  <c r="T103" i="40"/>
  <c r="S103" i="40"/>
  <c r="R103" i="40"/>
  <c r="Q103" i="40"/>
  <c r="P103" i="40"/>
  <c r="O103" i="40"/>
  <c r="N103" i="40"/>
  <c r="M103" i="40"/>
  <c r="L103" i="40"/>
  <c r="K103" i="40"/>
  <c r="J103" i="40"/>
  <c r="I103" i="40"/>
  <c r="Y77" i="40"/>
  <c r="X77" i="40"/>
  <c r="W77" i="40"/>
  <c r="V77" i="40"/>
  <c r="W129" i="40" l="1"/>
  <c r="V129" i="40"/>
  <c r="U129" i="40"/>
  <c r="T129" i="40"/>
  <c r="S129" i="40"/>
  <c r="R129" i="40"/>
  <c r="Q129" i="40"/>
  <c r="P129" i="40"/>
  <c r="O129" i="40" l="1"/>
  <c r="N129" i="40"/>
  <c r="M129" i="40"/>
  <c r="L129" i="40"/>
  <c r="K129" i="40"/>
  <c r="J129" i="40"/>
  <c r="Q122" i="40"/>
  <c r="P122" i="40"/>
  <c r="O122" i="40"/>
  <c r="N122" i="40"/>
  <c r="M122" i="40"/>
  <c r="L122" i="40"/>
  <c r="K122" i="40"/>
  <c r="J122" i="40"/>
  <c r="H59" i="40" l="1"/>
  <c r="J64" i="40"/>
  <c r="K57" i="40"/>
  <c r="I53" i="40" l="1"/>
  <c r="I54" i="40" l="1"/>
  <c r="K54" i="40"/>
  <c r="K53" i="40" l="1"/>
  <c r="K62" i="40"/>
  <c r="I122" i="40"/>
  <c r="G122" i="40"/>
  <c r="F122" i="40"/>
  <c r="I132" i="40"/>
  <c r="H132" i="40"/>
  <c r="G132" i="40"/>
  <c r="F132" i="40"/>
  <c r="I129" i="40"/>
  <c r="H129" i="40"/>
  <c r="G129" i="40"/>
  <c r="F129" i="40" l="1"/>
  <c r="G103" i="40"/>
  <c r="J54" i="40" l="1"/>
  <c r="AL42" i="40"/>
  <c r="J53" i="40"/>
  <c r="AJ103" i="40" l="1"/>
  <c r="AH77" i="40" l="1"/>
  <c r="AH103" i="40"/>
  <c r="AH62" i="40" l="1"/>
  <c r="AG103" i="40" l="1"/>
  <c r="AF103" i="40"/>
  <c r="AE103" i="40"/>
  <c r="AD103" i="40"/>
  <c r="AC103" i="40"/>
  <c r="AB103" i="40"/>
  <c r="AA103" i="40"/>
  <c r="Z103" i="40"/>
  <c r="AD77" i="40"/>
  <c r="AG77" i="40"/>
  <c r="AF77" i="40"/>
  <c r="AE77" i="40"/>
  <c r="AD62" i="40" l="1"/>
  <c r="AC77" i="40" l="1"/>
  <c r="AB77" i="40" l="1"/>
  <c r="AA77" i="40" l="1"/>
  <c r="Z77" i="40" l="1"/>
  <c r="U77" i="40" l="1"/>
  <c r="T77" i="40"/>
  <c r="S77" i="40"/>
  <c r="R77" i="40"/>
  <c r="Q77" i="40"/>
  <c r="P77" i="40"/>
  <c r="O77" i="40"/>
  <c r="N77" i="40"/>
  <c r="M77" i="40"/>
  <c r="L77" i="40"/>
  <c r="K77" i="40"/>
  <c r="J77" i="40"/>
  <c r="I77" i="40"/>
  <c r="H77" i="40"/>
  <c r="G77" i="40"/>
  <c r="F77" i="40"/>
  <c r="R122" i="40" l="1"/>
  <c r="AL122" i="40" s="1"/>
  <c r="AL120" i="40"/>
  <c r="S147" i="40" l="1"/>
  <c r="R147" i="40"/>
  <c r="AJ144" i="40"/>
  <c r="AH144" i="40"/>
  <c r="AG144" i="40"/>
  <c r="AF144" i="40"/>
  <c r="AE144" i="40"/>
  <c r="AD144" i="40"/>
  <c r="AC144" i="40"/>
  <c r="AB144" i="40"/>
  <c r="AA144" i="40"/>
  <c r="Z144" i="40"/>
  <c r="Y144" i="40"/>
  <c r="X144" i="40"/>
  <c r="W144" i="40"/>
  <c r="V144" i="40"/>
  <c r="U144" i="40"/>
  <c r="T144" i="40"/>
  <c r="S144" i="40"/>
  <c r="R144" i="40"/>
  <c r="Q144" i="40"/>
  <c r="P144" i="40"/>
  <c r="O144" i="40"/>
  <c r="N144" i="40"/>
  <c r="M144" i="40"/>
  <c r="L144" i="40"/>
  <c r="K144" i="40"/>
  <c r="J144" i="40"/>
  <c r="I144" i="40"/>
  <c r="H144" i="40"/>
  <c r="G144" i="40"/>
  <c r="F144" i="40"/>
  <c r="AJ143" i="40"/>
  <c r="AH143" i="40"/>
  <c r="AG143" i="40"/>
  <c r="AF143" i="40"/>
  <c r="AE143" i="40"/>
  <c r="AD143" i="40"/>
  <c r="AC143" i="40"/>
  <c r="AB143" i="40"/>
  <c r="AA143" i="40"/>
  <c r="Z143" i="40"/>
  <c r="Y143" i="40"/>
  <c r="X143" i="40"/>
  <c r="W143" i="40"/>
  <c r="V143" i="40"/>
  <c r="U143" i="40"/>
  <c r="T143" i="40"/>
  <c r="S143" i="40"/>
  <c r="R143" i="40"/>
  <c r="Q143" i="40"/>
  <c r="P143" i="40"/>
  <c r="O143" i="40"/>
  <c r="N143" i="40"/>
  <c r="M143" i="40"/>
  <c r="L143" i="40"/>
  <c r="K143" i="40"/>
  <c r="J143" i="40"/>
  <c r="I143" i="40"/>
  <c r="H143" i="40"/>
  <c r="G143" i="40"/>
  <c r="F143" i="40"/>
  <c r="AL140" i="40"/>
  <c r="AL139" i="40"/>
  <c r="AL137" i="40"/>
  <c r="AL136" i="40"/>
  <c r="AG133" i="40"/>
  <c r="AF133" i="40"/>
  <c r="AE133" i="40"/>
  <c r="AD133" i="40"/>
  <c r="AC133" i="40"/>
  <c r="AB133" i="40"/>
  <c r="AA133" i="40"/>
  <c r="Z133" i="40"/>
  <c r="Y133" i="40"/>
  <c r="W133" i="40"/>
  <c r="U133" i="40"/>
  <c r="T133" i="40"/>
  <c r="S133" i="40"/>
  <c r="R133" i="40"/>
  <c r="Q133" i="40"/>
  <c r="O133" i="40"/>
  <c r="N133" i="40"/>
  <c r="M133" i="40"/>
  <c r="L133" i="40"/>
  <c r="K133" i="40"/>
  <c r="J133" i="40"/>
  <c r="I133" i="40"/>
  <c r="H133" i="40"/>
  <c r="G133" i="40"/>
  <c r="F133" i="40"/>
  <c r="AL132" i="40"/>
  <c r="AJ147" i="40"/>
  <c r="AH147" i="40"/>
  <c r="AG147" i="40"/>
  <c r="AF147" i="40"/>
  <c r="AE147" i="40"/>
  <c r="AD147" i="40"/>
  <c r="AC147" i="40"/>
  <c r="AB147" i="40"/>
  <c r="AA147" i="40"/>
  <c r="Z147" i="40"/>
  <c r="Y147" i="40"/>
  <c r="X147" i="40"/>
  <c r="W147" i="40"/>
  <c r="V147" i="40"/>
  <c r="U147" i="40"/>
  <c r="T147" i="40"/>
  <c r="Q147" i="40"/>
  <c r="P147" i="40"/>
  <c r="O147" i="40"/>
  <c r="N147" i="40"/>
  <c r="M147" i="40"/>
  <c r="L147" i="40"/>
  <c r="K147" i="40"/>
  <c r="J147" i="40"/>
  <c r="I147" i="40"/>
  <c r="H147" i="40"/>
  <c r="G147" i="40"/>
  <c r="F147" i="40"/>
  <c r="AJ146" i="40"/>
  <c r="AH146" i="40"/>
  <c r="AG146" i="40"/>
  <c r="AF146" i="40"/>
  <c r="AE146" i="40"/>
  <c r="AD146" i="40"/>
  <c r="AC146" i="40"/>
  <c r="AB146" i="40"/>
  <c r="AA146" i="40"/>
  <c r="Z146" i="40"/>
  <c r="Y146" i="40"/>
  <c r="X146" i="40"/>
  <c r="W146" i="40"/>
  <c r="V146" i="40"/>
  <c r="U146" i="40"/>
  <c r="T146" i="40"/>
  <c r="S146" i="40"/>
  <c r="R146" i="40"/>
  <c r="Q146" i="40"/>
  <c r="P146" i="40"/>
  <c r="O146" i="40"/>
  <c r="N146" i="40"/>
  <c r="M146" i="40"/>
  <c r="L146" i="40"/>
  <c r="K146" i="40"/>
  <c r="J146" i="40"/>
  <c r="I146" i="40"/>
  <c r="H146" i="40"/>
  <c r="G146" i="40"/>
  <c r="F146" i="40"/>
  <c r="AL127" i="40"/>
  <c r="AL131" i="40" s="1"/>
  <c r="AL125" i="40"/>
  <c r="AL129" i="40" s="1"/>
  <c r="AJ123" i="40"/>
  <c r="AH123" i="40"/>
  <c r="AG123" i="40"/>
  <c r="AF123" i="40"/>
  <c r="AE123" i="40"/>
  <c r="AD123" i="40"/>
  <c r="AC123" i="40"/>
  <c r="AB123" i="40"/>
  <c r="AA123" i="40"/>
  <c r="Z123" i="40"/>
  <c r="Y123" i="40"/>
  <c r="X123" i="40"/>
  <c r="W123" i="40"/>
  <c r="V123" i="40"/>
  <c r="U123" i="40"/>
  <c r="T123" i="40"/>
  <c r="Q123" i="40"/>
  <c r="P123" i="40"/>
  <c r="O123" i="40"/>
  <c r="N123" i="40"/>
  <c r="M123" i="40"/>
  <c r="L123" i="40"/>
  <c r="K123" i="40"/>
  <c r="J123" i="40"/>
  <c r="I123" i="40"/>
  <c r="G123" i="40"/>
  <c r="F123" i="40"/>
  <c r="Q95" i="40"/>
  <c r="AL123" i="40" l="1"/>
  <c r="AL133" i="40"/>
  <c r="AL144" i="40"/>
  <c r="AL143" i="40"/>
  <c r="AL146" i="40"/>
  <c r="AL147" i="40"/>
  <c r="AL103" i="40" l="1"/>
  <c r="J104" i="40"/>
  <c r="E38" i="41" l="1"/>
  <c r="D38" i="41"/>
  <c r="E37" i="41"/>
  <c r="D37" i="41"/>
  <c r="E36" i="41"/>
  <c r="D36" i="41"/>
  <c r="E35" i="41"/>
  <c r="E39" i="41" s="1"/>
  <c r="D35" i="41"/>
  <c r="H31" i="41"/>
  <c r="G31" i="41"/>
  <c r="D30" i="41"/>
  <c r="D29" i="41"/>
  <c r="D28" i="41"/>
  <c r="D27" i="41"/>
  <c r="E20" i="41"/>
  <c r="D20" i="41"/>
  <c r="E19" i="41"/>
  <c r="D19" i="41"/>
  <c r="E18" i="41"/>
  <c r="D18" i="41"/>
  <c r="E17" i="41"/>
  <c r="D17" i="41"/>
  <c r="H13" i="41"/>
  <c r="G13" i="41"/>
  <c r="D12" i="41"/>
  <c r="D11" i="41"/>
  <c r="D10" i="41"/>
  <c r="D9" i="41"/>
  <c r="AJ189" i="40"/>
  <c r="AH189" i="40"/>
  <c r="AG189" i="40"/>
  <c r="AF189" i="40"/>
  <c r="AE189" i="40"/>
  <c r="AD189" i="40"/>
  <c r="AC189" i="40"/>
  <c r="AB189" i="40"/>
  <c r="AA189" i="40"/>
  <c r="Z189" i="40"/>
  <c r="Y189" i="40"/>
  <c r="X189" i="40"/>
  <c r="W189" i="40"/>
  <c r="V189" i="40"/>
  <c r="U189" i="40"/>
  <c r="T189" i="40"/>
  <c r="S189" i="40"/>
  <c r="R189" i="40"/>
  <c r="Q189" i="40"/>
  <c r="P189" i="40"/>
  <c r="O189" i="40"/>
  <c r="N189" i="40"/>
  <c r="M189" i="40"/>
  <c r="L189" i="40"/>
  <c r="K189" i="40"/>
  <c r="J189" i="40"/>
  <c r="I189" i="40"/>
  <c r="H189" i="40"/>
  <c r="G189" i="40"/>
  <c r="F189" i="40"/>
  <c r="AL188" i="40"/>
  <c r="AL187" i="40"/>
  <c r="AL186" i="40"/>
  <c r="AL185" i="40"/>
  <c r="AL184" i="40"/>
  <c r="AJ182" i="40"/>
  <c r="AH182" i="40"/>
  <c r="AG182" i="40"/>
  <c r="AF182" i="40"/>
  <c r="AE182" i="40"/>
  <c r="AD182" i="40"/>
  <c r="AC182" i="40"/>
  <c r="AB182" i="40"/>
  <c r="AA182" i="40"/>
  <c r="Z182" i="40"/>
  <c r="Y182" i="40"/>
  <c r="X182" i="40"/>
  <c r="W182" i="40"/>
  <c r="V182" i="40"/>
  <c r="U182" i="40"/>
  <c r="T182" i="40"/>
  <c r="S182" i="40"/>
  <c r="R182" i="40"/>
  <c r="Q182" i="40"/>
  <c r="P182" i="40"/>
  <c r="O182" i="40"/>
  <c r="N182" i="40"/>
  <c r="M182" i="40"/>
  <c r="L182" i="40"/>
  <c r="K182" i="40"/>
  <c r="J182" i="40"/>
  <c r="I182" i="40"/>
  <c r="H182" i="40"/>
  <c r="G182" i="40"/>
  <c r="F182" i="40"/>
  <c r="AL181" i="40"/>
  <c r="AL180" i="40"/>
  <c r="AL179" i="40"/>
  <c r="AL178" i="40"/>
  <c r="AL177" i="40"/>
  <c r="AJ175" i="40"/>
  <c r="AH175" i="40"/>
  <c r="AG175" i="40"/>
  <c r="AF175" i="40"/>
  <c r="AE175" i="40"/>
  <c r="AD175" i="40"/>
  <c r="AC175" i="40"/>
  <c r="AB175" i="40"/>
  <c r="AA175" i="40"/>
  <c r="Z175" i="40"/>
  <c r="Y175" i="40"/>
  <c r="X175" i="40"/>
  <c r="W175" i="40"/>
  <c r="V175" i="40"/>
  <c r="U175" i="40"/>
  <c r="T175" i="40"/>
  <c r="S175" i="40"/>
  <c r="R175" i="40"/>
  <c r="Q175" i="40"/>
  <c r="P175" i="40"/>
  <c r="O175" i="40"/>
  <c r="N175" i="40"/>
  <c r="M175" i="40"/>
  <c r="L175" i="40"/>
  <c r="K175" i="40"/>
  <c r="J175" i="40"/>
  <c r="I175" i="40"/>
  <c r="H175" i="40"/>
  <c r="G175" i="40"/>
  <c r="F175" i="40"/>
  <c r="AL174" i="40"/>
  <c r="AN174" i="40" s="1"/>
  <c r="AL171" i="40"/>
  <c r="AJ170" i="40"/>
  <c r="AH170" i="40"/>
  <c r="AG170" i="40"/>
  <c r="AF170" i="40"/>
  <c r="AE170" i="40"/>
  <c r="AD170" i="40"/>
  <c r="AC170" i="40"/>
  <c r="AB170" i="40"/>
  <c r="AA170" i="40"/>
  <c r="Z170" i="40"/>
  <c r="Y170" i="40"/>
  <c r="X170" i="40"/>
  <c r="W170" i="40"/>
  <c r="V170" i="40"/>
  <c r="U170" i="40"/>
  <c r="T170" i="40"/>
  <c r="S170" i="40"/>
  <c r="R170" i="40"/>
  <c r="Q170" i="40"/>
  <c r="P170" i="40"/>
  <c r="O170" i="40"/>
  <c r="N170" i="40"/>
  <c r="M170" i="40"/>
  <c r="L170" i="40"/>
  <c r="K170" i="40"/>
  <c r="J170" i="40"/>
  <c r="I170" i="40"/>
  <c r="H170" i="40"/>
  <c r="G170" i="40"/>
  <c r="F170" i="40"/>
  <c r="AL169" i="40"/>
  <c r="D169" i="40"/>
  <c r="D170" i="40" s="1"/>
  <c r="AL168" i="40"/>
  <c r="AL167" i="40"/>
  <c r="AL165" i="40"/>
  <c r="D163" i="40"/>
  <c r="AJ162" i="40"/>
  <c r="AJ163" i="40" s="1"/>
  <c r="AH162" i="40"/>
  <c r="AH163" i="40" s="1"/>
  <c r="AG162" i="40"/>
  <c r="AG163" i="40" s="1"/>
  <c r="AF162" i="40"/>
  <c r="AF163" i="40" s="1"/>
  <c r="AE162" i="40"/>
  <c r="AE163" i="40" s="1"/>
  <c r="AD162" i="40"/>
  <c r="AD163" i="40" s="1"/>
  <c r="AC162" i="40"/>
  <c r="AC163" i="40" s="1"/>
  <c r="AB162" i="40"/>
  <c r="AB163" i="40" s="1"/>
  <c r="AA162" i="40"/>
  <c r="AA163" i="40" s="1"/>
  <c r="Z162" i="40"/>
  <c r="Z163" i="40" s="1"/>
  <c r="Y162" i="40"/>
  <c r="Y163" i="40" s="1"/>
  <c r="X162" i="40"/>
  <c r="X163" i="40" s="1"/>
  <c r="W162" i="40"/>
  <c r="W163" i="40" s="1"/>
  <c r="V162" i="40"/>
  <c r="V163" i="40" s="1"/>
  <c r="U162" i="40"/>
  <c r="U163" i="40" s="1"/>
  <c r="T162" i="40"/>
  <c r="T163" i="40" s="1"/>
  <c r="S162" i="40"/>
  <c r="S163" i="40" s="1"/>
  <c r="R162" i="40"/>
  <c r="R163" i="40" s="1"/>
  <c r="Q162" i="40"/>
  <c r="Q163" i="40" s="1"/>
  <c r="P162" i="40"/>
  <c r="P163" i="40" s="1"/>
  <c r="O162" i="40"/>
  <c r="O163" i="40" s="1"/>
  <c r="N162" i="40"/>
  <c r="N163" i="40" s="1"/>
  <c r="M162" i="40"/>
  <c r="M163" i="40" s="1"/>
  <c r="L162" i="40"/>
  <c r="L163" i="40" s="1"/>
  <c r="K162" i="40"/>
  <c r="K163" i="40" s="1"/>
  <c r="J162" i="40"/>
  <c r="J163" i="40" s="1"/>
  <c r="I162" i="40"/>
  <c r="I163" i="40" s="1"/>
  <c r="H162" i="40"/>
  <c r="H163" i="40" s="1"/>
  <c r="G162" i="40"/>
  <c r="F162" i="40"/>
  <c r="F163" i="40" s="1"/>
  <c r="AL161" i="40"/>
  <c r="AL159" i="40"/>
  <c r="AL156" i="40"/>
  <c r="AN156" i="40" s="1"/>
  <c r="AJ154" i="40"/>
  <c r="AJ153" i="40" s="1"/>
  <c r="AH154" i="40"/>
  <c r="AH153" i="40" s="1"/>
  <c r="AG154" i="40"/>
  <c r="AG153" i="40" s="1"/>
  <c r="AF154" i="40"/>
  <c r="AF153" i="40" s="1"/>
  <c r="AE154" i="40"/>
  <c r="AE153" i="40" s="1"/>
  <c r="AD154" i="40"/>
  <c r="AD153" i="40" s="1"/>
  <c r="AC154" i="40"/>
  <c r="AC153" i="40" s="1"/>
  <c r="AB154" i="40"/>
  <c r="AB153" i="40" s="1"/>
  <c r="AA154" i="40"/>
  <c r="AA153" i="40" s="1"/>
  <c r="Z154" i="40"/>
  <c r="Z153" i="40" s="1"/>
  <c r="Y154" i="40"/>
  <c r="Y153" i="40" s="1"/>
  <c r="X154" i="40"/>
  <c r="X153" i="40" s="1"/>
  <c r="W154" i="40"/>
  <c r="W153" i="40" s="1"/>
  <c r="V154" i="40"/>
  <c r="V153" i="40" s="1"/>
  <c r="U154" i="40"/>
  <c r="U153" i="40" s="1"/>
  <c r="T154" i="40"/>
  <c r="T153" i="40" s="1"/>
  <c r="S154" i="40"/>
  <c r="S153" i="40" s="1"/>
  <c r="R154" i="40"/>
  <c r="R153" i="40" s="1"/>
  <c r="Q154" i="40"/>
  <c r="Q153" i="40" s="1"/>
  <c r="P154" i="40"/>
  <c r="P153" i="40" s="1"/>
  <c r="O154" i="40"/>
  <c r="O153" i="40" s="1"/>
  <c r="N154" i="40"/>
  <c r="N153" i="40" s="1"/>
  <c r="M154" i="40"/>
  <c r="M153" i="40" s="1"/>
  <c r="L154" i="40"/>
  <c r="L153" i="40" s="1"/>
  <c r="K154" i="40"/>
  <c r="K153" i="40" s="1"/>
  <c r="J154" i="40"/>
  <c r="J153" i="40" s="1"/>
  <c r="I154" i="40"/>
  <c r="I153" i="40" s="1"/>
  <c r="H154" i="40"/>
  <c r="H153" i="40" s="1"/>
  <c r="G154" i="40"/>
  <c r="G153" i="40" s="1"/>
  <c r="F154" i="40"/>
  <c r="F153" i="40" s="1"/>
  <c r="D154" i="40"/>
  <c r="AL152" i="40"/>
  <c r="AL150" i="40"/>
  <c r="AN150" i="40" s="1"/>
  <c r="AL149" i="40"/>
  <c r="AJ115" i="40"/>
  <c r="AH115" i="40"/>
  <c r="AG115" i="40"/>
  <c r="AF115" i="40"/>
  <c r="AE115" i="40"/>
  <c r="AD115" i="40"/>
  <c r="AC115" i="40"/>
  <c r="AB115" i="40"/>
  <c r="AA115" i="40"/>
  <c r="Z115" i="40"/>
  <c r="Y115" i="40"/>
  <c r="X115" i="40"/>
  <c r="W115" i="40"/>
  <c r="V115" i="40"/>
  <c r="U115" i="40"/>
  <c r="T115" i="40"/>
  <c r="S115" i="40"/>
  <c r="R115" i="40"/>
  <c r="Q115" i="40"/>
  <c r="P115" i="40"/>
  <c r="O115" i="40"/>
  <c r="N115" i="40"/>
  <c r="M115" i="40"/>
  <c r="L115" i="40"/>
  <c r="K115" i="40"/>
  <c r="J115" i="40"/>
  <c r="I115" i="40"/>
  <c r="H115" i="40"/>
  <c r="G115" i="40"/>
  <c r="F115" i="40"/>
  <c r="AJ114" i="40"/>
  <c r="AH114" i="40"/>
  <c r="AG114" i="40"/>
  <c r="AF114" i="40"/>
  <c r="AE114" i="40"/>
  <c r="AD114" i="40"/>
  <c r="AC114" i="40"/>
  <c r="AB114" i="40"/>
  <c r="AA114" i="40"/>
  <c r="Z114" i="40"/>
  <c r="Y114" i="40"/>
  <c r="X114" i="40"/>
  <c r="W114" i="40"/>
  <c r="V114" i="40"/>
  <c r="U114" i="40"/>
  <c r="T114" i="40"/>
  <c r="S114" i="40"/>
  <c r="R114" i="40"/>
  <c r="Q114" i="40"/>
  <c r="P114" i="40"/>
  <c r="O114" i="40"/>
  <c r="N114" i="40"/>
  <c r="M114" i="40"/>
  <c r="L114" i="40"/>
  <c r="K114" i="40"/>
  <c r="J114" i="40"/>
  <c r="I114" i="40"/>
  <c r="H114" i="40"/>
  <c r="G114" i="40"/>
  <c r="F114" i="40"/>
  <c r="AL111" i="40"/>
  <c r="AL110" i="40"/>
  <c r="AL108" i="40"/>
  <c r="AL107" i="40"/>
  <c r="AJ104" i="40"/>
  <c r="AH104" i="40"/>
  <c r="AG104" i="40"/>
  <c r="AF104" i="40"/>
  <c r="AE104" i="40"/>
  <c r="AD104" i="40"/>
  <c r="AC104" i="40"/>
  <c r="AB104" i="40"/>
  <c r="AA104" i="40"/>
  <c r="Z104" i="40"/>
  <c r="Y104" i="40"/>
  <c r="X104" i="40"/>
  <c r="W104" i="40"/>
  <c r="V104" i="40"/>
  <c r="U104" i="40"/>
  <c r="T104" i="40"/>
  <c r="S104" i="40"/>
  <c r="R104" i="40"/>
  <c r="Q104" i="40"/>
  <c r="P104" i="40"/>
  <c r="O104" i="40"/>
  <c r="N104" i="40"/>
  <c r="M104" i="40"/>
  <c r="L104" i="40"/>
  <c r="K104" i="40"/>
  <c r="I104" i="40"/>
  <c r="G104" i="40"/>
  <c r="F104" i="40"/>
  <c r="AJ102" i="40"/>
  <c r="AJ118" i="40" s="1"/>
  <c r="AH102" i="40"/>
  <c r="AH118" i="40" s="1"/>
  <c r="AG102" i="40"/>
  <c r="AG118" i="40" s="1"/>
  <c r="AF102" i="40"/>
  <c r="AF118" i="40" s="1"/>
  <c r="AE102" i="40"/>
  <c r="AE118" i="40" s="1"/>
  <c r="AD102" i="40"/>
  <c r="AD118" i="40" s="1"/>
  <c r="AC102" i="40"/>
  <c r="AC118" i="40" s="1"/>
  <c r="AB102" i="40"/>
  <c r="AB118" i="40" s="1"/>
  <c r="AA102" i="40"/>
  <c r="AA118" i="40" s="1"/>
  <c r="Z102" i="40"/>
  <c r="Z118" i="40" s="1"/>
  <c r="Y102" i="40"/>
  <c r="Y118" i="40" s="1"/>
  <c r="X102" i="40"/>
  <c r="X118" i="40" s="1"/>
  <c r="W102" i="40"/>
  <c r="W118" i="40" s="1"/>
  <c r="V102" i="40"/>
  <c r="V118" i="40" s="1"/>
  <c r="U102" i="40"/>
  <c r="U118" i="40" s="1"/>
  <c r="T102" i="40"/>
  <c r="T118" i="40" s="1"/>
  <c r="S102" i="40"/>
  <c r="S118" i="40" s="1"/>
  <c r="R102" i="40"/>
  <c r="R118" i="40" s="1"/>
  <c r="Q102" i="40"/>
  <c r="Q118" i="40" s="1"/>
  <c r="P102" i="40"/>
  <c r="P118" i="40" s="1"/>
  <c r="O102" i="40"/>
  <c r="O118" i="40" s="1"/>
  <c r="N102" i="40"/>
  <c r="N118" i="40" s="1"/>
  <c r="M102" i="40"/>
  <c r="M118" i="40" s="1"/>
  <c r="L102" i="40"/>
  <c r="L118" i="40" s="1"/>
  <c r="K102" i="40"/>
  <c r="K118" i="40" s="1"/>
  <c r="J102" i="40"/>
  <c r="J118" i="40" s="1"/>
  <c r="I102" i="40"/>
  <c r="I118" i="40" s="1"/>
  <c r="H118" i="40"/>
  <c r="G102" i="40"/>
  <c r="G118" i="40" s="1"/>
  <c r="F102" i="40"/>
  <c r="F118" i="40" s="1"/>
  <c r="AJ101" i="40"/>
  <c r="AJ117" i="40" s="1"/>
  <c r="AH101" i="40"/>
  <c r="AH117" i="40" s="1"/>
  <c r="AG101" i="40"/>
  <c r="AG117" i="40" s="1"/>
  <c r="AF101" i="40"/>
  <c r="AF117" i="40" s="1"/>
  <c r="AE101" i="40"/>
  <c r="AE117" i="40" s="1"/>
  <c r="AD101" i="40"/>
  <c r="AD117" i="40" s="1"/>
  <c r="AC101" i="40"/>
  <c r="AC117" i="40" s="1"/>
  <c r="AB101" i="40"/>
  <c r="AB117" i="40" s="1"/>
  <c r="AA101" i="40"/>
  <c r="AA117" i="40" s="1"/>
  <c r="Z101" i="40"/>
  <c r="Z117" i="40" s="1"/>
  <c r="Y101" i="40"/>
  <c r="Y117" i="40" s="1"/>
  <c r="X101" i="40"/>
  <c r="X117" i="40" s="1"/>
  <c r="W101" i="40"/>
  <c r="W117" i="40" s="1"/>
  <c r="V101" i="40"/>
  <c r="V117" i="40" s="1"/>
  <c r="U101" i="40"/>
  <c r="U117" i="40" s="1"/>
  <c r="T101" i="40"/>
  <c r="T117" i="40" s="1"/>
  <c r="S101" i="40"/>
  <c r="S117" i="40" s="1"/>
  <c r="R101" i="40"/>
  <c r="R117" i="40" s="1"/>
  <c r="Q101" i="40"/>
  <c r="Q117" i="40" s="1"/>
  <c r="P101" i="40"/>
  <c r="P117" i="40" s="1"/>
  <c r="O101" i="40"/>
  <c r="O117" i="40" s="1"/>
  <c r="N101" i="40"/>
  <c r="N117" i="40" s="1"/>
  <c r="M101" i="40"/>
  <c r="M117" i="40" s="1"/>
  <c r="L101" i="40"/>
  <c r="L117" i="40" s="1"/>
  <c r="K101" i="40"/>
  <c r="K117" i="40" s="1"/>
  <c r="J101" i="40"/>
  <c r="J117" i="40" s="1"/>
  <c r="I101" i="40"/>
  <c r="I117" i="40" s="1"/>
  <c r="H117" i="40"/>
  <c r="G101" i="40"/>
  <c r="G117" i="40" s="1"/>
  <c r="F101" i="40"/>
  <c r="F117" i="40" s="1"/>
  <c r="AL99" i="40"/>
  <c r="AL102" i="40" s="1"/>
  <c r="AL98" i="40"/>
  <c r="AL101" i="40" s="1"/>
  <c r="AJ95" i="40"/>
  <c r="AJ96" i="40" s="1"/>
  <c r="AH95" i="40"/>
  <c r="AH96" i="40" s="1"/>
  <c r="AG95" i="40"/>
  <c r="AG96" i="40" s="1"/>
  <c r="AF95" i="40"/>
  <c r="AF96" i="40" s="1"/>
  <c r="AE95" i="40"/>
  <c r="AE96" i="40" s="1"/>
  <c r="AD95" i="40"/>
  <c r="AD96" i="40" s="1"/>
  <c r="AC95" i="40"/>
  <c r="AC96" i="40" s="1"/>
  <c r="AB95" i="40"/>
  <c r="AB96" i="40" s="1"/>
  <c r="AA95" i="40"/>
  <c r="AA96" i="40" s="1"/>
  <c r="Z95" i="40"/>
  <c r="Z96" i="40" s="1"/>
  <c r="Y95" i="40"/>
  <c r="Y96" i="40" s="1"/>
  <c r="X95" i="40"/>
  <c r="X96" i="40" s="1"/>
  <c r="W95" i="40"/>
  <c r="W96" i="40" s="1"/>
  <c r="V95" i="40"/>
  <c r="V96" i="40" s="1"/>
  <c r="U95" i="40"/>
  <c r="U96" i="40" s="1"/>
  <c r="T95" i="40"/>
  <c r="T96" i="40" s="1"/>
  <c r="S95" i="40"/>
  <c r="S96" i="40" s="1"/>
  <c r="R95" i="40"/>
  <c r="R96" i="40" s="1"/>
  <c r="Q96" i="40"/>
  <c r="P95" i="40"/>
  <c r="P96" i="40" s="1"/>
  <c r="O95" i="40"/>
  <c r="O96" i="40" s="1"/>
  <c r="N95" i="40"/>
  <c r="N96" i="40" s="1"/>
  <c r="M95" i="40"/>
  <c r="M96" i="40" s="1"/>
  <c r="L95" i="40"/>
  <c r="L96" i="40" s="1"/>
  <c r="K95" i="40"/>
  <c r="K96" i="40" s="1"/>
  <c r="J95" i="40"/>
  <c r="J96" i="40" s="1"/>
  <c r="I95" i="40"/>
  <c r="I96" i="40" s="1"/>
  <c r="G95" i="40"/>
  <c r="G96" i="40" s="1"/>
  <c r="F95" i="40"/>
  <c r="F96" i="40" s="1"/>
  <c r="AJ89" i="40"/>
  <c r="AH89" i="40"/>
  <c r="AG89" i="40"/>
  <c r="AF89" i="40"/>
  <c r="AE89" i="40"/>
  <c r="AD89" i="40"/>
  <c r="AC89" i="40"/>
  <c r="AB89" i="40"/>
  <c r="AA89" i="40"/>
  <c r="Z89" i="40"/>
  <c r="Y89" i="40"/>
  <c r="X89" i="40"/>
  <c r="W89" i="40"/>
  <c r="V89" i="40"/>
  <c r="U89" i="40"/>
  <c r="T89" i="40"/>
  <c r="S89" i="40"/>
  <c r="R89" i="40"/>
  <c r="Q89" i="40"/>
  <c r="P89" i="40"/>
  <c r="O89" i="40"/>
  <c r="N89" i="40"/>
  <c r="M89" i="40"/>
  <c r="L89" i="40"/>
  <c r="K89" i="40"/>
  <c r="J89" i="40"/>
  <c r="I89" i="40"/>
  <c r="G89" i="40"/>
  <c r="F89" i="40"/>
  <c r="AJ88" i="40"/>
  <c r="AH88" i="40"/>
  <c r="AG88" i="40"/>
  <c r="AF88" i="40"/>
  <c r="AE88" i="40"/>
  <c r="AD88" i="40"/>
  <c r="AC88" i="40"/>
  <c r="AB88" i="40"/>
  <c r="AA88" i="40"/>
  <c r="Z88" i="40"/>
  <c r="Y88" i="40"/>
  <c r="X88" i="40"/>
  <c r="W88" i="40"/>
  <c r="V88" i="40"/>
  <c r="U88" i="40"/>
  <c r="T88" i="40"/>
  <c r="S88" i="40"/>
  <c r="R88" i="40"/>
  <c r="Q88" i="40"/>
  <c r="P88" i="40"/>
  <c r="O88" i="40"/>
  <c r="N88" i="40"/>
  <c r="M88" i="40"/>
  <c r="L88" i="40"/>
  <c r="K88" i="40"/>
  <c r="J88" i="40"/>
  <c r="I88" i="40"/>
  <c r="G88" i="40"/>
  <c r="F88" i="40"/>
  <c r="AL85" i="40"/>
  <c r="AL84" i="40"/>
  <c r="AL82" i="40"/>
  <c r="AJ78" i="40"/>
  <c r="AH78" i="40"/>
  <c r="AG78" i="40"/>
  <c r="AF78" i="40"/>
  <c r="AE78" i="40"/>
  <c r="AD78" i="40"/>
  <c r="AC78" i="40"/>
  <c r="AB78" i="40"/>
  <c r="AA78" i="40"/>
  <c r="Z78" i="40"/>
  <c r="Y78" i="40"/>
  <c r="X78" i="40"/>
  <c r="W78" i="40"/>
  <c r="V78" i="40"/>
  <c r="U78" i="40"/>
  <c r="T78" i="40"/>
  <c r="S78" i="40"/>
  <c r="R78" i="40"/>
  <c r="Q78" i="40"/>
  <c r="P78" i="40"/>
  <c r="O78" i="40"/>
  <c r="N78" i="40"/>
  <c r="M78" i="40"/>
  <c r="L78" i="40"/>
  <c r="K78" i="40"/>
  <c r="J78" i="40"/>
  <c r="I78" i="40"/>
  <c r="H78" i="40"/>
  <c r="G78" i="40"/>
  <c r="F78" i="40"/>
  <c r="AL77" i="40"/>
  <c r="AJ76" i="40"/>
  <c r="AJ92" i="40" s="1"/>
  <c r="AH76" i="40"/>
  <c r="AH92" i="40" s="1"/>
  <c r="AG76" i="40"/>
  <c r="AG92" i="40" s="1"/>
  <c r="AF76" i="40"/>
  <c r="AF92" i="40" s="1"/>
  <c r="AE76" i="40"/>
  <c r="AE92" i="40" s="1"/>
  <c r="AD76" i="40"/>
  <c r="AD92" i="40" s="1"/>
  <c r="AC76" i="40"/>
  <c r="AC92" i="40" s="1"/>
  <c r="AB76" i="40"/>
  <c r="AB92" i="40" s="1"/>
  <c r="AA76" i="40"/>
  <c r="AA92" i="40" s="1"/>
  <c r="Z76" i="40"/>
  <c r="Z92" i="40" s="1"/>
  <c r="Y76" i="40"/>
  <c r="Y92" i="40" s="1"/>
  <c r="X76" i="40"/>
  <c r="X92" i="40" s="1"/>
  <c r="W76" i="40"/>
  <c r="W92" i="40" s="1"/>
  <c r="V76" i="40"/>
  <c r="V92" i="40" s="1"/>
  <c r="U76" i="40"/>
  <c r="U92" i="40" s="1"/>
  <c r="T76" i="40"/>
  <c r="T92" i="40" s="1"/>
  <c r="S76" i="40"/>
  <c r="S92" i="40" s="1"/>
  <c r="R76" i="40"/>
  <c r="R92" i="40" s="1"/>
  <c r="Q76" i="40"/>
  <c r="Q92" i="40" s="1"/>
  <c r="P76" i="40"/>
  <c r="P92" i="40" s="1"/>
  <c r="O76" i="40"/>
  <c r="O92" i="40" s="1"/>
  <c r="N76" i="40"/>
  <c r="N92" i="40" s="1"/>
  <c r="M76" i="40"/>
  <c r="M92" i="40" s="1"/>
  <c r="L76" i="40"/>
  <c r="L92" i="40" s="1"/>
  <c r="K76" i="40"/>
  <c r="K92" i="40" s="1"/>
  <c r="J76" i="40"/>
  <c r="J92" i="40" s="1"/>
  <c r="I76" i="40"/>
  <c r="I92" i="40" s="1"/>
  <c r="G76" i="40"/>
  <c r="G92" i="40" s="1"/>
  <c r="F76" i="40"/>
  <c r="F92" i="40" s="1"/>
  <c r="AJ75" i="40"/>
  <c r="AJ91" i="40" s="1"/>
  <c r="AH75" i="40"/>
  <c r="AH91" i="40" s="1"/>
  <c r="AG75" i="40"/>
  <c r="AG91" i="40" s="1"/>
  <c r="AF75" i="40"/>
  <c r="AF91" i="40" s="1"/>
  <c r="AE75" i="40"/>
  <c r="AE91" i="40" s="1"/>
  <c r="AD75" i="40"/>
  <c r="AD91" i="40" s="1"/>
  <c r="AC75" i="40"/>
  <c r="AC91" i="40" s="1"/>
  <c r="AB75" i="40"/>
  <c r="AB91" i="40" s="1"/>
  <c r="AA75" i="40"/>
  <c r="AA91" i="40" s="1"/>
  <c r="Z75" i="40"/>
  <c r="Z91" i="40" s="1"/>
  <c r="Y75" i="40"/>
  <c r="Y91" i="40" s="1"/>
  <c r="X75" i="40"/>
  <c r="X91" i="40" s="1"/>
  <c r="W75" i="40"/>
  <c r="W91" i="40" s="1"/>
  <c r="V75" i="40"/>
  <c r="V91" i="40" s="1"/>
  <c r="U75" i="40"/>
  <c r="U91" i="40" s="1"/>
  <c r="T75" i="40"/>
  <c r="T91" i="40" s="1"/>
  <c r="S75" i="40"/>
  <c r="S91" i="40" s="1"/>
  <c r="R75" i="40"/>
  <c r="R91" i="40" s="1"/>
  <c r="Q75" i="40"/>
  <c r="Q91" i="40" s="1"/>
  <c r="P75" i="40"/>
  <c r="P91" i="40" s="1"/>
  <c r="O75" i="40"/>
  <c r="O91" i="40" s="1"/>
  <c r="N75" i="40"/>
  <c r="N91" i="40" s="1"/>
  <c r="M75" i="40"/>
  <c r="M91" i="40" s="1"/>
  <c r="L75" i="40"/>
  <c r="L91" i="40" s="1"/>
  <c r="K75" i="40"/>
  <c r="K91" i="40" s="1"/>
  <c r="J75" i="40"/>
  <c r="J91" i="40" s="1"/>
  <c r="I75" i="40"/>
  <c r="I91" i="40" s="1"/>
  <c r="H75" i="40"/>
  <c r="H91" i="40" s="1"/>
  <c r="G75" i="40"/>
  <c r="G91" i="40" s="1"/>
  <c r="F75" i="40"/>
  <c r="F91" i="40" s="1"/>
  <c r="AL73" i="40"/>
  <c r="AL76" i="40" s="1"/>
  <c r="AL72" i="40"/>
  <c r="AL75" i="40" s="1"/>
  <c r="AL70" i="40"/>
  <c r="AJ68" i="40"/>
  <c r="AJ69" i="40" s="1"/>
  <c r="AH68" i="40"/>
  <c r="AH69" i="40" s="1"/>
  <c r="AG68" i="40"/>
  <c r="AG69" i="40" s="1"/>
  <c r="AF68" i="40"/>
  <c r="AF69" i="40" s="1"/>
  <c r="AE68" i="40"/>
  <c r="AE69" i="40" s="1"/>
  <c r="AD68" i="40"/>
  <c r="AD69" i="40" s="1"/>
  <c r="AC68" i="40"/>
  <c r="AC69" i="40" s="1"/>
  <c r="AB68" i="40"/>
  <c r="AB69" i="40" s="1"/>
  <c r="AA68" i="40"/>
  <c r="AA69" i="40" s="1"/>
  <c r="Z68" i="40"/>
  <c r="Z69" i="40" s="1"/>
  <c r="Y68" i="40"/>
  <c r="Y69" i="40" s="1"/>
  <c r="X68" i="40"/>
  <c r="X69" i="40" s="1"/>
  <c r="W68" i="40"/>
  <c r="W69" i="40" s="1"/>
  <c r="V68" i="40"/>
  <c r="V69" i="40" s="1"/>
  <c r="U68" i="40"/>
  <c r="U69" i="40" s="1"/>
  <c r="T68" i="40"/>
  <c r="T69" i="40" s="1"/>
  <c r="S68" i="40"/>
  <c r="S69" i="40" s="1"/>
  <c r="R68" i="40"/>
  <c r="R69" i="40" s="1"/>
  <c r="Q68" i="40"/>
  <c r="Q69" i="40" s="1"/>
  <c r="P68" i="40"/>
  <c r="P69" i="40" s="1"/>
  <c r="O68" i="40"/>
  <c r="O69" i="40" s="1"/>
  <c r="N68" i="40"/>
  <c r="N69" i="40" s="1"/>
  <c r="M68" i="40"/>
  <c r="M69" i="40" s="1"/>
  <c r="L68" i="40"/>
  <c r="L69" i="40" s="1"/>
  <c r="K68" i="40"/>
  <c r="K69" i="40" s="1"/>
  <c r="J68" i="40"/>
  <c r="J69" i="40" s="1"/>
  <c r="I68" i="40"/>
  <c r="I69" i="40" s="1"/>
  <c r="H68" i="40"/>
  <c r="H69" i="40" s="1"/>
  <c r="G68" i="40"/>
  <c r="G69" i="40" s="1"/>
  <c r="F68" i="40"/>
  <c r="F69" i="40" s="1"/>
  <c r="AL66" i="40"/>
  <c r="AJ64" i="40"/>
  <c r="AH64" i="40"/>
  <c r="AG64" i="40"/>
  <c r="AF64" i="40"/>
  <c r="AE64" i="40"/>
  <c r="AD64" i="40"/>
  <c r="AC64" i="40"/>
  <c r="AB64" i="40"/>
  <c r="AA64" i="40"/>
  <c r="Z64" i="40"/>
  <c r="X64" i="40"/>
  <c r="W64" i="40"/>
  <c r="V64" i="40"/>
  <c r="U64" i="40"/>
  <c r="T64" i="40"/>
  <c r="S64" i="40"/>
  <c r="R64" i="40"/>
  <c r="Q64" i="40"/>
  <c r="P64" i="40"/>
  <c r="O64" i="40"/>
  <c r="N64" i="40"/>
  <c r="M64" i="40"/>
  <c r="L64" i="40"/>
  <c r="K64" i="40"/>
  <c r="I64" i="40"/>
  <c r="H64" i="40"/>
  <c r="G64" i="40"/>
  <c r="F64" i="40"/>
  <c r="AJ62" i="40"/>
  <c r="AG62" i="40"/>
  <c r="AF62" i="40"/>
  <c r="AE62" i="40"/>
  <c r="AC62" i="40"/>
  <c r="AB62" i="40"/>
  <c r="AA62" i="40"/>
  <c r="Z62" i="40"/>
  <c r="Y62" i="40"/>
  <c r="X62" i="40"/>
  <c r="W62" i="40"/>
  <c r="V62" i="40"/>
  <c r="U62" i="40"/>
  <c r="T62" i="40"/>
  <c r="S62" i="40"/>
  <c r="R62" i="40"/>
  <c r="Q62" i="40"/>
  <c r="P62" i="40"/>
  <c r="O62" i="40"/>
  <c r="N62" i="40"/>
  <c r="M62" i="40"/>
  <c r="L62" i="40"/>
  <c r="J62" i="40"/>
  <c r="I62" i="40"/>
  <c r="H62" i="40"/>
  <c r="G62" i="40"/>
  <c r="F62" i="40"/>
  <c r="AJ61" i="40"/>
  <c r="AH61" i="40"/>
  <c r="AG61" i="40"/>
  <c r="AF61" i="40"/>
  <c r="AE61" i="40"/>
  <c r="AD61" i="40"/>
  <c r="AC61" i="40"/>
  <c r="AB61" i="40"/>
  <c r="AA61" i="40"/>
  <c r="Z61" i="40"/>
  <c r="Y61" i="40"/>
  <c r="X61" i="40"/>
  <c r="W61" i="40"/>
  <c r="V61" i="40"/>
  <c r="U61" i="40"/>
  <c r="T61" i="40"/>
  <c r="S61" i="40"/>
  <c r="R61" i="40"/>
  <c r="Q61" i="40"/>
  <c r="P61" i="40"/>
  <c r="O61" i="40"/>
  <c r="N61" i="40"/>
  <c r="M61" i="40"/>
  <c r="L61" i="40"/>
  <c r="K61" i="40"/>
  <c r="J61" i="40"/>
  <c r="I61" i="40"/>
  <c r="H61" i="40"/>
  <c r="G61" i="40"/>
  <c r="F61" i="40"/>
  <c r="AL60" i="40"/>
  <c r="AJ59" i="40"/>
  <c r="AH59" i="40"/>
  <c r="AG59" i="40"/>
  <c r="AF59" i="40"/>
  <c r="AB59" i="40"/>
  <c r="AA59" i="40"/>
  <c r="Z59" i="40"/>
  <c r="Y59" i="40"/>
  <c r="X59" i="40"/>
  <c r="W59" i="40"/>
  <c r="V59" i="40"/>
  <c r="T59" i="40"/>
  <c r="S59" i="40"/>
  <c r="M59" i="40"/>
  <c r="I59" i="40"/>
  <c r="G59" i="40"/>
  <c r="F59" i="40"/>
  <c r="M57" i="40"/>
  <c r="I57" i="40"/>
  <c r="H57" i="40"/>
  <c r="G57" i="40"/>
  <c r="F57" i="40"/>
  <c r="AL56" i="40"/>
  <c r="AJ54" i="40"/>
  <c r="AH54" i="40"/>
  <c r="AG54" i="40"/>
  <c r="AF54" i="40"/>
  <c r="AE54" i="40"/>
  <c r="AD54" i="40"/>
  <c r="AC54" i="40"/>
  <c r="AB54" i="40"/>
  <c r="AA54" i="40"/>
  <c r="Z54" i="40"/>
  <c r="Y54" i="40"/>
  <c r="X54" i="40"/>
  <c r="W54" i="40"/>
  <c r="V54" i="40"/>
  <c r="U54" i="40"/>
  <c r="T54" i="40"/>
  <c r="S54" i="40"/>
  <c r="R54" i="40"/>
  <c r="Q54" i="40"/>
  <c r="P54" i="40"/>
  <c r="O54" i="40"/>
  <c r="N54" i="40"/>
  <c r="M54" i="40"/>
  <c r="L54" i="40"/>
  <c r="AJ53" i="40"/>
  <c r="AH53" i="40"/>
  <c r="AG53" i="40"/>
  <c r="AF53" i="40"/>
  <c r="AE53" i="40"/>
  <c r="AD53" i="40"/>
  <c r="AC53" i="40"/>
  <c r="AB53" i="40"/>
  <c r="AA53" i="40"/>
  <c r="Z53" i="40"/>
  <c r="Y53" i="40"/>
  <c r="X53" i="40"/>
  <c r="W53" i="40"/>
  <c r="U53" i="40"/>
  <c r="T53" i="40"/>
  <c r="S53" i="40"/>
  <c r="R53" i="40"/>
  <c r="Q53" i="40"/>
  <c r="P53" i="40"/>
  <c r="O53" i="40"/>
  <c r="N53" i="40"/>
  <c r="M53" i="40"/>
  <c r="L53" i="40"/>
  <c r="AJ52" i="40"/>
  <c r="AH52" i="40"/>
  <c r="AG52" i="40"/>
  <c r="AF52" i="40"/>
  <c r="AE52" i="40"/>
  <c r="AD52" i="40"/>
  <c r="AC52" i="40"/>
  <c r="AB52" i="40"/>
  <c r="AA52" i="40"/>
  <c r="Z52" i="40"/>
  <c r="Y52" i="40"/>
  <c r="X52" i="40"/>
  <c r="W52" i="40"/>
  <c r="V52" i="40"/>
  <c r="U52" i="40"/>
  <c r="T52" i="40"/>
  <c r="S52" i="40"/>
  <c r="R52" i="40"/>
  <c r="Q52" i="40"/>
  <c r="P52" i="40"/>
  <c r="O52" i="40"/>
  <c r="N52" i="40"/>
  <c r="M52" i="40"/>
  <c r="L52" i="40"/>
  <c r="K52" i="40"/>
  <c r="J52" i="40"/>
  <c r="I52" i="40"/>
  <c r="H52" i="40"/>
  <c r="G52" i="40"/>
  <c r="F52" i="40"/>
  <c r="AJ51" i="40"/>
  <c r="AH51" i="40"/>
  <c r="AG51" i="40"/>
  <c r="AF51" i="40"/>
  <c r="AC51" i="40"/>
  <c r="AB51" i="40"/>
  <c r="AA51" i="40"/>
  <c r="Z51" i="40"/>
  <c r="Y51" i="40"/>
  <c r="X51" i="40"/>
  <c r="W51" i="40"/>
  <c r="V51" i="40"/>
  <c r="U51" i="40"/>
  <c r="T51" i="40"/>
  <c r="S51" i="40"/>
  <c r="R51" i="40"/>
  <c r="Q51" i="40"/>
  <c r="P51" i="40"/>
  <c r="O51" i="40"/>
  <c r="N51" i="40"/>
  <c r="M51" i="40"/>
  <c r="L51" i="40"/>
  <c r="K51" i="40"/>
  <c r="J51" i="40"/>
  <c r="I51" i="40"/>
  <c r="H51" i="40"/>
  <c r="G51" i="40"/>
  <c r="F51" i="40"/>
  <c r="AJ50" i="40"/>
  <c r="AH50" i="40"/>
  <c r="AG50" i="40"/>
  <c r="AF50" i="40"/>
  <c r="AE50" i="40"/>
  <c r="AD50" i="40"/>
  <c r="AC50" i="40"/>
  <c r="AB50" i="40"/>
  <c r="AA50" i="40"/>
  <c r="Z50" i="40"/>
  <c r="Y50" i="40"/>
  <c r="X50" i="40"/>
  <c r="W50" i="40"/>
  <c r="V50" i="40"/>
  <c r="U50" i="40"/>
  <c r="T50" i="40"/>
  <c r="S50" i="40"/>
  <c r="R50" i="40"/>
  <c r="Q50" i="40"/>
  <c r="P50" i="40"/>
  <c r="O50" i="40"/>
  <c r="N50" i="40"/>
  <c r="M50" i="40"/>
  <c r="L50" i="40"/>
  <c r="K50" i="40"/>
  <c r="J50" i="40"/>
  <c r="I50" i="40"/>
  <c r="AJ49" i="40"/>
  <c r="AH49" i="40"/>
  <c r="AG49" i="40"/>
  <c r="AF49" i="40"/>
  <c r="AE49" i="40"/>
  <c r="AD49" i="40"/>
  <c r="AC49" i="40"/>
  <c r="AB49" i="40"/>
  <c r="AA49" i="40"/>
  <c r="Z49" i="40"/>
  <c r="Y49" i="40"/>
  <c r="X49" i="40"/>
  <c r="W49" i="40"/>
  <c r="V49" i="40"/>
  <c r="U49" i="40"/>
  <c r="T49" i="40"/>
  <c r="S49" i="40"/>
  <c r="R49" i="40"/>
  <c r="Q49" i="40"/>
  <c r="P49" i="40"/>
  <c r="O49" i="40"/>
  <c r="N49" i="40"/>
  <c r="M49" i="40"/>
  <c r="L49" i="40"/>
  <c r="K49" i="40"/>
  <c r="J49" i="40"/>
  <c r="I49" i="40"/>
  <c r="AJ48" i="40"/>
  <c r="AH48" i="40"/>
  <c r="AG48" i="40"/>
  <c r="AF48" i="40"/>
  <c r="AE48" i="40"/>
  <c r="AD48" i="40"/>
  <c r="AC48" i="40"/>
  <c r="AB48" i="40"/>
  <c r="AA48" i="40"/>
  <c r="Z48" i="40"/>
  <c r="Y48" i="40"/>
  <c r="X48" i="40"/>
  <c r="W48" i="40"/>
  <c r="V48" i="40"/>
  <c r="U48" i="40"/>
  <c r="T48" i="40"/>
  <c r="S48" i="40"/>
  <c r="R48" i="40"/>
  <c r="Q48" i="40"/>
  <c r="P48" i="40"/>
  <c r="O48" i="40"/>
  <c r="N48" i="40"/>
  <c r="M48" i="40"/>
  <c r="L48" i="40"/>
  <c r="K48" i="40"/>
  <c r="J48" i="40"/>
  <c r="I48" i="40"/>
  <c r="H48" i="40"/>
  <c r="G48" i="40"/>
  <c r="F48" i="40"/>
  <c r="AJ47" i="40"/>
  <c r="AH47" i="40"/>
  <c r="AG47" i="40"/>
  <c r="AF47" i="40"/>
  <c r="AE47" i="40"/>
  <c r="AE51" i="40" s="1"/>
  <c r="AD47" i="40"/>
  <c r="AD51" i="40" s="1"/>
  <c r="AC47" i="40"/>
  <c r="AB47" i="40"/>
  <c r="AA47" i="40"/>
  <c r="Z47" i="40"/>
  <c r="Y47" i="40"/>
  <c r="X47" i="40"/>
  <c r="W47" i="40"/>
  <c r="V47" i="40"/>
  <c r="U47" i="40"/>
  <c r="T47" i="40"/>
  <c r="S47" i="40"/>
  <c r="R47" i="40"/>
  <c r="Q47" i="40"/>
  <c r="P47" i="40"/>
  <c r="O47" i="40"/>
  <c r="N47" i="40"/>
  <c r="AL36" i="40" s="1"/>
  <c r="M47" i="40"/>
  <c r="L47" i="40"/>
  <c r="L59" i="40" s="1"/>
  <c r="K47" i="40"/>
  <c r="J47" i="40"/>
  <c r="I47" i="40"/>
  <c r="H47" i="40"/>
  <c r="G47" i="40"/>
  <c r="F47" i="40"/>
  <c r="AL45" i="40"/>
  <c r="AL43" i="40"/>
  <c r="H54" i="40"/>
  <c r="G53" i="40"/>
  <c r="F53" i="40"/>
  <c r="AL39" i="40"/>
  <c r="AL37" i="40"/>
  <c r="AL51" i="40" s="1"/>
  <c r="AL34" i="40"/>
  <c r="AL33" i="40"/>
  <c r="H50" i="40"/>
  <c r="G49" i="40"/>
  <c r="F49" i="40"/>
  <c r="D30" i="40"/>
  <c r="AL24" i="40"/>
  <c r="AL62" i="40" s="1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AJ18" i="40"/>
  <c r="AH18" i="40"/>
  <c r="AG18" i="40"/>
  <c r="AF18" i="40"/>
  <c r="AE18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AL16" i="40"/>
  <c r="AJ14" i="40"/>
  <c r="AH14" i="40"/>
  <c r="AG14" i="40"/>
  <c r="AF14" i="40"/>
  <c r="AE14" i="40"/>
  <c r="AD14" i="40"/>
  <c r="AC14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AL12" i="40"/>
  <c r="AJ10" i="40"/>
  <c r="AH10" i="40"/>
  <c r="AG10" i="40"/>
  <c r="AF10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AL8" i="40"/>
  <c r="D21" i="41" l="1"/>
  <c r="D39" i="41"/>
  <c r="E21" i="41"/>
  <c r="AL114" i="40"/>
  <c r="N59" i="40"/>
  <c r="AL153" i="40"/>
  <c r="AL154" i="40" s="1"/>
  <c r="O59" i="40"/>
  <c r="P59" i="40"/>
  <c r="AD59" i="40"/>
  <c r="AE59" i="40"/>
  <c r="AC59" i="40"/>
  <c r="R59" i="40"/>
  <c r="Q59" i="40"/>
  <c r="J59" i="40"/>
  <c r="J57" i="40"/>
  <c r="K59" i="40"/>
  <c r="L57" i="40"/>
  <c r="AL52" i="40"/>
  <c r="AL64" i="40"/>
  <c r="AL32" i="40"/>
  <c r="AL104" i="40"/>
  <c r="H49" i="40"/>
  <c r="AL115" i="40"/>
  <c r="AL117" i="40"/>
  <c r="AL118" i="40"/>
  <c r="H53" i="40"/>
  <c r="AL18" i="40"/>
  <c r="AL14" i="40"/>
  <c r="AL162" i="40"/>
  <c r="AL163" i="40" s="1"/>
  <c r="AL170" i="40"/>
  <c r="AL175" i="40"/>
  <c r="AN157" i="40"/>
  <c r="AL89" i="40"/>
  <c r="AL78" i="40"/>
  <c r="AL91" i="40"/>
  <c r="AL88" i="40"/>
  <c r="AL182" i="40"/>
  <c r="AL189" i="40"/>
  <c r="AL10" i="40"/>
  <c r="AL48" i="40"/>
  <c r="AL61" i="40"/>
  <c r="AL69" i="40"/>
  <c r="AL68" i="40"/>
  <c r="AL96" i="40"/>
  <c r="AL92" i="40"/>
  <c r="AN165" i="40"/>
  <c r="G163" i="40"/>
  <c r="AL47" i="40"/>
  <c r="F50" i="40"/>
  <c r="F54" i="40"/>
  <c r="AL95" i="40"/>
  <c r="G50" i="40"/>
  <c r="G54" i="40"/>
  <c r="AP34" i="40" l="1"/>
  <c r="AP38" i="40" s="1"/>
  <c r="AP40" i="40" s="1"/>
  <c r="AL41" i="40"/>
  <c r="AN61" i="40"/>
  <c r="AL49" i="40"/>
  <c r="AL94" i="40"/>
  <c r="AL50" i="40"/>
  <c r="AL53" i="40"/>
  <c r="AL54" i="40"/>
  <c r="AL59" i="40" l="1"/>
  <c r="AN59" i="40" s="1"/>
  <c r="AL57" i="40"/>
  <c r="AN57" i="40" s="1"/>
  <c r="AP35" i="40"/>
</calcChain>
</file>

<file path=xl/sharedStrings.xml><?xml version="1.0" encoding="utf-8"?>
<sst xmlns="http://schemas.openxmlformats.org/spreadsheetml/2006/main" count="410" uniqueCount="143">
  <si>
    <t>PRODUCTION REPORT</t>
  </si>
  <si>
    <t>No</t>
  </si>
  <si>
    <t>ITEM</t>
  </si>
  <si>
    <t>Budget / Norma</t>
  </si>
  <si>
    <t>UoM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</si>
  <si>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</si>
  <si>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</si>
  <si>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</si>
  <si>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</si>
  <si>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</si>
  <si>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</si>
  <si>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</si>
  <si>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</si>
  <si>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Incoming CPO (Group) Piping Line</t>
  </si>
  <si>
    <t>Delivery (base on Sounding)</t>
  </si>
  <si>
    <t>Receiving (base on Sounding)</t>
  </si>
  <si>
    <t>Transfer (Loss)/Gain</t>
  </si>
  <si>
    <t>Incoming CPO (Swasta) WB</t>
  </si>
  <si>
    <t>CPO Swasta</t>
  </si>
  <si>
    <t>Total  Received</t>
  </si>
  <si>
    <t>PRODUCTION</t>
  </si>
  <si>
    <t>Production</t>
  </si>
  <si>
    <t>Refinery</t>
  </si>
  <si>
    <t>Running Days</t>
  </si>
  <si>
    <t>Day</t>
  </si>
  <si>
    <t>CPO Consume</t>
  </si>
  <si>
    <t>COL Consume</t>
  </si>
  <si>
    <t>- FFA</t>
  </si>
  <si>
    <t>- Moist &amp; Impurities</t>
  </si>
  <si>
    <t>- DOBI</t>
  </si>
  <si>
    <t>2,20 Min</t>
  </si>
  <si>
    <t>Product</t>
  </si>
  <si>
    <t>RbdPO</t>
  </si>
  <si>
    <t>PFAD</t>
  </si>
  <si>
    <t>Fractionation OLEIN IV 56</t>
  </si>
  <si>
    <t>Olein IV 56</t>
  </si>
  <si>
    <t>RBDPO Consume</t>
  </si>
  <si>
    <t>OLEIN IV 56</t>
  </si>
  <si>
    <t>STEARIN</t>
  </si>
  <si>
    <t>Fractionation OLEIN IV 58</t>
  </si>
  <si>
    <t>Olein IV 58</t>
  </si>
  <si>
    <t>RBDPO Brand Consume</t>
  </si>
  <si>
    <t>OLEIN IV 58</t>
  </si>
  <si>
    <t>Fractionation OLEIN IV 60</t>
  </si>
  <si>
    <t>Olein IV 60</t>
  </si>
  <si>
    <t>OLEIN IV 60 Bulk</t>
  </si>
  <si>
    <t>OLEIN IV 60 Salvaco</t>
  </si>
  <si>
    <t>SOFT STEARIN</t>
  </si>
  <si>
    <t>YIELD</t>
  </si>
  <si>
    <t>Yield</t>
  </si>
  <si>
    <t xml:space="preserve">RBDPO </t>
  </si>
  <si>
    <t>Stearin</t>
  </si>
  <si>
    <t>Soft Stearin</t>
  </si>
  <si>
    <t>CHEMICAL CONSUMABLE</t>
  </si>
  <si>
    <t>Chemical</t>
  </si>
  <si>
    <t>Bleaching Earth (BE) to Poram Spec</t>
  </si>
  <si>
    <t xml:space="preserve">Kg </t>
  </si>
  <si>
    <t>Bleaching Earth (BE) to Branded Spec</t>
  </si>
  <si>
    <t>Phosporic Acid (PA)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</si>
  <si>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</si>
  <si>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</si>
  <si>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</si>
  <si>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</si>
  <si>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</si>
  <si>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</si>
  <si>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</si>
  <si>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- finished product</t>
  </si>
  <si>
    <t>- sample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</si>
  <si>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</si>
  <si>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</si>
  <si>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</si>
  <si>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</si>
  <si>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</si>
  <si>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</si>
  <si>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</si>
  <si>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</si>
  <si>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</si>
  <si>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</si>
  <si>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</si>
  <si>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</si>
  <si>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</si>
  <si>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</si>
  <si>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</si>
  <si>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GAS CONSUMPTION</t>
  </si>
  <si>
    <t>Gas</t>
  </si>
  <si>
    <t>Incoming *based on INL</t>
  </si>
  <si>
    <t>mmbtu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</si>
  <si>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</si>
  <si>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</si>
  <si>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</si>
  <si>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</si>
  <si>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</si>
  <si>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</si>
  <si>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</si>
  <si>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</si>
  <si>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</si>
  <si>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</si>
  <si>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</si>
  <si>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</si>
  <si>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</si>
  <si>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</si>
  <si>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</si>
  <si>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</si>
  <si>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</si>
  <si>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</si>
  <si>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</si>
  <si>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</si>
  <si>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</si>
  <si>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</si>
  <si>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</si>
  <si>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</si>
  <si>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</si>
  <si>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</si>
  <si>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</si>
  <si>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</si>
  <si>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Component of Oil</t>
  </si>
  <si>
    <t xml:space="preserve">3 - 5 Agustus </t>
  </si>
  <si>
    <t>30 Juli - 2 Agst</t>
  </si>
  <si>
    <t>27 - 29 Juli</t>
  </si>
  <si>
    <t>23 - 26 Juli</t>
  </si>
  <si>
    <t>16 - 22 Juli</t>
  </si>
  <si>
    <t>9 - 15 Juli</t>
  </si>
  <si>
    <t>2 - 8 Juli</t>
  </si>
  <si>
    <t>OLEIN IV 60</t>
  </si>
  <si>
    <t>Feed to Refinery</t>
  </si>
  <si>
    <t>Quality Feed</t>
  </si>
  <si>
    <t>Quality on Tank</t>
  </si>
  <si>
    <t>Storage Tank</t>
  </si>
  <si>
    <t xml:space="preserve">Qty Feed </t>
  </si>
  <si>
    <t>FFA</t>
  </si>
  <si>
    <t>DOBI</t>
  </si>
  <si>
    <t>Average</t>
  </si>
  <si>
    <t>Perhitungan Quality secara Proporsional</t>
  </si>
  <si>
    <t>% CPO Feed</t>
  </si>
  <si>
    <t>PACKAGING (Brand INL Pillow Pack)</t>
  </si>
  <si>
    <t>Olein IV 58 Consume</t>
  </si>
  <si>
    <t xml:space="preserve">INL 450 mL    </t>
  </si>
  <si>
    <t xml:space="preserve">INL 900 mL  </t>
  </si>
  <si>
    <t>Olein IV 58 Received</t>
  </si>
  <si>
    <t>- remelt, flushing, downgrade</t>
  </si>
  <si>
    <r>
      <t>m</t>
    </r>
    <r>
      <rPr>
        <vertAlign val="superscript"/>
        <sz val="11"/>
        <color theme="1"/>
        <rFont val="Arial"/>
        <family val="2"/>
      </rPr>
      <t>3</t>
    </r>
  </si>
  <si>
    <t>Januari</t>
  </si>
  <si>
    <t xml:space="preserve">INL 1800 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</si>
</sst>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0_);_(* \(#,##0.000\);_(* &quot;-&quot;??_);_(@_)"/>
    <numFmt numFmtId="166" formatCode="_(* #,##0.00_);_(* \(#,##0.00\);_(* &quot;-&quot;??_);_(@_)"/>
    <numFmt numFmtId="167" formatCode="_(* #.##0_);_(* \(#.##0\);_(* &quot;-&quot;??_);_(@_)"/>
    <numFmt numFmtId="168" formatCode="_-* #,##0.00_-;\-* #,##0.00_-;_-* &quot;-&quot;_-;_-@_-"/>
    <numFmt numFmtId="169" formatCode="_(* #,##0.000_);_(* \(#,##0.000\);_(* &quot;-&quot;??.00_);_(@_)"/>
    <numFmt numFmtId="170" formatCode="_(* #,##0.00_);_(* \(#,##0.00\);_(* &quot;-&quot;??.0_);_(@_)"/>
    <numFmt numFmtId="171" formatCode="_(* #,##0.0_);_(* \(#,##0.0\);_(* &quot;-&quot;??.0_);_(@_)"/>
    <numFmt numFmtId="172" formatCode="0.00_);\(0.00\)"/>
    <numFmt numFmtId="173" formatCode="_(* #,##0.0000_);_(* \(#,##0.0000\);_(* &quot;-&quot;??.00_);_(@_)"/>
    <numFmt numFmtId="174" formatCode="_(* #,##0.0000_);_(* \(#,##0.0000\);_(* &quot;-&quot;??_);_(@_)"/>
    <numFmt numFmtId="175" formatCode="_(* #,##0.0000_);_(* \(#,##0.0000\);_(* &quot;-&quot;??.000_);_(@_)"/>
    <numFmt numFmtId="176" formatCode="_(* #,##0.0000_);_(* \(#,##0.0000\);_(* &quot;-&quot;??.0000_);_(@_)"/>
    <numFmt numFmtId="177" formatCode="_(* #,###.0000_);_(* \(#,###.0000\);_(* &quot;-&quot;?,?00.00_);_(@_)"/>
    <numFmt numFmtId="178" formatCode="_-* #,##0.0000_-;\-* #,##0.0000_-;_-* &quot;-&quot;????_-;_-@_-"/>
    <numFmt numFmtId="179" formatCode="_(* #,##0.0_);_(* \(#,##0.0\);_(* &quot;-&quot;??_);_(@_)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4" tint="-0.499984740745262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3">
    <xf numFmtId="0" fontId="0" fillId="0" borderId="0"/>
    <xf numFmtId="166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8" fillId="0" borderId="0">
      <protection locked="0"/>
    </xf>
    <xf numFmtId="0" fontId="18" fillId="0" borderId="0">
      <protection locked="0"/>
    </xf>
    <xf numFmtId="166" fontId="21" fillId="0" borderId="0" applyFont="0" applyFill="0" applyBorder="0" applyAlignment="0" applyProtection="0"/>
    <xf numFmtId="0" fontId="19" fillId="0" borderId="0"/>
    <xf numFmtId="0" fontId="21" fillId="0" borderId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18" fillId="0" borderId="0">
      <protection locked="0"/>
    </xf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4" fillId="0" borderId="0"/>
  </cellStyleXfs>
  <cellXfs count="314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3" fillId="2" borderId="0" xfId="0" applyFont="1" applyFill="1"/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164" fontId="3" fillId="0" borderId="4" xfId="1" applyNumberFormat="1" applyFont="1" applyBorder="1"/>
    <xf numFmtId="166" fontId="3" fillId="0" borderId="4" xfId="1" applyFont="1" applyBorder="1"/>
    <xf numFmtId="0" fontId="3" fillId="0" borderId="5" xfId="0" applyFont="1" applyBorder="1"/>
    <xf numFmtId="166" fontId="3" fillId="0" borderId="5" xfId="1" applyFont="1" applyBorder="1"/>
    <xf numFmtId="166" fontId="3" fillId="4" borderId="5" xfId="1" applyFont="1" applyFill="1" applyBorder="1"/>
    <xf numFmtId="0" fontId="3" fillId="0" borderId="0" xfId="0" applyFont="1" applyAlignment="1">
      <alignment horizontal="center"/>
    </xf>
    <xf numFmtId="166" fontId="3" fillId="0" borderId="0" xfId="1" applyFont="1"/>
    <xf numFmtId="166" fontId="3" fillId="0" borderId="0" xfId="0" applyNumberFormat="1" applyFont="1"/>
    <xf numFmtId="166" fontId="3" fillId="5" borderId="0" xfId="0" applyNumberFormat="1" applyFont="1" applyFill="1"/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6" fontId="3" fillId="0" borderId="7" xfId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6" fontId="3" fillId="0" borderId="9" xfId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1" applyFont="1" applyAlignment="1">
      <alignment horizontal="center"/>
    </xf>
    <xf numFmtId="0" fontId="5" fillId="0" borderId="3" xfId="0" applyFont="1" applyBorder="1" applyAlignment="1">
      <alignment horizontal="center"/>
    </xf>
    <xf numFmtId="166" fontId="3" fillId="0" borderId="10" xfId="1" applyFont="1" applyBorder="1" applyAlignment="1">
      <alignment horizontal="center"/>
    </xf>
    <xf numFmtId="166" fontId="3" fillId="0" borderId="11" xfId="1" applyFont="1" applyBorder="1" applyAlignment="1">
      <alignment horizontal="center"/>
    </xf>
    <xf numFmtId="164" fontId="3" fillId="0" borderId="0" xfId="1" applyNumberFormat="1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7" fontId="3" fillId="0" borderId="0" xfId="0" applyNumberFormat="1" applyFont="1"/>
    <xf numFmtId="0" fontId="5" fillId="6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top"/>
    </xf>
    <xf numFmtId="0" fontId="5" fillId="5" borderId="13" xfId="0" applyFont="1" applyFill="1" applyBorder="1" applyAlignment="1">
      <alignment vertical="center"/>
    </xf>
    <xf numFmtId="0" fontId="3" fillId="7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4" fontId="3" fillId="0" borderId="13" xfId="1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0" fontId="3" fillId="7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right" vertical="center"/>
    </xf>
    <xf numFmtId="0" fontId="3" fillId="0" borderId="9" xfId="0" applyFont="1" applyBorder="1" applyAlignment="1">
      <alignment vertical="center"/>
    </xf>
    <xf numFmtId="0" fontId="3" fillId="7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7" fillId="0" borderId="9" xfId="1" applyFont="1" applyFill="1" applyBorder="1" applyAlignment="1">
      <alignment horizontal="right" vertical="center"/>
    </xf>
    <xf numFmtId="0" fontId="5" fillId="5" borderId="7" xfId="0" applyFont="1" applyFill="1" applyBorder="1" applyAlignment="1">
      <alignment vertical="center"/>
    </xf>
    <xf numFmtId="166" fontId="7" fillId="0" borderId="7" xfId="1" applyFont="1" applyFill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NumberFormat="1" applyFont="1" applyFill="1" applyBorder="1" applyAlignment="1">
      <alignment horizontal="right" vertical="center"/>
    </xf>
    <xf numFmtId="0" fontId="5" fillId="0" borderId="13" xfId="0" applyFont="1" applyBorder="1" applyAlignment="1">
      <alignment horizontal="center"/>
    </xf>
    <xf numFmtId="0" fontId="3" fillId="5" borderId="13" xfId="0" applyFont="1" applyFill="1" applyBorder="1" applyAlignment="1">
      <alignment horizontal="center" vertical="center"/>
    </xf>
    <xf numFmtId="164" fontId="3" fillId="5" borderId="13" xfId="1" applyNumberFormat="1" applyFont="1" applyFill="1" applyBorder="1"/>
    <xf numFmtId="0" fontId="5" fillId="0" borderId="7" xfId="0" applyFont="1" applyBorder="1" applyAlignment="1">
      <alignment horizontal="center"/>
    </xf>
    <xf numFmtId="0" fontId="8" fillId="0" borderId="13" xfId="0" applyFont="1" applyBorder="1" applyAlignment="1">
      <alignment vertical="center"/>
    </xf>
    <xf numFmtId="164" fontId="3" fillId="0" borderId="13" xfId="1" applyNumberFormat="1" applyFont="1" applyFill="1" applyBorder="1"/>
    <xf numFmtId="164" fontId="3" fillId="0" borderId="7" xfId="1" applyNumberFormat="1" applyFont="1" applyFill="1" applyBorder="1"/>
    <xf numFmtId="0" fontId="3" fillId="8" borderId="7" xfId="0" applyFont="1" applyFill="1" applyBorder="1"/>
    <xf numFmtId="164" fontId="3" fillId="7" borderId="7" xfId="1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164" fontId="3" fillId="8" borderId="7" xfId="1" applyNumberFormat="1" applyFont="1" applyFill="1" applyBorder="1"/>
    <xf numFmtId="0" fontId="9" fillId="0" borderId="7" xfId="0" applyFont="1" applyBorder="1" applyAlignment="1">
      <alignment horizontal="center"/>
    </xf>
    <xf numFmtId="166" fontId="4" fillId="7" borderId="7" xfId="1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168" fontId="3" fillId="0" borderId="7" xfId="2" applyNumberFormat="1" applyFont="1" applyFill="1" applyBorder="1"/>
    <xf numFmtId="166" fontId="3" fillId="7" borderId="7" xfId="1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166" fontId="3" fillId="7" borderId="7" xfId="1" applyFont="1" applyFill="1" applyBorder="1" applyAlignment="1">
      <alignment horizontal="right"/>
    </xf>
    <xf numFmtId="168" fontId="4" fillId="0" borderId="7" xfId="2" applyNumberFormat="1" applyFont="1" applyFill="1" applyBorder="1"/>
    <xf numFmtId="0" fontId="10" fillId="2" borderId="7" xfId="0" applyFont="1" applyFill="1" applyBorder="1"/>
    <xf numFmtId="0" fontId="3" fillId="7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8" fillId="0" borderId="13" xfId="0" applyFont="1" applyBorder="1"/>
    <xf numFmtId="0" fontId="11" fillId="7" borderId="13" xfId="0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3" fillId="9" borderId="7" xfId="0" applyFont="1" applyFill="1" applyBorder="1" applyAlignment="1">
      <alignment vertical="center"/>
    </xf>
    <xf numFmtId="0" fontId="3" fillId="9" borderId="7" xfId="0" applyFont="1" applyFill="1" applyBorder="1" applyAlignment="1">
      <alignment horizontal="center" vertical="center"/>
    </xf>
    <xf numFmtId="0" fontId="5" fillId="5" borderId="13" xfId="0" applyFont="1" applyFill="1" applyBorder="1"/>
    <xf numFmtId="0" fontId="3" fillId="5" borderId="13" xfId="0" applyFont="1" applyFill="1" applyBorder="1" applyAlignment="1">
      <alignment horizontal="center"/>
    </xf>
    <xf numFmtId="0" fontId="3" fillId="2" borderId="7" xfId="0" applyFont="1" applyFill="1" applyBorder="1"/>
    <xf numFmtId="166" fontId="3" fillId="0" borderId="7" xfId="1" applyFont="1" applyFill="1" applyBorder="1"/>
    <xf numFmtId="0" fontId="3" fillId="0" borderId="7" xfId="0" applyFont="1" applyBorder="1"/>
    <xf numFmtId="166" fontId="3" fillId="7" borderId="14" xfId="1" applyFont="1" applyFill="1" applyBorder="1" applyAlignment="1">
      <alignment horizontal="center"/>
    </xf>
    <xf numFmtId="164" fontId="3" fillId="0" borderId="14" xfId="1" applyNumberFormat="1" applyFont="1" applyFill="1" applyBorder="1"/>
    <xf numFmtId="0" fontId="3" fillId="0" borderId="15" xfId="0" applyFont="1" applyBorder="1"/>
    <xf numFmtId="0" fontId="3" fillId="7" borderId="15" xfId="0" applyFont="1" applyFill="1" applyBorder="1" applyAlignment="1">
      <alignment horizontal="center"/>
    </xf>
    <xf numFmtId="166" fontId="3" fillId="0" borderId="15" xfId="1" applyFont="1" applyFill="1" applyBorder="1"/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169" fontId="3" fillId="0" borderId="7" xfId="1" applyNumberFormat="1" applyFont="1" applyFill="1" applyBorder="1"/>
    <xf numFmtId="0" fontId="5" fillId="2" borderId="13" xfId="0" applyFont="1" applyFill="1" applyBorder="1" applyAlignment="1">
      <alignment horizontal="center"/>
    </xf>
    <xf numFmtId="170" fontId="3" fillId="7" borderId="13" xfId="1" applyNumberFormat="1" applyFont="1" applyFill="1" applyBorder="1" applyAlignment="1">
      <alignment horizontal="center"/>
    </xf>
    <xf numFmtId="166" fontId="12" fillId="0" borderId="13" xfId="1" applyFont="1" applyFill="1" applyBorder="1"/>
    <xf numFmtId="171" fontId="3" fillId="7" borderId="7" xfId="1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4" fontId="5" fillId="0" borderId="13" xfId="1" applyNumberFormat="1" applyFont="1" applyFill="1" applyBorder="1"/>
    <xf numFmtId="164" fontId="3" fillId="0" borderId="16" xfId="1" applyNumberFormat="1" applyFont="1" applyFill="1" applyBorder="1"/>
    <xf numFmtId="164" fontId="3" fillId="5" borderId="13" xfId="1" applyNumberFormat="1" applyFont="1" applyFill="1" applyBorder="1" applyAlignment="1">
      <alignment horizontal="right" vertical="center"/>
    </xf>
    <xf numFmtId="164" fontId="5" fillId="0" borderId="13" xfId="1" applyNumberFormat="1" applyFont="1" applyFill="1" applyBorder="1" applyAlignment="1">
      <alignment horizontal="center"/>
    </xf>
    <xf numFmtId="164" fontId="3" fillId="9" borderId="7" xfId="1" applyNumberFormat="1" applyFont="1" applyFill="1" applyBorder="1" applyAlignment="1">
      <alignment horizontal="center" vertical="center"/>
    </xf>
    <xf numFmtId="169" fontId="4" fillId="0" borderId="7" xfId="1" applyNumberFormat="1" applyFont="1" applyFill="1" applyBorder="1"/>
    <xf numFmtId="164" fontId="3" fillId="0" borderId="0" xfId="0" applyNumberFormat="1" applyFont="1"/>
    <xf numFmtId="0" fontId="14" fillId="5" borderId="19" xfId="0" applyFont="1" applyFill="1" applyBorder="1" applyAlignment="1">
      <alignment vertical="center"/>
    </xf>
    <xf numFmtId="164" fontId="3" fillId="0" borderId="19" xfId="1" applyNumberFormat="1" applyFont="1" applyBorder="1"/>
    <xf numFmtId="172" fontId="15" fillId="0" borderId="19" xfId="0" applyNumberFormat="1" applyFont="1" applyBorder="1"/>
    <xf numFmtId="0" fontId="14" fillId="5" borderId="20" xfId="0" applyFont="1" applyFill="1" applyBorder="1" applyAlignment="1">
      <alignment vertical="center"/>
    </xf>
    <xf numFmtId="166" fontId="7" fillId="0" borderId="0" xfId="0" applyNumberFormat="1" applyFont="1"/>
    <xf numFmtId="166" fontId="7" fillId="0" borderId="19" xfId="0" applyNumberFormat="1" applyFont="1" applyBorder="1"/>
    <xf numFmtId="164" fontId="5" fillId="0" borderId="21" xfId="1" applyNumberFormat="1" applyFont="1" applyBorder="1" applyAlignment="1">
      <alignment vertical="center"/>
    </xf>
    <xf numFmtId="0" fontId="10" fillId="0" borderId="19" xfId="0" applyFont="1" applyBorder="1"/>
    <xf numFmtId="164" fontId="3" fillId="0" borderId="19" xfId="0" applyNumberFormat="1" applyFont="1" applyBorder="1"/>
    <xf numFmtId="0" fontId="16" fillId="0" borderId="0" xfId="0" applyFont="1"/>
    <xf numFmtId="164" fontId="3" fillId="0" borderId="0" xfId="1" applyNumberFormat="1" applyFont="1" applyFill="1"/>
    <xf numFmtId="166" fontId="3" fillId="0" borderId="19" xfId="0" applyNumberFormat="1" applyFont="1" applyBorder="1"/>
    <xf numFmtId="164" fontId="4" fillId="0" borderId="0" xfId="1" applyNumberFormat="1" applyFont="1"/>
    <xf numFmtId="0" fontId="16" fillId="2" borderId="0" xfId="0" applyFont="1" applyFill="1"/>
    <xf numFmtId="164" fontId="14" fillId="0" borderId="19" xfId="0" applyNumberFormat="1" applyFont="1" applyBorder="1"/>
    <xf numFmtId="164" fontId="10" fillId="0" borderId="19" xfId="0" applyNumberFormat="1" applyFont="1" applyBorder="1"/>
    <xf numFmtId="0" fontId="16" fillId="0" borderId="0" xfId="0" applyFont="1" applyAlignment="1">
      <alignment vertical="center"/>
    </xf>
    <xf numFmtId="164" fontId="3" fillId="0" borderId="19" xfId="0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19" xfId="1" applyNumberFormat="1" applyFont="1" applyBorder="1" applyAlignment="1">
      <alignment vertical="center"/>
    </xf>
    <xf numFmtId="0" fontId="5" fillId="5" borderId="20" xfId="0" applyFont="1" applyFill="1" applyBorder="1"/>
    <xf numFmtId="166" fontId="3" fillId="0" borderId="19" xfId="1" applyFont="1" applyBorder="1"/>
    <xf numFmtId="166" fontId="3" fillId="0" borderId="0" xfId="1" applyFont="1" applyFill="1" applyBorder="1"/>
    <xf numFmtId="164" fontId="3" fillId="0" borderId="22" xfId="0" applyNumberFormat="1" applyFont="1" applyBorder="1"/>
    <xf numFmtId="166" fontId="3" fillId="0" borderId="23" xfId="1" applyFont="1" applyBorder="1"/>
    <xf numFmtId="169" fontId="3" fillId="0" borderId="19" xfId="1" applyNumberFormat="1" applyFont="1" applyBorder="1"/>
    <xf numFmtId="0" fontId="12" fillId="2" borderId="0" xfId="0" applyFont="1" applyFill="1"/>
    <xf numFmtId="166" fontId="12" fillId="0" borderId="20" xfId="1" applyFont="1" applyFill="1" applyBorder="1"/>
    <xf numFmtId="164" fontId="3" fillId="2" borderId="0" xfId="1" applyNumberFormat="1" applyFont="1" applyFill="1"/>
    <xf numFmtId="166" fontId="3" fillId="2" borderId="19" xfId="0" applyNumberFormat="1" applyFont="1" applyFill="1" applyBorder="1"/>
    <xf numFmtId="166" fontId="3" fillId="0" borderId="0" xfId="1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7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7" xfId="1" applyNumberFormat="1" applyFont="1" applyFill="1" applyBorder="1"/>
    <xf numFmtId="0" fontId="5" fillId="7" borderId="7" xfId="0" applyFont="1" applyFill="1" applyBorder="1" applyAlignment="1">
      <alignment horizontal="center"/>
    </xf>
    <xf numFmtId="166" fontId="5" fillId="0" borderId="7" xfId="1" applyFont="1" applyFill="1" applyBorder="1"/>
    <xf numFmtId="164" fontId="3" fillId="0" borderId="7" xfId="1" applyNumberFormat="1" applyFont="1" applyFill="1" applyBorder="1" applyAlignment="1">
      <alignment vertical="center"/>
    </xf>
    <xf numFmtId="164" fontId="3" fillId="0" borderId="10" xfId="1" applyNumberFormat="1" applyFont="1" applyFill="1" applyBorder="1" applyAlignment="1">
      <alignment wrapText="1"/>
    </xf>
    <xf numFmtId="0" fontId="5" fillId="2" borderId="7" xfId="0" applyFont="1" applyFill="1" applyBorder="1" applyAlignment="1">
      <alignment horizontal="center"/>
    </xf>
    <xf numFmtId="173" fontId="13" fillId="0" borderId="7" xfId="1" applyNumberFormat="1" applyFont="1" applyFill="1" applyBorder="1"/>
    <xf numFmtId="170" fontId="3" fillId="7" borderId="7" xfId="1" applyNumberFormat="1" applyFont="1" applyFill="1" applyBorder="1" applyAlignment="1">
      <alignment horizontal="center"/>
    </xf>
    <xf numFmtId="173" fontId="3" fillId="0" borderId="7" xfId="1" applyNumberFormat="1" applyFont="1" applyFill="1" applyBorder="1"/>
    <xf numFmtId="164" fontId="3" fillId="0" borderId="7" xfId="1" applyNumberFormat="1" applyFont="1" applyBorder="1"/>
    <xf numFmtId="174" fontId="13" fillId="0" borderId="7" xfId="1" applyNumberFormat="1" applyFont="1" applyFill="1" applyBorder="1"/>
    <xf numFmtId="175" fontId="3" fillId="0" borderId="7" xfId="1" applyNumberFormat="1" applyFont="1" applyFill="1" applyBorder="1"/>
    <xf numFmtId="174" fontId="3" fillId="0" borderId="7" xfId="1" applyNumberFormat="1" applyFont="1" applyFill="1" applyBorder="1"/>
    <xf numFmtId="164" fontId="5" fillId="0" borderId="0" xfId="0" applyNumberFormat="1" applyFont="1"/>
    <xf numFmtId="166" fontId="5" fillId="0" borderId="19" xfId="0" applyNumberFormat="1" applyFont="1" applyBorder="1"/>
    <xf numFmtId="164" fontId="5" fillId="0" borderId="0" xfId="1" applyNumberFormat="1" applyFont="1" applyFill="1"/>
    <xf numFmtId="0" fontId="17" fillId="0" borderId="0" xfId="0" applyFont="1"/>
    <xf numFmtId="164" fontId="3" fillId="0" borderId="0" xfId="1" applyNumberFormat="1" applyFont="1" applyFill="1" applyAlignment="1">
      <alignment vertical="center"/>
    </xf>
    <xf numFmtId="174" fontId="3" fillId="0" borderId="19" xfId="0" applyNumberFormat="1" applyFont="1" applyBorder="1"/>
    <xf numFmtId="174" fontId="5" fillId="0" borderId="19" xfId="0" applyNumberFormat="1" applyFont="1" applyBorder="1"/>
    <xf numFmtId="0" fontId="5" fillId="0" borderId="9" xfId="0" applyFont="1" applyBorder="1" applyAlignment="1">
      <alignment horizontal="center"/>
    </xf>
    <xf numFmtId="166" fontId="5" fillId="7" borderId="9" xfId="1" applyFont="1" applyFill="1" applyBorder="1" applyAlignment="1">
      <alignment horizontal="center"/>
    </xf>
    <xf numFmtId="173" fontId="5" fillId="0" borderId="9" xfId="1" applyNumberFormat="1" applyFont="1" applyFill="1" applyBorder="1"/>
    <xf numFmtId="0" fontId="5" fillId="5" borderId="7" xfId="0" applyFont="1" applyFill="1" applyBorder="1" applyAlignment="1">
      <alignment horizontal="center"/>
    </xf>
    <xf numFmtId="174" fontId="5" fillId="5" borderId="7" xfId="1" applyNumberFormat="1" applyFont="1" applyFill="1" applyBorder="1"/>
    <xf numFmtId="164" fontId="5" fillId="7" borderId="7" xfId="1" applyNumberFormat="1" applyFont="1" applyFill="1" applyBorder="1" applyAlignment="1">
      <alignment horizontal="center"/>
    </xf>
    <xf numFmtId="166" fontId="3" fillId="7" borderId="7" xfId="1" applyFont="1" applyFill="1" applyBorder="1" applyAlignment="1">
      <alignment horizontal="center" vertical="center"/>
    </xf>
    <xf numFmtId="166" fontId="3" fillId="0" borderId="7" xfId="1" applyFont="1" applyFill="1" applyBorder="1" applyAlignment="1">
      <alignment vertical="center"/>
    </xf>
    <xf numFmtId="166" fontId="3" fillId="7" borderId="7" xfId="1" applyFont="1" applyFill="1" applyBorder="1" applyAlignment="1">
      <alignment vertical="center"/>
    </xf>
    <xf numFmtId="0" fontId="3" fillId="7" borderId="7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right"/>
    </xf>
    <xf numFmtId="0" fontId="3" fillId="5" borderId="13" xfId="0" applyFont="1" applyFill="1" applyBorder="1"/>
    <xf numFmtId="0" fontId="5" fillId="2" borderId="9" xfId="0" applyFont="1" applyFill="1" applyBorder="1"/>
    <xf numFmtId="0" fontId="5" fillId="7" borderId="9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164" fontId="5" fillId="0" borderId="9" xfId="1" applyNumberFormat="1" applyFont="1" applyBorder="1"/>
    <xf numFmtId="174" fontId="5" fillId="0" borderId="9" xfId="1" applyNumberFormat="1" applyFont="1" applyFill="1" applyBorder="1"/>
    <xf numFmtId="164" fontId="4" fillId="0" borderId="7" xfId="1" applyNumberFormat="1" applyFont="1" applyFill="1" applyBorder="1"/>
    <xf numFmtId="166" fontId="3" fillId="5" borderId="13" xfId="1" applyFont="1" applyFill="1" applyBorder="1"/>
    <xf numFmtId="0" fontId="14" fillId="0" borderId="19" xfId="0" applyFont="1" applyBorder="1"/>
    <xf numFmtId="177" fontId="3" fillId="0" borderId="19" xfId="0" applyNumberFormat="1" applyFont="1" applyBorder="1"/>
    <xf numFmtId="174" fontId="5" fillId="0" borderId="18" xfId="0" applyNumberFormat="1" applyFont="1" applyBorder="1"/>
    <xf numFmtId="164" fontId="5" fillId="0" borderId="0" xfId="1" applyNumberFormat="1" applyFont="1"/>
    <xf numFmtId="166" fontId="5" fillId="5" borderId="20" xfId="1" applyFont="1" applyFill="1" applyBorder="1"/>
    <xf numFmtId="164" fontId="5" fillId="0" borderId="19" xfId="0" applyNumberFormat="1" applyFont="1" applyBorder="1"/>
    <xf numFmtId="165" fontId="14" fillId="0" borderId="19" xfId="0" applyNumberFormat="1" applyFont="1" applyBorder="1"/>
    <xf numFmtId="166" fontId="5" fillId="0" borderId="19" xfId="1" applyFont="1" applyBorder="1" applyAlignment="1">
      <alignment vertical="center"/>
    </xf>
    <xf numFmtId="164" fontId="14" fillId="0" borderId="19" xfId="0" applyNumberFormat="1" applyFont="1" applyBorder="1" applyAlignment="1">
      <alignment vertical="center"/>
    </xf>
    <xf numFmtId="166" fontId="3" fillId="0" borderId="19" xfId="1" applyFont="1" applyBorder="1" applyAlignment="1">
      <alignment vertical="center"/>
    </xf>
    <xf numFmtId="164" fontId="5" fillId="5" borderId="20" xfId="1" applyNumberFormat="1" applyFont="1" applyFill="1" applyBorder="1"/>
    <xf numFmtId="0" fontId="10" fillId="5" borderId="20" xfId="0" applyFont="1" applyFill="1" applyBorder="1"/>
    <xf numFmtId="164" fontId="5" fillId="0" borderId="18" xfId="0" applyNumberFormat="1" applyFont="1" applyBorder="1"/>
    <xf numFmtId="0" fontId="10" fillId="5" borderId="19" xfId="0" applyFont="1" applyFill="1" applyBorder="1"/>
    <xf numFmtId="164" fontId="5" fillId="0" borderId="24" xfId="0" applyNumberFormat="1" applyFont="1" applyBorder="1"/>
    <xf numFmtId="0" fontId="5" fillId="5" borderId="19" xfId="0" quotePrefix="1" applyFont="1" applyFill="1" applyBorder="1"/>
    <xf numFmtId="0" fontId="4" fillId="0" borderId="7" xfId="0" quotePrefix="1" applyFont="1" applyBorder="1"/>
    <xf numFmtId="0" fontId="3" fillId="0" borderId="7" xfId="0" quotePrefix="1" applyFont="1" applyBorder="1"/>
    <xf numFmtId="0" fontId="3" fillId="8" borderId="7" xfId="0" quotePrefix="1" applyFont="1" applyFill="1" applyBorder="1"/>
    <xf numFmtId="0" fontId="3" fillId="8" borderId="7" xfId="0" quotePrefix="1" applyFont="1" applyFill="1" applyBorder="1" applyAlignment="1">
      <alignment horizontal="center"/>
    </xf>
    <xf numFmtId="0" fontId="5" fillId="5" borderId="13" xfId="0" quotePrefix="1" applyFont="1" applyFill="1" applyBorder="1"/>
    <xf numFmtId="0" fontId="5" fillId="5" borderId="20" xfId="0" quotePrefix="1" applyFont="1" applyFill="1" applyBorder="1"/>
    <xf numFmtId="0" fontId="3" fillId="2" borderId="7" xfId="0" quotePrefix="1" applyFont="1" applyFill="1" applyBorder="1"/>
    <xf numFmtId="0" fontId="3" fillId="2" borderId="7" xfId="0" quotePrefix="1" applyFont="1" applyFill="1" applyBorder="1" applyAlignment="1">
      <alignment horizontal="center"/>
    </xf>
    <xf numFmtId="0" fontId="3" fillId="0" borderId="7" xfId="0" quotePrefix="1" applyFont="1" applyBorder="1" applyAlignment="1">
      <alignment horizontal="center"/>
    </xf>
    <xf numFmtId="0" fontId="3" fillId="0" borderId="14" xfId="0" quotePrefix="1" applyFont="1" applyBorder="1"/>
    <xf numFmtId="0" fontId="3" fillId="0" borderId="14" xfId="0" quotePrefix="1" applyFont="1" applyBorder="1" applyAlignment="1">
      <alignment horizontal="center"/>
    </xf>
    <xf numFmtId="0" fontId="3" fillId="0" borderId="15" xfId="0" quotePrefix="1" applyFont="1" applyBorder="1" applyAlignment="1">
      <alignment horizontal="center"/>
    </xf>
    <xf numFmtId="0" fontId="3" fillId="0" borderId="9" xfId="0" quotePrefix="1" applyFont="1" applyBorder="1" applyAlignment="1">
      <alignment horizontal="center"/>
    </xf>
    <xf numFmtId="0" fontId="5" fillId="2" borderId="13" xfId="0" quotePrefix="1" applyFont="1" applyFill="1" applyBorder="1"/>
    <xf numFmtId="0" fontId="3" fillId="2" borderId="13" xfId="0" quotePrefix="1" applyFont="1" applyFill="1" applyBorder="1" applyAlignment="1">
      <alignment horizontal="center"/>
    </xf>
    <xf numFmtId="0" fontId="3" fillId="2" borderId="9" xfId="0" quotePrefix="1" applyFont="1" applyFill="1" applyBorder="1"/>
    <xf numFmtId="0" fontId="3" fillId="2" borderId="9" xfId="0" quotePrefix="1" applyFont="1" applyFill="1" applyBorder="1" applyAlignment="1">
      <alignment horizontal="center"/>
    </xf>
    <xf numFmtId="0" fontId="5" fillId="0" borderId="7" xfId="0" quotePrefix="1" applyFont="1" applyBorder="1"/>
    <xf numFmtId="0" fontId="5" fillId="0" borderId="7" xfId="0" quotePrefix="1" applyFont="1" applyBorder="1" applyAlignment="1">
      <alignment horizontal="center"/>
    </xf>
    <xf numFmtId="0" fontId="14" fillId="0" borderId="7" xfId="0" quotePrefix="1" applyFont="1" applyBorder="1"/>
    <xf numFmtId="0" fontId="3" fillId="0" borderId="7" xfId="0" quotePrefix="1" applyFont="1" applyBorder="1" applyAlignment="1">
      <alignment vertical="center"/>
    </xf>
    <xf numFmtId="0" fontId="3" fillId="0" borderId="7" xfId="0" quotePrefix="1" applyFont="1" applyBorder="1" applyAlignment="1">
      <alignment horizontal="center" vertical="center"/>
    </xf>
    <xf numFmtId="0" fontId="5" fillId="0" borderId="9" xfId="0" quotePrefix="1" applyFont="1" applyBorder="1"/>
    <xf numFmtId="0" fontId="5" fillId="0" borderId="9" xfId="0" quotePrefix="1" applyFont="1" applyBorder="1" applyAlignment="1">
      <alignment horizontal="center"/>
    </xf>
    <xf numFmtId="0" fontId="5" fillId="5" borderId="7" xfId="0" quotePrefix="1" applyFont="1" applyFill="1" applyBorder="1"/>
    <xf numFmtId="0" fontId="5" fillId="0" borderId="7" xfId="0" quotePrefix="1" applyFont="1" applyBorder="1" applyAlignment="1">
      <alignment vertical="center"/>
    </xf>
    <xf numFmtId="0" fontId="5" fillId="2" borderId="7" xfId="0" quotePrefix="1" applyFont="1" applyFill="1" applyBorder="1"/>
    <xf numFmtId="0" fontId="5" fillId="2" borderId="7" xfId="0" quotePrefix="1" applyFont="1" applyFill="1" applyBorder="1" applyAlignment="1">
      <alignment horizontal="center"/>
    </xf>
    <xf numFmtId="164" fontId="22" fillId="0" borderId="7" xfId="1" applyNumberFormat="1" applyFont="1" applyFill="1" applyBorder="1"/>
    <xf numFmtId="41" fontId="3" fillId="0" borderId="0" xfId="2" applyFont="1" applyFill="1"/>
    <xf numFmtId="41" fontId="3" fillId="0" borderId="0" xfId="0" applyNumberFormat="1" applyFont="1"/>
    <xf numFmtId="164" fontId="3" fillId="0" borderId="0" xfId="0" applyNumberFormat="1" applyFont="1" applyAlignment="1">
      <alignment vertical="center"/>
    </xf>
    <xf numFmtId="168" fontId="3" fillId="0" borderId="0" xfId="2" applyNumberFormat="1" applyFont="1" applyFill="1"/>
    <xf numFmtId="166" fontId="3" fillId="0" borderId="13" xfId="1" applyFont="1" applyFill="1" applyBorder="1"/>
    <xf numFmtId="164" fontId="3" fillId="0" borderId="9" xfId="1" applyNumberFormat="1" applyFont="1" applyFill="1" applyBorder="1" applyAlignment="1">
      <alignment vertical="center"/>
    </xf>
    <xf numFmtId="168" fontId="3" fillId="0" borderId="7" xfId="2" applyNumberFormat="1" applyFont="1" applyBorder="1"/>
    <xf numFmtId="168" fontId="3" fillId="0" borderId="7" xfId="2" applyNumberFormat="1" applyFont="1" applyFill="1" applyBorder="1" applyAlignment="1">
      <alignment vertical="center"/>
    </xf>
    <xf numFmtId="41" fontId="3" fillId="0" borderId="7" xfId="2" applyFont="1" applyFill="1" applyBorder="1"/>
    <xf numFmtId="41" fontId="3" fillId="0" borderId="0" xfId="2" applyFont="1" applyAlignment="1">
      <alignment vertical="center"/>
    </xf>
    <xf numFmtId="178" fontId="3" fillId="0" borderId="0" xfId="0" applyNumberFormat="1" applyFont="1"/>
    <xf numFmtId="178" fontId="5" fillId="0" borderId="0" xfId="0" applyNumberFormat="1" applyFont="1"/>
    <xf numFmtId="41" fontId="5" fillId="0" borderId="0" xfId="2" applyFont="1" applyFill="1"/>
    <xf numFmtId="43" fontId="3" fillId="0" borderId="0" xfId="0" applyNumberFormat="1" applyFont="1"/>
    <xf numFmtId="164" fontId="3" fillId="0" borderId="9" xfId="1" applyNumberFormat="1" applyFont="1" applyFill="1" applyBorder="1"/>
    <xf numFmtId="175" fontId="13" fillId="0" borderId="7" xfId="1" applyNumberFormat="1" applyFont="1" applyFill="1" applyBorder="1"/>
    <xf numFmtId="43" fontId="3" fillId="2" borderId="0" xfId="0" applyNumberFormat="1" applyFont="1" applyFill="1"/>
    <xf numFmtId="166" fontId="3" fillId="0" borderId="0" xfId="1" applyFont="1" applyFill="1"/>
    <xf numFmtId="176" fontId="3" fillId="0" borderId="7" xfId="1" applyNumberFormat="1" applyFont="1" applyFill="1" applyBorder="1"/>
    <xf numFmtId="164" fontId="3" fillId="9" borderId="7" xfId="1" applyNumberFormat="1" applyFont="1" applyFill="1" applyBorder="1"/>
    <xf numFmtId="179" fontId="3" fillId="0" borderId="7" xfId="1" applyNumberFormat="1" applyFont="1" applyFill="1" applyBorder="1"/>
    <xf numFmtId="166" fontId="5" fillId="0" borderId="9" xfId="1" applyFont="1" applyFill="1" applyBorder="1"/>
    <xf numFmtId="41" fontId="3" fillId="2" borderId="7" xfId="2" applyFont="1" applyFill="1" applyBorder="1"/>
    <xf numFmtId="41" fontId="3" fillId="0" borderId="0" xfId="2" applyFont="1"/>
    <xf numFmtId="166" fontId="4" fillId="0" borderId="0" xfId="0" applyNumberFormat="1" applyFont="1"/>
    <xf numFmtId="2" fontId="3" fillId="0" borderId="0" xfId="0" applyNumberFormat="1" applyFont="1"/>
    <xf numFmtId="168" fontId="3" fillId="2" borderId="0" xfId="2" applyNumberFormat="1" applyFont="1" applyFill="1"/>
    <xf numFmtId="164" fontId="3" fillId="2" borderId="7" xfId="1" applyNumberFormat="1" applyFont="1" applyFill="1" applyBorder="1"/>
    <xf numFmtId="164" fontId="3" fillId="8" borderId="9" xfId="1" applyNumberFormat="1" applyFont="1" applyFill="1" applyBorder="1"/>
    <xf numFmtId="168" fontId="13" fillId="0" borderId="7" xfId="2" applyNumberFormat="1" applyFont="1" applyFill="1" applyBorder="1"/>
    <xf numFmtId="166" fontId="13" fillId="0" borderId="7" xfId="1" applyFont="1" applyFill="1" applyBorder="1"/>
    <xf numFmtId="168" fontId="4" fillId="0" borderId="0" xfId="0" applyNumberFormat="1" applyFont="1"/>
    <xf numFmtId="43" fontId="3" fillId="0" borderId="0" xfId="0" applyNumberFormat="1" applyFont="1" applyAlignment="1">
      <alignment vertical="center"/>
    </xf>
    <xf numFmtId="41" fontId="3" fillId="7" borderId="7" xfId="2" applyFont="1" applyFill="1" applyBorder="1" applyAlignment="1">
      <alignment horizontal="center"/>
    </xf>
    <xf numFmtId="41" fontId="11" fillId="7" borderId="13" xfId="2" applyFont="1" applyFill="1" applyBorder="1" applyAlignment="1">
      <alignment horizontal="center"/>
    </xf>
    <xf numFmtId="41" fontId="11" fillId="7" borderId="7" xfId="2" applyFont="1" applyFill="1" applyBorder="1" applyAlignment="1">
      <alignment horizontal="center" vertical="center"/>
    </xf>
    <xf numFmtId="178" fontId="3" fillId="2" borderId="0" xfId="0" applyNumberFormat="1" applyFont="1" applyFill="1"/>
    <xf numFmtId="168" fontId="4" fillId="0" borderId="0" xfId="2" applyNumberFormat="1" applyFont="1"/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0" xfId="0" applyFont="1" applyFill="1"/>
    <xf numFmtId="0" fontId="5" fillId="5" borderId="4" xfId="0" applyFont="1" applyFill="1" applyBorder="1" applyAlignment="1">
      <alignment horizontal="center" vertical="center" wrapText="1"/>
    </xf>
    <xf numFmtId="164" fontId="3" fillId="5" borderId="7" xfId="1" applyNumberFormat="1" applyFont="1" applyFill="1" applyBorder="1" applyAlignment="1">
      <alignment horizontal="right" vertical="center"/>
    </xf>
    <xf numFmtId="166" fontId="7" fillId="5" borderId="9" xfId="1" applyFont="1" applyFill="1" applyBorder="1" applyAlignment="1">
      <alignment horizontal="right" vertical="center"/>
    </xf>
    <xf numFmtId="166" fontId="7" fillId="5" borderId="7" xfId="1" applyFont="1" applyFill="1" applyBorder="1" applyAlignment="1">
      <alignment horizontal="right" vertical="center"/>
    </xf>
    <xf numFmtId="164" fontId="5" fillId="5" borderId="4" xfId="1" applyNumberFormat="1" applyFont="1" applyFill="1" applyBorder="1" applyAlignment="1">
      <alignment horizontal="right" vertical="center"/>
    </xf>
    <xf numFmtId="164" fontId="3" fillId="5" borderId="7" xfId="1" applyNumberFormat="1" applyFont="1" applyFill="1" applyBorder="1"/>
    <xf numFmtId="168" fontId="3" fillId="5" borderId="7" xfId="2" applyNumberFormat="1" applyFont="1" applyFill="1" applyBorder="1"/>
    <xf numFmtId="168" fontId="4" fillId="5" borderId="7" xfId="2" applyNumberFormat="1" applyFont="1" applyFill="1" applyBorder="1"/>
    <xf numFmtId="166" fontId="3" fillId="5" borderId="7" xfId="1" applyFont="1" applyFill="1" applyBorder="1"/>
    <xf numFmtId="164" fontId="3" fillId="5" borderId="14" xfId="1" applyNumberFormat="1" applyFont="1" applyFill="1" applyBorder="1"/>
    <xf numFmtId="166" fontId="3" fillId="5" borderId="15" xfId="1" applyFont="1" applyFill="1" applyBorder="1"/>
    <xf numFmtId="169" fontId="3" fillId="5" borderId="7" xfId="1" applyNumberFormat="1" applyFont="1" applyFill="1" applyBorder="1"/>
    <xf numFmtId="166" fontId="12" fillId="5" borderId="13" xfId="1" applyFont="1" applyFill="1" applyBorder="1"/>
    <xf numFmtId="164" fontId="5" fillId="5" borderId="7" xfId="1" applyNumberFormat="1" applyFont="1" applyFill="1" applyBorder="1"/>
    <xf numFmtId="164" fontId="3" fillId="5" borderId="7" xfId="1" applyNumberFormat="1" applyFont="1" applyFill="1" applyBorder="1" applyAlignment="1">
      <alignment vertical="center"/>
    </xf>
    <xf numFmtId="164" fontId="3" fillId="5" borderId="10" xfId="1" applyNumberFormat="1" applyFont="1" applyFill="1" applyBorder="1" applyAlignment="1">
      <alignment wrapText="1"/>
    </xf>
    <xf numFmtId="166" fontId="5" fillId="5" borderId="7" xfId="1" applyFont="1" applyFill="1" applyBorder="1"/>
    <xf numFmtId="174" fontId="13" fillId="5" borderId="7" xfId="1" applyNumberFormat="1" applyFont="1" applyFill="1" applyBorder="1"/>
    <xf numFmtId="164" fontId="13" fillId="5" borderId="7" xfId="1" applyNumberFormat="1" applyFont="1" applyFill="1" applyBorder="1"/>
    <xf numFmtId="174" fontId="3" fillId="5" borderId="7" xfId="1" applyNumberFormat="1" applyFont="1" applyFill="1" applyBorder="1"/>
    <xf numFmtId="174" fontId="5" fillId="5" borderId="9" xfId="1" applyNumberFormat="1" applyFont="1" applyFill="1" applyBorder="1"/>
    <xf numFmtId="166" fontId="3" fillId="5" borderId="7" xfId="1" applyFont="1" applyFill="1" applyBorder="1" applyAlignment="1">
      <alignment vertical="center"/>
    </xf>
    <xf numFmtId="164" fontId="5" fillId="5" borderId="9" xfId="1" applyNumberFormat="1" applyFont="1" applyFill="1" applyBorder="1"/>
    <xf numFmtId="164" fontId="4" fillId="5" borderId="7" xfId="1" applyNumberFormat="1" applyFont="1" applyFill="1" applyBorder="1"/>
    <xf numFmtId="164" fontId="5" fillId="5" borderId="13" xfId="1" applyNumberFormat="1" applyFont="1" applyFill="1" applyBorder="1"/>
    <xf numFmtId="168" fontId="3" fillId="5" borderId="7" xfId="2" applyNumberFormat="1" applyFont="1" applyFill="1" applyBorder="1" applyAlignment="1">
      <alignment vertical="center"/>
    </xf>
    <xf numFmtId="164" fontId="5" fillId="5" borderId="13" xfId="1" applyNumberFormat="1" applyFont="1" applyFill="1" applyBorder="1" applyAlignment="1">
      <alignment horizontal="center"/>
    </xf>
    <xf numFmtId="164" fontId="3" fillId="5" borderId="7" xfId="1" applyNumberFormat="1" applyFont="1" applyFill="1" applyBorder="1" applyAlignment="1">
      <alignment horizontal="center" vertical="center"/>
    </xf>
    <xf numFmtId="169" fontId="4" fillId="5" borderId="7" xfId="1" applyNumberFormat="1" applyFont="1" applyFill="1" applyBorder="1"/>
    <xf numFmtId="168" fontId="3" fillId="5" borderId="7" xfId="1" applyNumberFormat="1" applyFont="1" applyFill="1" applyBorder="1"/>
    <xf numFmtId="41" fontId="3" fillId="5" borderId="7" xfId="2" applyFont="1" applyFill="1" applyBorder="1"/>
    <xf numFmtId="164" fontId="3" fillId="5" borderId="0" xfId="0" applyNumberFormat="1" applyFont="1" applyFill="1"/>
    <xf numFmtId="164" fontId="3" fillId="5" borderId="16" xfId="1" applyNumberFormat="1" applyFont="1" applyFill="1" applyBorder="1"/>
    <xf numFmtId="167" fontId="3" fillId="5" borderId="13" xfId="1" applyNumberFormat="1" applyFont="1" applyFill="1" applyBorder="1"/>
  </cellXfs>
  <cellStyles count="33">
    <cellStyle name="Comma" xfId="1" builtinId="3"/>
    <cellStyle name="Comma [0]" xfId="2" builtinId="6"/>
    <cellStyle name="Comma [0] 2" xfId="12" xr:uid="{00000000-0005-0000-0000-000002000000}"/>
    <cellStyle name="Comma [0] 2 2" xfId="11" xr:uid="{00000000-0005-0000-0000-000003000000}"/>
    <cellStyle name="Comma [0] 2 3" xfId="29" xr:uid="{00000000-0005-0000-0000-000004000000}"/>
    <cellStyle name="Comma [0] 3" xfId="14" xr:uid="{00000000-0005-0000-0000-000005000000}"/>
    <cellStyle name="Comma [0] 3 2" xfId="15" xr:uid="{00000000-0005-0000-0000-000006000000}"/>
    <cellStyle name="Comma [0] 4" xfId="26" xr:uid="{00000000-0005-0000-0000-000007000000}"/>
    <cellStyle name="Comma 2" xfId="19" xr:uid="{00000000-0005-0000-0000-000008000000}"/>
    <cellStyle name="Comma 2 2" xfId="28" xr:uid="{00000000-0005-0000-0000-000009000000}"/>
    <cellStyle name="Comma 3" xfId="13" xr:uid="{00000000-0005-0000-0000-00000A000000}"/>
    <cellStyle name="Comma 4" xfId="16" xr:uid="{00000000-0005-0000-0000-00000B000000}"/>
    <cellStyle name="Comma 4 2" xfId="8" xr:uid="{00000000-0005-0000-0000-00000C000000}"/>
    <cellStyle name="Comma 4 2 2" xfId="17" xr:uid="{00000000-0005-0000-0000-00000D000000}"/>
    <cellStyle name="Comma 5" xfId="25" xr:uid="{00000000-0005-0000-0000-00000E000000}"/>
    <cellStyle name="Comma 6" xfId="30" xr:uid="{00000000-0005-0000-0000-00000F000000}"/>
    <cellStyle name="Normal" xfId="0" builtinId="0"/>
    <cellStyle name="Normal 2" xfId="9" xr:uid="{00000000-0005-0000-0000-000011000000}"/>
    <cellStyle name="Normal 2 10" xfId="6" xr:uid="{00000000-0005-0000-0000-000012000000}"/>
    <cellStyle name="Normal 2 2" xfId="27" xr:uid="{00000000-0005-0000-0000-000013000000}"/>
    <cellStyle name="Normal 2 2 2" xfId="23" xr:uid="{00000000-0005-0000-0000-000014000000}"/>
    <cellStyle name="Normal 3" xfId="10" xr:uid="{00000000-0005-0000-0000-000015000000}"/>
    <cellStyle name="Normal 3 2" xfId="32" xr:uid="{60DD96E6-5E6A-49A9-82C4-B9608C405212}"/>
    <cellStyle name="Normal 3 2 2 2" xfId="4" xr:uid="{00000000-0005-0000-0000-000016000000}"/>
    <cellStyle name="Normal 3 2 2 2 2 2" xfId="20" xr:uid="{00000000-0005-0000-0000-000017000000}"/>
    <cellStyle name="Normal 3 2 2 2 2 2 2 2" xfId="21" xr:uid="{00000000-0005-0000-0000-000018000000}"/>
    <cellStyle name="Normal 3 2 2 2 2 2 2 2 2" xfId="22" xr:uid="{00000000-0005-0000-0000-000019000000}"/>
    <cellStyle name="Normal 4" xfId="7" xr:uid="{00000000-0005-0000-0000-00001A000000}"/>
    <cellStyle name="Normal 5" xfId="24" xr:uid="{00000000-0005-0000-0000-00001B000000}"/>
    <cellStyle name="Normal 7 2" xfId="31" xr:uid="{00000000-0005-0000-0000-00001C000000}"/>
    <cellStyle name="Normal 8" xfId="5" xr:uid="{00000000-0005-0000-0000-00001D000000}"/>
    <cellStyle name="Normal 8 2" xfId="18" xr:uid="{00000000-0005-0000-0000-00001E000000}"/>
    <cellStyle name="Normal 8 2 2" xfId="3" xr:uid="{00000000-0005-0000-0000-00001F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WO193"/>
  <sheetViews>
    <sheetView showGridLines="0" tabSelected="1" topLeftCell="A4" zoomScale="90" zoomScaleNormal="90" workbookViewId="0">
      <pane xSplit="5" ySplit="3" topLeftCell="G64" activePane="bottomRight" state="frozen"/>
      <selection pane="topRight"/>
      <selection pane="bottomLeft"/>
      <selection pane="bottomRight" activeCell="AE22" sqref="AE22"/>
    </sheetView>
  </sheetViews>
  <sheetFormatPr defaultColWidth="9" defaultRowHeight="14.4"/>
  <cols>
    <col min="1" max="1" width="1.5546875" style="1" customWidth="1"/>
    <col min="2" max="2" width="4.6640625" style="14" customWidth="1"/>
    <col min="3" max="3" width="40.6640625" style="1" customWidth="1"/>
    <col min="4" max="4" width="14" style="1" customWidth="1"/>
    <col min="5" max="5" width="8.109375" style="1" bestFit="1" customWidth="1"/>
    <col min="6" max="8" width="14" style="1" customWidth="1"/>
    <col min="9" max="9" width="14" style="279" customWidth="1"/>
    <col min="10" max="12" width="14" style="1" customWidth="1"/>
    <col min="13" max="13" width="14" style="279" customWidth="1"/>
    <col min="14" max="16" width="14" style="1" customWidth="1"/>
    <col min="17" max="18" width="14" style="279" customWidth="1"/>
    <col min="19" max="19" width="14" style="1" customWidth="1"/>
    <col min="20" max="21" width="14" style="279" customWidth="1"/>
    <col min="22" max="23" width="14" style="1" customWidth="1"/>
    <col min="24" max="25" width="13.6640625" style="1" bestFit="1" customWidth="1"/>
    <col min="26" max="26" width="14.5546875" style="279" customWidth="1"/>
    <col min="27" max="27" width="14.5546875" style="1" customWidth="1"/>
    <col min="28" max="30" width="13.6640625" style="1" bestFit="1" customWidth="1"/>
    <col min="31" max="32" width="13.6640625" style="279" bestFit="1" customWidth="1"/>
    <col min="33" max="34" width="15.109375" style="1" customWidth="1"/>
    <col min="35" max="35" width="13.6640625" style="1" bestFit="1" customWidth="1"/>
    <col min="36" max="36" width="13.6640625" style="1" customWidth="1"/>
    <col min="37" max="37" width="9.44140625" style="1" customWidth="1"/>
    <col min="38" max="38" width="19.33203125" style="1" bestFit="1" customWidth="1"/>
    <col min="39" max="39" width="13.6640625" style="1" bestFit="1" customWidth="1"/>
    <col min="40" max="40" width="11.33203125" style="29" bestFit="1" customWidth="1"/>
    <col min="41" max="41" width="7" style="1" hidden="1" customWidth="1"/>
    <col min="42" max="42" width="9.44140625" style="1" hidden="1" customWidth="1"/>
    <col min="43" max="45" width="11.33203125" style="1" hidden="1" customWidth="1"/>
    <col min="46" max="46" width="7" style="1" hidden="1" customWidth="1"/>
    <col min="47" max="50" width="11.33203125" style="1" hidden="1" customWidth="1"/>
    <col min="51" max="76" width="8.109375" style="1" hidden="1" customWidth="1"/>
    <col min="77" max="77" width="18.33203125" style="1" hidden="1" customWidth="1"/>
    <col min="78" max="78" width="15" style="1" customWidth="1"/>
    <col min="79" max="95" width="8.109375" style="1" customWidth="1"/>
    <col min="96" max="15090" width="9.109375" style="1"/>
    <col min="15091" max="15092" width="9" style="1"/>
    <col min="15093" max="15094" width="9.109375"/>
  </cols>
  <sheetData>
    <row r="1" spans="2:38">
      <c r="B1" s="30"/>
    </row>
    <row r="2" spans="2:38" ht="17.399999999999999">
      <c r="B2" s="264" t="s">
        <v>0</v>
      </c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31"/>
    </row>
    <row r="3" spans="2:38">
      <c r="B3" s="32"/>
    </row>
    <row r="4" spans="2:38" ht="15" thickBot="1">
      <c r="C4" s="33"/>
      <c r="D4" s="29"/>
      <c r="Z4" s="311"/>
      <c r="AB4" s="105"/>
    </row>
    <row r="5" spans="2:38">
      <c r="B5" s="267" t="s">
        <v>1</v>
      </c>
      <c r="C5" s="267" t="s">
        <v>2</v>
      </c>
      <c r="D5" s="268" t="s">
        <v>3</v>
      </c>
      <c r="E5" s="270" t="s">
        <v>4</v>
      </c>
      <c r="F5" s="265" t="s">
        <v>141</v>
      </c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L5" s="262" t="s">
        <v>5</v>
      </c>
    </row>
    <row r="6" spans="2:38">
      <c r="B6" s="267"/>
      <c r="C6" s="267"/>
      <c r="D6" s="269"/>
      <c r="E6" s="271"/>
      <c r="F6" s="34">
        <v>1</v>
      </c>
      <c r="G6" s="34">
        <v>2</v>
      </c>
      <c r="H6" s="34">
        <v>3</v>
      </c>
      <c r="I6" s="280">
        <v>4</v>
      </c>
      <c r="J6" s="34">
        <v>5</v>
      </c>
      <c r="K6" s="34">
        <v>6</v>
      </c>
      <c r="L6" s="34">
        <v>7</v>
      </c>
      <c r="M6" s="280">
        <v>8</v>
      </c>
      <c r="N6" s="34">
        <v>9</v>
      </c>
      <c r="O6" s="34">
        <v>10</v>
      </c>
      <c r="P6" s="34">
        <v>11</v>
      </c>
      <c r="Q6" s="280">
        <v>12</v>
      </c>
      <c r="R6" s="280">
        <v>13</v>
      </c>
      <c r="S6" s="34">
        <v>14</v>
      </c>
      <c r="T6" s="280">
        <v>15</v>
      </c>
      <c r="U6" s="280">
        <v>16</v>
      </c>
      <c r="V6" s="34">
        <v>17</v>
      </c>
      <c r="W6" s="34">
        <v>18</v>
      </c>
      <c r="X6" s="34">
        <v>19</v>
      </c>
      <c r="Y6" s="34">
        <v>20</v>
      </c>
      <c r="Z6" s="280">
        <v>21</v>
      </c>
      <c r="AA6" s="34">
        <v>22</v>
      </c>
      <c r="AB6" s="34">
        <v>23</v>
      </c>
      <c r="AC6" s="34">
        <v>24</v>
      </c>
      <c r="AD6" s="34">
        <v>25</v>
      </c>
      <c r="AE6" s="280">
        <v>26</v>
      </c>
      <c r="AF6" s="280">
        <v>27</v>
      </c>
      <c r="AG6" s="34">
        <v>28</v>
      </c>
      <c r="AH6" s="34">
        <v>29</v>
      </c>
      <c r="AI6" s="34">
        <v>30</v>
      </c>
      <c r="AJ6" s="34">
        <v>31</v>
      </c>
      <c r="AL6" s="263"/>
    </row>
    <row r="7" spans="2:38">
      <c r="B7" s="35">
        <v>1</v>
      </c>
      <c r="C7" s="36" t="s">
        <v>6</v>
      </c>
      <c r="D7" s="37"/>
      <c r="E7" s="38"/>
      <c r="F7" s="39"/>
      <c r="G7" s="39"/>
      <c r="H7" s="39"/>
      <c r="I7" s="101"/>
      <c r="J7" s="39"/>
      <c r="K7" s="39"/>
      <c r="L7" s="39"/>
      <c r="M7" s="101"/>
      <c r="N7" s="39"/>
      <c r="O7" s="39"/>
      <c r="P7" s="39"/>
      <c r="Q7" s="101"/>
      <c r="R7" s="101"/>
      <c r="S7" s="39"/>
      <c r="T7" s="101"/>
      <c r="U7" s="101"/>
      <c r="V7" s="39"/>
      <c r="W7" s="39"/>
      <c r="X7" s="39"/>
      <c r="Y7" s="39"/>
      <c r="Z7" s="101"/>
      <c r="AA7" s="39"/>
      <c r="AB7" s="39"/>
      <c r="AC7" s="39"/>
      <c r="AD7" s="39"/>
      <c r="AE7" s="101"/>
      <c r="AF7" s="101"/>
      <c r="AG7" s="39"/>
      <c r="AH7" s="39"/>
      <c r="AI7" s="39"/>
      <c r="AJ7" s="39"/>
      <c r="AK7" s="105"/>
      <c r="AL7" s="106" t="s">
        <v>7</v>
      </c>
    </row>
    <row r="8" spans="2:38">
      <c r="B8" s="35"/>
      <c r="C8" s="40" t="s">
        <v>8</v>
      </c>
      <c r="D8" s="41"/>
      <c r="E8" s="42" t="s">
        <v>9</v>
      </c>
      <c r="F8" s="43">
        <v>0</v>
      </c>
      <c r="G8" s="43">
        <v>0</v>
      </c>
      <c r="H8" s="43">
        <v>0</v>
      </c>
      <c r="I8" s="281">
        <v>337860</v>
      </c>
      <c r="J8" s="43">
        <v>1051860</v>
      </c>
      <c r="K8" s="43">
        <v>1410140</v>
      </c>
      <c r="L8" s="43">
        <v>1408250</v>
      </c>
      <c r="M8" s="281">
        <v>1173300</v>
      </c>
      <c r="N8" s="43">
        <v>346130</v>
      </c>
      <c r="O8" s="43">
        <v>1092470</v>
      </c>
      <c r="P8" s="43">
        <v>1182310</v>
      </c>
      <c r="Q8" s="281">
        <v>857330</v>
      </c>
      <c r="R8" s="281">
        <v>1250330</v>
      </c>
      <c r="S8" s="43">
        <v>898080</v>
      </c>
      <c r="T8" s="281">
        <v>796550</v>
      </c>
      <c r="U8" s="281">
        <v>127880</v>
      </c>
      <c r="V8" s="43">
        <v>828590</v>
      </c>
      <c r="W8" s="43">
        <v>1039450</v>
      </c>
      <c r="X8" s="43">
        <v>1013990</v>
      </c>
      <c r="Y8" s="43">
        <v>891240</v>
      </c>
      <c r="Z8" s="281">
        <v>1862270</v>
      </c>
      <c r="AA8" s="43">
        <v>1261810</v>
      </c>
      <c r="AB8" s="43">
        <v>1066340</v>
      </c>
      <c r="AC8" s="43">
        <v>978460</v>
      </c>
      <c r="AD8" s="43">
        <v>1631710</v>
      </c>
      <c r="AE8" s="281">
        <v>1563130</v>
      </c>
      <c r="AF8" s="281">
        <v>1359550</v>
      </c>
      <c r="AG8" s="43">
        <v>1714710</v>
      </c>
      <c r="AH8" s="43">
        <v>1510610</v>
      </c>
      <c r="AI8" s="43">
        <v>596200</v>
      </c>
      <c r="AJ8" s="43">
        <v>1194440</v>
      </c>
      <c r="AK8" s="105"/>
      <c r="AL8" s="107">
        <f>SUM(F8:AJ8)</f>
        <v>30444990</v>
      </c>
    </row>
    <row r="9" spans="2:38">
      <c r="B9" s="35"/>
      <c r="C9" s="40" t="s">
        <v>10</v>
      </c>
      <c r="D9" s="41"/>
      <c r="E9" s="42" t="s">
        <v>9</v>
      </c>
      <c r="F9" s="43">
        <v>0</v>
      </c>
      <c r="G9" s="43">
        <v>0</v>
      </c>
      <c r="H9" s="43">
        <v>0</v>
      </c>
      <c r="I9" s="281">
        <v>338080</v>
      </c>
      <c r="J9" s="43">
        <v>1050140</v>
      </c>
      <c r="K9" s="43">
        <v>1408760</v>
      </c>
      <c r="L9" s="43">
        <v>1406760</v>
      </c>
      <c r="M9" s="281">
        <v>1172090</v>
      </c>
      <c r="N9" s="43">
        <v>345800</v>
      </c>
      <c r="O9" s="43">
        <v>1091340</v>
      </c>
      <c r="P9" s="43">
        <v>1181110</v>
      </c>
      <c r="Q9" s="281">
        <v>856880</v>
      </c>
      <c r="R9" s="281">
        <v>1249200</v>
      </c>
      <c r="S9" s="43">
        <v>897560</v>
      </c>
      <c r="T9" s="281">
        <v>795630</v>
      </c>
      <c r="U9" s="281">
        <v>127750</v>
      </c>
      <c r="V9" s="43">
        <v>827640</v>
      </c>
      <c r="W9" s="43">
        <v>1038620</v>
      </c>
      <c r="X9" s="43">
        <v>1012620</v>
      </c>
      <c r="Y9" s="43">
        <v>890150</v>
      </c>
      <c r="Z9" s="281">
        <v>1859760</v>
      </c>
      <c r="AA9" s="43">
        <v>1260120</v>
      </c>
      <c r="AB9" s="43">
        <v>1064760</v>
      </c>
      <c r="AC9" s="43">
        <v>977720</v>
      </c>
      <c r="AD9" s="43">
        <v>1630430</v>
      </c>
      <c r="AE9" s="281">
        <v>1562580</v>
      </c>
      <c r="AF9" s="281">
        <v>1358120</v>
      </c>
      <c r="AG9" s="43">
        <v>1712100</v>
      </c>
      <c r="AH9" s="43">
        <v>1509150</v>
      </c>
      <c r="AI9" s="43">
        <v>595770</v>
      </c>
      <c r="AJ9" s="43">
        <v>1192890</v>
      </c>
      <c r="AK9" s="105"/>
      <c r="AL9" s="107">
        <f>SUM(F9:AJ9)</f>
        <v>30413530</v>
      </c>
    </row>
    <row r="10" spans="2:38">
      <c r="B10" s="35"/>
      <c r="C10" s="44" t="s">
        <v>11</v>
      </c>
      <c r="D10" s="45"/>
      <c r="E10" s="46" t="s">
        <v>12</v>
      </c>
      <c r="F10" s="47" t="e">
        <f t="shared" ref="F10:AJ10" si="0">((F9-F8)/F8)*100</f>
        <v>#DIV/0!</v>
      </c>
      <c r="G10" s="47" t="e">
        <f t="shared" si="0"/>
        <v>#DIV/0!</v>
      </c>
      <c r="H10" s="47" t="e">
        <f t="shared" si="0"/>
        <v>#DIV/0!</v>
      </c>
      <c r="I10" s="282">
        <f t="shared" si="0"/>
        <v>6.5115728408216417E-2</v>
      </c>
      <c r="J10" s="47">
        <f t="shared" si="0"/>
        <v>-0.16351986005742208</v>
      </c>
      <c r="K10" s="47">
        <f t="shared" si="0"/>
        <v>-9.7862623569290985E-2</v>
      </c>
      <c r="L10" s="47">
        <f t="shared" si="0"/>
        <v>-0.10580507722350435</v>
      </c>
      <c r="M10" s="282">
        <f t="shared" si="0"/>
        <v>-0.10312792977073212</v>
      </c>
      <c r="N10" s="47">
        <f t="shared" si="0"/>
        <v>-9.5339901193193299E-2</v>
      </c>
      <c r="O10" s="47">
        <f t="shared" si="0"/>
        <v>-0.10343533460873068</v>
      </c>
      <c r="P10" s="47">
        <f t="shared" si="0"/>
        <v>-0.10149622349468414</v>
      </c>
      <c r="Q10" s="282">
        <f t="shared" si="0"/>
        <v>-5.2488540002099536E-2</v>
      </c>
      <c r="R10" s="282">
        <f t="shared" si="0"/>
        <v>-9.0376140698855509E-2</v>
      </c>
      <c r="S10" s="47">
        <f t="shared" si="0"/>
        <v>-5.7901300552289328E-2</v>
      </c>
      <c r="T10" s="282">
        <f t="shared" si="0"/>
        <v>-0.11549808549369155</v>
      </c>
      <c r="U10" s="282">
        <f t="shared" si="0"/>
        <v>-0.10165780419142947</v>
      </c>
      <c r="V10" s="47">
        <f t="shared" si="0"/>
        <v>-0.11465260261407935</v>
      </c>
      <c r="W10" s="47">
        <f t="shared" si="0"/>
        <v>-7.984992063110298E-2</v>
      </c>
      <c r="X10" s="47">
        <f t="shared" si="0"/>
        <v>-0.13510981370624958</v>
      </c>
      <c r="Y10" s="47">
        <f t="shared" si="0"/>
        <v>-0.12230151249943899</v>
      </c>
      <c r="Z10" s="282">
        <f t="shared" si="0"/>
        <v>-0.13478174485976793</v>
      </c>
      <c r="AA10" s="47">
        <f t="shared" si="0"/>
        <v>-0.13393458603117744</v>
      </c>
      <c r="AB10" s="47">
        <f t="shared" si="0"/>
        <v>-0.14817037717801076</v>
      </c>
      <c r="AC10" s="47">
        <f t="shared" si="0"/>
        <v>-7.5629049731210263E-2</v>
      </c>
      <c r="AD10" s="47">
        <f t="shared" si="0"/>
        <v>-7.8445311973328602E-2</v>
      </c>
      <c r="AE10" s="282">
        <f>((AE9-AE8)/AE8)*100</f>
        <v>-3.5185813080166078E-2</v>
      </c>
      <c r="AF10" s="282">
        <f t="shared" si="0"/>
        <v>-0.10518186164539738</v>
      </c>
      <c r="AG10" s="47">
        <f t="shared" si="0"/>
        <v>-0.15221232744895638</v>
      </c>
      <c r="AH10" s="47">
        <f t="shared" si="0"/>
        <v>-9.6649697804198312E-2</v>
      </c>
      <c r="AI10" s="47">
        <f t="shared" ref="AI10" si="1">((AI9-AI8)/AI8)*100</f>
        <v>-7.2123448507212348E-2</v>
      </c>
      <c r="AJ10" s="47">
        <f t="shared" si="0"/>
        <v>-0.12976792471785942</v>
      </c>
      <c r="AK10" s="105"/>
      <c r="AL10" s="108">
        <f>((AL9-AL8)/AL8)*100</f>
        <v>-0.10333391470977654</v>
      </c>
    </row>
    <row r="11" spans="2:38">
      <c r="B11" s="35"/>
      <c r="C11" s="36" t="s">
        <v>13</v>
      </c>
      <c r="D11" s="37"/>
      <c r="E11" s="38"/>
      <c r="F11" s="39"/>
      <c r="G11" s="39"/>
      <c r="H11" s="39"/>
      <c r="I11" s="101"/>
      <c r="J11" s="39"/>
      <c r="K11" s="39"/>
      <c r="L11" s="39"/>
      <c r="M11" s="101"/>
      <c r="N11" s="39"/>
      <c r="O11" s="39"/>
      <c r="P11" s="39"/>
      <c r="Q11" s="101"/>
      <c r="R11" s="101"/>
      <c r="S11" s="39"/>
      <c r="T11" s="101"/>
      <c r="U11" s="101"/>
      <c r="V11" s="39"/>
      <c r="W11" s="39"/>
      <c r="X11" s="39"/>
      <c r="Y11" s="39"/>
      <c r="Z11" s="101"/>
      <c r="AA11" s="39"/>
      <c r="AB11" s="39"/>
      <c r="AC11" s="39"/>
      <c r="AD11" s="39"/>
      <c r="AE11" s="101"/>
      <c r="AF11" s="101"/>
      <c r="AG11" s="39"/>
      <c r="AH11" s="39"/>
      <c r="AI11" s="39"/>
      <c r="AJ11" s="39"/>
      <c r="AK11" s="105"/>
      <c r="AL11" s="106" t="s">
        <v>7</v>
      </c>
    </row>
    <row r="12" spans="2:38">
      <c r="B12" s="35"/>
      <c r="C12" s="40" t="s">
        <v>14</v>
      </c>
      <c r="D12" s="41"/>
      <c r="E12" s="42" t="s">
        <v>9</v>
      </c>
      <c r="F12" s="43">
        <v>0</v>
      </c>
      <c r="G12" s="43">
        <v>0</v>
      </c>
      <c r="H12" s="43">
        <v>0</v>
      </c>
      <c r="I12" s="281">
        <v>0</v>
      </c>
      <c r="J12" s="43">
        <v>0</v>
      </c>
      <c r="K12" s="43">
        <v>0</v>
      </c>
      <c r="L12" s="43">
        <v>0</v>
      </c>
      <c r="M12" s="281">
        <v>0</v>
      </c>
      <c r="N12" s="43">
        <v>0</v>
      </c>
      <c r="O12" s="43">
        <v>0</v>
      </c>
      <c r="P12" s="43">
        <v>0</v>
      </c>
      <c r="Q12" s="281">
        <v>0</v>
      </c>
      <c r="R12" s="281">
        <v>0</v>
      </c>
      <c r="S12" s="43">
        <v>0</v>
      </c>
      <c r="T12" s="281">
        <v>305725</v>
      </c>
      <c r="U12" s="281">
        <v>0</v>
      </c>
      <c r="V12" s="43">
        <v>0</v>
      </c>
      <c r="W12" s="43">
        <v>0</v>
      </c>
      <c r="X12" s="43">
        <v>0</v>
      </c>
      <c r="Y12" s="43">
        <v>0</v>
      </c>
      <c r="Z12" s="281">
        <v>0</v>
      </c>
      <c r="AA12" s="43">
        <v>555332</v>
      </c>
      <c r="AB12" s="43">
        <v>0</v>
      </c>
      <c r="AC12" s="43">
        <v>0</v>
      </c>
      <c r="AD12" s="43">
        <v>0</v>
      </c>
      <c r="AE12" s="281">
        <v>0</v>
      </c>
      <c r="AF12" s="281">
        <v>0</v>
      </c>
      <c r="AG12" s="43">
        <v>0</v>
      </c>
      <c r="AH12" s="43">
        <v>234703</v>
      </c>
      <c r="AI12" s="43">
        <v>0</v>
      </c>
      <c r="AJ12" s="43">
        <v>399114</v>
      </c>
      <c r="AK12" s="105"/>
      <c r="AL12" s="107">
        <f>SUM(F12:AJ12)</f>
        <v>1494874</v>
      </c>
    </row>
    <row r="13" spans="2:38">
      <c r="B13" s="35"/>
      <c r="C13" s="40" t="s">
        <v>15</v>
      </c>
      <c r="D13" s="41"/>
      <c r="E13" s="42" t="s">
        <v>9</v>
      </c>
      <c r="F13" s="43">
        <v>0</v>
      </c>
      <c r="G13" s="43">
        <v>0</v>
      </c>
      <c r="H13" s="43">
        <v>0</v>
      </c>
      <c r="I13" s="281">
        <v>0</v>
      </c>
      <c r="J13" s="43">
        <v>0</v>
      </c>
      <c r="K13" s="43">
        <v>0</v>
      </c>
      <c r="L13" s="43">
        <v>0</v>
      </c>
      <c r="M13" s="281">
        <v>0</v>
      </c>
      <c r="N13" s="43">
        <v>0</v>
      </c>
      <c r="O13" s="43">
        <v>0</v>
      </c>
      <c r="P13" s="43">
        <v>0</v>
      </c>
      <c r="Q13" s="281">
        <v>0</v>
      </c>
      <c r="R13" s="281">
        <v>0</v>
      </c>
      <c r="S13" s="43">
        <v>0</v>
      </c>
      <c r="T13" s="281">
        <v>305503</v>
      </c>
      <c r="U13" s="281">
        <v>0</v>
      </c>
      <c r="V13" s="43">
        <v>0</v>
      </c>
      <c r="W13" s="43">
        <v>0</v>
      </c>
      <c r="X13" s="43">
        <v>0</v>
      </c>
      <c r="Y13" s="43">
        <v>0</v>
      </c>
      <c r="Z13" s="281">
        <v>0</v>
      </c>
      <c r="AA13" s="43">
        <v>556528</v>
      </c>
      <c r="AB13" s="43">
        <v>0</v>
      </c>
      <c r="AC13" s="43">
        <v>0</v>
      </c>
      <c r="AD13" s="43">
        <v>0</v>
      </c>
      <c r="AE13" s="281">
        <v>0</v>
      </c>
      <c r="AF13" s="281">
        <v>0</v>
      </c>
      <c r="AG13" s="43">
        <v>0</v>
      </c>
      <c r="AH13" s="43">
        <v>236855</v>
      </c>
      <c r="AI13" s="43">
        <v>0</v>
      </c>
      <c r="AJ13" s="43">
        <v>406481</v>
      </c>
      <c r="AK13" s="105"/>
      <c r="AL13" s="107">
        <f>SUM(F13:AJ13)</f>
        <v>1505367</v>
      </c>
    </row>
    <row r="14" spans="2:38">
      <c r="B14" s="35"/>
      <c r="C14" s="44" t="s">
        <v>16</v>
      </c>
      <c r="D14" s="45"/>
      <c r="E14" s="46" t="s">
        <v>12</v>
      </c>
      <c r="F14" s="47" t="e">
        <f t="shared" ref="F14:AJ14" si="2">((F13-F12)/F12)*100</f>
        <v>#DIV/0!</v>
      </c>
      <c r="G14" s="47" t="e">
        <f t="shared" si="2"/>
        <v>#DIV/0!</v>
      </c>
      <c r="H14" s="47" t="e">
        <f t="shared" si="2"/>
        <v>#DIV/0!</v>
      </c>
      <c r="I14" s="282" t="e">
        <f t="shared" si="2"/>
        <v>#DIV/0!</v>
      </c>
      <c r="J14" s="47" t="e">
        <f t="shared" si="2"/>
        <v>#DIV/0!</v>
      </c>
      <c r="K14" s="47" t="e">
        <f t="shared" si="2"/>
        <v>#DIV/0!</v>
      </c>
      <c r="L14" s="47" t="e">
        <f t="shared" si="2"/>
        <v>#DIV/0!</v>
      </c>
      <c r="M14" s="282" t="e">
        <f t="shared" si="2"/>
        <v>#DIV/0!</v>
      </c>
      <c r="N14" s="47" t="e">
        <f t="shared" si="2"/>
        <v>#DIV/0!</v>
      </c>
      <c r="O14" s="47" t="e">
        <f t="shared" si="2"/>
        <v>#DIV/0!</v>
      </c>
      <c r="P14" s="47" t="e">
        <f t="shared" si="2"/>
        <v>#DIV/0!</v>
      </c>
      <c r="Q14" s="282" t="e">
        <f t="shared" si="2"/>
        <v>#DIV/0!</v>
      </c>
      <c r="R14" s="282" t="e">
        <f t="shared" si="2"/>
        <v>#DIV/0!</v>
      </c>
      <c r="S14" s="47" t="e">
        <f t="shared" si="2"/>
        <v>#DIV/0!</v>
      </c>
      <c r="T14" s="282">
        <f t="shared" si="2"/>
        <v>-7.2614277537002198E-2</v>
      </c>
      <c r="U14" s="282" t="e">
        <f t="shared" si="2"/>
        <v>#DIV/0!</v>
      </c>
      <c r="V14" s="47" t="e">
        <f t="shared" si="2"/>
        <v>#DIV/0!</v>
      </c>
      <c r="W14" s="47" t="e">
        <f t="shared" si="2"/>
        <v>#DIV/0!</v>
      </c>
      <c r="X14" s="47" t="e">
        <f t="shared" si="2"/>
        <v>#DIV/0!</v>
      </c>
      <c r="Y14" s="47" t="e">
        <f t="shared" si="2"/>
        <v>#DIV/0!</v>
      </c>
      <c r="Z14" s="282" t="e">
        <f t="shared" si="2"/>
        <v>#DIV/0!</v>
      </c>
      <c r="AA14" s="47">
        <f t="shared" si="2"/>
        <v>0.21536666354541067</v>
      </c>
      <c r="AB14" s="47" t="e">
        <f t="shared" si="2"/>
        <v>#DIV/0!</v>
      </c>
      <c r="AC14" s="47" t="e">
        <f t="shared" si="2"/>
        <v>#DIV/0!</v>
      </c>
      <c r="AD14" s="47" t="e">
        <f t="shared" si="2"/>
        <v>#DIV/0!</v>
      </c>
      <c r="AE14" s="282" t="e">
        <f t="shared" si="2"/>
        <v>#DIV/0!</v>
      </c>
      <c r="AF14" s="282" t="e">
        <f t="shared" si="2"/>
        <v>#DIV/0!</v>
      </c>
      <c r="AG14" s="47" t="e">
        <f t="shared" si="2"/>
        <v>#DIV/0!</v>
      </c>
      <c r="AH14" s="47">
        <f t="shared" si="2"/>
        <v>0.91690349079474909</v>
      </c>
      <c r="AI14" s="47" t="e">
        <f t="shared" ref="AI14" si="3">((AI13-AI12)/AI12)*100</f>
        <v>#DIV/0!</v>
      </c>
      <c r="AJ14" s="47">
        <f t="shared" si="2"/>
        <v>1.8458385323491533</v>
      </c>
      <c r="AK14" s="105"/>
      <c r="AL14" s="108">
        <f>((AL13-AL12)/AL12)*100</f>
        <v>0.70193206919111573</v>
      </c>
    </row>
    <row r="15" spans="2:38">
      <c r="B15" s="35"/>
      <c r="C15" s="48" t="s">
        <v>17</v>
      </c>
      <c r="D15" s="41"/>
      <c r="E15" s="42"/>
      <c r="F15" s="43"/>
      <c r="G15" s="43"/>
      <c r="H15" s="43"/>
      <c r="I15" s="281"/>
      <c r="J15" s="43"/>
      <c r="K15" s="43"/>
      <c r="L15" s="43"/>
      <c r="M15" s="281"/>
      <c r="N15" s="43"/>
      <c r="O15" s="43"/>
      <c r="P15" s="43"/>
      <c r="Q15" s="281"/>
      <c r="R15" s="281"/>
      <c r="S15" s="43"/>
      <c r="T15" s="281"/>
      <c r="U15" s="281"/>
      <c r="V15" s="43"/>
      <c r="W15" s="43"/>
      <c r="X15" s="43"/>
      <c r="Y15" s="43"/>
      <c r="Z15" s="281"/>
      <c r="AA15" s="43"/>
      <c r="AB15" s="43"/>
      <c r="AC15" s="43"/>
      <c r="AD15" s="43"/>
      <c r="AE15" s="281"/>
      <c r="AF15" s="281"/>
      <c r="AG15" s="43"/>
      <c r="AH15" s="43"/>
      <c r="AI15" s="43"/>
      <c r="AJ15" s="43"/>
      <c r="AK15" s="105"/>
      <c r="AL15" s="109" t="s">
        <v>18</v>
      </c>
    </row>
    <row r="16" spans="2:38">
      <c r="B16" s="35"/>
      <c r="C16" s="40" t="s">
        <v>8</v>
      </c>
      <c r="D16" s="41"/>
      <c r="E16" s="42" t="s">
        <v>9</v>
      </c>
      <c r="F16" s="43">
        <v>0</v>
      </c>
      <c r="G16" s="43">
        <v>0</v>
      </c>
      <c r="H16" s="43">
        <v>0</v>
      </c>
      <c r="I16" s="281">
        <v>0</v>
      </c>
      <c r="J16" s="43">
        <v>0</v>
      </c>
      <c r="K16" s="43">
        <v>0</v>
      </c>
      <c r="L16" s="43">
        <v>0</v>
      </c>
      <c r="M16" s="281">
        <v>0</v>
      </c>
      <c r="N16" s="43">
        <v>0</v>
      </c>
      <c r="O16" s="43">
        <v>0</v>
      </c>
      <c r="P16" s="43">
        <v>0</v>
      </c>
      <c r="Q16" s="281">
        <v>0</v>
      </c>
      <c r="R16" s="281">
        <v>0</v>
      </c>
      <c r="S16" s="43">
        <v>0</v>
      </c>
      <c r="T16" s="281">
        <v>0</v>
      </c>
      <c r="U16" s="281">
        <v>0</v>
      </c>
      <c r="V16" s="43">
        <v>0</v>
      </c>
      <c r="W16" s="43">
        <v>0</v>
      </c>
      <c r="X16" s="43">
        <v>0</v>
      </c>
      <c r="Y16" s="43">
        <v>0</v>
      </c>
      <c r="Z16" s="281">
        <v>0</v>
      </c>
      <c r="AA16" s="43">
        <v>0</v>
      </c>
      <c r="AB16" s="43">
        <v>34460</v>
      </c>
      <c r="AC16" s="43">
        <v>36310</v>
      </c>
      <c r="AD16" s="43">
        <v>65600</v>
      </c>
      <c r="AE16" s="281">
        <v>27950</v>
      </c>
      <c r="AF16" s="281">
        <v>36370</v>
      </c>
      <c r="AG16" s="43">
        <v>59410</v>
      </c>
      <c r="AH16" s="43">
        <v>109670</v>
      </c>
      <c r="AI16" s="43">
        <v>81930</v>
      </c>
      <c r="AJ16" s="43">
        <v>0</v>
      </c>
      <c r="AK16" s="105"/>
      <c r="AL16" s="107">
        <f>SUM(F16:AJ16)</f>
        <v>451700</v>
      </c>
    </row>
    <row r="17" spans="2:94 15096:15140">
      <c r="B17" s="35"/>
      <c r="C17" s="40" t="s">
        <v>10</v>
      </c>
      <c r="D17" s="41"/>
      <c r="E17" s="42" t="s">
        <v>9</v>
      </c>
      <c r="F17" s="43">
        <v>0</v>
      </c>
      <c r="G17" s="43">
        <v>0</v>
      </c>
      <c r="H17" s="43">
        <v>0</v>
      </c>
      <c r="I17" s="281">
        <v>0</v>
      </c>
      <c r="J17" s="43">
        <v>0</v>
      </c>
      <c r="K17" s="43">
        <v>0</v>
      </c>
      <c r="L17" s="43">
        <v>0</v>
      </c>
      <c r="M17" s="281">
        <v>0</v>
      </c>
      <c r="N17" s="43">
        <v>0</v>
      </c>
      <c r="O17" s="43">
        <v>0</v>
      </c>
      <c r="P17" s="43">
        <v>0</v>
      </c>
      <c r="Q17" s="281">
        <v>0</v>
      </c>
      <c r="R17" s="281">
        <v>0</v>
      </c>
      <c r="S17" s="43">
        <v>0</v>
      </c>
      <c r="T17" s="281">
        <v>0</v>
      </c>
      <c r="U17" s="281">
        <v>0</v>
      </c>
      <c r="V17" s="43">
        <v>0</v>
      </c>
      <c r="W17" s="43">
        <v>0</v>
      </c>
      <c r="X17" s="43">
        <v>0</v>
      </c>
      <c r="Y17" s="43">
        <v>0</v>
      </c>
      <c r="Z17" s="281">
        <v>0</v>
      </c>
      <c r="AA17" s="43">
        <v>0</v>
      </c>
      <c r="AB17" s="43">
        <v>34250</v>
      </c>
      <c r="AC17" s="43">
        <v>36210</v>
      </c>
      <c r="AD17" s="43">
        <v>65350</v>
      </c>
      <c r="AE17" s="281">
        <v>27820</v>
      </c>
      <c r="AF17" s="281">
        <v>36470</v>
      </c>
      <c r="AG17" s="43">
        <v>59230</v>
      </c>
      <c r="AH17" s="43">
        <v>109390</v>
      </c>
      <c r="AI17" s="43">
        <v>81870</v>
      </c>
      <c r="AJ17" s="43">
        <v>0</v>
      </c>
      <c r="AK17" s="105"/>
      <c r="AL17" s="107">
        <f>SUM(F17:AJ17)</f>
        <v>450590</v>
      </c>
    </row>
    <row r="18" spans="2:94 15096:15140">
      <c r="B18" s="35"/>
      <c r="C18" s="40" t="s">
        <v>11</v>
      </c>
      <c r="D18" s="41"/>
      <c r="E18" s="42" t="s">
        <v>12</v>
      </c>
      <c r="F18" s="49" t="e">
        <f t="shared" ref="F18:AJ18" si="4">((F17-F16)/F16)*100</f>
        <v>#DIV/0!</v>
      </c>
      <c r="G18" s="49" t="e">
        <f t="shared" si="4"/>
        <v>#DIV/0!</v>
      </c>
      <c r="H18" s="49" t="e">
        <f t="shared" si="4"/>
        <v>#DIV/0!</v>
      </c>
      <c r="I18" s="283" t="e">
        <f t="shared" si="4"/>
        <v>#DIV/0!</v>
      </c>
      <c r="J18" s="49" t="e">
        <f t="shared" si="4"/>
        <v>#DIV/0!</v>
      </c>
      <c r="K18" s="49" t="e">
        <f t="shared" si="4"/>
        <v>#DIV/0!</v>
      </c>
      <c r="L18" s="49" t="e">
        <f t="shared" si="4"/>
        <v>#DIV/0!</v>
      </c>
      <c r="M18" s="283" t="e">
        <f t="shared" si="4"/>
        <v>#DIV/0!</v>
      </c>
      <c r="N18" s="49" t="e">
        <f t="shared" si="4"/>
        <v>#DIV/0!</v>
      </c>
      <c r="O18" s="49" t="e">
        <f t="shared" si="4"/>
        <v>#DIV/0!</v>
      </c>
      <c r="P18" s="49" t="e">
        <f t="shared" si="4"/>
        <v>#DIV/0!</v>
      </c>
      <c r="Q18" s="283" t="e">
        <f t="shared" si="4"/>
        <v>#DIV/0!</v>
      </c>
      <c r="R18" s="283" t="e">
        <f t="shared" si="4"/>
        <v>#DIV/0!</v>
      </c>
      <c r="S18" s="49" t="e">
        <f t="shared" si="4"/>
        <v>#DIV/0!</v>
      </c>
      <c r="T18" s="283" t="e">
        <f t="shared" si="4"/>
        <v>#DIV/0!</v>
      </c>
      <c r="U18" s="283" t="e">
        <f t="shared" si="4"/>
        <v>#DIV/0!</v>
      </c>
      <c r="V18" s="49" t="e">
        <f t="shared" si="4"/>
        <v>#DIV/0!</v>
      </c>
      <c r="W18" s="49" t="e">
        <f t="shared" si="4"/>
        <v>#DIV/0!</v>
      </c>
      <c r="X18" s="49" t="e">
        <f t="shared" si="4"/>
        <v>#DIV/0!</v>
      </c>
      <c r="Y18" s="49" t="e">
        <f t="shared" si="4"/>
        <v>#DIV/0!</v>
      </c>
      <c r="Z18" s="283" t="e">
        <f t="shared" si="4"/>
        <v>#DIV/0!</v>
      </c>
      <c r="AA18" s="49" t="e">
        <f t="shared" si="4"/>
        <v>#DIV/0!</v>
      </c>
      <c r="AB18" s="49">
        <f t="shared" si="4"/>
        <v>-0.60940220545560064</v>
      </c>
      <c r="AC18" s="49">
        <f t="shared" si="4"/>
        <v>-0.27540622418066646</v>
      </c>
      <c r="AD18" s="49">
        <f t="shared" si="4"/>
        <v>-0.38109756097560976</v>
      </c>
      <c r="AE18" s="283">
        <f t="shared" si="4"/>
        <v>-0.46511627906976744</v>
      </c>
      <c r="AF18" s="283">
        <f t="shared" si="4"/>
        <v>0.27495188342040144</v>
      </c>
      <c r="AG18" s="49">
        <f t="shared" si="4"/>
        <v>-0.30297929641474497</v>
      </c>
      <c r="AH18" s="49">
        <f t="shared" si="4"/>
        <v>-0.25531138871158932</v>
      </c>
      <c r="AI18" s="49">
        <f t="shared" ref="AI18" si="5">((AI17-AI16)/AI16)*100</f>
        <v>-7.3233247894544135E-2</v>
      </c>
      <c r="AJ18" s="49" t="e">
        <f t="shared" si="4"/>
        <v>#DIV/0!</v>
      </c>
      <c r="AK18" s="110"/>
      <c r="AL18" s="111">
        <f>((AL17-AL16)/AL16)*100</f>
        <v>-0.24573832189506312</v>
      </c>
    </row>
    <row r="19" spans="2:94 15096:15140">
      <c r="B19" s="35"/>
      <c r="C19" s="50" t="s">
        <v>19</v>
      </c>
      <c r="D19" s="51"/>
      <c r="E19" s="52" t="s">
        <v>9</v>
      </c>
      <c r="F19" s="53">
        <f t="shared" ref="F19:AA19" si="6">SUM(F9,F13,F17)</f>
        <v>0</v>
      </c>
      <c r="G19" s="53">
        <f t="shared" si="6"/>
        <v>0</v>
      </c>
      <c r="H19" s="53">
        <f t="shared" si="6"/>
        <v>0</v>
      </c>
      <c r="I19" s="284">
        <f t="shared" si="6"/>
        <v>338080</v>
      </c>
      <c r="J19" s="53">
        <f t="shared" si="6"/>
        <v>1050140</v>
      </c>
      <c r="K19" s="53">
        <f t="shared" si="6"/>
        <v>1408760</v>
      </c>
      <c r="L19" s="53">
        <f t="shared" si="6"/>
        <v>1406760</v>
      </c>
      <c r="M19" s="284">
        <f t="shared" si="6"/>
        <v>1172090</v>
      </c>
      <c r="N19" s="53">
        <f t="shared" si="6"/>
        <v>345800</v>
      </c>
      <c r="O19" s="53">
        <f t="shared" si="6"/>
        <v>1091340</v>
      </c>
      <c r="P19" s="53">
        <f t="shared" si="6"/>
        <v>1181110</v>
      </c>
      <c r="Q19" s="284">
        <f t="shared" si="6"/>
        <v>856880</v>
      </c>
      <c r="R19" s="284">
        <f t="shared" si="6"/>
        <v>1249200</v>
      </c>
      <c r="S19" s="53">
        <f t="shared" si="6"/>
        <v>897560</v>
      </c>
      <c r="T19" s="284">
        <f t="shared" si="6"/>
        <v>1101133</v>
      </c>
      <c r="U19" s="284">
        <f t="shared" si="6"/>
        <v>127750</v>
      </c>
      <c r="V19" s="53">
        <f t="shared" si="6"/>
        <v>827640</v>
      </c>
      <c r="W19" s="53">
        <f t="shared" si="6"/>
        <v>1038620</v>
      </c>
      <c r="X19" s="53">
        <f t="shared" si="6"/>
        <v>1012620</v>
      </c>
      <c r="Y19" s="53">
        <f t="shared" si="6"/>
        <v>890150</v>
      </c>
      <c r="Z19" s="284">
        <f t="shared" si="6"/>
        <v>1859760</v>
      </c>
      <c r="AA19" s="53">
        <f t="shared" si="6"/>
        <v>1816648</v>
      </c>
      <c r="AB19" s="53">
        <f>SUM(AB9,AB13,AB17)</f>
        <v>1099010</v>
      </c>
      <c r="AC19" s="53">
        <f t="shared" ref="AC19:AJ19" si="7">SUM(AC9,AC13,AC17)</f>
        <v>1013930</v>
      </c>
      <c r="AD19" s="53">
        <f t="shared" si="7"/>
        <v>1695780</v>
      </c>
      <c r="AE19" s="284">
        <f t="shared" si="7"/>
        <v>1590400</v>
      </c>
      <c r="AF19" s="284">
        <f t="shared" si="7"/>
        <v>1394590</v>
      </c>
      <c r="AG19" s="53">
        <f t="shared" si="7"/>
        <v>1771330</v>
      </c>
      <c r="AH19" s="53">
        <f t="shared" si="7"/>
        <v>1855395</v>
      </c>
      <c r="AI19" s="53">
        <f t="shared" si="7"/>
        <v>677640</v>
      </c>
      <c r="AJ19" s="53">
        <f t="shared" si="7"/>
        <v>1599371</v>
      </c>
      <c r="AK19" s="105"/>
      <c r="AL19" s="112">
        <f>SUM(AL9,AL13,AL17)</f>
        <v>32369487</v>
      </c>
      <c r="AM19" s="105"/>
      <c r="AN19" s="29">
        <f>AL19/AL22/1000</f>
        <v>1156.053107142857</v>
      </c>
    </row>
    <row r="20" spans="2:94 15096:15140">
      <c r="B20" s="54">
        <v>2</v>
      </c>
      <c r="C20" s="36" t="s">
        <v>20</v>
      </c>
      <c r="D20" s="55"/>
      <c r="E20" s="55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101"/>
      <c r="AD20" s="56"/>
      <c r="AE20" s="56"/>
      <c r="AF20" s="56"/>
      <c r="AG20" s="56"/>
      <c r="AH20" s="101"/>
      <c r="AI20" s="101"/>
      <c r="AJ20" s="101"/>
      <c r="AK20" s="105"/>
      <c r="AL20" s="194" t="s">
        <v>21</v>
      </c>
    </row>
    <row r="21" spans="2:94 15096:15140">
      <c r="B21" s="57"/>
      <c r="C21" s="58" t="s">
        <v>22</v>
      </c>
      <c r="D21" s="37"/>
      <c r="E21" s="38"/>
      <c r="F21" s="59"/>
      <c r="G21" s="228"/>
      <c r="H21" s="59"/>
      <c r="I21" s="56"/>
      <c r="J21" s="99"/>
      <c r="K21" s="59"/>
      <c r="L21" s="59"/>
      <c r="M21" s="56"/>
      <c r="N21" s="59"/>
      <c r="O21" s="59"/>
      <c r="P21" s="59"/>
      <c r="Q21" s="56"/>
      <c r="R21" s="56"/>
      <c r="S21" s="59"/>
      <c r="T21" s="304"/>
      <c r="U21" s="304"/>
      <c r="V21" s="59"/>
      <c r="W21" s="59"/>
      <c r="X21" s="59"/>
      <c r="Y21" s="59"/>
      <c r="Z21" s="56"/>
      <c r="AA21" s="59"/>
      <c r="AB21" s="59"/>
      <c r="AC21" s="59"/>
      <c r="AD21" s="59"/>
      <c r="AE21" s="56"/>
      <c r="AF21" s="56"/>
      <c r="AG21" s="59"/>
      <c r="AH21" s="59"/>
      <c r="AI21" s="59"/>
      <c r="AJ21" s="59"/>
      <c r="AK21" s="105"/>
      <c r="AL21" s="113" t="s">
        <v>22</v>
      </c>
    </row>
    <row r="22" spans="2:94 15096:15140">
      <c r="B22" s="57"/>
      <c r="C22" s="40" t="s">
        <v>23</v>
      </c>
      <c r="D22" s="41"/>
      <c r="E22" s="42" t="s">
        <v>24</v>
      </c>
      <c r="F22" s="60">
        <v>0</v>
      </c>
      <c r="G22" s="60">
        <v>0</v>
      </c>
      <c r="H22" s="60">
        <v>0</v>
      </c>
      <c r="I22" s="285">
        <v>1</v>
      </c>
      <c r="J22" s="60">
        <v>1</v>
      </c>
      <c r="K22" s="60">
        <v>1</v>
      </c>
      <c r="L22" s="60">
        <v>1</v>
      </c>
      <c r="M22" s="285">
        <v>1</v>
      </c>
      <c r="N22" s="60">
        <v>1</v>
      </c>
      <c r="O22" s="60">
        <v>1</v>
      </c>
      <c r="P22" s="60">
        <v>1</v>
      </c>
      <c r="Q22" s="285">
        <v>1</v>
      </c>
      <c r="R22" s="285">
        <v>1</v>
      </c>
      <c r="S22" s="60">
        <v>1</v>
      </c>
      <c r="T22" s="285">
        <v>1</v>
      </c>
      <c r="U22" s="285">
        <v>1</v>
      </c>
      <c r="V22" s="60">
        <v>1</v>
      </c>
      <c r="W22" s="60">
        <v>1</v>
      </c>
      <c r="X22" s="60">
        <v>1</v>
      </c>
      <c r="Y22" s="60">
        <v>1</v>
      </c>
      <c r="Z22" s="285">
        <v>1</v>
      </c>
      <c r="AA22" s="60">
        <v>1</v>
      </c>
      <c r="AB22" s="60">
        <v>1</v>
      </c>
      <c r="AC22" s="60">
        <v>1</v>
      </c>
      <c r="AD22" s="60">
        <v>1</v>
      </c>
      <c r="AE22" s="285">
        <v>1</v>
      </c>
      <c r="AF22" s="285">
        <v>1</v>
      </c>
      <c r="AG22" s="60">
        <v>1</v>
      </c>
      <c r="AH22" s="60">
        <v>1</v>
      </c>
      <c r="AI22" s="60">
        <v>1</v>
      </c>
      <c r="AJ22" s="60">
        <v>1</v>
      </c>
      <c r="AK22" s="105"/>
      <c r="AL22" s="114">
        <f>SUM(F22:AJ22)</f>
        <v>28</v>
      </c>
      <c r="AM22" s="29"/>
      <c r="AP22" s="247">
        <v>55689</v>
      </c>
    </row>
    <row r="23" spans="2:94 15096:15140" s="1" customFormat="1" ht="13.8">
      <c r="B23" s="57"/>
      <c r="C23" s="61" t="s">
        <v>25</v>
      </c>
      <c r="D23" s="62">
        <f>1796.40718562874*1000</f>
        <v>1796407.1856287401</v>
      </c>
      <c r="E23" s="63" t="s">
        <v>9</v>
      </c>
      <c r="F23" s="64">
        <v>0</v>
      </c>
      <c r="G23" s="64">
        <v>0</v>
      </c>
      <c r="H23" s="64">
        <v>0</v>
      </c>
      <c r="I23" s="285">
        <v>1141003</v>
      </c>
      <c r="J23" s="243">
        <v>2075800</v>
      </c>
      <c r="K23" s="243">
        <v>1697300</v>
      </c>
      <c r="L23" s="243">
        <v>2010000</v>
      </c>
      <c r="M23" s="285">
        <f>1921.39999999999*1000</f>
        <v>1921399.99999999</v>
      </c>
      <c r="N23" s="243">
        <v>2003800</v>
      </c>
      <c r="O23" s="243">
        <f>2103.39999999999*1000</f>
        <v>2103399.9999999902</v>
      </c>
      <c r="P23" s="243">
        <f>2115.90000000001*1000</f>
        <v>2115900.0000000102</v>
      </c>
      <c r="Q23" s="285">
        <v>2011000</v>
      </c>
      <c r="R23" s="285">
        <f>1853.5*1000</f>
        <v>1853500</v>
      </c>
      <c r="S23" s="64">
        <v>1554200</v>
      </c>
      <c r="T23" s="285">
        <f>1595.60000000001*1000</f>
        <v>1595600.00000001</v>
      </c>
      <c r="U23" s="285">
        <f>1508.29999999999*1000</f>
        <v>1508299.99999999</v>
      </c>
      <c r="V23" s="243">
        <f>1560.33*1000</f>
        <v>1560330</v>
      </c>
      <c r="W23" s="243">
        <f>1336.12*1000</f>
        <v>1336120</v>
      </c>
      <c r="X23" s="64">
        <f>1316.89999999999*1000</f>
        <v>1316899.99999999</v>
      </c>
      <c r="Y23" s="64">
        <f>1043.81000000001*1000</f>
        <v>1043810.0000000099</v>
      </c>
      <c r="Z23" s="285">
        <f>1242.59999999999*1000</f>
        <v>1242599.99999999</v>
      </c>
      <c r="AA23" s="64">
        <f>1320.31*1000</f>
        <v>1320310</v>
      </c>
      <c r="AB23" s="64">
        <f>1303.49000000001*1000</f>
        <v>1303490.00000001</v>
      </c>
      <c r="AC23" s="64">
        <f>1315.83*1000</f>
        <v>1315830</v>
      </c>
      <c r="AD23" s="64">
        <f>1329.22*1000</f>
        <v>1329220</v>
      </c>
      <c r="AE23" s="285">
        <f>1428.91*1000</f>
        <v>1428910</v>
      </c>
      <c r="AF23" s="285">
        <v>1316360</v>
      </c>
      <c r="AG23" s="64">
        <f>1550.9*1000</f>
        <v>1550900</v>
      </c>
      <c r="AH23" s="64">
        <f>1457.99000000001*1000</f>
        <v>1457990.00000001</v>
      </c>
      <c r="AI23" s="64">
        <f>1542.15999999999*1000</f>
        <v>1542159.99999999</v>
      </c>
      <c r="AJ23" s="64">
        <f>1382.91*1000</f>
        <v>1382910</v>
      </c>
      <c r="AK23" s="115"/>
      <c r="AL23" s="114">
        <f>SUM(F23:AJ23)</f>
        <v>44039042.999999993</v>
      </c>
      <c r="AM23" s="116"/>
      <c r="AN23" s="116">
        <f>AL23/1000/AL22</f>
        <v>1572.8229642857139</v>
      </c>
      <c r="AP23" s="105">
        <f>AL23/1000</f>
        <v>44039.042999999991</v>
      </c>
      <c r="CP23" s="225"/>
    </row>
    <row r="24" spans="2:94 15096:15140" s="1" customFormat="1" ht="13.8" hidden="1">
      <c r="B24" s="57"/>
      <c r="C24" s="61" t="s">
        <v>26</v>
      </c>
      <c r="D24" s="62"/>
      <c r="E24" s="63" t="s">
        <v>9</v>
      </c>
      <c r="F24" s="64"/>
      <c r="G24" s="64"/>
      <c r="H24" s="64"/>
      <c r="I24" s="285"/>
      <c r="J24" s="64"/>
      <c r="K24" s="64"/>
      <c r="L24" s="64"/>
      <c r="M24" s="285"/>
      <c r="N24" s="64"/>
      <c r="O24" s="64"/>
      <c r="P24" s="64"/>
      <c r="Q24" s="285"/>
      <c r="R24" s="285"/>
      <c r="S24" s="64"/>
      <c r="T24" s="285"/>
      <c r="U24" s="285"/>
      <c r="V24" s="64"/>
      <c r="W24" s="64"/>
      <c r="X24" s="64"/>
      <c r="Y24" s="64"/>
      <c r="Z24" s="285"/>
      <c r="AA24" s="64"/>
      <c r="AB24" s="64"/>
      <c r="AC24" s="64"/>
      <c r="AD24" s="64"/>
      <c r="AE24" s="285"/>
      <c r="AF24" s="285"/>
      <c r="AG24" s="64"/>
      <c r="AH24" s="64"/>
      <c r="AI24" s="64"/>
      <c r="AJ24" s="64"/>
      <c r="AK24" s="115"/>
      <c r="AL24" s="107">
        <f>SUM(F24:AJ24)</f>
        <v>0</v>
      </c>
      <c r="AM24" s="116"/>
      <c r="AN24" s="116"/>
    </row>
    <row r="25" spans="2:94 15096:15140" s="2" customFormat="1" ht="13.8">
      <c r="B25" s="65"/>
      <c r="C25" s="195" t="s">
        <v>27</v>
      </c>
      <c r="D25" s="66">
        <v>5</v>
      </c>
      <c r="E25" s="67" t="s">
        <v>12</v>
      </c>
      <c r="F25" s="68">
        <v>0</v>
      </c>
      <c r="G25" s="68">
        <v>0</v>
      </c>
      <c r="H25" s="68">
        <v>0</v>
      </c>
      <c r="I25" s="286">
        <v>4.4000000000000004</v>
      </c>
      <c r="J25" s="68">
        <v>4.05</v>
      </c>
      <c r="K25" s="68">
        <v>4.29</v>
      </c>
      <c r="L25" s="68">
        <v>4.3499999999999996</v>
      </c>
      <c r="M25" s="286">
        <v>4.04</v>
      </c>
      <c r="N25" s="68">
        <v>3.91</v>
      </c>
      <c r="O25" s="68">
        <v>4.37</v>
      </c>
      <c r="P25" s="68">
        <v>4.43</v>
      </c>
      <c r="Q25" s="286">
        <v>4.32</v>
      </c>
      <c r="R25" s="286">
        <v>4.3499999999999996</v>
      </c>
      <c r="S25" s="68">
        <v>4.3600000000000003</v>
      </c>
      <c r="T25" s="286">
        <v>4.38</v>
      </c>
      <c r="U25" s="286">
        <v>4.3</v>
      </c>
      <c r="V25" s="68">
        <v>4.32</v>
      </c>
      <c r="W25" s="68">
        <v>4.3899999999999997</v>
      </c>
      <c r="X25" s="68">
        <v>4.43</v>
      </c>
      <c r="Y25" s="68">
        <v>4.41</v>
      </c>
      <c r="Z25" s="286">
        <v>4.37</v>
      </c>
      <c r="AA25" s="253">
        <v>5.28</v>
      </c>
      <c r="AB25" s="253">
        <v>5.96</v>
      </c>
      <c r="AC25" s="253">
        <v>5.75</v>
      </c>
      <c r="AD25" s="68">
        <v>4.3600000000000003</v>
      </c>
      <c r="AE25" s="286">
        <v>4.3899999999999997</v>
      </c>
      <c r="AF25" s="286">
        <v>4.3</v>
      </c>
      <c r="AG25" s="68">
        <v>4.28</v>
      </c>
      <c r="AH25" s="68">
        <v>4.3</v>
      </c>
      <c r="AI25" s="68">
        <v>4.13</v>
      </c>
      <c r="AJ25" s="68">
        <v>4.0999999999999996</v>
      </c>
      <c r="AL25" s="117">
        <f>AVERAGE(I25:AJ25)</f>
        <v>4.4399999999999995</v>
      </c>
      <c r="AM25" s="261"/>
      <c r="AN25" s="118"/>
      <c r="AP25" s="248">
        <f>AP23/AP22*100</f>
        <v>79.080326455853026</v>
      </c>
      <c r="AQ25" s="255"/>
      <c r="AT25" s="255"/>
    </row>
    <row r="26" spans="2:94 15096:15140" s="1" customFormat="1" ht="13.8">
      <c r="B26" s="57"/>
      <c r="C26" s="196" t="s">
        <v>28</v>
      </c>
      <c r="D26" s="69">
        <v>0.5</v>
      </c>
      <c r="E26" s="70" t="s">
        <v>12</v>
      </c>
      <c r="F26" s="68">
        <v>0</v>
      </c>
      <c r="G26" s="68">
        <v>0</v>
      </c>
      <c r="H26" s="68">
        <v>0</v>
      </c>
      <c r="I26" s="286">
        <v>0.37</v>
      </c>
      <c r="J26" s="68">
        <v>0.37</v>
      </c>
      <c r="K26" s="68">
        <v>0.37</v>
      </c>
      <c r="L26" s="68">
        <v>0.36</v>
      </c>
      <c r="M26" s="286">
        <v>0.37</v>
      </c>
      <c r="N26" s="68">
        <v>0.36</v>
      </c>
      <c r="O26" s="68">
        <v>0.37</v>
      </c>
      <c r="P26" s="68">
        <v>0.38</v>
      </c>
      <c r="Q26" s="286">
        <v>0.37</v>
      </c>
      <c r="R26" s="286">
        <v>0.38</v>
      </c>
      <c r="S26" s="68">
        <v>0.36</v>
      </c>
      <c r="T26" s="286">
        <v>0.37</v>
      </c>
      <c r="U26" s="286">
        <v>0.37</v>
      </c>
      <c r="V26" s="68">
        <v>0.36</v>
      </c>
      <c r="W26" s="68">
        <v>0.37</v>
      </c>
      <c r="X26" s="68">
        <v>0.37</v>
      </c>
      <c r="Y26" s="68">
        <v>0.36</v>
      </c>
      <c r="Z26" s="286">
        <v>0.38</v>
      </c>
      <c r="AA26" s="68">
        <v>0.37</v>
      </c>
      <c r="AB26" s="68">
        <v>0.39</v>
      </c>
      <c r="AC26" s="68">
        <v>0.42499999999999999</v>
      </c>
      <c r="AD26" s="68">
        <v>0.37</v>
      </c>
      <c r="AE26" s="286">
        <v>0.37</v>
      </c>
      <c r="AF26" s="286">
        <v>0.38</v>
      </c>
      <c r="AG26" s="68">
        <v>0.37</v>
      </c>
      <c r="AH26" s="68">
        <v>0.37</v>
      </c>
      <c r="AI26" s="68">
        <v>0.37</v>
      </c>
      <c r="AJ26" s="68">
        <v>0.37</v>
      </c>
      <c r="AK26" s="115"/>
      <c r="AL26" s="117">
        <f t="shared" ref="AL26:AL27" si="8">AVERAGE(I26:AJ26)</f>
        <v>0.37232142857142847</v>
      </c>
      <c r="AM26" s="261"/>
      <c r="AN26" s="116"/>
      <c r="AT26" s="255"/>
      <c r="CP26" s="225"/>
    </row>
    <row r="27" spans="2:94 15096:15140" s="1" customFormat="1" ht="13.8">
      <c r="B27" s="57"/>
      <c r="C27" s="196" t="s">
        <v>29</v>
      </c>
      <c r="D27" s="71" t="s">
        <v>30</v>
      </c>
      <c r="E27" s="70" t="s">
        <v>12</v>
      </c>
      <c r="F27" s="68">
        <v>0</v>
      </c>
      <c r="G27" s="68">
        <v>0</v>
      </c>
      <c r="H27" s="68">
        <v>0</v>
      </c>
      <c r="I27" s="286">
        <v>2.2400000000000002</v>
      </c>
      <c r="J27" s="68">
        <v>2.23</v>
      </c>
      <c r="K27" s="72">
        <v>2.23</v>
      </c>
      <c r="L27" s="72">
        <v>2.2200000000000002</v>
      </c>
      <c r="M27" s="286">
        <v>2.23</v>
      </c>
      <c r="N27" s="68">
        <v>2.2200000000000002</v>
      </c>
      <c r="O27" s="72">
        <v>2.23</v>
      </c>
      <c r="P27" s="72">
        <v>2.23</v>
      </c>
      <c r="Q27" s="287">
        <v>2.23</v>
      </c>
      <c r="R27" s="286">
        <v>2.21</v>
      </c>
      <c r="S27" s="68">
        <v>2.23</v>
      </c>
      <c r="T27" s="286">
        <v>2.2200000000000002</v>
      </c>
      <c r="U27" s="287">
        <v>2.23</v>
      </c>
      <c r="V27" s="68">
        <v>2.23</v>
      </c>
      <c r="W27" s="68">
        <v>2.2400000000000002</v>
      </c>
      <c r="X27" s="68">
        <v>2.2400000000000002</v>
      </c>
      <c r="Y27" s="68">
        <v>2.25</v>
      </c>
      <c r="Z27" s="286">
        <v>2.23</v>
      </c>
      <c r="AA27" s="68">
        <v>2.2200000000000002</v>
      </c>
      <c r="AB27" s="68">
        <v>2.21</v>
      </c>
      <c r="AC27" s="68">
        <v>2.206</v>
      </c>
      <c r="AD27" s="68">
        <v>2.21</v>
      </c>
      <c r="AE27" s="286">
        <v>2.23</v>
      </c>
      <c r="AF27" s="286">
        <v>2.25</v>
      </c>
      <c r="AG27" s="68">
        <v>2.2400000000000002</v>
      </c>
      <c r="AH27" s="68">
        <v>2.2400000000000002</v>
      </c>
      <c r="AI27" s="68">
        <v>2.25</v>
      </c>
      <c r="AJ27" s="68">
        <v>2.23</v>
      </c>
      <c r="AK27" s="115"/>
      <c r="AL27" s="117">
        <f t="shared" si="8"/>
        <v>2.2295000000000003</v>
      </c>
      <c r="AM27" s="261"/>
      <c r="AN27" s="116"/>
      <c r="AP27" s="225">
        <f>AP22-AP23</f>
        <v>11649.957000000009</v>
      </c>
      <c r="AQ27" s="255"/>
      <c r="AT27" s="255"/>
    </row>
    <row r="28" spans="2:94 15096:15140" s="1" customFormat="1">
      <c r="B28" s="57"/>
      <c r="C28" s="73" t="s">
        <v>31</v>
      </c>
      <c r="D28" s="74"/>
      <c r="E28" s="75"/>
      <c r="F28" s="60"/>
      <c r="G28" s="60"/>
      <c r="H28" s="60"/>
      <c r="I28" s="285"/>
      <c r="J28" s="60"/>
      <c r="K28" s="60"/>
      <c r="L28" s="60"/>
      <c r="M28" s="285"/>
      <c r="N28" s="60"/>
      <c r="O28" s="60"/>
      <c r="P28" s="60"/>
      <c r="Q28" s="285"/>
      <c r="R28" s="285"/>
      <c r="S28" s="60"/>
      <c r="T28" s="285"/>
      <c r="U28" s="285"/>
      <c r="V28" s="60"/>
      <c r="W28" s="60"/>
      <c r="X28" s="60"/>
      <c r="Y28" s="60"/>
      <c r="Z28" s="285"/>
      <c r="AA28" s="60"/>
      <c r="AB28" s="60"/>
      <c r="AC28" s="60"/>
      <c r="AD28" s="60"/>
      <c r="AE28" s="285"/>
      <c r="AF28" s="285"/>
      <c r="AG28" s="60"/>
      <c r="AH28" s="60"/>
      <c r="AI28" s="60"/>
      <c r="AJ28" s="60"/>
      <c r="AK28" s="119"/>
      <c r="AL28" s="120" t="s">
        <v>31</v>
      </c>
      <c r="AM28" s="116"/>
      <c r="AN28" s="116"/>
      <c r="AP28" s="224">
        <f>31-26</f>
        <v>5</v>
      </c>
    </row>
    <row r="29" spans="2:94 15096:15140" s="1" customFormat="1">
      <c r="B29" s="70"/>
      <c r="C29" s="197" t="s">
        <v>32</v>
      </c>
      <c r="D29" s="62">
        <f>D47%*D23</f>
        <v>1692215.5688622734</v>
      </c>
      <c r="E29" s="198" t="s">
        <v>9</v>
      </c>
      <c r="F29" s="64">
        <v>0</v>
      </c>
      <c r="G29" s="64">
        <v>0</v>
      </c>
      <c r="H29" s="64">
        <f>0.0999999999912689*1000</f>
        <v>99.999999991268908</v>
      </c>
      <c r="I29" s="285">
        <v>1061500</v>
      </c>
      <c r="J29" s="243">
        <f>1978.23*1000</f>
        <v>1978230</v>
      </c>
      <c r="K29" s="243">
        <f>1608.47*1000</f>
        <v>1608470</v>
      </c>
      <c r="L29" s="243">
        <f>1905.07000000001*1000</f>
        <v>1905070.00000001</v>
      </c>
      <c r="M29" s="285">
        <f>1825.33*1000</f>
        <v>1825330</v>
      </c>
      <c r="N29" s="243">
        <v>1905600</v>
      </c>
      <c r="O29" s="243">
        <f>1998.59999999999*1000</f>
        <v>1998599.99999999</v>
      </c>
      <c r="P29" s="243">
        <f>2002.8*1000</f>
        <v>2002800</v>
      </c>
      <c r="Q29" s="285">
        <f>1904.10000000001*1000</f>
        <v>1904100.00000001</v>
      </c>
      <c r="R29" s="285">
        <v>1763000</v>
      </c>
      <c r="S29" s="64">
        <f>1488.39999999999*1000</f>
        <v>1488399.99999999</v>
      </c>
      <c r="T29" s="285">
        <f>1517.39999999999*1000</f>
        <v>1517399.99999999</v>
      </c>
      <c r="U29" s="285">
        <v>1427000</v>
      </c>
      <c r="V29" s="64">
        <f>1480.3*1000</f>
        <v>1480300</v>
      </c>
      <c r="W29" s="64">
        <f>1267.59*1000</f>
        <v>1267590</v>
      </c>
      <c r="X29" s="64">
        <f>1250.93999999999*1000</f>
        <v>1250939.99999999</v>
      </c>
      <c r="Y29" s="64">
        <f>995.12000000001*1000</f>
        <v>995120.00000001001</v>
      </c>
      <c r="Z29" s="285">
        <f>1181.3*1000</f>
        <v>1181300</v>
      </c>
      <c r="AA29" s="64">
        <f>1236.98*1000</f>
        <v>1236980</v>
      </c>
      <c r="AB29" s="64">
        <f>1211.71000000001*1000</f>
        <v>1211710.00000001</v>
      </c>
      <c r="AC29" s="64">
        <f>1226.75999999999*1000</f>
        <v>1226759.99999999</v>
      </c>
      <c r="AD29" s="64">
        <f>1262.48999999999*1000</f>
        <v>1262489.99999999</v>
      </c>
      <c r="AE29" s="285">
        <f>1355.70000000001*1000</f>
        <v>1355700.00000001</v>
      </c>
      <c r="AF29" s="285">
        <f>1254.84999999999*1000</f>
        <v>1254849.99999999</v>
      </c>
      <c r="AG29" s="64">
        <f>1477.98000000001*1000</f>
        <v>1477980.00000001</v>
      </c>
      <c r="AH29" s="64">
        <f>1386.39*1000</f>
        <v>1386390</v>
      </c>
      <c r="AI29" s="64">
        <f>1467.99999999999*1000</f>
        <v>1467999.99999999</v>
      </c>
      <c r="AJ29" s="64">
        <f>1317.79000000001*1000</f>
        <v>1317790.00000001</v>
      </c>
      <c r="AK29" s="115"/>
      <c r="AL29" s="114">
        <f>SUM(F29:AJ29)</f>
        <v>41759499.999999978</v>
      </c>
      <c r="AM29" s="29"/>
      <c r="AN29" s="29"/>
      <c r="AP29" s="225">
        <f>AP27/AP28</f>
        <v>2329.9914000000017</v>
      </c>
      <c r="BK29" s="105"/>
      <c r="VHP29"/>
      <c r="VHQ29"/>
      <c r="VHR29"/>
      <c r="VHS29"/>
      <c r="VHT29"/>
      <c r="VHU29"/>
      <c r="VHV29"/>
      <c r="VHW29"/>
      <c r="VHX29"/>
      <c r="VHY29"/>
      <c r="VHZ29"/>
      <c r="VIA29"/>
      <c r="VIB29"/>
      <c r="VIC29"/>
      <c r="VID29"/>
      <c r="VIE29"/>
      <c r="VIF29"/>
      <c r="VIG29"/>
      <c r="VIH29"/>
      <c r="VII29"/>
      <c r="VIJ29"/>
      <c r="VIK29"/>
      <c r="VIL29"/>
      <c r="VIM29"/>
      <c r="VIN29"/>
      <c r="VIO29"/>
      <c r="VIP29"/>
      <c r="VIQ29"/>
      <c r="VIR29"/>
      <c r="VIS29"/>
      <c r="VIT29"/>
      <c r="VIU29"/>
      <c r="VIV29"/>
      <c r="VIW29"/>
      <c r="VIX29"/>
      <c r="VIY29"/>
      <c r="VIZ29"/>
      <c r="VJA29"/>
      <c r="VJB29"/>
      <c r="VJC29"/>
      <c r="VJD29"/>
      <c r="VJE29"/>
      <c r="VJF29"/>
      <c r="VJG29"/>
      <c r="VJH29"/>
    </row>
    <row r="30" spans="2:94 15096:15140" s="1" customFormat="1">
      <c r="B30" s="70"/>
      <c r="C30" s="197" t="s">
        <v>33</v>
      </c>
      <c r="D30" s="62">
        <f>D48%*D23</f>
        <v>89820.359281437006</v>
      </c>
      <c r="E30" s="198" t="s">
        <v>9</v>
      </c>
      <c r="F30" s="64">
        <v>0</v>
      </c>
      <c r="G30" s="64">
        <v>0</v>
      </c>
      <c r="H30" s="64">
        <f>5.80000000000018*1000</f>
        <v>5800.0000000001801</v>
      </c>
      <c r="I30" s="285">
        <v>61500</v>
      </c>
      <c r="J30" s="243">
        <f>84.6999999999998*1000</f>
        <v>84699.999999999811</v>
      </c>
      <c r="K30" s="243">
        <f>77.4000000000001*1000</f>
        <v>77400.000000000102</v>
      </c>
      <c r="L30" s="243">
        <f>91.6999999999998*1000</f>
        <v>91699.999999999811</v>
      </c>
      <c r="M30" s="285">
        <f>80.6900000000001*1000</f>
        <v>80690.000000000102</v>
      </c>
      <c r="N30" s="243">
        <f>83.0999999999999*1000</f>
        <v>83099.999999999898</v>
      </c>
      <c r="O30" s="243">
        <v>90300</v>
      </c>
      <c r="P30" s="243">
        <v>98500</v>
      </c>
      <c r="Q30" s="285">
        <f>93.9000000000001*1000</f>
        <v>93900.000000000102</v>
      </c>
      <c r="R30" s="285">
        <f>77.0599999999999*1000</f>
        <v>77059.999999999898</v>
      </c>
      <c r="S30" s="64">
        <f>54.75*1000</f>
        <v>54750</v>
      </c>
      <c r="T30" s="285">
        <f>67.1999999999998*1000</f>
        <v>67199.999999999811</v>
      </c>
      <c r="U30" s="285">
        <v>71000</v>
      </c>
      <c r="V30" s="64">
        <f>69.6900000000005*1000</f>
        <v>69690.000000000495</v>
      </c>
      <c r="W30" s="64">
        <f>59.96*1000</f>
        <v>59960</v>
      </c>
      <c r="X30" s="64">
        <f>57.7699999999995*1000</f>
        <v>57769.999999999498</v>
      </c>
      <c r="Y30" s="64">
        <f>42.0300000000007*1000</f>
        <v>42030.000000000698</v>
      </c>
      <c r="Z30" s="285">
        <f>52.7799999999997*1000</f>
        <v>52779.999999999702</v>
      </c>
      <c r="AA30" s="64">
        <f>73.29*1000</f>
        <v>73290</v>
      </c>
      <c r="AB30" s="64">
        <f>81.6999999999998*1000</f>
        <v>81699.999999999811</v>
      </c>
      <c r="AC30" s="64">
        <f>78.8400000000001*1000</f>
        <v>78840.000000000102</v>
      </c>
      <c r="AD30" s="64">
        <f>56.8299999999999*1000</f>
        <v>56829.999999999898</v>
      </c>
      <c r="AE30" s="285">
        <f>62.2700000000004*1000</f>
        <v>62270.0000000004</v>
      </c>
      <c r="AF30" s="285">
        <f>53.5999999999995*1000</f>
        <v>53599.999999999498</v>
      </c>
      <c r="AG30" s="64">
        <f>63.5600000000004*1000</f>
        <v>63560.0000000004</v>
      </c>
      <c r="AH30" s="64">
        <f>62.8000000000002*1000</f>
        <v>62800.000000000204</v>
      </c>
      <c r="AI30" s="64">
        <f>64.8199999999997*1000</f>
        <v>64819.999999999694</v>
      </c>
      <c r="AJ30" s="64">
        <f>56.7799999999997*1000</f>
        <v>56779.999999999702</v>
      </c>
      <c r="AK30" s="115"/>
      <c r="AL30" s="114">
        <f>SUM(F30:AJ30)</f>
        <v>1974320.0000000002</v>
      </c>
      <c r="AM30" s="29"/>
      <c r="AN30" s="29"/>
      <c r="VHP30"/>
      <c r="VHQ30"/>
      <c r="VHR30"/>
      <c r="VHS30"/>
      <c r="VHT30"/>
      <c r="VHU30"/>
      <c r="VHV30"/>
      <c r="VHW30"/>
      <c r="VHX30"/>
      <c r="VHY30"/>
      <c r="VHZ30"/>
      <c r="VIA30"/>
      <c r="VIB30"/>
      <c r="VIC30"/>
      <c r="VID30"/>
      <c r="VIE30"/>
      <c r="VIF30"/>
      <c r="VIG30"/>
      <c r="VIH30"/>
      <c r="VII30"/>
      <c r="VIJ30"/>
      <c r="VIK30"/>
      <c r="VIL30"/>
      <c r="VIM30"/>
      <c r="VIN30"/>
      <c r="VIO30"/>
      <c r="VIP30"/>
      <c r="VIQ30"/>
      <c r="VIR30"/>
      <c r="VIS30"/>
      <c r="VIT30"/>
      <c r="VIU30"/>
      <c r="VIV30"/>
      <c r="VIW30"/>
      <c r="VIX30"/>
      <c r="VIY30"/>
      <c r="VIZ30"/>
      <c r="VJA30"/>
      <c r="VJB30"/>
      <c r="VJC30"/>
      <c r="VJD30"/>
      <c r="VJE30"/>
      <c r="VJF30"/>
      <c r="VJG30"/>
      <c r="VJH30"/>
    </row>
    <row r="31" spans="2:94 15096:15140">
      <c r="B31" s="70"/>
      <c r="C31" s="76" t="s">
        <v>34</v>
      </c>
      <c r="D31" s="77"/>
      <c r="E31" s="78"/>
      <c r="F31" s="59"/>
      <c r="G31" s="59"/>
      <c r="H31" s="59"/>
      <c r="I31" s="56"/>
      <c r="J31" s="59"/>
      <c r="K31" s="59"/>
      <c r="L31" s="59"/>
      <c r="M31" s="56"/>
      <c r="N31" s="59"/>
      <c r="O31" s="59"/>
      <c r="P31" s="59"/>
      <c r="Q31" s="56"/>
      <c r="R31" s="56"/>
      <c r="S31" s="59"/>
      <c r="T31" s="56"/>
      <c r="U31" s="56"/>
      <c r="V31" s="59"/>
      <c r="W31" s="59"/>
      <c r="X31" s="59"/>
      <c r="Y31" s="59"/>
      <c r="Z31" s="56"/>
      <c r="AA31" s="59"/>
      <c r="AB31" s="59"/>
      <c r="AC31" s="59"/>
      <c r="AD31" s="59"/>
      <c r="AE31" s="56"/>
      <c r="AF31" s="56"/>
      <c r="AG31" s="59"/>
      <c r="AH31" s="59"/>
      <c r="AI31" s="59"/>
      <c r="AJ31" s="59"/>
      <c r="AK31" s="115"/>
      <c r="AL31" s="121" t="s">
        <v>35</v>
      </c>
      <c r="AM31" s="29"/>
      <c r="BY31" s="105"/>
    </row>
    <row r="32" spans="2:94 15096:15140" s="1" customFormat="1" ht="13.8">
      <c r="B32" s="70"/>
      <c r="C32" s="197" t="s">
        <v>36</v>
      </c>
      <c r="D32" s="257">
        <f>SUM(D33:D34)</f>
        <v>39640824.376159139</v>
      </c>
      <c r="E32" s="198" t="s">
        <v>9</v>
      </c>
      <c r="F32" s="64">
        <f>SUM(F33:F34)</f>
        <v>0</v>
      </c>
      <c r="G32" s="64">
        <f t="shared" ref="G32" si="9">SUM(G33:G34)</f>
        <v>0</v>
      </c>
      <c r="H32" s="64">
        <f>SUM(H33:H34)</f>
        <v>336399.99999996542</v>
      </c>
      <c r="I32" s="285">
        <f t="shared" ref="I32:AI32" si="10">SUM(I33:I34)</f>
        <v>1205800.000000017</v>
      </c>
      <c r="J32" s="64">
        <f t="shared" si="10"/>
        <v>2105500.0000000582</v>
      </c>
      <c r="K32" s="64">
        <f t="shared" si="10"/>
        <v>1878299.9999999299</v>
      </c>
      <c r="L32" s="64">
        <f t="shared" si="10"/>
        <v>1897800.000000102</v>
      </c>
      <c r="M32" s="285">
        <f t="shared" si="10"/>
        <v>1831899.999999936</v>
      </c>
      <c r="N32" s="285">
        <f t="shared" si="10"/>
        <v>1509499.999999997</v>
      </c>
      <c r="O32" s="64">
        <f t="shared" si="10"/>
        <v>971499.9999999709</v>
      </c>
      <c r="P32" s="64">
        <f>SUM(P33:P34)</f>
        <v>2089500</v>
      </c>
      <c r="Q32" s="285">
        <f t="shared" si="10"/>
        <v>2089500</v>
      </c>
      <c r="R32" s="285">
        <f t="shared" si="10"/>
        <v>1846899.9999999679</v>
      </c>
      <c r="S32" s="64">
        <f t="shared" si="10"/>
        <v>1662200.0000000121</v>
      </c>
      <c r="T32" s="285">
        <f t="shared" si="10"/>
        <v>1417700.0000000701</v>
      </c>
      <c r="U32" s="285">
        <f t="shared" si="10"/>
        <v>1183899.9999999648</v>
      </c>
      <c r="V32" s="64">
        <f t="shared" si="10"/>
        <v>0</v>
      </c>
      <c r="W32" s="64">
        <f t="shared" si="10"/>
        <v>0</v>
      </c>
      <c r="X32" s="64">
        <f t="shared" si="10"/>
        <v>535200.00000004051</v>
      </c>
      <c r="Y32" s="64">
        <f t="shared" si="10"/>
        <v>1538799.999999963</v>
      </c>
      <c r="Z32" s="285">
        <f t="shared" si="10"/>
        <v>1783999.9999999418</v>
      </c>
      <c r="AA32" s="64">
        <f t="shared" si="10"/>
        <v>1751000</v>
      </c>
      <c r="AB32" s="64">
        <f t="shared" si="10"/>
        <v>1048800.0000000759</v>
      </c>
      <c r="AC32" s="64">
        <f t="shared" si="10"/>
        <v>1302500.0000000261</v>
      </c>
      <c r="AD32" s="64">
        <f t="shared" si="10"/>
        <v>1317499.9999998771</v>
      </c>
      <c r="AE32" s="285">
        <f t="shared" si="10"/>
        <v>1386100.0000000931</v>
      </c>
      <c r="AF32" s="285">
        <f t="shared" si="10"/>
        <v>1387499.9999999739</v>
      </c>
      <c r="AG32" s="64">
        <f t="shared" si="10"/>
        <v>968300.000000017</v>
      </c>
      <c r="AH32" s="64">
        <f t="shared" si="10"/>
        <v>299800.00000001717</v>
      </c>
      <c r="AI32" s="64">
        <f t="shared" si="10"/>
        <v>0</v>
      </c>
      <c r="AJ32" s="64">
        <f t="shared" ref="AJ32" si="11">SUM(AJ33:AJ34)</f>
        <v>0</v>
      </c>
      <c r="AK32" s="115"/>
      <c r="AL32" s="114">
        <f>SUM(F32:AJ32)</f>
        <v>35345900.000000015</v>
      </c>
      <c r="AM32" s="116"/>
      <c r="AN32" s="116"/>
      <c r="BY32" s="105"/>
    </row>
    <row r="33" spans="1:15092">
      <c r="B33" s="70"/>
      <c r="C33" s="197" t="s">
        <v>37</v>
      </c>
      <c r="D33" s="257">
        <f>32505.4759884505*1000</f>
        <v>32505475.988450501</v>
      </c>
      <c r="E33" s="198" t="s">
        <v>9</v>
      </c>
      <c r="F33" s="64">
        <v>0</v>
      </c>
      <c r="G33" s="64">
        <v>0</v>
      </c>
      <c r="H33" s="64">
        <f>307.599999999977*1000</f>
        <v>307599.99999997701</v>
      </c>
      <c r="I33" s="285">
        <v>1010000</v>
      </c>
      <c r="J33" s="243">
        <f>1767.20000000007*1000</f>
        <v>1767200.0000000701</v>
      </c>
      <c r="K33" s="243">
        <f>1572.29999999993*1000</f>
        <v>1572299.9999999299</v>
      </c>
      <c r="L33" s="243">
        <f>1599.60000000009*1000</f>
        <v>1599600.0000000899</v>
      </c>
      <c r="M33" s="285">
        <f>1548.29999999993*1000</f>
        <v>1548299.9999999299</v>
      </c>
      <c r="N33" s="285">
        <f>1246.90000000002*1000</f>
        <v>1246900.00000002</v>
      </c>
      <c r="O33" s="243">
        <f>810.099999999977*1000</f>
        <v>810099.99999997695</v>
      </c>
      <c r="P33" s="243">
        <f>1738.5*1000</f>
        <v>1738500</v>
      </c>
      <c r="Q33" s="285">
        <f>1736.5*1000</f>
        <v>1736500</v>
      </c>
      <c r="R33" s="285">
        <f>1533.59999999998*1000</f>
        <v>1533599.99999998</v>
      </c>
      <c r="S33" s="64">
        <v>1374000</v>
      </c>
      <c r="T33" s="285">
        <f>1174.20000000007*1000</f>
        <v>1174200.0000000701</v>
      </c>
      <c r="U33" s="285">
        <f>972.599999999977*1000</f>
        <v>972599.99999997695</v>
      </c>
      <c r="V33" s="64">
        <v>0</v>
      </c>
      <c r="W33" s="64">
        <v>0</v>
      </c>
      <c r="X33" s="64">
        <f>456.400000000023*1000</f>
        <v>456400.00000002299</v>
      </c>
      <c r="Y33" s="64">
        <f>1270.09999999998*1000</f>
        <v>1270099.99999998</v>
      </c>
      <c r="Z33" s="285">
        <f>1495.29999999993*1000</f>
        <v>1495299.9999999299</v>
      </c>
      <c r="AA33" s="64">
        <v>1455000</v>
      </c>
      <c r="AB33" s="64">
        <f>891.70000000007*1000</f>
        <v>891700.00000006997</v>
      </c>
      <c r="AC33" s="64">
        <f>1021.40000000002*1000</f>
        <v>1021400.00000002</v>
      </c>
      <c r="AD33" s="64">
        <f>1066.3999999999*1000</f>
        <v>1066399.9999999001</v>
      </c>
      <c r="AE33" s="285">
        <f>1126.20000000007*1000</f>
        <v>1126200.0000000701</v>
      </c>
      <c r="AF33" s="285">
        <f>1153.09999999998*1000</f>
        <v>1153099.99999998</v>
      </c>
      <c r="AG33" s="64">
        <f>803.400000000023*1000</f>
        <v>803400.00000002305</v>
      </c>
      <c r="AH33" s="64">
        <f>252.400000000023*1000</f>
        <v>252400.00000002299</v>
      </c>
      <c r="AI33" s="64">
        <v>0</v>
      </c>
      <c r="AJ33" s="64">
        <v>0</v>
      </c>
      <c r="AK33" s="115"/>
      <c r="AL33" s="114">
        <f>SUM(F33:AJ33)</f>
        <v>29382800.000000041</v>
      </c>
      <c r="AM33" s="247"/>
      <c r="AP33" s="247">
        <v>44459</v>
      </c>
      <c r="BY33" s="105"/>
    </row>
    <row r="34" spans="1:15092">
      <c r="B34" s="70"/>
      <c r="C34" s="197" t="s">
        <v>38</v>
      </c>
      <c r="D34" s="257">
        <f>7135.34838770864*1000</f>
        <v>7135348.3877086397</v>
      </c>
      <c r="E34" s="198" t="s">
        <v>9</v>
      </c>
      <c r="F34" s="64">
        <v>0</v>
      </c>
      <c r="G34" s="64">
        <v>0</v>
      </c>
      <c r="H34" s="64">
        <f>28.7999999999884*1000</f>
        <v>28799.999999988402</v>
      </c>
      <c r="I34" s="285">
        <f>195.800000000017*1000</f>
        <v>195800.000000017</v>
      </c>
      <c r="J34" s="243">
        <f>338.299999999988*1000</f>
        <v>338299.99999998801</v>
      </c>
      <c r="K34" s="243">
        <v>306000</v>
      </c>
      <c r="L34" s="243">
        <f>298.200000000012*1000</f>
        <v>298200.00000001199</v>
      </c>
      <c r="M34" s="285">
        <f>283.600000000006*1000</f>
        <v>283600.000000006</v>
      </c>
      <c r="N34" s="285">
        <f>262.599999999977*1000</f>
        <v>262599.99999997701</v>
      </c>
      <c r="O34" s="243">
        <f>161.399999999994*1000</f>
        <v>161399.999999994</v>
      </c>
      <c r="P34" s="243">
        <v>351000</v>
      </c>
      <c r="Q34" s="285">
        <v>353000</v>
      </c>
      <c r="R34" s="285">
        <f>313.299999999988*1000</f>
        <v>313299.99999998801</v>
      </c>
      <c r="S34" s="64">
        <f>288.200000000012*1000</f>
        <v>288200.00000001199</v>
      </c>
      <c r="T34" s="285">
        <v>243500</v>
      </c>
      <c r="U34" s="285">
        <f>211.299999999988*1000</f>
        <v>211299.99999998798</v>
      </c>
      <c r="V34" s="64">
        <v>0</v>
      </c>
      <c r="W34" s="64">
        <v>0</v>
      </c>
      <c r="X34" s="64">
        <f>78.8000000000175*1000</f>
        <v>78800.000000017506</v>
      </c>
      <c r="Y34" s="64">
        <f>268.699999999983*1000</f>
        <v>268699.999999983</v>
      </c>
      <c r="Z34" s="285">
        <f>288.700000000012*1000</f>
        <v>288700.00000001199</v>
      </c>
      <c r="AA34" s="252">
        <v>296000</v>
      </c>
      <c r="AB34" s="64">
        <f>157.100000000006*1000</f>
        <v>157100.000000006</v>
      </c>
      <c r="AC34" s="64">
        <f>281.100000000006*1000</f>
        <v>281100.000000006</v>
      </c>
      <c r="AD34" s="64">
        <f>251.099999999977*1000</f>
        <v>251099.99999997701</v>
      </c>
      <c r="AE34" s="285">
        <f>259.900000000023*1000</f>
        <v>259900.00000002299</v>
      </c>
      <c r="AF34" s="285">
        <f>234.399999999994*1000</f>
        <v>234399.999999994</v>
      </c>
      <c r="AG34" s="64">
        <f>164.899999999994*1000</f>
        <v>164899.999999994</v>
      </c>
      <c r="AH34" s="64">
        <f>47.3999999999942*1000</f>
        <v>47399.999999994201</v>
      </c>
      <c r="AI34" s="64">
        <v>0</v>
      </c>
      <c r="AJ34" s="64">
        <v>0</v>
      </c>
      <c r="AK34" s="115"/>
      <c r="AL34" s="114">
        <f>SUM(F34:AJ34)</f>
        <v>5963099.9999999776</v>
      </c>
      <c r="AM34" s="247"/>
      <c r="AP34" s="105">
        <f>SUM(AL32,AL37,AL42)/1000</f>
        <v>40695.000000000065</v>
      </c>
    </row>
    <row r="35" spans="1:15092">
      <c r="B35" s="70"/>
      <c r="C35" s="76" t="s">
        <v>39</v>
      </c>
      <c r="D35" s="258"/>
      <c r="E35" s="78"/>
      <c r="F35" s="59"/>
      <c r="G35" s="59"/>
      <c r="H35" s="59"/>
      <c r="I35" s="313"/>
      <c r="J35" s="59"/>
      <c r="K35" s="59"/>
      <c r="L35" s="59"/>
      <c r="M35" s="56"/>
      <c r="N35" s="56"/>
      <c r="O35" s="59"/>
      <c r="P35" s="59"/>
      <c r="Q35" s="56"/>
      <c r="R35" s="56"/>
      <c r="S35" s="59"/>
      <c r="T35" s="56"/>
      <c r="U35" s="56"/>
      <c r="V35" s="59"/>
      <c r="W35" s="59"/>
      <c r="X35" s="59"/>
      <c r="Y35" s="102"/>
      <c r="Z35" s="306"/>
      <c r="AA35" s="251"/>
      <c r="AB35" s="102"/>
      <c r="AC35" s="102"/>
      <c r="AD35" s="102"/>
      <c r="AE35" s="306"/>
      <c r="AF35" s="306"/>
      <c r="AG35" s="102"/>
      <c r="AH35" s="102"/>
      <c r="AI35" s="102"/>
      <c r="AJ35" s="102"/>
      <c r="AK35" s="115"/>
      <c r="AL35" s="121" t="s">
        <v>40</v>
      </c>
      <c r="AM35" s="247"/>
      <c r="AP35" s="249">
        <f>AP34/AP33*100</f>
        <v>91.533772689444362</v>
      </c>
    </row>
    <row r="36" spans="1:15092" s="3" customFormat="1">
      <c r="A36" s="6"/>
      <c r="B36" s="42"/>
      <c r="C36" s="79" t="s">
        <v>25</v>
      </c>
      <c r="D36" s="259"/>
      <c r="E36" s="80" t="s">
        <v>9</v>
      </c>
      <c r="F36" s="64"/>
      <c r="G36" s="64"/>
      <c r="H36" s="64"/>
      <c r="I36" s="285"/>
      <c r="J36" s="64"/>
      <c r="K36" s="64"/>
      <c r="L36" s="64"/>
      <c r="M36" s="285"/>
      <c r="N36" s="285">
        <f>706.6*1000</f>
        <v>706600</v>
      </c>
      <c r="O36" s="64"/>
      <c r="P36" s="64"/>
      <c r="Q36" s="285"/>
      <c r="R36" s="285"/>
      <c r="S36" s="64"/>
      <c r="T36" s="285"/>
      <c r="U36" s="285"/>
      <c r="V36" s="64"/>
      <c r="W36" s="64"/>
      <c r="X36" s="64"/>
      <c r="Y36" s="64"/>
      <c r="Z36" s="285"/>
      <c r="AA36" s="64"/>
      <c r="AB36" s="64"/>
      <c r="AC36" s="103"/>
      <c r="AD36" s="103"/>
      <c r="AE36" s="307"/>
      <c r="AF36" s="307"/>
      <c r="AG36" s="103"/>
      <c r="AH36" s="103"/>
      <c r="AI36" s="103"/>
      <c r="AJ36" s="103"/>
      <c r="AK36" s="122"/>
      <c r="AL36" s="123">
        <f t="shared" ref="AL36:AL39" si="12">SUM(F36:AJ36)</f>
        <v>706600</v>
      </c>
      <c r="AM36" s="233"/>
      <c r="AN36" s="124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6"/>
      <c r="AAN36" s="6"/>
      <c r="AAO36" s="6"/>
      <c r="AAP36" s="6"/>
      <c r="AAQ36" s="6"/>
      <c r="AAR36" s="6"/>
      <c r="AAS36" s="6"/>
      <c r="AAT36" s="6"/>
      <c r="AAU36" s="6"/>
      <c r="AAV36" s="6"/>
      <c r="AAW36" s="6"/>
      <c r="AAX36" s="6"/>
      <c r="AAY36" s="6"/>
      <c r="AAZ36" s="6"/>
      <c r="ABA36" s="6"/>
      <c r="ABB36" s="6"/>
      <c r="ABC36" s="6"/>
      <c r="ABD36" s="6"/>
      <c r="ABE36" s="6"/>
      <c r="ABF36" s="6"/>
      <c r="ABG36" s="6"/>
      <c r="ABH36" s="6"/>
      <c r="ABI36" s="6"/>
      <c r="ABJ36" s="6"/>
      <c r="ABK36" s="6"/>
      <c r="ABL36" s="6"/>
      <c r="ABM36" s="6"/>
      <c r="ABN36" s="6"/>
      <c r="ABO36" s="6"/>
      <c r="ABP36" s="6"/>
      <c r="ABQ36" s="6"/>
      <c r="ABR36" s="6"/>
      <c r="ABS36" s="6"/>
      <c r="ABT36" s="6"/>
      <c r="ABU36" s="6"/>
      <c r="ABV36" s="6"/>
      <c r="ABW36" s="6"/>
      <c r="ABX36" s="6"/>
      <c r="ABY36" s="6"/>
      <c r="ABZ36" s="6"/>
      <c r="ACA36" s="6"/>
      <c r="ACB36" s="6"/>
      <c r="ACC36" s="6"/>
      <c r="ACD36" s="6"/>
      <c r="ACE36" s="6"/>
      <c r="ACF36" s="6"/>
      <c r="ACG36" s="6"/>
      <c r="ACH36" s="6"/>
      <c r="ACI36" s="6"/>
      <c r="ACJ36" s="6"/>
      <c r="ACK36" s="6"/>
      <c r="ACL36" s="6"/>
      <c r="ACM36" s="6"/>
      <c r="ACN36" s="6"/>
      <c r="ACO36" s="6"/>
      <c r="ACP36" s="6"/>
      <c r="ACQ36" s="6"/>
      <c r="ACR36" s="6"/>
      <c r="ACS36" s="6"/>
      <c r="ACT36" s="6"/>
      <c r="ACU36" s="6"/>
      <c r="ACV36" s="6"/>
      <c r="ACW36" s="6"/>
      <c r="ACX36" s="6"/>
      <c r="ACY36" s="6"/>
      <c r="ACZ36" s="6"/>
      <c r="ADA36" s="6"/>
      <c r="ADB36" s="6"/>
      <c r="ADC36" s="6"/>
      <c r="ADD36" s="6"/>
      <c r="ADE36" s="6"/>
      <c r="ADF36" s="6"/>
      <c r="ADG36" s="6"/>
      <c r="ADH36" s="6"/>
      <c r="ADI36" s="6"/>
      <c r="ADJ36" s="6"/>
      <c r="ADK36" s="6"/>
      <c r="ADL36" s="6"/>
      <c r="ADM36" s="6"/>
      <c r="ADN36" s="6"/>
      <c r="ADO36" s="6"/>
      <c r="ADP36" s="6"/>
      <c r="ADQ36" s="6"/>
      <c r="ADR36" s="6"/>
      <c r="ADS36" s="6"/>
      <c r="ADT36" s="6"/>
      <c r="ADU36" s="6"/>
      <c r="ADV36" s="6"/>
      <c r="ADW36" s="6"/>
      <c r="ADX36" s="6"/>
      <c r="ADY36" s="6"/>
      <c r="ADZ36" s="6"/>
      <c r="AEA36" s="6"/>
      <c r="AEB36" s="6"/>
      <c r="AEC36" s="6"/>
      <c r="AED36" s="6"/>
      <c r="AEE36" s="6"/>
      <c r="AEF36" s="6"/>
      <c r="AEG36" s="6"/>
      <c r="AEH36" s="6"/>
      <c r="AEI36" s="6"/>
      <c r="AEJ36" s="6"/>
      <c r="AEK36" s="6"/>
      <c r="AEL36" s="6"/>
      <c r="AEM36" s="6"/>
      <c r="AEN36" s="6"/>
      <c r="AEO36" s="6"/>
      <c r="AEP36" s="6"/>
      <c r="AEQ36" s="6"/>
      <c r="AER36" s="6"/>
      <c r="AES36" s="6"/>
      <c r="AET36" s="6"/>
      <c r="AEU36" s="6"/>
      <c r="AEV36" s="6"/>
      <c r="AEW36" s="6"/>
      <c r="AEX36" s="6"/>
      <c r="AEY36" s="6"/>
      <c r="AEZ36" s="6"/>
      <c r="AFA36" s="6"/>
      <c r="AFB36" s="6"/>
      <c r="AFC36" s="6"/>
      <c r="AFD36" s="6"/>
      <c r="AFE36" s="6"/>
      <c r="AFF36" s="6"/>
      <c r="AFG36" s="6"/>
      <c r="AFH36" s="6"/>
      <c r="AFI36" s="6"/>
      <c r="AFJ36" s="6"/>
      <c r="AFK36" s="6"/>
      <c r="AFL36" s="6"/>
      <c r="AFM36" s="6"/>
      <c r="AFN36" s="6"/>
      <c r="AFO36" s="6"/>
      <c r="AFP36" s="6"/>
      <c r="AFQ36" s="6"/>
      <c r="AFR36" s="6"/>
      <c r="AFS36" s="6"/>
      <c r="AFT36" s="6"/>
      <c r="AFU36" s="6"/>
      <c r="AFV36" s="6"/>
      <c r="AFW36" s="6"/>
      <c r="AFX36" s="6"/>
      <c r="AFY36" s="6"/>
      <c r="AFZ36" s="6"/>
      <c r="AGA36" s="6"/>
      <c r="AGB36" s="6"/>
      <c r="AGC36" s="6"/>
      <c r="AGD36" s="6"/>
      <c r="AGE36" s="6"/>
      <c r="AGF36" s="6"/>
      <c r="AGG36" s="6"/>
      <c r="AGH36" s="6"/>
      <c r="AGI36" s="6"/>
      <c r="AGJ36" s="6"/>
      <c r="AGK36" s="6"/>
      <c r="AGL36" s="6"/>
      <c r="AGM36" s="6"/>
      <c r="AGN36" s="6"/>
      <c r="AGO36" s="6"/>
      <c r="AGP36" s="6"/>
      <c r="AGQ36" s="6"/>
      <c r="AGR36" s="6"/>
      <c r="AGS36" s="6"/>
      <c r="AGT36" s="6"/>
      <c r="AGU36" s="6"/>
      <c r="AGV36" s="6"/>
      <c r="AGW36" s="6"/>
      <c r="AGX36" s="6"/>
      <c r="AGY36" s="6"/>
      <c r="AGZ36" s="6"/>
      <c r="AHA36" s="6"/>
      <c r="AHB36" s="6"/>
      <c r="AHC36" s="6"/>
      <c r="AHD36" s="6"/>
      <c r="AHE36" s="6"/>
      <c r="AHF36" s="6"/>
      <c r="AHG36" s="6"/>
      <c r="AHH36" s="6"/>
      <c r="AHI36" s="6"/>
      <c r="AHJ36" s="6"/>
      <c r="AHK36" s="6"/>
      <c r="AHL36" s="6"/>
      <c r="AHM36" s="6"/>
      <c r="AHN36" s="6"/>
      <c r="AHO36" s="6"/>
      <c r="AHP36" s="6"/>
      <c r="AHQ36" s="6"/>
      <c r="AHR36" s="6"/>
      <c r="AHS36" s="6"/>
      <c r="AHT36" s="6"/>
      <c r="AHU36" s="6"/>
      <c r="AHV36" s="6"/>
      <c r="AHW36" s="6"/>
      <c r="AHX36" s="6"/>
      <c r="AHY36" s="6"/>
      <c r="AHZ36" s="6"/>
      <c r="AIA36" s="6"/>
      <c r="AIB36" s="6"/>
      <c r="AIC36" s="6"/>
      <c r="AID36" s="6"/>
      <c r="AIE36" s="6"/>
      <c r="AIF36" s="6"/>
      <c r="AIG36" s="6"/>
      <c r="AIH36" s="6"/>
      <c r="AII36" s="6"/>
      <c r="AIJ36" s="6"/>
      <c r="AIK36" s="6"/>
      <c r="AIL36" s="6"/>
      <c r="AIM36" s="6"/>
      <c r="AIN36" s="6"/>
      <c r="AIO36" s="6"/>
      <c r="AIP36" s="6"/>
      <c r="AIQ36" s="6"/>
      <c r="AIR36" s="6"/>
      <c r="AIS36" s="6"/>
      <c r="AIT36" s="6"/>
      <c r="AIU36" s="6"/>
      <c r="AIV36" s="6"/>
      <c r="AIW36" s="6"/>
      <c r="AIX36" s="6"/>
      <c r="AIY36" s="6"/>
      <c r="AIZ36" s="6"/>
      <c r="AJA36" s="6"/>
      <c r="AJB36" s="6"/>
      <c r="AJC36" s="6"/>
      <c r="AJD36" s="6"/>
      <c r="AJE36" s="6"/>
      <c r="AJF36" s="6"/>
      <c r="AJG36" s="6"/>
      <c r="AJH36" s="6"/>
      <c r="AJI36" s="6"/>
      <c r="AJJ36" s="6"/>
      <c r="AJK36" s="6"/>
      <c r="AJL36" s="6"/>
      <c r="AJM36" s="6"/>
      <c r="AJN36" s="6"/>
      <c r="AJO36" s="6"/>
      <c r="AJP36" s="6"/>
      <c r="AJQ36" s="6"/>
      <c r="AJR36" s="6"/>
      <c r="AJS36" s="6"/>
      <c r="AJT36" s="6"/>
      <c r="AJU36" s="6"/>
      <c r="AJV36" s="6"/>
      <c r="AJW36" s="6"/>
      <c r="AJX36" s="6"/>
      <c r="AJY36" s="6"/>
      <c r="AJZ36" s="6"/>
      <c r="AKA36" s="6"/>
      <c r="AKB36" s="6"/>
      <c r="AKC36" s="6"/>
      <c r="AKD36" s="6"/>
      <c r="AKE36" s="6"/>
      <c r="AKF36" s="6"/>
      <c r="AKG36" s="6"/>
      <c r="AKH36" s="6"/>
      <c r="AKI36" s="6"/>
      <c r="AKJ36" s="6"/>
      <c r="AKK36" s="6"/>
      <c r="AKL36" s="6"/>
      <c r="AKM36" s="6"/>
      <c r="AKN36" s="6"/>
      <c r="AKO36" s="6"/>
      <c r="AKP36" s="6"/>
      <c r="AKQ36" s="6"/>
      <c r="AKR36" s="6"/>
      <c r="AKS36" s="6"/>
      <c r="AKT36" s="6"/>
      <c r="AKU36" s="6"/>
      <c r="AKV36" s="6"/>
      <c r="AKW36" s="6"/>
      <c r="AKX36" s="6"/>
      <c r="AKY36" s="6"/>
      <c r="AKZ36" s="6"/>
      <c r="ALA36" s="6"/>
      <c r="ALB36" s="6"/>
      <c r="ALC36" s="6"/>
      <c r="ALD36" s="6"/>
      <c r="ALE36" s="6"/>
      <c r="ALF36" s="6"/>
      <c r="ALG36" s="6"/>
      <c r="ALH36" s="6"/>
      <c r="ALI36" s="6"/>
      <c r="ALJ36" s="6"/>
      <c r="ALK36" s="6"/>
      <c r="ALL36" s="6"/>
      <c r="ALM36" s="6"/>
      <c r="ALN36" s="6"/>
      <c r="ALO36" s="6"/>
      <c r="ALP36" s="6"/>
      <c r="ALQ36" s="6"/>
      <c r="ALR36" s="6"/>
      <c r="ALS36" s="6"/>
      <c r="ALT36" s="6"/>
      <c r="ALU36" s="6"/>
      <c r="ALV36" s="6"/>
      <c r="ALW36" s="6"/>
      <c r="ALX36" s="6"/>
      <c r="ALY36" s="6"/>
      <c r="ALZ36" s="6"/>
      <c r="AMA36" s="6"/>
      <c r="AMB36" s="6"/>
      <c r="AMC36" s="6"/>
      <c r="AMD36" s="6"/>
      <c r="AME36" s="6"/>
      <c r="AMF36" s="6"/>
      <c r="AMG36" s="6"/>
      <c r="AMH36" s="6"/>
      <c r="AMI36" s="6"/>
      <c r="AMJ36" s="6"/>
      <c r="AMK36" s="6"/>
      <c r="AML36" s="6"/>
      <c r="AMM36" s="6"/>
      <c r="AMN36" s="6"/>
      <c r="AMO36" s="6"/>
      <c r="AMP36" s="6"/>
      <c r="AMQ36" s="6"/>
      <c r="AMR36" s="6"/>
      <c r="AMS36" s="6"/>
      <c r="AMT36" s="6"/>
      <c r="AMU36" s="6"/>
      <c r="AMV36" s="6"/>
      <c r="AMW36" s="6"/>
      <c r="AMX36" s="6"/>
      <c r="AMY36" s="6"/>
      <c r="AMZ36" s="6"/>
      <c r="ANA36" s="6"/>
      <c r="ANB36" s="6"/>
      <c r="ANC36" s="6"/>
      <c r="AND36" s="6"/>
      <c r="ANE36" s="6"/>
      <c r="ANF36" s="6"/>
      <c r="ANG36" s="6"/>
      <c r="ANH36" s="6"/>
      <c r="ANI36" s="6"/>
      <c r="ANJ36" s="6"/>
      <c r="ANK36" s="6"/>
      <c r="ANL36" s="6"/>
      <c r="ANM36" s="6"/>
      <c r="ANN36" s="6"/>
      <c r="ANO36" s="6"/>
      <c r="ANP36" s="6"/>
      <c r="ANQ36" s="6"/>
      <c r="ANR36" s="6"/>
      <c r="ANS36" s="6"/>
      <c r="ANT36" s="6"/>
      <c r="ANU36" s="6"/>
      <c r="ANV36" s="6"/>
      <c r="ANW36" s="6"/>
      <c r="ANX36" s="6"/>
      <c r="ANY36" s="6"/>
      <c r="ANZ36" s="6"/>
      <c r="AOA36" s="6"/>
      <c r="AOB36" s="6"/>
      <c r="AOC36" s="6"/>
      <c r="AOD36" s="6"/>
      <c r="AOE36" s="6"/>
      <c r="AOF36" s="6"/>
      <c r="AOG36" s="6"/>
      <c r="AOH36" s="6"/>
      <c r="AOI36" s="6"/>
      <c r="AOJ36" s="6"/>
      <c r="AOK36" s="6"/>
      <c r="AOL36" s="6"/>
      <c r="AOM36" s="6"/>
      <c r="AON36" s="6"/>
      <c r="AOO36" s="6"/>
      <c r="AOP36" s="6"/>
      <c r="AOQ36" s="6"/>
      <c r="AOR36" s="6"/>
      <c r="AOS36" s="6"/>
      <c r="AOT36" s="6"/>
      <c r="AOU36" s="6"/>
      <c r="AOV36" s="6"/>
      <c r="AOW36" s="6"/>
      <c r="AOX36" s="6"/>
      <c r="AOY36" s="6"/>
      <c r="AOZ36" s="6"/>
      <c r="APA36" s="6"/>
      <c r="APB36" s="6"/>
      <c r="APC36" s="6"/>
      <c r="APD36" s="6"/>
      <c r="APE36" s="6"/>
      <c r="APF36" s="6"/>
      <c r="APG36" s="6"/>
      <c r="APH36" s="6"/>
      <c r="API36" s="6"/>
      <c r="APJ36" s="6"/>
      <c r="APK36" s="6"/>
      <c r="APL36" s="6"/>
      <c r="APM36" s="6"/>
      <c r="APN36" s="6"/>
      <c r="APO36" s="6"/>
      <c r="APP36" s="6"/>
      <c r="APQ36" s="6"/>
      <c r="APR36" s="6"/>
      <c r="APS36" s="6"/>
      <c r="APT36" s="6"/>
      <c r="APU36" s="6"/>
      <c r="APV36" s="6"/>
      <c r="APW36" s="6"/>
      <c r="APX36" s="6"/>
      <c r="APY36" s="6"/>
      <c r="APZ36" s="6"/>
      <c r="AQA36" s="6"/>
      <c r="AQB36" s="6"/>
      <c r="AQC36" s="6"/>
      <c r="AQD36" s="6"/>
      <c r="AQE36" s="6"/>
      <c r="AQF36" s="6"/>
      <c r="AQG36" s="6"/>
      <c r="AQH36" s="6"/>
      <c r="AQI36" s="6"/>
      <c r="AQJ36" s="6"/>
      <c r="AQK36" s="6"/>
      <c r="AQL36" s="6"/>
      <c r="AQM36" s="6"/>
      <c r="AQN36" s="6"/>
      <c r="AQO36" s="6"/>
      <c r="AQP36" s="6"/>
      <c r="AQQ36" s="6"/>
      <c r="AQR36" s="6"/>
      <c r="AQS36" s="6"/>
      <c r="AQT36" s="6"/>
      <c r="AQU36" s="6"/>
      <c r="AQV36" s="6"/>
      <c r="AQW36" s="6"/>
      <c r="AQX36" s="6"/>
      <c r="AQY36" s="6"/>
      <c r="AQZ36" s="6"/>
      <c r="ARA36" s="6"/>
      <c r="ARB36" s="6"/>
      <c r="ARC36" s="6"/>
      <c r="ARD36" s="6"/>
      <c r="ARE36" s="6"/>
      <c r="ARF36" s="6"/>
      <c r="ARG36" s="6"/>
      <c r="ARH36" s="6"/>
      <c r="ARI36" s="6"/>
      <c r="ARJ36" s="6"/>
      <c r="ARK36" s="6"/>
      <c r="ARL36" s="6"/>
      <c r="ARM36" s="6"/>
      <c r="ARN36" s="6"/>
      <c r="ARO36" s="6"/>
      <c r="ARP36" s="6"/>
      <c r="ARQ36" s="6"/>
      <c r="ARR36" s="6"/>
      <c r="ARS36" s="6"/>
      <c r="ART36" s="6"/>
      <c r="ARU36" s="6"/>
      <c r="ARV36" s="6"/>
      <c r="ARW36" s="6"/>
      <c r="ARX36" s="6"/>
      <c r="ARY36" s="6"/>
      <c r="ARZ36" s="6"/>
      <c r="ASA36" s="6"/>
      <c r="ASB36" s="6"/>
      <c r="ASC36" s="6"/>
      <c r="ASD36" s="6"/>
      <c r="ASE36" s="6"/>
      <c r="ASF36" s="6"/>
      <c r="ASG36" s="6"/>
      <c r="ASH36" s="6"/>
      <c r="ASI36" s="6"/>
      <c r="ASJ36" s="6"/>
      <c r="ASK36" s="6"/>
      <c r="ASL36" s="6"/>
      <c r="ASM36" s="6"/>
      <c r="ASN36" s="6"/>
      <c r="ASO36" s="6"/>
      <c r="ASP36" s="6"/>
      <c r="ASQ36" s="6"/>
      <c r="ASR36" s="6"/>
      <c r="ASS36" s="6"/>
      <c r="AST36" s="6"/>
      <c r="ASU36" s="6"/>
      <c r="ASV36" s="6"/>
      <c r="ASW36" s="6"/>
      <c r="ASX36" s="6"/>
      <c r="ASY36" s="6"/>
      <c r="ASZ36" s="6"/>
      <c r="ATA36" s="6"/>
      <c r="ATB36" s="6"/>
      <c r="ATC36" s="6"/>
      <c r="ATD36" s="6"/>
      <c r="ATE36" s="6"/>
      <c r="ATF36" s="6"/>
      <c r="ATG36" s="6"/>
      <c r="ATH36" s="6"/>
      <c r="ATI36" s="6"/>
      <c r="ATJ36" s="6"/>
      <c r="ATK36" s="6"/>
      <c r="ATL36" s="6"/>
      <c r="ATM36" s="6"/>
      <c r="ATN36" s="6"/>
      <c r="ATO36" s="6"/>
      <c r="ATP36" s="6"/>
      <c r="ATQ36" s="6"/>
      <c r="ATR36" s="6"/>
      <c r="ATS36" s="6"/>
      <c r="ATT36" s="6"/>
      <c r="ATU36" s="6"/>
      <c r="ATV36" s="6"/>
      <c r="ATW36" s="6"/>
      <c r="ATX36" s="6"/>
      <c r="ATY36" s="6"/>
      <c r="ATZ36" s="6"/>
      <c r="AUA36" s="6"/>
      <c r="AUB36" s="6"/>
      <c r="AUC36" s="6"/>
      <c r="AUD36" s="6"/>
      <c r="AUE36" s="6"/>
      <c r="AUF36" s="6"/>
      <c r="AUG36" s="6"/>
      <c r="AUH36" s="6"/>
      <c r="AUI36" s="6"/>
      <c r="AUJ36" s="6"/>
      <c r="AUK36" s="6"/>
      <c r="AUL36" s="6"/>
      <c r="AUM36" s="6"/>
      <c r="AUN36" s="6"/>
      <c r="AUO36" s="6"/>
      <c r="AUP36" s="6"/>
      <c r="AUQ36" s="6"/>
      <c r="AUR36" s="6"/>
      <c r="AUS36" s="6"/>
      <c r="AUT36" s="6"/>
      <c r="AUU36" s="6"/>
      <c r="AUV36" s="6"/>
      <c r="AUW36" s="6"/>
      <c r="AUX36" s="6"/>
      <c r="AUY36" s="6"/>
      <c r="AUZ36" s="6"/>
      <c r="AVA36" s="6"/>
      <c r="AVB36" s="6"/>
      <c r="AVC36" s="6"/>
      <c r="AVD36" s="6"/>
      <c r="AVE36" s="6"/>
      <c r="AVF36" s="6"/>
      <c r="AVG36" s="6"/>
      <c r="AVH36" s="6"/>
      <c r="AVI36" s="6"/>
      <c r="AVJ36" s="6"/>
      <c r="AVK36" s="6"/>
      <c r="AVL36" s="6"/>
      <c r="AVM36" s="6"/>
      <c r="AVN36" s="6"/>
      <c r="AVO36" s="6"/>
      <c r="AVP36" s="6"/>
      <c r="AVQ36" s="6"/>
      <c r="AVR36" s="6"/>
      <c r="AVS36" s="6"/>
      <c r="AVT36" s="6"/>
      <c r="AVU36" s="6"/>
      <c r="AVV36" s="6"/>
      <c r="AVW36" s="6"/>
      <c r="AVX36" s="6"/>
      <c r="AVY36" s="6"/>
      <c r="AVZ36" s="6"/>
      <c r="AWA36" s="6"/>
      <c r="AWB36" s="6"/>
      <c r="AWC36" s="6"/>
      <c r="AWD36" s="6"/>
      <c r="AWE36" s="6"/>
      <c r="AWF36" s="6"/>
      <c r="AWG36" s="6"/>
      <c r="AWH36" s="6"/>
      <c r="AWI36" s="6"/>
      <c r="AWJ36" s="6"/>
      <c r="AWK36" s="6"/>
      <c r="AWL36" s="6"/>
      <c r="AWM36" s="6"/>
      <c r="AWN36" s="6"/>
      <c r="AWO36" s="6"/>
      <c r="AWP36" s="6"/>
      <c r="AWQ36" s="6"/>
      <c r="AWR36" s="6"/>
      <c r="AWS36" s="6"/>
      <c r="AWT36" s="6"/>
      <c r="AWU36" s="6"/>
      <c r="AWV36" s="6"/>
      <c r="AWW36" s="6"/>
      <c r="AWX36" s="6"/>
      <c r="AWY36" s="6"/>
      <c r="AWZ36" s="6"/>
      <c r="AXA36" s="6"/>
      <c r="AXB36" s="6"/>
      <c r="AXC36" s="6"/>
      <c r="AXD36" s="6"/>
      <c r="AXE36" s="6"/>
      <c r="AXF36" s="6"/>
      <c r="AXG36" s="6"/>
      <c r="AXH36" s="6"/>
      <c r="AXI36" s="6"/>
      <c r="AXJ36" s="6"/>
      <c r="AXK36" s="6"/>
      <c r="AXL36" s="6"/>
      <c r="AXM36" s="6"/>
      <c r="AXN36" s="6"/>
      <c r="AXO36" s="6"/>
      <c r="AXP36" s="6"/>
      <c r="AXQ36" s="6"/>
      <c r="AXR36" s="6"/>
      <c r="AXS36" s="6"/>
      <c r="AXT36" s="6"/>
      <c r="AXU36" s="6"/>
      <c r="AXV36" s="6"/>
      <c r="AXW36" s="6"/>
      <c r="AXX36" s="6"/>
      <c r="AXY36" s="6"/>
      <c r="AXZ36" s="6"/>
      <c r="AYA36" s="6"/>
      <c r="AYB36" s="6"/>
      <c r="AYC36" s="6"/>
      <c r="AYD36" s="6"/>
      <c r="AYE36" s="6"/>
      <c r="AYF36" s="6"/>
      <c r="AYG36" s="6"/>
      <c r="AYH36" s="6"/>
      <c r="AYI36" s="6"/>
      <c r="AYJ36" s="6"/>
      <c r="AYK36" s="6"/>
      <c r="AYL36" s="6"/>
      <c r="AYM36" s="6"/>
      <c r="AYN36" s="6"/>
      <c r="AYO36" s="6"/>
      <c r="AYP36" s="6"/>
      <c r="AYQ36" s="6"/>
      <c r="AYR36" s="6"/>
      <c r="AYS36" s="6"/>
      <c r="AYT36" s="6"/>
      <c r="AYU36" s="6"/>
      <c r="AYV36" s="6"/>
      <c r="AYW36" s="6"/>
      <c r="AYX36" s="6"/>
      <c r="AYY36" s="6"/>
      <c r="AYZ36" s="6"/>
      <c r="AZA36" s="6"/>
      <c r="AZB36" s="6"/>
      <c r="AZC36" s="6"/>
      <c r="AZD36" s="6"/>
      <c r="AZE36" s="6"/>
      <c r="AZF36" s="6"/>
      <c r="AZG36" s="6"/>
      <c r="AZH36" s="6"/>
      <c r="AZI36" s="6"/>
      <c r="AZJ36" s="6"/>
      <c r="AZK36" s="6"/>
      <c r="AZL36" s="6"/>
      <c r="AZM36" s="6"/>
      <c r="AZN36" s="6"/>
      <c r="AZO36" s="6"/>
      <c r="AZP36" s="6"/>
      <c r="AZQ36" s="6"/>
      <c r="AZR36" s="6"/>
      <c r="AZS36" s="6"/>
      <c r="AZT36" s="6"/>
      <c r="AZU36" s="6"/>
      <c r="AZV36" s="6"/>
      <c r="AZW36" s="6"/>
      <c r="AZX36" s="6"/>
      <c r="AZY36" s="6"/>
      <c r="AZZ36" s="6"/>
      <c r="BAA36" s="6"/>
      <c r="BAB36" s="6"/>
      <c r="BAC36" s="6"/>
      <c r="BAD36" s="6"/>
      <c r="BAE36" s="6"/>
      <c r="BAF36" s="6"/>
      <c r="BAG36" s="6"/>
      <c r="BAH36" s="6"/>
      <c r="BAI36" s="6"/>
      <c r="BAJ36" s="6"/>
      <c r="BAK36" s="6"/>
      <c r="BAL36" s="6"/>
      <c r="BAM36" s="6"/>
      <c r="BAN36" s="6"/>
      <c r="BAO36" s="6"/>
      <c r="BAP36" s="6"/>
      <c r="BAQ36" s="6"/>
      <c r="BAR36" s="6"/>
      <c r="BAS36" s="6"/>
      <c r="BAT36" s="6"/>
      <c r="BAU36" s="6"/>
      <c r="BAV36" s="6"/>
      <c r="BAW36" s="6"/>
      <c r="BAX36" s="6"/>
      <c r="BAY36" s="6"/>
      <c r="BAZ36" s="6"/>
      <c r="BBA36" s="6"/>
      <c r="BBB36" s="6"/>
      <c r="BBC36" s="6"/>
      <c r="BBD36" s="6"/>
      <c r="BBE36" s="6"/>
      <c r="BBF36" s="6"/>
      <c r="BBG36" s="6"/>
      <c r="BBH36" s="6"/>
      <c r="BBI36" s="6"/>
      <c r="BBJ36" s="6"/>
      <c r="BBK36" s="6"/>
      <c r="BBL36" s="6"/>
      <c r="BBM36" s="6"/>
      <c r="BBN36" s="6"/>
      <c r="BBO36" s="6"/>
      <c r="BBP36" s="6"/>
      <c r="BBQ36" s="6"/>
      <c r="BBR36" s="6"/>
      <c r="BBS36" s="6"/>
      <c r="BBT36" s="6"/>
      <c r="BBU36" s="6"/>
      <c r="BBV36" s="6"/>
      <c r="BBW36" s="6"/>
      <c r="BBX36" s="6"/>
      <c r="BBY36" s="6"/>
      <c r="BBZ36" s="6"/>
      <c r="BCA36" s="6"/>
      <c r="BCB36" s="6"/>
      <c r="BCC36" s="6"/>
      <c r="BCD36" s="6"/>
      <c r="BCE36" s="6"/>
      <c r="BCF36" s="6"/>
      <c r="BCG36" s="6"/>
      <c r="BCH36" s="6"/>
      <c r="BCI36" s="6"/>
      <c r="BCJ36" s="6"/>
      <c r="BCK36" s="6"/>
      <c r="BCL36" s="6"/>
      <c r="BCM36" s="6"/>
      <c r="BCN36" s="6"/>
      <c r="BCO36" s="6"/>
      <c r="BCP36" s="6"/>
      <c r="BCQ36" s="6"/>
      <c r="BCR36" s="6"/>
      <c r="BCS36" s="6"/>
      <c r="BCT36" s="6"/>
      <c r="BCU36" s="6"/>
      <c r="BCV36" s="6"/>
      <c r="BCW36" s="6"/>
      <c r="BCX36" s="6"/>
      <c r="BCY36" s="6"/>
      <c r="BCZ36" s="6"/>
      <c r="BDA36" s="6"/>
      <c r="BDB36" s="6"/>
      <c r="BDC36" s="6"/>
      <c r="BDD36" s="6"/>
      <c r="BDE36" s="6"/>
      <c r="BDF36" s="6"/>
      <c r="BDG36" s="6"/>
      <c r="BDH36" s="6"/>
      <c r="BDI36" s="6"/>
      <c r="BDJ36" s="6"/>
      <c r="BDK36" s="6"/>
      <c r="BDL36" s="6"/>
      <c r="BDM36" s="6"/>
      <c r="BDN36" s="6"/>
      <c r="BDO36" s="6"/>
      <c r="BDP36" s="6"/>
      <c r="BDQ36" s="6"/>
      <c r="BDR36" s="6"/>
      <c r="BDS36" s="6"/>
      <c r="BDT36" s="6"/>
      <c r="BDU36" s="6"/>
      <c r="BDV36" s="6"/>
      <c r="BDW36" s="6"/>
      <c r="BDX36" s="6"/>
      <c r="BDY36" s="6"/>
      <c r="BDZ36" s="6"/>
      <c r="BEA36" s="6"/>
      <c r="BEB36" s="6"/>
      <c r="BEC36" s="6"/>
      <c r="BED36" s="6"/>
      <c r="BEE36" s="6"/>
      <c r="BEF36" s="6"/>
      <c r="BEG36" s="6"/>
      <c r="BEH36" s="6"/>
      <c r="BEI36" s="6"/>
      <c r="BEJ36" s="6"/>
      <c r="BEK36" s="6"/>
      <c r="BEL36" s="6"/>
      <c r="BEM36" s="6"/>
      <c r="BEN36" s="6"/>
      <c r="BEO36" s="6"/>
      <c r="BEP36" s="6"/>
      <c r="BEQ36" s="6"/>
      <c r="BER36" s="6"/>
      <c r="BES36" s="6"/>
      <c r="BET36" s="6"/>
      <c r="BEU36" s="6"/>
      <c r="BEV36" s="6"/>
      <c r="BEW36" s="6"/>
      <c r="BEX36" s="6"/>
      <c r="BEY36" s="6"/>
      <c r="BEZ36" s="6"/>
      <c r="BFA36" s="6"/>
      <c r="BFB36" s="6"/>
      <c r="BFC36" s="6"/>
      <c r="BFD36" s="6"/>
      <c r="BFE36" s="6"/>
      <c r="BFF36" s="6"/>
      <c r="BFG36" s="6"/>
      <c r="BFH36" s="6"/>
      <c r="BFI36" s="6"/>
      <c r="BFJ36" s="6"/>
      <c r="BFK36" s="6"/>
      <c r="BFL36" s="6"/>
      <c r="BFM36" s="6"/>
      <c r="BFN36" s="6"/>
      <c r="BFO36" s="6"/>
      <c r="BFP36" s="6"/>
      <c r="BFQ36" s="6"/>
      <c r="BFR36" s="6"/>
      <c r="BFS36" s="6"/>
      <c r="BFT36" s="6"/>
      <c r="BFU36" s="6"/>
      <c r="BFV36" s="6"/>
      <c r="BFW36" s="6"/>
      <c r="BFX36" s="6"/>
      <c r="BFY36" s="6"/>
      <c r="BFZ36" s="6"/>
      <c r="BGA36" s="6"/>
      <c r="BGB36" s="6"/>
      <c r="BGC36" s="6"/>
      <c r="BGD36" s="6"/>
      <c r="BGE36" s="6"/>
      <c r="BGF36" s="6"/>
      <c r="BGG36" s="6"/>
      <c r="BGH36" s="6"/>
      <c r="BGI36" s="6"/>
      <c r="BGJ36" s="6"/>
      <c r="BGK36" s="6"/>
      <c r="BGL36" s="6"/>
      <c r="BGM36" s="6"/>
      <c r="BGN36" s="6"/>
      <c r="BGO36" s="6"/>
      <c r="BGP36" s="6"/>
      <c r="BGQ36" s="6"/>
      <c r="BGR36" s="6"/>
      <c r="BGS36" s="6"/>
      <c r="BGT36" s="6"/>
      <c r="BGU36" s="6"/>
      <c r="BGV36" s="6"/>
      <c r="BGW36" s="6"/>
      <c r="BGX36" s="6"/>
      <c r="BGY36" s="6"/>
      <c r="BGZ36" s="6"/>
      <c r="BHA36" s="6"/>
      <c r="BHB36" s="6"/>
      <c r="BHC36" s="6"/>
      <c r="BHD36" s="6"/>
      <c r="BHE36" s="6"/>
      <c r="BHF36" s="6"/>
      <c r="BHG36" s="6"/>
      <c r="BHH36" s="6"/>
      <c r="BHI36" s="6"/>
      <c r="BHJ36" s="6"/>
      <c r="BHK36" s="6"/>
      <c r="BHL36" s="6"/>
      <c r="BHM36" s="6"/>
      <c r="BHN36" s="6"/>
      <c r="BHO36" s="6"/>
      <c r="BHP36" s="6"/>
      <c r="BHQ36" s="6"/>
      <c r="BHR36" s="6"/>
      <c r="BHS36" s="6"/>
      <c r="BHT36" s="6"/>
      <c r="BHU36" s="6"/>
      <c r="BHV36" s="6"/>
      <c r="BHW36" s="6"/>
      <c r="BHX36" s="6"/>
      <c r="BHY36" s="6"/>
      <c r="BHZ36" s="6"/>
      <c r="BIA36" s="6"/>
      <c r="BIB36" s="6"/>
      <c r="BIC36" s="6"/>
      <c r="BID36" s="6"/>
      <c r="BIE36" s="6"/>
      <c r="BIF36" s="6"/>
      <c r="BIG36" s="6"/>
      <c r="BIH36" s="6"/>
      <c r="BII36" s="6"/>
      <c r="BIJ36" s="6"/>
      <c r="BIK36" s="6"/>
      <c r="BIL36" s="6"/>
      <c r="BIM36" s="6"/>
      <c r="BIN36" s="6"/>
      <c r="BIO36" s="6"/>
      <c r="BIP36" s="6"/>
      <c r="BIQ36" s="6"/>
      <c r="BIR36" s="6"/>
      <c r="BIS36" s="6"/>
      <c r="BIT36" s="6"/>
      <c r="BIU36" s="6"/>
      <c r="BIV36" s="6"/>
      <c r="BIW36" s="6"/>
      <c r="BIX36" s="6"/>
      <c r="BIY36" s="6"/>
      <c r="BIZ36" s="6"/>
      <c r="BJA36" s="6"/>
      <c r="BJB36" s="6"/>
      <c r="BJC36" s="6"/>
      <c r="BJD36" s="6"/>
      <c r="BJE36" s="6"/>
      <c r="BJF36" s="6"/>
      <c r="BJG36" s="6"/>
      <c r="BJH36" s="6"/>
      <c r="BJI36" s="6"/>
      <c r="BJJ36" s="6"/>
      <c r="BJK36" s="6"/>
      <c r="BJL36" s="6"/>
      <c r="BJM36" s="6"/>
      <c r="BJN36" s="6"/>
      <c r="BJO36" s="6"/>
      <c r="BJP36" s="6"/>
      <c r="BJQ36" s="6"/>
      <c r="BJR36" s="6"/>
      <c r="BJS36" s="6"/>
      <c r="BJT36" s="6"/>
      <c r="BJU36" s="6"/>
      <c r="BJV36" s="6"/>
      <c r="BJW36" s="6"/>
      <c r="BJX36" s="6"/>
      <c r="BJY36" s="6"/>
      <c r="BJZ36" s="6"/>
      <c r="BKA36" s="6"/>
      <c r="BKB36" s="6"/>
      <c r="BKC36" s="6"/>
      <c r="BKD36" s="6"/>
      <c r="BKE36" s="6"/>
      <c r="BKF36" s="6"/>
      <c r="BKG36" s="6"/>
      <c r="BKH36" s="6"/>
      <c r="BKI36" s="6"/>
      <c r="BKJ36" s="6"/>
      <c r="BKK36" s="6"/>
      <c r="BKL36" s="6"/>
      <c r="BKM36" s="6"/>
      <c r="BKN36" s="6"/>
      <c r="BKO36" s="6"/>
      <c r="BKP36" s="6"/>
      <c r="BKQ36" s="6"/>
      <c r="BKR36" s="6"/>
      <c r="BKS36" s="6"/>
      <c r="BKT36" s="6"/>
      <c r="BKU36" s="6"/>
      <c r="BKV36" s="6"/>
      <c r="BKW36" s="6"/>
      <c r="BKX36" s="6"/>
      <c r="BKY36" s="6"/>
      <c r="BKZ36" s="6"/>
      <c r="BLA36" s="6"/>
      <c r="BLB36" s="6"/>
      <c r="BLC36" s="6"/>
      <c r="BLD36" s="6"/>
      <c r="BLE36" s="6"/>
      <c r="BLF36" s="6"/>
      <c r="BLG36" s="6"/>
      <c r="BLH36" s="6"/>
      <c r="BLI36" s="6"/>
      <c r="BLJ36" s="6"/>
      <c r="BLK36" s="6"/>
      <c r="BLL36" s="6"/>
      <c r="BLM36" s="6"/>
      <c r="BLN36" s="6"/>
      <c r="BLO36" s="6"/>
      <c r="BLP36" s="6"/>
      <c r="BLQ36" s="6"/>
      <c r="BLR36" s="6"/>
      <c r="BLS36" s="6"/>
      <c r="BLT36" s="6"/>
      <c r="BLU36" s="6"/>
      <c r="BLV36" s="6"/>
      <c r="BLW36" s="6"/>
      <c r="BLX36" s="6"/>
      <c r="BLY36" s="6"/>
      <c r="BLZ36" s="6"/>
      <c r="BMA36" s="6"/>
      <c r="BMB36" s="6"/>
      <c r="BMC36" s="6"/>
      <c r="BMD36" s="6"/>
      <c r="BME36" s="6"/>
      <c r="BMF36" s="6"/>
      <c r="BMG36" s="6"/>
      <c r="BMH36" s="6"/>
      <c r="BMI36" s="6"/>
      <c r="BMJ36" s="6"/>
      <c r="BMK36" s="6"/>
      <c r="BML36" s="6"/>
      <c r="BMM36" s="6"/>
      <c r="BMN36" s="6"/>
      <c r="BMO36" s="6"/>
      <c r="BMP36" s="6"/>
      <c r="BMQ36" s="6"/>
      <c r="BMR36" s="6"/>
      <c r="BMS36" s="6"/>
      <c r="BMT36" s="6"/>
      <c r="BMU36" s="6"/>
      <c r="BMV36" s="6"/>
      <c r="BMW36" s="6"/>
      <c r="BMX36" s="6"/>
      <c r="BMY36" s="6"/>
      <c r="BMZ36" s="6"/>
      <c r="BNA36" s="6"/>
      <c r="BNB36" s="6"/>
      <c r="BNC36" s="6"/>
      <c r="BND36" s="6"/>
      <c r="BNE36" s="6"/>
      <c r="BNF36" s="6"/>
      <c r="BNG36" s="6"/>
      <c r="BNH36" s="6"/>
      <c r="BNI36" s="6"/>
      <c r="BNJ36" s="6"/>
      <c r="BNK36" s="6"/>
      <c r="BNL36" s="6"/>
      <c r="BNM36" s="6"/>
      <c r="BNN36" s="6"/>
      <c r="BNO36" s="6"/>
      <c r="BNP36" s="6"/>
      <c r="BNQ36" s="6"/>
      <c r="BNR36" s="6"/>
      <c r="BNS36" s="6"/>
      <c r="BNT36" s="6"/>
      <c r="BNU36" s="6"/>
      <c r="BNV36" s="6"/>
      <c r="BNW36" s="6"/>
      <c r="BNX36" s="6"/>
      <c r="BNY36" s="6"/>
      <c r="BNZ36" s="6"/>
      <c r="BOA36" s="6"/>
      <c r="BOB36" s="6"/>
      <c r="BOC36" s="6"/>
      <c r="BOD36" s="6"/>
      <c r="BOE36" s="6"/>
      <c r="BOF36" s="6"/>
      <c r="BOG36" s="6"/>
      <c r="BOH36" s="6"/>
      <c r="BOI36" s="6"/>
      <c r="BOJ36" s="6"/>
      <c r="BOK36" s="6"/>
      <c r="BOL36" s="6"/>
      <c r="BOM36" s="6"/>
      <c r="BON36" s="6"/>
      <c r="BOO36" s="6"/>
      <c r="BOP36" s="6"/>
      <c r="BOQ36" s="6"/>
      <c r="BOR36" s="6"/>
      <c r="BOS36" s="6"/>
      <c r="BOT36" s="6"/>
      <c r="BOU36" s="6"/>
      <c r="BOV36" s="6"/>
      <c r="BOW36" s="6"/>
      <c r="BOX36" s="6"/>
      <c r="BOY36" s="6"/>
      <c r="BOZ36" s="6"/>
      <c r="BPA36" s="6"/>
      <c r="BPB36" s="6"/>
      <c r="BPC36" s="6"/>
      <c r="BPD36" s="6"/>
      <c r="BPE36" s="6"/>
      <c r="BPF36" s="6"/>
      <c r="BPG36" s="6"/>
      <c r="BPH36" s="6"/>
      <c r="BPI36" s="6"/>
      <c r="BPJ36" s="6"/>
      <c r="BPK36" s="6"/>
      <c r="BPL36" s="6"/>
      <c r="BPM36" s="6"/>
      <c r="BPN36" s="6"/>
      <c r="BPO36" s="6"/>
      <c r="BPP36" s="6"/>
      <c r="BPQ36" s="6"/>
      <c r="BPR36" s="6"/>
      <c r="BPS36" s="6"/>
      <c r="BPT36" s="6"/>
      <c r="BPU36" s="6"/>
      <c r="BPV36" s="6"/>
      <c r="BPW36" s="6"/>
      <c r="BPX36" s="6"/>
      <c r="BPY36" s="6"/>
      <c r="BPZ36" s="6"/>
      <c r="BQA36" s="6"/>
      <c r="BQB36" s="6"/>
      <c r="BQC36" s="6"/>
      <c r="BQD36" s="6"/>
      <c r="BQE36" s="6"/>
      <c r="BQF36" s="6"/>
      <c r="BQG36" s="6"/>
      <c r="BQH36" s="6"/>
      <c r="BQI36" s="6"/>
      <c r="BQJ36" s="6"/>
      <c r="BQK36" s="6"/>
      <c r="BQL36" s="6"/>
      <c r="BQM36" s="6"/>
      <c r="BQN36" s="6"/>
      <c r="BQO36" s="6"/>
      <c r="BQP36" s="6"/>
      <c r="BQQ36" s="6"/>
      <c r="BQR36" s="6"/>
      <c r="BQS36" s="6"/>
      <c r="BQT36" s="6"/>
      <c r="BQU36" s="6"/>
      <c r="BQV36" s="6"/>
      <c r="BQW36" s="6"/>
      <c r="BQX36" s="6"/>
      <c r="BQY36" s="6"/>
      <c r="BQZ36" s="6"/>
      <c r="BRA36" s="6"/>
      <c r="BRB36" s="6"/>
      <c r="BRC36" s="6"/>
      <c r="BRD36" s="6"/>
      <c r="BRE36" s="6"/>
      <c r="BRF36" s="6"/>
      <c r="BRG36" s="6"/>
      <c r="BRH36" s="6"/>
      <c r="BRI36" s="6"/>
      <c r="BRJ36" s="6"/>
      <c r="BRK36" s="6"/>
      <c r="BRL36" s="6"/>
      <c r="BRM36" s="6"/>
      <c r="BRN36" s="6"/>
      <c r="BRO36" s="6"/>
      <c r="BRP36" s="6"/>
      <c r="BRQ36" s="6"/>
      <c r="BRR36" s="6"/>
      <c r="BRS36" s="6"/>
      <c r="BRT36" s="6"/>
      <c r="BRU36" s="6"/>
      <c r="BRV36" s="6"/>
      <c r="BRW36" s="6"/>
      <c r="BRX36" s="6"/>
      <c r="BRY36" s="6"/>
      <c r="BRZ36" s="6"/>
      <c r="BSA36" s="6"/>
      <c r="BSB36" s="6"/>
      <c r="BSC36" s="6"/>
      <c r="BSD36" s="6"/>
      <c r="BSE36" s="6"/>
      <c r="BSF36" s="6"/>
      <c r="BSG36" s="6"/>
      <c r="BSH36" s="6"/>
      <c r="BSI36" s="6"/>
      <c r="BSJ36" s="6"/>
      <c r="BSK36" s="6"/>
      <c r="BSL36" s="6"/>
      <c r="BSM36" s="6"/>
      <c r="BSN36" s="6"/>
      <c r="BSO36" s="6"/>
      <c r="BSP36" s="6"/>
      <c r="BSQ36" s="6"/>
      <c r="BSR36" s="6"/>
      <c r="BSS36" s="6"/>
      <c r="BST36" s="6"/>
      <c r="BSU36" s="6"/>
      <c r="BSV36" s="6"/>
      <c r="BSW36" s="6"/>
      <c r="BSX36" s="6"/>
      <c r="BSY36" s="6"/>
      <c r="BSZ36" s="6"/>
      <c r="BTA36" s="6"/>
      <c r="BTB36" s="6"/>
      <c r="BTC36" s="6"/>
      <c r="BTD36" s="6"/>
      <c r="BTE36" s="6"/>
      <c r="BTF36" s="6"/>
      <c r="BTG36" s="6"/>
      <c r="BTH36" s="6"/>
      <c r="BTI36" s="6"/>
      <c r="BTJ36" s="6"/>
      <c r="BTK36" s="6"/>
      <c r="BTL36" s="6"/>
      <c r="BTM36" s="6"/>
      <c r="BTN36" s="6"/>
      <c r="BTO36" s="6"/>
      <c r="BTP36" s="6"/>
      <c r="BTQ36" s="6"/>
      <c r="BTR36" s="6"/>
      <c r="BTS36" s="6"/>
      <c r="BTT36" s="6"/>
      <c r="BTU36" s="6"/>
      <c r="BTV36" s="6"/>
      <c r="BTW36" s="6"/>
      <c r="BTX36" s="6"/>
      <c r="BTY36" s="6"/>
      <c r="BTZ36" s="6"/>
      <c r="BUA36" s="6"/>
      <c r="BUB36" s="6"/>
      <c r="BUC36" s="6"/>
      <c r="BUD36" s="6"/>
      <c r="BUE36" s="6"/>
      <c r="BUF36" s="6"/>
      <c r="BUG36" s="6"/>
      <c r="BUH36" s="6"/>
      <c r="BUI36" s="6"/>
      <c r="BUJ36" s="6"/>
      <c r="BUK36" s="6"/>
      <c r="BUL36" s="6"/>
      <c r="BUM36" s="6"/>
      <c r="BUN36" s="6"/>
      <c r="BUO36" s="6"/>
      <c r="BUP36" s="6"/>
      <c r="BUQ36" s="6"/>
      <c r="BUR36" s="6"/>
      <c r="BUS36" s="6"/>
      <c r="BUT36" s="6"/>
      <c r="BUU36" s="6"/>
      <c r="BUV36" s="6"/>
      <c r="BUW36" s="6"/>
      <c r="BUX36" s="6"/>
      <c r="BUY36" s="6"/>
      <c r="BUZ36" s="6"/>
      <c r="BVA36" s="6"/>
      <c r="BVB36" s="6"/>
      <c r="BVC36" s="6"/>
      <c r="BVD36" s="6"/>
      <c r="BVE36" s="6"/>
      <c r="BVF36" s="6"/>
      <c r="BVG36" s="6"/>
      <c r="BVH36" s="6"/>
      <c r="BVI36" s="6"/>
      <c r="BVJ36" s="6"/>
      <c r="BVK36" s="6"/>
      <c r="BVL36" s="6"/>
      <c r="BVM36" s="6"/>
      <c r="BVN36" s="6"/>
      <c r="BVO36" s="6"/>
      <c r="BVP36" s="6"/>
      <c r="BVQ36" s="6"/>
      <c r="BVR36" s="6"/>
      <c r="BVS36" s="6"/>
      <c r="BVT36" s="6"/>
      <c r="BVU36" s="6"/>
      <c r="BVV36" s="6"/>
      <c r="BVW36" s="6"/>
      <c r="BVX36" s="6"/>
      <c r="BVY36" s="6"/>
      <c r="BVZ36" s="6"/>
      <c r="BWA36" s="6"/>
      <c r="BWB36" s="6"/>
      <c r="BWC36" s="6"/>
      <c r="BWD36" s="6"/>
      <c r="BWE36" s="6"/>
      <c r="BWF36" s="6"/>
      <c r="BWG36" s="6"/>
      <c r="BWH36" s="6"/>
      <c r="BWI36" s="6"/>
      <c r="BWJ36" s="6"/>
      <c r="BWK36" s="6"/>
      <c r="BWL36" s="6"/>
      <c r="BWM36" s="6"/>
      <c r="BWN36" s="6"/>
      <c r="BWO36" s="6"/>
      <c r="BWP36" s="6"/>
      <c r="BWQ36" s="6"/>
      <c r="BWR36" s="6"/>
      <c r="BWS36" s="6"/>
      <c r="BWT36" s="6"/>
      <c r="BWU36" s="6"/>
      <c r="BWV36" s="6"/>
      <c r="BWW36" s="6"/>
      <c r="BWX36" s="6"/>
      <c r="BWY36" s="6"/>
      <c r="BWZ36" s="6"/>
      <c r="BXA36" s="6"/>
      <c r="BXB36" s="6"/>
      <c r="BXC36" s="6"/>
      <c r="BXD36" s="6"/>
      <c r="BXE36" s="6"/>
      <c r="BXF36" s="6"/>
      <c r="BXG36" s="6"/>
      <c r="BXH36" s="6"/>
      <c r="BXI36" s="6"/>
      <c r="BXJ36" s="6"/>
      <c r="BXK36" s="6"/>
      <c r="BXL36" s="6"/>
      <c r="BXM36" s="6"/>
      <c r="BXN36" s="6"/>
      <c r="BXO36" s="6"/>
      <c r="BXP36" s="6"/>
      <c r="BXQ36" s="6"/>
      <c r="BXR36" s="6"/>
      <c r="BXS36" s="6"/>
      <c r="BXT36" s="6"/>
      <c r="BXU36" s="6"/>
      <c r="BXV36" s="6"/>
      <c r="BXW36" s="6"/>
      <c r="BXX36" s="6"/>
      <c r="BXY36" s="6"/>
      <c r="BXZ36" s="6"/>
      <c r="BYA36" s="6"/>
      <c r="BYB36" s="6"/>
      <c r="BYC36" s="6"/>
      <c r="BYD36" s="6"/>
      <c r="BYE36" s="6"/>
      <c r="BYF36" s="6"/>
      <c r="BYG36" s="6"/>
      <c r="BYH36" s="6"/>
      <c r="BYI36" s="6"/>
      <c r="BYJ36" s="6"/>
      <c r="BYK36" s="6"/>
      <c r="BYL36" s="6"/>
      <c r="BYM36" s="6"/>
      <c r="BYN36" s="6"/>
      <c r="BYO36" s="6"/>
      <c r="BYP36" s="6"/>
      <c r="BYQ36" s="6"/>
      <c r="BYR36" s="6"/>
      <c r="BYS36" s="6"/>
      <c r="BYT36" s="6"/>
      <c r="BYU36" s="6"/>
      <c r="BYV36" s="6"/>
      <c r="BYW36" s="6"/>
      <c r="BYX36" s="6"/>
      <c r="BYY36" s="6"/>
      <c r="BYZ36" s="6"/>
      <c r="BZA36" s="6"/>
      <c r="BZB36" s="6"/>
      <c r="BZC36" s="6"/>
      <c r="BZD36" s="6"/>
      <c r="BZE36" s="6"/>
      <c r="BZF36" s="6"/>
      <c r="BZG36" s="6"/>
      <c r="BZH36" s="6"/>
      <c r="BZI36" s="6"/>
      <c r="BZJ36" s="6"/>
      <c r="BZK36" s="6"/>
      <c r="BZL36" s="6"/>
      <c r="BZM36" s="6"/>
      <c r="BZN36" s="6"/>
      <c r="BZO36" s="6"/>
      <c r="BZP36" s="6"/>
      <c r="BZQ36" s="6"/>
      <c r="BZR36" s="6"/>
      <c r="BZS36" s="6"/>
      <c r="BZT36" s="6"/>
      <c r="BZU36" s="6"/>
      <c r="BZV36" s="6"/>
      <c r="BZW36" s="6"/>
      <c r="BZX36" s="6"/>
      <c r="BZY36" s="6"/>
      <c r="BZZ36" s="6"/>
      <c r="CAA36" s="6"/>
      <c r="CAB36" s="6"/>
      <c r="CAC36" s="6"/>
      <c r="CAD36" s="6"/>
      <c r="CAE36" s="6"/>
      <c r="CAF36" s="6"/>
      <c r="CAG36" s="6"/>
      <c r="CAH36" s="6"/>
      <c r="CAI36" s="6"/>
      <c r="CAJ36" s="6"/>
      <c r="CAK36" s="6"/>
      <c r="CAL36" s="6"/>
      <c r="CAM36" s="6"/>
      <c r="CAN36" s="6"/>
      <c r="CAO36" s="6"/>
      <c r="CAP36" s="6"/>
      <c r="CAQ36" s="6"/>
      <c r="CAR36" s="6"/>
      <c r="CAS36" s="6"/>
      <c r="CAT36" s="6"/>
      <c r="CAU36" s="6"/>
      <c r="CAV36" s="6"/>
      <c r="CAW36" s="6"/>
      <c r="CAX36" s="6"/>
      <c r="CAY36" s="6"/>
      <c r="CAZ36" s="6"/>
      <c r="CBA36" s="6"/>
      <c r="CBB36" s="6"/>
      <c r="CBC36" s="6"/>
      <c r="CBD36" s="6"/>
      <c r="CBE36" s="6"/>
      <c r="CBF36" s="6"/>
      <c r="CBG36" s="6"/>
      <c r="CBH36" s="6"/>
      <c r="CBI36" s="6"/>
      <c r="CBJ36" s="6"/>
      <c r="CBK36" s="6"/>
      <c r="CBL36" s="6"/>
      <c r="CBM36" s="6"/>
      <c r="CBN36" s="6"/>
      <c r="CBO36" s="6"/>
      <c r="CBP36" s="6"/>
      <c r="CBQ36" s="6"/>
      <c r="CBR36" s="6"/>
      <c r="CBS36" s="6"/>
      <c r="CBT36" s="6"/>
      <c r="CBU36" s="6"/>
      <c r="CBV36" s="6"/>
      <c r="CBW36" s="6"/>
      <c r="CBX36" s="6"/>
      <c r="CBY36" s="6"/>
      <c r="CBZ36" s="6"/>
      <c r="CCA36" s="6"/>
      <c r="CCB36" s="6"/>
      <c r="CCC36" s="6"/>
      <c r="CCD36" s="6"/>
      <c r="CCE36" s="6"/>
      <c r="CCF36" s="6"/>
      <c r="CCG36" s="6"/>
      <c r="CCH36" s="6"/>
      <c r="CCI36" s="6"/>
      <c r="CCJ36" s="6"/>
      <c r="CCK36" s="6"/>
      <c r="CCL36" s="6"/>
      <c r="CCM36" s="6"/>
      <c r="CCN36" s="6"/>
      <c r="CCO36" s="6"/>
      <c r="CCP36" s="6"/>
      <c r="CCQ36" s="6"/>
      <c r="CCR36" s="6"/>
      <c r="CCS36" s="6"/>
      <c r="CCT36" s="6"/>
      <c r="CCU36" s="6"/>
      <c r="CCV36" s="6"/>
      <c r="CCW36" s="6"/>
      <c r="CCX36" s="6"/>
      <c r="CCY36" s="6"/>
      <c r="CCZ36" s="6"/>
      <c r="CDA36" s="6"/>
      <c r="CDB36" s="6"/>
      <c r="CDC36" s="6"/>
      <c r="CDD36" s="6"/>
      <c r="CDE36" s="6"/>
      <c r="CDF36" s="6"/>
      <c r="CDG36" s="6"/>
      <c r="CDH36" s="6"/>
      <c r="CDI36" s="6"/>
      <c r="CDJ36" s="6"/>
      <c r="CDK36" s="6"/>
      <c r="CDL36" s="6"/>
      <c r="CDM36" s="6"/>
      <c r="CDN36" s="6"/>
      <c r="CDO36" s="6"/>
      <c r="CDP36" s="6"/>
      <c r="CDQ36" s="6"/>
      <c r="CDR36" s="6"/>
      <c r="CDS36" s="6"/>
      <c r="CDT36" s="6"/>
      <c r="CDU36" s="6"/>
      <c r="CDV36" s="6"/>
      <c r="CDW36" s="6"/>
      <c r="CDX36" s="6"/>
      <c r="CDY36" s="6"/>
      <c r="CDZ36" s="6"/>
      <c r="CEA36" s="6"/>
      <c r="CEB36" s="6"/>
      <c r="CEC36" s="6"/>
      <c r="CED36" s="6"/>
      <c r="CEE36" s="6"/>
      <c r="CEF36" s="6"/>
      <c r="CEG36" s="6"/>
      <c r="CEH36" s="6"/>
      <c r="CEI36" s="6"/>
      <c r="CEJ36" s="6"/>
      <c r="CEK36" s="6"/>
      <c r="CEL36" s="6"/>
      <c r="CEM36" s="6"/>
      <c r="CEN36" s="6"/>
      <c r="CEO36" s="6"/>
      <c r="CEP36" s="6"/>
      <c r="CEQ36" s="6"/>
      <c r="CER36" s="6"/>
      <c r="CES36" s="6"/>
      <c r="CET36" s="6"/>
      <c r="CEU36" s="6"/>
      <c r="CEV36" s="6"/>
      <c r="CEW36" s="6"/>
      <c r="CEX36" s="6"/>
      <c r="CEY36" s="6"/>
      <c r="CEZ36" s="6"/>
      <c r="CFA36" s="6"/>
      <c r="CFB36" s="6"/>
      <c r="CFC36" s="6"/>
      <c r="CFD36" s="6"/>
      <c r="CFE36" s="6"/>
      <c r="CFF36" s="6"/>
      <c r="CFG36" s="6"/>
      <c r="CFH36" s="6"/>
      <c r="CFI36" s="6"/>
      <c r="CFJ36" s="6"/>
      <c r="CFK36" s="6"/>
      <c r="CFL36" s="6"/>
      <c r="CFM36" s="6"/>
      <c r="CFN36" s="6"/>
      <c r="CFO36" s="6"/>
      <c r="CFP36" s="6"/>
      <c r="CFQ36" s="6"/>
      <c r="CFR36" s="6"/>
      <c r="CFS36" s="6"/>
      <c r="CFT36" s="6"/>
      <c r="CFU36" s="6"/>
      <c r="CFV36" s="6"/>
      <c r="CFW36" s="6"/>
      <c r="CFX36" s="6"/>
      <c r="CFY36" s="6"/>
      <c r="CFZ36" s="6"/>
      <c r="CGA36" s="6"/>
      <c r="CGB36" s="6"/>
      <c r="CGC36" s="6"/>
      <c r="CGD36" s="6"/>
      <c r="CGE36" s="6"/>
      <c r="CGF36" s="6"/>
      <c r="CGG36" s="6"/>
      <c r="CGH36" s="6"/>
      <c r="CGI36" s="6"/>
      <c r="CGJ36" s="6"/>
      <c r="CGK36" s="6"/>
      <c r="CGL36" s="6"/>
      <c r="CGM36" s="6"/>
      <c r="CGN36" s="6"/>
      <c r="CGO36" s="6"/>
      <c r="CGP36" s="6"/>
      <c r="CGQ36" s="6"/>
      <c r="CGR36" s="6"/>
      <c r="CGS36" s="6"/>
      <c r="CGT36" s="6"/>
      <c r="CGU36" s="6"/>
      <c r="CGV36" s="6"/>
      <c r="CGW36" s="6"/>
      <c r="CGX36" s="6"/>
      <c r="CGY36" s="6"/>
      <c r="CGZ36" s="6"/>
      <c r="CHA36" s="6"/>
      <c r="CHB36" s="6"/>
      <c r="CHC36" s="6"/>
      <c r="CHD36" s="6"/>
      <c r="CHE36" s="6"/>
      <c r="CHF36" s="6"/>
      <c r="CHG36" s="6"/>
      <c r="CHH36" s="6"/>
      <c r="CHI36" s="6"/>
      <c r="CHJ36" s="6"/>
      <c r="CHK36" s="6"/>
      <c r="CHL36" s="6"/>
      <c r="CHM36" s="6"/>
      <c r="CHN36" s="6"/>
      <c r="CHO36" s="6"/>
      <c r="CHP36" s="6"/>
      <c r="CHQ36" s="6"/>
      <c r="CHR36" s="6"/>
      <c r="CHS36" s="6"/>
      <c r="CHT36" s="6"/>
      <c r="CHU36" s="6"/>
      <c r="CHV36" s="6"/>
      <c r="CHW36" s="6"/>
      <c r="CHX36" s="6"/>
      <c r="CHY36" s="6"/>
      <c r="CHZ36" s="6"/>
      <c r="CIA36" s="6"/>
      <c r="CIB36" s="6"/>
      <c r="CIC36" s="6"/>
      <c r="CID36" s="6"/>
      <c r="CIE36" s="6"/>
      <c r="CIF36" s="6"/>
      <c r="CIG36" s="6"/>
      <c r="CIH36" s="6"/>
      <c r="CII36" s="6"/>
      <c r="CIJ36" s="6"/>
      <c r="CIK36" s="6"/>
      <c r="CIL36" s="6"/>
      <c r="CIM36" s="6"/>
      <c r="CIN36" s="6"/>
      <c r="CIO36" s="6"/>
      <c r="CIP36" s="6"/>
      <c r="CIQ36" s="6"/>
      <c r="CIR36" s="6"/>
      <c r="CIS36" s="6"/>
      <c r="CIT36" s="6"/>
      <c r="CIU36" s="6"/>
      <c r="CIV36" s="6"/>
      <c r="CIW36" s="6"/>
      <c r="CIX36" s="6"/>
      <c r="CIY36" s="6"/>
      <c r="CIZ36" s="6"/>
      <c r="CJA36" s="6"/>
      <c r="CJB36" s="6"/>
      <c r="CJC36" s="6"/>
      <c r="CJD36" s="6"/>
      <c r="CJE36" s="6"/>
      <c r="CJF36" s="6"/>
      <c r="CJG36" s="6"/>
      <c r="CJH36" s="6"/>
      <c r="CJI36" s="6"/>
      <c r="CJJ36" s="6"/>
      <c r="CJK36" s="6"/>
      <c r="CJL36" s="6"/>
      <c r="CJM36" s="6"/>
      <c r="CJN36" s="6"/>
      <c r="CJO36" s="6"/>
      <c r="CJP36" s="6"/>
      <c r="CJQ36" s="6"/>
      <c r="CJR36" s="6"/>
      <c r="CJS36" s="6"/>
      <c r="CJT36" s="6"/>
      <c r="CJU36" s="6"/>
      <c r="CJV36" s="6"/>
      <c r="CJW36" s="6"/>
      <c r="CJX36" s="6"/>
      <c r="CJY36" s="6"/>
      <c r="CJZ36" s="6"/>
      <c r="CKA36" s="6"/>
      <c r="CKB36" s="6"/>
      <c r="CKC36" s="6"/>
      <c r="CKD36" s="6"/>
      <c r="CKE36" s="6"/>
      <c r="CKF36" s="6"/>
      <c r="CKG36" s="6"/>
      <c r="CKH36" s="6"/>
      <c r="CKI36" s="6"/>
      <c r="CKJ36" s="6"/>
      <c r="CKK36" s="6"/>
      <c r="CKL36" s="6"/>
      <c r="CKM36" s="6"/>
      <c r="CKN36" s="6"/>
      <c r="CKO36" s="6"/>
      <c r="CKP36" s="6"/>
      <c r="CKQ36" s="6"/>
      <c r="CKR36" s="6"/>
      <c r="CKS36" s="6"/>
      <c r="CKT36" s="6"/>
      <c r="CKU36" s="6"/>
      <c r="CKV36" s="6"/>
      <c r="CKW36" s="6"/>
      <c r="CKX36" s="6"/>
      <c r="CKY36" s="6"/>
      <c r="CKZ36" s="6"/>
      <c r="CLA36" s="6"/>
      <c r="CLB36" s="6"/>
      <c r="CLC36" s="6"/>
      <c r="CLD36" s="6"/>
      <c r="CLE36" s="6"/>
      <c r="CLF36" s="6"/>
      <c r="CLG36" s="6"/>
      <c r="CLH36" s="6"/>
      <c r="CLI36" s="6"/>
      <c r="CLJ36" s="6"/>
      <c r="CLK36" s="6"/>
      <c r="CLL36" s="6"/>
      <c r="CLM36" s="6"/>
      <c r="CLN36" s="6"/>
      <c r="CLO36" s="6"/>
      <c r="CLP36" s="6"/>
      <c r="CLQ36" s="6"/>
      <c r="CLR36" s="6"/>
      <c r="CLS36" s="6"/>
      <c r="CLT36" s="6"/>
      <c r="CLU36" s="6"/>
      <c r="CLV36" s="6"/>
      <c r="CLW36" s="6"/>
      <c r="CLX36" s="6"/>
      <c r="CLY36" s="6"/>
      <c r="CLZ36" s="6"/>
      <c r="CMA36" s="6"/>
      <c r="CMB36" s="6"/>
      <c r="CMC36" s="6"/>
      <c r="CMD36" s="6"/>
      <c r="CME36" s="6"/>
      <c r="CMF36" s="6"/>
      <c r="CMG36" s="6"/>
      <c r="CMH36" s="6"/>
      <c r="CMI36" s="6"/>
      <c r="CMJ36" s="6"/>
      <c r="CMK36" s="6"/>
      <c r="CML36" s="6"/>
      <c r="CMM36" s="6"/>
      <c r="CMN36" s="6"/>
      <c r="CMO36" s="6"/>
      <c r="CMP36" s="6"/>
      <c r="CMQ36" s="6"/>
      <c r="CMR36" s="6"/>
      <c r="CMS36" s="6"/>
      <c r="CMT36" s="6"/>
      <c r="CMU36" s="6"/>
      <c r="CMV36" s="6"/>
      <c r="CMW36" s="6"/>
      <c r="CMX36" s="6"/>
      <c r="CMY36" s="6"/>
      <c r="CMZ36" s="6"/>
      <c r="CNA36" s="6"/>
      <c r="CNB36" s="6"/>
      <c r="CNC36" s="6"/>
      <c r="CND36" s="6"/>
      <c r="CNE36" s="6"/>
      <c r="CNF36" s="6"/>
      <c r="CNG36" s="6"/>
      <c r="CNH36" s="6"/>
      <c r="CNI36" s="6"/>
      <c r="CNJ36" s="6"/>
      <c r="CNK36" s="6"/>
      <c r="CNL36" s="6"/>
      <c r="CNM36" s="6"/>
      <c r="CNN36" s="6"/>
      <c r="CNO36" s="6"/>
      <c r="CNP36" s="6"/>
      <c r="CNQ36" s="6"/>
      <c r="CNR36" s="6"/>
      <c r="CNS36" s="6"/>
      <c r="CNT36" s="6"/>
      <c r="CNU36" s="6"/>
      <c r="CNV36" s="6"/>
      <c r="CNW36" s="6"/>
      <c r="CNX36" s="6"/>
      <c r="CNY36" s="6"/>
      <c r="CNZ36" s="6"/>
      <c r="COA36" s="6"/>
      <c r="COB36" s="6"/>
      <c r="COC36" s="6"/>
      <c r="COD36" s="6"/>
      <c r="COE36" s="6"/>
      <c r="COF36" s="6"/>
      <c r="COG36" s="6"/>
      <c r="COH36" s="6"/>
      <c r="COI36" s="6"/>
      <c r="COJ36" s="6"/>
      <c r="COK36" s="6"/>
      <c r="COL36" s="6"/>
      <c r="COM36" s="6"/>
      <c r="CON36" s="6"/>
      <c r="COO36" s="6"/>
      <c r="COP36" s="6"/>
      <c r="COQ36" s="6"/>
      <c r="COR36" s="6"/>
      <c r="COS36" s="6"/>
      <c r="COT36" s="6"/>
      <c r="COU36" s="6"/>
      <c r="COV36" s="6"/>
      <c r="COW36" s="6"/>
      <c r="COX36" s="6"/>
      <c r="COY36" s="6"/>
      <c r="COZ36" s="6"/>
      <c r="CPA36" s="6"/>
      <c r="CPB36" s="6"/>
      <c r="CPC36" s="6"/>
      <c r="CPD36" s="6"/>
      <c r="CPE36" s="6"/>
      <c r="CPF36" s="6"/>
      <c r="CPG36" s="6"/>
      <c r="CPH36" s="6"/>
      <c r="CPI36" s="6"/>
      <c r="CPJ36" s="6"/>
      <c r="CPK36" s="6"/>
      <c r="CPL36" s="6"/>
      <c r="CPM36" s="6"/>
      <c r="CPN36" s="6"/>
      <c r="CPO36" s="6"/>
      <c r="CPP36" s="6"/>
      <c r="CPQ36" s="6"/>
      <c r="CPR36" s="6"/>
      <c r="CPS36" s="6"/>
      <c r="CPT36" s="6"/>
      <c r="CPU36" s="6"/>
      <c r="CPV36" s="6"/>
      <c r="CPW36" s="6"/>
      <c r="CPX36" s="6"/>
      <c r="CPY36" s="6"/>
      <c r="CPZ36" s="6"/>
      <c r="CQA36" s="6"/>
      <c r="CQB36" s="6"/>
      <c r="CQC36" s="6"/>
      <c r="CQD36" s="6"/>
      <c r="CQE36" s="6"/>
      <c r="CQF36" s="6"/>
      <c r="CQG36" s="6"/>
      <c r="CQH36" s="6"/>
      <c r="CQI36" s="6"/>
      <c r="CQJ36" s="6"/>
      <c r="CQK36" s="6"/>
      <c r="CQL36" s="6"/>
      <c r="CQM36" s="6"/>
      <c r="CQN36" s="6"/>
      <c r="CQO36" s="6"/>
      <c r="CQP36" s="6"/>
      <c r="CQQ36" s="6"/>
      <c r="CQR36" s="6"/>
      <c r="CQS36" s="6"/>
      <c r="CQT36" s="6"/>
      <c r="CQU36" s="6"/>
      <c r="CQV36" s="6"/>
      <c r="CQW36" s="6"/>
      <c r="CQX36" s="6"/>
      <c r="CQY36" s="6"/>
      <c r="CQZ36" s="6"/>
      <c r="CRA36" s="6"/>
      <c r="CRB36" s="6"/>
      <c r="CRC36" s="6"/>
      <c r="CRD36" s="6"/>
      <c r="CRE36" s="6"/>
      <c r="CRF36" s="6"/>
      <c r="CRG36" s="6"/>
      <c r="CRH36" s="6"/>
      <c r="CRI36" s="6"/>
      <c r="CRJ36" s="6"/>
      <c r="CRK36" s="6"/>
      <c r="CRL36" s="6"/>
      <c r="CRM36" s="6"/>
      <c r="CRN36" s="6"/>
      <c r="CRO36" s="6"/>
      <c r="CRP36" s="6"/>
      <c r="CRQ36" s="6"/>
      <c r="CRR36" s="6"/>
      <c r="CRS36" s="6"/>
      <c r="CRT36" s="6"/>
      <c r="CRU36" s="6"/>
      <c r="CRV36" s="6"/>
      <c r="CRW36" s="6"/>
      <c r="CRX36" s="6"/>
      <c r="CRY36" s="6"/>
      <c r="CRZ36" s="6"/>
      <c r="CSA36" s="6"/>
      <c r="CSB36" s="6"/>
      <c r="CSC36" s="6"/>
      <c r="CSD36" s="6"/>
      <c r="CSE36" s="6"/>
      <c r="CSF36" s="6"/>
      <c r="CSG36" s="6"/>
      <c r="CSH36" s="6"/>
      <c r="CSI36" s="6"/>
      <c r="CSJ36" s="6"/>
      <c r="CSK36" s="6"/>
      <c r="CSL36" s="6"/>
      <c r="CSM36" s="6"/>
      <c r="CSN36" s="6"/>
      <c r="CSO36" s="6"/>
      <c r="CSP36" s="6"/>
      <c r="CSQ36" s="6"/>
      <c r="CSR36" s="6"/>
      <c r="CSS36" s="6"/>
      <c r="CST36" s="6"/>
      <c r="CSU36" s="6"/>
      <c r="CSV36" s="6"/>
      <c r="CSW36" s="6"/>
      <c r="CSX36" s="6"/>
      <c r="CSY36" s="6"/>
      <c r="CSZ36" s="6"/>
      <c r="CTA36" s="6"/>
      <c r="CTB36" s="6"/>
      <c r="CTC36" s="6"/>
      <c r="CTD36" s="6"/>
      <c r="CTE36" s="6"/>
      <c r="CTF36" s="6"/>
      <c r="CTG36" s="6"/>
      <c r="CTH36" s="6"/>
      <c r="CTI36" s="6"/>
      <c r="CTJ36" s="6"/>
      <c r="CTK36" s="6"/>
      <c r="CTL36" s="6"/>
      <c r="CTM36" s="6"/>
      <c r="CTN36" s="6"/>
      <c r="CTO36" s="6"/>
      <c r="CTP36" s="6"/>
      <c r="CTQ36" s="6"/>
      <c r="CTR36" s="6"/>
      <c r="CTS36" s="6"/>
      <c r="CTT36" s="6"/>
      <c r="CTU36" s="6"/>
      <c r="CTV36" s="6"/>
      <c r="CTW36" s="6"/>
      <c r="CTX36" s="6"/>
      <c r="CTY36" s="6"/>
      <c r="CTZ36" s="6"/>
      <c r="CUA36" s="6"/>
      <c r="CUB36" s="6"/>
      <c r="CUC36" s="6"/>
      <c r="CUD36" s="6"/>
      <c r="CUE36" s="6"/>
      <c r="CUF36" s="6"/>
      <c r="CUG36" s="6"/>
      <c r="CUH36" s="6"/>
      <c r="CUI36" s="6"/>
      <c r="CUJ36" s="6"/>
      <c r="CUK36" s="6"/>
      <c r="CUL36" s="6"/>
      <c r="CUM36" s="6"/>
      <c r="CUN36" s="6"/>
      <c r="CUO36" s="6"/>
      <c r="CUP36" s="6"/>
      <c r="CUQ36" s="6"/>
      <c r="CUR36" s="6"/>
      <c r="CUS36" s="6"/>
      <c r="CUT36" s="6"/>
      <c r="CUU36" s="6"/>
      <c r="CUV36" s="6"/>
      <c r="CUW36" s="6"/>
      <c r="CUX36" s="6"/>
      <c r="CUY36" s="6"/>
      <c r="CUZ36" s="6"/>
      <c r="CVA36" s="6"/>
      <c r="CVB36" s="6"/>
      <c r="CVC36" s="6"/>
      <c r="CVD36" s="6"/>
      <c r="CVE36" s="6"/>
      <c r="CVF36" s="6"/>
      <c r="CVG36" s="6"/>
      <c r="CVH36" s="6"/>
      <c r="CVI36" s="6"/>
      <c r="CVJ36" s="6"/>
      <c r="CVK36" s="6"/>
      <c r="CVL36" s="6"/>
      <c r="CVM36" s="6"/>
      <c r="CVN36" s="6"/>
      <c r="CVO36" s="6"/>
      <c r="CVP36" s="6"/>
      <c r="CVQ36" s="6"/>
      <c r="CVR36" s="6"/>
      <c r="CVS36" s="6"/>
      <c r="CVT36" s="6"/>
      <c r="CVU36" s="6"/>
      <c r="CVV36" s="6"/>
      <c r="CVW36" s="6"/>
      <c r="CVX36" s="6"/>
      <c r="CVY36" s="6"/>
      <c r="CVZ36" s="6"/>
      <c r="CWA36" s="6"/>
      <c r="CWB36" s="6"/>
      <c r="CWC36" s="6"/>
      <c r="CWD36" s="6"/>
      <c r="CWE36" s="6"/>
      <c r="CWF36" s="6"/>
      <c r="CWG36" s="6"/>
      <c r="CWH36" s="6"/>
      <c r="CWI36" s="6"/>
      <c r="CWJ36" s="6"/>
      <c r="CWK36" s="6"/>
      <c r="CWL36" s="6"/>
      <c r="CWM36" s="6"/>
      <c r="CWN36" s="6"/>
      <c r="CWO36" s="6"/>
      <c r="CWP36" s="6"/>
      <c r="CWQ36" s="6"/>
      <c r="CWR36" s="6"/>
      <c r="CWS36" s="6"/>
      <c r="CWT36" s="6"/>
      <c r="CWU36" s="6"/>
      <c r="CWV36" s="6"/>
      <c r="CWW36" s="6"/>
      <c r="CWX36" s="6"/>
      <c r="CWY36" s="6"/>
      <c r="CWZ36" s="6"/>
      <c r="CXA36" s="6"/>
      <c r="CXB36" s="6"/>
      <c r="CXC36" s="6"/>
      <c r="CXD36" s="6"/>
      <c r="CXE36" s="6"/>
      <c r="CXF36" s="6"/>
      <c r="CXG36" s="6"/>
      <c r="CXH36" s="6"/>
      <c r="CXI36" s="6"/>
      <c r="CXJ36" s="6"/>
      <c r="CXK36" s="6"/>
      <c r="CXL36" s="6"/>
      <c r="CXM36" s="6"/>
      <c r="CXN36" s="6"/>
      <c r="CXO36" s="6"/>
      <c r="CXP36" s="6"/>
      <c r="CXQ36" s="6"/>
      <c r="CXR36" s="6"/>
      <c r="CXS36" s="6"/>
      <c r="CXT36" s="6"/>
      <c r="CXU36" s="6"/>
      <c r="CXV36" s="6"/>
      <c r="CXW36" s="6"/>
      <c r="CXX36" s="6"/>
      <c r="CXY36" s="6"/>
      <c r="CXZ36" s="6"/>
      <c r="CYA36" s="6"/>
      <c r="CYB36" s="6"/>
      <c r="CYC36" s="6"/>
      <c r="CYD36" s="6"/>
      <c r="CYE36" s="6"/>
      <c r="CYF36" s="6"/>
      <c r="CYG36" s="6"/>
      <c r="CYH36" s="6"/>
      <c r="CYI36" s="6"/>
      <c r="CYJ36" s="6"/>
      <c r="CYK36" s="6"/>
      <c r="CYL36" s="6"/>
      <c r="CYM36" s="6"/>
      <c r="CYN36" s="6"/>
      <c r="CYO36" s="6"/>
      <c r="CYP36" s="6"/>
      <c r="CYQ36" s="6"/>
      <c r="CYR36" s="6"/>
      <c r="CYS36" s="6"/>
      <c r="CYT36" s="6"/>
      <c r="CYU36" s="6"/>
      <c r="CYV36" s="6"/>
      <c r="CYW36" s="6"/>
      <c r="CYX36" s="6"/>
      <c r="CYY36" s="6"/>
      <c r="CYZ36" s="6"/>
      <c r="CZA36" s="6"/>
      <c r="CZB36" s="6"/>
      <c r="CZC36" s="6"/>
      <c r="CZD36" s="6"/>
      <c r="CZE36" s="6"/>
      <c r="CZF36" s="6"/>
      <c r="CZG36" s="6"/>
      <c r="CZH36" s="6"/>
      <c r="CZI36" s="6"/>
      <c r="CZJ36" s="6"/>
      <c r="CZK36" s="6"/>
      <c r="CZL36" s="6"/>
      <c r="CZM36" s="6"/>
      <c r="CZN36" s="6"/>
      <c r="CZO36" s="6"/>
      <c r="CZP36" s="6"/>
      <c r="CZQ36" s="6"/>
      <c r="CZR36" s="6"/>
      <c r="CZS36" s="6"/>
      <c r="CZT36" s="6"/>
      <c r="CZU36" s="6"/>
      <c r="CZV36" s="6"/>
      <c r="CZW36" s="6"/>
      <c r="CZX36" s="6"/>
      <c r="CZY36" s="6"/>
      <c r="CZZ36" s="6"/>
      <c r="DAA36" s="6"/>
      <c r="DAB36" s="6"/>
      <c r="DAC36" s="6"/>
      <c r="DAD36" s="6"/>
      <c r="DAE36" s="6"/>
      <c r="DAF36" s="6"/>
      <c r="DAG36" s="6"/>
      <c r="DAH36" s="6"/>
      <c r="DAI36" s="6"/>
      <c r="DAJ36" s="6"/>
      <c r="DAK36" s="6"/>
      <c r="DAL36" s="6"/>
      <c r="DAM36" s="6"/>
      <c r="DAN36" s="6"/>
      <c r="DAO36" s="6"/>
      <c r="DAP36" s="6"/>
      <c r="DAQ36" s="6"/>
      <c r="DAR36" s="6"/>
      <c r="DAS36" s="6"/>
      <c r="DAT36" s="6"/>
      <c r="DAU36" s="6"/>
      <c r="DAV36" s="6"/>
      <c r="DAW36" s="6"/>
      <c r="DAX36" s="6"/>
      <c r="DAY36" s="6"/>
      <c r="DAZ36" s="6"/>
      <c r="DBA36" s="6"/>
      <c r="DBB36" s="6"/>
      <c r="DBC36" s="6"/>
      <c r="DBD36" s="6"/>
      <c r="DBE36" s="6"/>
      <c r="DBF36" s="6"/>
      <c r="DBG36" s="6"/>
      <c r="DBH36" s="6"/>
      <c r="DBI36" s="6"/>
      <c r="DBJ36" s="6"/>
      <c r="DBK36" s="6"/>
      <c r="DBL36" s="6"/>
      <c r="DBM36" s="6"/>
      <c r="DBN36" s="6"/>
      <c r="DBO36" s="6"/>
      <c r="DBP36" s="6"/>
      <c r="DBQ36" s="6"/>
      <c r="DBR36" s="6"/>
      <c r="DBS36" s="6"/>
      <c r="DBT36" s="6"/>
      <c r="DBU36" s="6"/>
      <c r="DBV36" s="6"/>
      <c r="DBW36" s="6"/>
      <c r="DBX36" s="6"/>
      <c r="DBY36" s="6"/>
      <c r="DBZ36" s="6"/>
      <c r="DCA36" s="6"/>
      <c r="DCB36" s="6"/>
      <c r="DCC36" s="6"/>
      <c r="DCD36" s="6"/>
      <c r="DCE36" s="6"/>
      <c r="DCF36" s="6"/>
      <c r="DCG36" s="6"/>
      <c r="DCH36" s="6"/>
      <c r="DCI36" s="6"/>
      <c r="DCJ36" s="6"/>
      <c r="DCK36" s="6"/>
      <c r="DCL36" s="6"/>
      <c r="DCM36" s="6"/>
      <c r="DCN36" s="6"/>
      <c r="DCO36" s="6"/>
      <c r="DCP36" s="6"/>
      <c r="DCQ36" s="6"/>
      <c r="DCR36" s="6"/>
      <c r="DCS36" s="6"/>
      <c r="DCT36" s="6"/>
      <c r="DCU36" s="6"/>
      <c r="DCV36" s="6"/>
      <c r="DCW36" s="6"/>
      <c r="DCX36" s="6"/>
      <c r="DCY36" s="6"/>
      <c r="DCZ36" s="6"/>
      <c r="DDA36" s="6"/>
      <c r="DDB36" s="6"/>
      <c r="DDC36" s="6"/>
      <c r="DDD36" s="6"/>
      <c r="DDE36" s="6"/>
      <c r="DDF36" s="6"/>
      <c r="DDG36" s="6"/>
      <c r="DDH36" s="6"/>
      <c r="DDI36" s="6"/>
      <c r="DDJ36" s="6"/>
      <c r="DDK36" s="6"/>
      <c r="DDL36" s="6"/>
      <c r="DDM36" s="6"/>
      <c r="DDN36" s="6"/>
      <c r="DDO36" s="6"/>
      <c r="DDP36" s="6"/>
      <c r="DDQ36" s="6"/>
      <c r="DDR36" s="6"/>
      <c r="DDS36" s="6"/>
      <c r="DDT36" s="6"/>
      <c r="DDU36" s="6"/>
      <c r="DDV36" s="6"/>
      <c r="DDW36" s="6"/>
      <c r="DDX36" s="6"/>
      <c r="DDY36" s="6"/>
      <c r="DDZ36" s="6"/>
      <c r="DEA36" s="6"/>
      <c r="DEB36" s="6"/>
      <c r="DEC36" s="6"/>
      <c r="DED36" s="6"/>
      <c r="DEE36" s="6"/>
      <c r="DEF36" s="6"/>
      <c r="DEG36" s="6"/>
      <c r="DEH36" s="6"/>
      <c r="DEI36" s="6"/>
      <c r="DEJ36" s="6"/>
      <c r="DEK36" s="6"/>
      <c r="DEL36" s="6"/>
      <c r="DEM36" s="6"/>
      <c r="DEN36" s="6"/>
      <c r="DEO36" s="6"/>
      <c r="DEP36" s="6"/>
      <c r="DEQ36" s="6"/>
      <c r="DER36" s="6"/>
      <c r="DES36" s="6"/>
      <c r="DET36" s="6"/>
      <c r="DEU36" s="6"/>
      <c r="DEV36" s="6"/>
      <c r="DEW36" s="6"/>
      <c r="DEX36" s="6"/>
      <c r="DEY36" s="6"/>
      <c r="DEZ36" s="6"/>
      <c r="DFA36" s="6"/>
      <c r="DFB36" s="6"/>
      <c r="DFC36" s="6"/>
      <c r="DFD36" s="6"/>
      <c r="DFE36" s="6"/>
      <c r="DFF36" s="6"/>
      <c r="DFG36" s="6"/>
      <c r="DFH36" s="6"/>
      <c r="DFI36" s="6"/>
      <c r="DFJ36" s="6"/>
      <c r="DFK36" s="6"/>
      <c r="DFL36" s="6"/>
      <c r="DFM36" s="6"/>
      <c r="DFN36" s="6"/>
      <c r="DFO36" s="6"/>
      <c r="DFP36" s="6"/>
      <c r="DFQ36" s="6"/>
      <c r="DFR36" s="6"/>
      <c r="DFS36" s="6"/>
      <c r="DFT36" s="6"/>
      <c r="DFU36" s="6"/>
      <c r="DFV36" s="6"/>
      <c r="DFW36" s="6"/>
      <c r="DFX36" s="6"/>
      <c r="DFY36" s="6"/>
      <c r="DFZ36" s="6"/>
      <c r="DGA36" s="6"/>
      <c r="DGB36" s="6"/>
      <c r="DGC36" s="6"/>
      <c r="DGD36" s="6"/>
      <c r="DGE36" s="6"/>
      <c r="DGF36" s="6"/>
      <c r="DGG36" s="6"/>
      <c r="DGH36" s="6"/>
      <c r="DGI36" s="6"/>
      <c r="DGJ36" s="6"/>
      <c r="DGK36" s="6"/>
      <c r="DGL36" s="6"/>
      <c r="DGM36" s="6"/>
      <c r="DGN36" s="6"/>
      <c r="DGO36" s="6"/>
      <c r="DGP36" s="6"/>
      <c r="DGQ36" s="6"/>
      <c r="DGR36" s="6"/>
      <c r="DGS36" s="6"/>
      <c r="DGT36" s="6"/>
      <c r="DGU36" s="6"/>
      <c r="DGV36" s="6"/>
      <c r="DGW36" s="6"/>
      <c r="DGX36" s="6"/>
      <c r="DGY36" s="6"/>
      <c r="DGZ36" s="6"/>
      <c r="DHA36" s="6"/>
      <c r="DHB36" s="6"/>
      <c r="DHC36" s="6"/>
      <c r="DHD36" s="6"/>
      <c r="DHE36" s="6"/>
      <c r="DHF36" s="6"/>
      <c r="DHG36" s="6"/>
      <c r="DHH36" s="6"/>
      <c r="DHI36" s="6"/>
      <c r="DHJ36" s="6"/>
      <c r="DHK36" s="6"/>
      <c r="DHL36" s="6"/>
      <c r="DHM36" s="6"/>
      <c r="DHN36" s="6"/>
      <c r="DHO36" s="6"/>
      <c r="DHP36" s="6"/>
      <c r="DHQ36" s="6"/>
      <c r="DHR36" s="6"/>
      <c r="DHS36" s="6"/>
      <c r="DHT36" s="6"/>
      <c r="DHU36" s="6"/>
      <c r="DHV36" s="6"/>
      <c r="DHW36" s="6"/>
      <c r="DHX36" s="6"/>
      <c r="DHY36" s="6"/>
      <c r="DHZ36" s="6"/>
      <c r="DIA36" s="6"/>
      <c r="DIB36" s="6"/>
      <c r="DIC36" s="6"/>
      <c r="DID36" s="6"/>
      <c r="DIE36" s="6"/>
      <c r="DIF36" s="6"/>
      <c r="DIG36" s="6"/>
      <c r="DIH36" s="6"/>
      <c r="DII36" s="6"/>
      <c r="DIJ36" s="6"/>
      <c r="DIK36" s="6"/>
      <c r="DIL36" s="6"/>
      <c r="DIM36" s="6"/>
      <c r="DIN36" s="6"/>
      <c r="DIO36" s="6"/>
      <c r="DIP36" s="6"/>
      <c r="DIQ36" s="6"/>
      <c r="DIR36" s="6"/>
      <c r="DIS36" s="6"/>
      <c r="DIT36" s="6"/>
      <c r="DIU36" s="6"/>
      <c r="DIV36" s="6"/>
      <c r="DIW36" s="6"/>
      <c r="DIX36" s="6"/>
      <c r="DIY36" s="6"/>
      <c r="DIZ36" s="6"/>
      <c r="DJA36" s="6"/>
      <c r="DJB36" s="6"/>
      <c r="DJC36" s="6"/>
      <c r="DJD36" s="6"/>
      <c r="DJE36" s="6"/>
      <c r="DJF36" s="6"/>
      <c r="DJG36" s="6"/>
      <c r="DJH36" s="6"/>
      <c r="DJI36" s="6"/>
      <c r="DJJ36" s="6"/>
      <c r="DJK36" s="6"/>
      <c r="DJL36" s="6"/>
      <c r="DJM36" s="6"/>
      <c r="DJN36" s="6"/>
      <c r="DJO36" s="6"/>
      <c r="DJP36" s="6"/>
      <c r="DJQ36" s="6"/>
      <c r="DJR36" s="6"/>
      <c r="DJS36" s="6"/>
      <c r="DJT36" s="6"/>
      <c r="DJU36" s="6"/>
      <c r="DJV36" s="6"/>
      <c r="DJW36" s="6"/>
      <c r="DJX36" s="6"/>
      <c r="DJY36" s="6"/>
      <c r="DJZ36" s="6"/>
      <c r="DKA36" s="6"/>
      <c r="DKB36" s="6"/>
      <c r="DKC36" s="6"/>
      <c r="DKD36" s="6"/>
      <c r="DKE36" s="6"/>
      <c r="DKF36" s="6"/>
      <c r="DKG36" s="6"/>
      <c r="DKH36" s="6"/>
      <c r="DKI36" s="6"/>
      <c r="DKJ36" s="6"/>
      <c r="DKK36" s="6"/>
      <c r="DKL36" s="6"/>
      <c r="DKM36" s="6"/>
      <c r="DKN36" s="6"/>
      <c r="DKO36" s="6"/>
      <c r="DKP36" s="6"/>
      <c r="DKQ36" s="6"/>
      <c r="DKR36" s="6"/>
      <c r="DKS36" s="6"/>
      <c r="DKT36" s="6"/>
      <c r="DKU36" s="6"/>
      <c r="DKV36" s="6"/>
      <c r="DKW36" s="6"/>
      <c r="DKX36" s="6"/>
      <c r="DKY36" s="6"/>
      <c r="DKZ36" s="6"/>
      <c r="DLA36" s="6"/>
      <c r="DLB36" s="6"/>
      <c r="DLC36" s="6"/>
      <c r="DLD36" s="6"/>
      <c r="DLE36" s="6"/>
      <c r="DLF36" s="6"/>
      <c r="DLG36" s="6"/>
      <c r="DLH36" s="6"/>
      <c r="DLI36" s="6"/>
      <c r="DLJ36" s="6"/>
      <c r="DLK36" s="6"/>
      <c r="DLL36" s="6"/>
      <c r="DLM36" s="6"/>
      <c r="DLN36" s="6"/>
      <c r="DLO36" s="6"/>
      <c r="DLP36" s="6"/>
      <c r="DLQ36" s="6"/>
      <c r="DLR36" s="6"/>
      <c r="DLS36" s="6"/>
      <c r="DLT36" s="6"/>
      <c r="DLU36" s="6"/>
      <c r="DLV36" s="6"/>
      <c r="DLW36" s="6"/>
      <c r="DLX36" s="6"/>
      <c r="DLY36" s="6"/>
      <c r="DLZ36" s="6"/>
      <c r="DMA36" s="6"/>
      <c r="DMB36" s="6"/>
      <c r="DMC36" s="6"/>
      <c r="DMD36" s="6"/>
      <c r="DME36" s="6"/>
      <c r="DMF36" s="6"/>
      <c r="DMG36" s="6"/>
      <c r="DMH36" s="6"/>
      <c r="DMI36" s="6"/>
      <c r="DMJ36" s="6"/>
      <c r="DMK36" s="6"/>
      <c r="DML36" s="6"/>
      <c r="DMM36" s="6"/>
      <c r="DMN36" s="6"/>
      <c r="DMO36" s="6"/>
      <c r="DMP36" s="6"/>
      <c r="DMQ36" s="6"/>
      <c r="DMR36" s="6"/>
      <c r="DMS36" s="6"/>
      <c r="DMT36" s="6"/>
      <c r="DMU36" s="6"/>
      <c r="DMV36" s="6"/>
      <c r="DMW36" s="6"/>
      <c r="DMX36" s="6"/>
      <c r="DMY36" s="6"/>
      <c r="DMZ36" s="6"/>
      <c r="DNA36" s="6"/>
      <c r="DNB36" s="6"/>
      <c r="DNC36" s="6"/>
      <c r="DND36" s="6"/>
      <c r="DNE36" s="6"/>
      <c r="DNF36" s="6"/>
      <c r="DNG36" s="6"/>
      <c r="DNH36" s="6"/>
      <c r="DNI36" s="6"/>
      <c r="DNJ36" s="6"/>
      <c r="DNK36" s="6"/>
      <c r="DNL36" s="6"/>
      <c r="DNM36" s="6"/>
      <c r="DNN36" s="6"/>
      <c r="DNO36" s="6"/>
      <c r="DNP36" s="6"/>
      <c r="DNQ36" s="6"/>
      <c r="DNR36" s="6"/>
      <c r="DNS36" s="6"/>
      <c r="DNT36" s="6"/>
      <c r="DNU36" s="6"/>
      <c r="DNV36" s="6"/>
      <c r="DNW36" s="6"/>
      <c r="DNX36" s="6"/>
      <c r="DNY36" s="6"/>
      <c r="DNZ36" s="6"/>
      <c r="DOA36" s="6"/>
      <c r="DOB36" s="6"/>
      <c r="DOC36" s="6"/>
      <c r="DOD36" s="6"/>
      <c r="DOE36" s="6"/>
      <c r="DOF36" s="6"/>
      <c r="DOG36" s="6"/>
      <c r="DOH36" s="6"/>
      <c r="DOI36" s="6"/>
      <c r="DOJ36" s="6"/>
      <c r="DOK36" s="6"/>
      <c r="DOL36" s="6"/>
      <c r="DOM36" s="6"/>
      <c r="DON36" s="6"/>
      <c r="DOO36" s="6"/>
      <c r="DOP36" s="6"/>
      <c r="DOQ36" s="6"/>
      <c r="DOR36" s="6"/>
      <c r="DOS36" s="6"/>
      <c r="DOT36" s="6"/>
      <c r="DOU36" s="6"/>
      <c r="DOV36" s="6"/>
      <c r="DOW36" s="6"/>
      <c r="DOX36" s="6"/>
      <c r="DOY36" s="6"/>
      <c r="DOZ36" s="6"/>
      <c r="DPA36" s="6"/>
      <c r="DPB36" s="6"/>
      <c r="DPC36" s="6"/>
      <c r="DPD36" s="6"/>
      <c r="DPE36" s="6"/>
      <c r="DPF36" s="6"/>
      <c r="DPG36" s="6"/>
      <c r="DPH36" s="6"/>
      <c r="DPI36" s="6"/>
      <c r="DPJ36" s="6"/>
      <c r="DPK36" s="6"/>
      <c r="DPL36" s="6"/>
      <c r="DPM36" s="6"/>
      <c r="DPN36" s="6"/>
      <c r="DPO36" s="6"/>
      <c r="DPP36" s="6"/>
      <c r="DPQ36" s="6"/>
      <c r="DPR36" s="6"/>
      <c r="DPS36" s="6"/>
      <c r="DPT36" s="6"/>
      <c r="DPU36" s="6"/>
      <c r="DPV36" s="6"/>
      <c r="DPW36" s="6"/>
      <c r="DPX36" s="6"/>
      <c r="DPY36" s="6"/>
      <c r="DPZ36" s="6"/>
      <c r="DQA36" s="6"/>
      <c r="DQB36" s="6"/>
      <c r="DQC36" s="6"/>
      <c r="DQD36" s="6"/>
      <c r="DQE36" s="6"/>
      <c r="DQF36" s="6"/>
      <c r="DQG36" s="6"/>
      <c r="DQH36" s="6"/>
      <c r="DQI36" s="6"/>
      <c r="DQJ36" s="6"/>
      <c r="DQK36" s="6"/>
      <c r="DQL36" s="6"/>
      <c r="DQM36" s="6"/>
      <c r="DQN36" s="6"/>
      <c r="DQO36" s="6"/>
      <c r="DQP36" s="6"/>
      <c r="DQQ36" s="6"/>
      <c r="DQR36" s="6"/>
      <c r="DQS36" s="6"/>
      <c r="DQT36" s="6"/>
      <c r="DQU36" s="6"/>
      <c r="DQV36" s="6"/>
      <c r="DQW36" s="6"/>
      <c r="DQX36" s="6"/>
      <c r="DQY36" s="6"/>
      <c r="DQZ36" s="6"/>
      <c r="DRA36" s="6"/>
      <c r="DRB36" s="6"/>
      <c r="DRC36" s="6"/>
      <c r="DRD36" s="6"/>
      <c r="DRE36" s="6"/>
      <c r="DRF36" s="6"/>
      <c r="DRG36" s="6"/>
      <c r="DRH36" s="6"/>
      <c r="DRI36" s="6"/>
      <c r="DRJ36" s="6"/>
      <c r="DRK36" s="6"/>
      <c r="DRL36" s="6"/>
      <c r="DRM36" s="6"/>
      <c r="DRN36" s="6"/>
      <c r="DRO36" s="6"/>
      <c r="DRP36" s="6"/>
      <c r="DRQ36" s="6"/>
      <c r="DRR36" s="6"/>
      <c r="DRS36" s="6"/>
      <c r="DRT36" s="6"/>
      <c r="DRU36" s="6"/>
      <c r="DRV36" s="6"/>
      <c r="DRW36" s="6"/>
      <c r="DRX36" s="6"/>
      <c r="DRY36" s="6"/>
      <c r="DRZ36" s="6"/>
      <c r="DSA36" s="6"/>
      <c r="DSB36" s="6"/>
      <c r="DSC36" s="6"/>
      <c r="DSD36" s="6"/>
      <c r="DSE36" s="6"/>
      <c r="DSF36" s="6"/>
      <c r="DSG36" s="6"/>
      <c r="DSH36" s="6"/>
      <c r="DSI36" s="6"/>
      <c r="DSJ36" s="6"/>
      <c r="DSK36" s="6"/>
      <c r="DSL36" s="6"/>
      <c r="DSM36" s="6"/>
      <c r="DSN36" s="6"/>
      <c r="DSO36" s="6"/>
      <c r="DSP36" s="6"/>
      <c r="DSQ36" s="6"/>
      <c r="DSR36" s="6"/>
      <c r="DSS36" s="6"/>
      <c r="DST36" s="6"/>
      <c r="DSU36" s="6"/>
      <c r="DSV36" s="6"/>
      <c r="DSW36" s="6"/>
      <c r="DSX36" s="6"/>
      <c r="DSY36" s="6"/>
      <c r="DSZ36" s="6"/>
      <c r="DTA36" s="6"/>
      <c r="DTB36" s="6"/>
      <c r="DTC36" s="6"/>
      <c r="DTD36" s="6"/>
      <c r="DTE36" s="6"/>
      <c r="DTF36" s="6"/>
      <c r="DTG36" s="6"/>
      <c r="DTH36" s="6"/>
      <c r="DTI36" s="6"/>
      <c r="DTJ36" s="6"/>
      <c r="DTK36" s="6"/>
      <c r="DTL36" s="6"/>
      <c r="DTM36" s="6"/>
      <c r="DTN36" s="6"/>
      <c r="DTO36" s="6"/>
      <c r="DTP36" s="6"/>
      <c r="DTQ36" s="6"/>
      <c r="DTR36" s="6"/>
      <c r="DTS36" s="6"/>
      <c r="DTT36" s="6"/>
      <c r="DTU36" s="6"/>
      <c r="DTV36" s="6"/>
      <c r="DTW36" s="6"/>
      <c r="DTX36" s="6"/>
      <c r="DTY36" s="6"/>
      <c r="DTZ36" s="6"/>
      <c r="DUA36" s="6"/>
      <c r="DUB36" s="6"/>
      <c r="DUC36" s="6"/>
      <c r="DUD36" s="6"/>
      <c r="DUE36" s="6"/>
      <c r="DUF36" s="6"/>
      <c r="DUG36" s="6"/>
      <c r="DUH36" s="6"/>
      <c r="DUI36" s="6"/>
      <c r="DUJ36" s="6"/>
      <c r="DUK36" s="6"/>
      <c r="DUL36" s="6"/>
      <c r="DUM36" s="6"/>
      <c r="DUN36" s="6"/>
      <c r="DUO36" s="6"/>
      <c r="DUP36" s="6"/>
      <c r="DUQ36" s="6"/>
      <c r="DUR36" s="6"/>
      <c r="DUS36" s="6"/>
      <c r="DUT36" s="6"/>
      <c r="DUU36" s="6"/>
      <c r="DUV36" s="6"/>
      <c r="DUW36" s="6"/>
      <c r="DUX36" s="6"/>
      <c r="DUY36" s="6"/>
      <c r="DUZ36" s="6"/>
      <c r="DVA36" s="6"/>
      <c r="DVB36" s="6"/>
      <c r="DVC36" s="6"/>
      <c r="DVD36" s="6"/>
      <c r="DVE36" s="6"/>
      <c r="DVF36" s="6"/>
      <c r="DVG36" s="6"/>
      <c r="DVH36" s="6"/>
      <c r="DVI36" s="6"/>
      <c r="DVJ36" s="6"/>
      <c r="DVK36" s="6"/>
      <c r="DVL36" s="6"/>
      <c r="DVM36" s="6"/>
      <c r="DVN36" s="6"/>
      <c r="DVO36" s="6"/>
      <c r="DVP36" s="6"/>
      <c r="DVQ36" s="6"/>
      <c r="DVR36" s="6"/>
      <c r="DVS36" s="6"/>
      <c r="DVT36" s="6"/>
      <c r="DVU36" s="6"/>
      <c r="DVV36" s="6"/>
      <c r="DVW36" s="6"/>
      <c r="DVX36" s="6"/>
      <c r="DVY36" s="6"/>
      <c r="DVZ36" s="6"/>
      <c r="DWA36" s="6"/>
      <c r="DWB36" s="6"/>
      <c r="DWC36" s="6"/>
      <c r="DWD36" s="6"/>
      <c r="DWE36" s="6"/>
      <c r="DWF36" s="6"/>
      <c r="DWG36" s="6"/>
      <c r="DWH36" s="6"/>
      <c r="DWI36" s="6"/>
      <c r="DWJ36" s="6"/>
      <c r="DWK36" s="6"/>
      <c r="DWL36" s="6"/>
      <c r="DWM36" s="6"/>
      <c r="DWN36" s="6"/>
      <c r="DWO36" s="6"/>
      <c r="DWP36" s="6"/>
      <c r="DWQ36" s="6"/>
      <c r="DWR36" s="6"/>
      <c r="DWS36" s="6"/>
      <c r="DWT36" s="6"/>
      <c r="DWU36" s="6"/>
      <c r="DWV36" s="6"/>
      <c r="DWW36" s="6"/>
      <c r="DWX36" s="6"/>
      <c r="DWY36" s="6"/>
      <c r="DWZ36" s="6"/>
      <c r="DXA36" s="6"/>
      <c r="DXB36" s="6"/>
      <c r="DXC36" s="6"/>
      <c r="DXD36" s="6"/>
      <c r="DXE36" s="6"/>
      <c r="DXF36" s="6"/>
      <c r="DXG36" s="6"/>
      <c r="DXH36" s="6"/>
      <c r="DXI36" s="6"/>
      <c r="DXJ36" s="6"/>
      <c r="DXK36" s="6"/>
      <c r="DXL36" s="6"/>
      <c r="DXM36" s="6"/>
      <c r="DXN36" s="6"/>
      <c r="DXO36" s="6"/>
      <c r="DXP36" s="6"/>
      <c r="DXQ36" s="6"/>
      <c r="DXR36" s="6"/>
      <c r="DXS36" s="6"/>
      <c r="DXT36" s="6"/>
      <c r="DXU36" s="6"/>
      <c r="DXV36" s="6"/>
      <c r="DXW36" s="6"/>
      <c r="DXX36" s="6"/>
      <c r="DXY36" s="6"/>
      <c r="DXZ36" s="6"/>
      <c r="DYA36" s="6"/>
      <c r="DYB36" s="6"/>
      <c r="DYC36" s="6"/>
      <c r="DYD36" s="6"/>
      <c r="DYE36" s="6"/>
      <c r="DYF36" s="6"/>
      <c r="DYG36" s="6"/>
      <c r="DYH36" s="6"/>
      <c r="DYI36" s="6"/>
      <c r="DYJ36" s="6"/>
      <c r="DYK36" s="6"/>
      <c r="DYL36" s="6"/>
      <c r="DYM36" s="6"/>
      <c r="DYN36" s="6"/>
      <c r="DYO36" s="6"/>
      <c r="DYP36" s="6"/>
      <c r="DYQ36" s="6"/>
      <c r="DYR36" s="6"/>
      <c r="DYS36" s="6"/>
      <c r="DYT36" s="6"/>
      <c r="DYU36" s="6"/>
      <c r="DYV36" s="6"/>
      <c r="DYW36" s="6"/>
      <c r="DYX36" s="6"/>
      <c r="DYY36" s="6"/>
      <c r="DYZ36" s="6"/>
      <c r="DZA36" s="6"/>
      <c r="DZB36" s="6"/>
      <c r="DZC36" s="6"/>
      <c r="DZD36" s="6"/>
      <c r="DZE36" s="6"/>
      <c r="DZF36" s="6"/>
      <c r="DZG36" s="6"/>
      <c r="DZH36" s="6"/>
      <c r="DZI36" s="6"/>
      <c r="DZJ36" s="6"/>
      <c r="DZK36" s="6"/>
      <c r="DZL36" s="6"/>
      <c r="DZM36" s="6"/>
      <c r="DZN36" s="6"/>
      <c r="DZO36" s="6"/>
      <c r="DZP36" s="6"/>
      <c r="DZQ36" s="6"/>
      <c r="DZR36" s="6"/>
      <c r="DZS36" s="6"/>
      <c r="DZT36" s="6"/>
      <c r="DZU36" s="6"/>
      <c r="DZV36" s="6"/>
      <c r="DZW36" s="6"/>
      <c r="DZX36" s="6"/>
      <c r="DZY36" s="6"/>
      <c r="DZZ36" s="6"/>
      <c r="EAA36" s="6"/>
      <c r="EAB36" s="6"/>
      <c r="EAC36" s="6"/>
      <c r="EAD36" s="6"/>
      <c r="EAE36" s="6"/>
      <c r="EAF36" s="6"/>
      <c r="EAG36" s="6"/>
      <c r="EAH36" s="6"/>
      <c r="EAI36" s="6"/>
      <c r="EAJ36" s="6"/>
      <c r="EAK36" s="6"/>
      <c r="EAL36" s="6"/>
      <c r="EAM36" s="6"/>
      <c r="EAN36" s="6"/>
      <c r="EAO36" s="6"/>
      <c r="EAP36" s="6"/>
      <c r="EAQ36" s="6"/>
      <c r="EAR36" s="6"/>
      <c r="EAS36" s="6"/>
      <c r="EAT36" s="6"/>
      <c r="EAU36" s="6"/>
      <c r="EAV36" s="6"/>
      <c r="EAW36" s="6"/>
      <c r="EAX36" s="6"/>
      <c r="EAY36" s="6"/>
      <c r="EAZ36" s="6"/>
      <c r="EBA36" s="6"/>
      <c r="EBB36" s="6"/>
      <c r="EBC36" s="6"/>
      <c r="EBD36" s="6"/>
      <c r="EBE36" s="6"/>
      <c r="EBF36" s="6"/>
      <c r="EBG36" s="6"/>
      <c r="EBH36" s="6"/>
      <c r="EBI36" s="6"/>
      <c r="EBJ36" s="6"/>
      <c r="EBK36" s="6"/>
      <c r="EBL36" s="6"/>
      <c r="EBM36" s="6"/>
      <c r="EBN36" s="6"/>
      <c r="EBO36" s="6"/>
      <c r="EBP36" s="6"/>
      <c r="EBQ36" s="6"/>
      <c r="EBR36" s="6"/>
      <c r="EBS36" s="6"/>
      <c r="EBT36" s="6"/>
      <c r="EBU36" s="6"/>
      <c r="EBV36" s="6"/>
      <c r="EBW36" s="6"/>
      <c r="EBX36" s="6"/>
      <c r="EBY36" s="6"/>
      <c r="EBZ36" s="6"/>
      <c r="ECA36" s="6"/>
      <c r="ECB36" s="6"/>
      <c r="ECC36" s="6"/>
      <c r="ECD36" s="6"/>
      <c r="ECE36" s="6"/>
      <c r="ECF36" s="6"/>
      <c r="ECG36" s="6"/>
      <c r="ECH36" s="6"/>
      <c r="ECI36" s="6"/>
      <c r="ECJ36" s="6"/>
      <c r="ECK36" s="6"/>
      <c r="ECL36" s="6"/>
      <c r="ECM36" s="6"/>
      <c r="ECN36" s="6"/>
      <c r="ECO36" s="6"/>
      <c r="ECP36" s="6"/>
      <c r="ECQ36" s="6"/>
      <c r="ECR36" s="6"/>
      <c r="ECS36" s="6"/>
      <c r="ECT36" s="6"/>
      <c r="ECU36" s="6"/>
      <c r="ECV36" s="6"/>
      <c r="ECW36" s="6"/>
      <c r="ECX36" s="6"/>
      <c r="ECY36" s="6"/>
      <c r="ECZ36" s="6"/>
      <c r="EDA36" s="6"/>
      <c r="EDB36" s="6"/>
      <c r="EDC36" s="6"/>
      <c r="EDD36" s="6"/>
      <c r="EDE36" s="6"/>
      <c r="EDF36" s="6"/>
      <c r="EDG36" s="6"/>
      <c r="EDH36" s="6"/>
      <c r="EDI36" s="6"/>
      <c r="EDJ36" s="6"/>
      <c r="EDK36" s="6"/>
      <c r="EDL36" s="6"/>
      <c r="EDM36" s="6"/>
      <c r="EDN36" s="6"/>
      <c r="EDO36" s="6"/>
      <c r="EDP36" s="6"/>
      <c r="EDQ36" s="6"/>
      <c r="EDR36" s="6"/>
      <c r="EDS36" s="6"/>
      <c r="EDT36" s="6"/>
      <c r="EDU36" s="6"/>
      <c r="EDV36" s="6"/>
      <c r="EDW36" s="6"/>
      <c r="EDX36" s="6"/>
      <c r="EDY36" s="6"/>
      <c r="EDZ36" s="6"/>
      <c r="EEA36" s="6"/>
      <c r="EEB36" s="6"/>
      <c r="EEC36" s="6"/>
      <c r="EED36" s="6"/>
      <c r="EEE36" s="6"/>
      <c r="EEF36" s="6"/>
      <c r="EEG36" s="6"/>
      <c r="EEH36" s="6"/>
      <c r="EEI36" s="6"/>
      <c r="EEJ36" s="6"/>
      <c r="EEK36" s="6"/>
      <c r="EEL36" s="6"/>
      <c r="EEM36" s="6"/>
      <c r="EEN36" s="6"/>
      <c r="EEO36" s="6"/>
      <c r="EEP36" s="6"/>
      <c r="EEQ36" s="6"/>
      <c r="EER36" s="6"/>
      <c r="EES36" s="6"/>
      <c r="EET36" s="6"/>
      <c r="EEU36" s="6"/>
      <c r="EEV36" s="6"/>
      <c r="EEW36" s="6"/>
      <c r="EEX36" s="6"/>
      <c r="EEY36" s="6"/>
      <c r="EEZ36" s="6"/>
      <c r="EFA36" s="6"/>
      <c r="EFB36" s="6"/>
      <c r="EFC36" s="6"/>
      <c r="EFD36" s="6"/>
      <c r="EFE36" s="6"/>
      <c r="EFF36" s="6"/>
      <c r="EFG36" s="6"/>
      <c r="EFH36" s="6"/>
      <c r="EFI36" s="6"/>
      <c r="EFJ36" s="6"/>
      <c r="EFK36" s="6"/>
      <c r="EFL36" s="6"/>
      <c r="EFM36" s="6"/>
      <c r="EFN36" s="6"/>
      <c r="EFO36" s="6"/>
      <c r="EFP36" s="6"/>
      <c r="EFQ36" s="6"/>
      <c r="EFR36" s="6"/>
      <c r="EFS36" s="6"/>
      <c r="EFT36" s="6"/>
      <c r="EFU36" s="6"/>
      <c r="EFV36" s="6"/>
      <c r="EFW36" s="6"/>
      <c r="EFX36" s="6"/>
      <c r="EFY36" s="6"/>
      <c r="EFZ36" s="6"/>
      <c r="EGA36" s="6"/>
      <c r="EGB36" s="6"/>
      <c r="EGC36" s="6"/>
      <c r="EGD36" s="6"/>
      <c r="EGE36" s="6"/>
      <c r="EGF36" s="6"/>
      <c r="EGG36" s="6"/>
      <c r="EGH36" s="6"/>
      <c r="EGI36" s="6"/>
      <c r="EGJ36" s="6"/>
      <c r="EGK36" s="6"/>
      <c r="EGL36" s="6"/>
      <c r="EGM36" s="6"/>
      <c r="EGN36" s="6"/>
      <c r="EGO36" s="6"/>
      <c r="EGP36" s="6"/>
      <c r="EGQ36" s="6"/>
      <c r="EGR36" s="6"/>
      <c r="EGS36" s="6"/>
      <c r="EGT36" s="6"/>
      <c r="EGU36" s="6"/>
      <c r="EGV36" s="6"/>
      <c r="EGW36" s="6"/>
      <c r="EGX36" s="6"/>
      <c r="EGY36" s="6"/>
      <c r="EGZ36" s="6"/>
      <c r="EHA36" s="6"/>
      <c r="EHB36" s="6"/>
      <c r="EHC36" s="6"/>
      <c r="EHD36" s="6"/>
      <c r="EHE36" s="6"/>
      <c r="EHF36" s="6"/>
      <c r="EHG36" s="6"/>
      <c r="EHH36" s="6"/>
      <c r="EHI36" s="6"/>
      <c r="EHJ36" s="6"/>
      <c r="EHK36" s="6"/>
      <c r="EHL36" s="6"/>
      <c r="EHM36" s="6"/>
      <c r="EHN36" s="6"/>
      <c r="EHO36" s="6"/>
      <c r="EHP36" s="6"/>
      <c r="EHQ36" s="6"/>
      <c r="EHR36" s="6"/>
      <c r="EHS36" s="6"/>
      <c r="EHT36" s="6"/>
      <c r="EHU36" s="6"/>
      <c r="EHV36" s="6"/>
      <c r="EHW36" s="6"/>
      <c r="EHX36" s="6"/>
      <c r="EHY36" s="6"/>
      <c r="EHZ36" s="6"/>
      <c r="EIA36" s="6"/>
      <c r="EIB36" s="6"/>
      <c r="EIC36" s="6"/>
      <c r="EID36" s="6"/>
      <c r="EIE36" s="6"/>
      <c r="EIF36" s="6"/>
      <c r="EIG36" s="6"/>
      <c r="EIH36" s="6"/>
      <c r="EII36" s="6"/>
      <c r="EIJ36" s="6"/>
      <c r="EIK36" s="6"/>
      <c r="EIL36" s="6"/>
      <c r="EIM36" s="6"/>
      <c r="EIN36" s="6"/>
      <c r="EIO36" s="6"/>
      <c r="EIP36" s="6"/>
      <c r="EIQ36" s="6"/>
      <c r="EIR36" s="6"/>
      <c r="EIS36" s="6"/>
      <c r="EIT36" s="6"/>
      <c r="EIU36" s="6"/>
      <c r="EIV36" s="6"/>
      <c r="EIW36" s="6"/>
      <c r="EIX36" s="6"/>
      <c r="EIY36" s="6"/>
      <c r="EIZ36" s="6"/>
      <c r="EJA36" s="6"/>
      <c r="EJB36" s="6"/>
      <c r="EJC36" s="6"/>
      <c r="EJD36" s="6"/>
      <c r="EJE36" s="6"/>
      <c r="EJF36" s="6"/>
      <c r="EJG36" s="6"/>
      <c r="EJH36" s="6"/>
      <c r="EJI36" s="6"/>
      <c r="EJJ36" s="6"/>
      <c r="EJK36" s="6"/>
      <c r="EJL36" s="6"/>
      <c r="EJM36" s="6"/>
      <c r="EJN36" s="6"/>
      <c r="EJO36" s="6"/>
      <c r="EJP36" s="6"/>
      <c r="EJQ36" s="6"/>
      <c r="EJR36" s="6"/>
      <c r="EJS36" s="6"/>
      <c r="EJT36" s="6"/>
      <c r="EJU36" s="6"/>
      <c r="EJV36" s="6"/>
      <c r="EJW36" s="6"/>
      <c r="EJX36" s="6"/>
      <c r="EJY36" s="6"/>
      <c r="EJZ36" s="6"/>
      <c r="EKA36" s="6"/>
      <c r="EKB36" s="6"/>
      <c r="EKC36" s="6"/>
      <c r="EKD36" s="6"/>
      <c r="EKE36" s="6"/>
      <c r="EKF36" s="6"/>
      <c r="EKG36" s="6"/>
      <c r="EKH36" s="6"/>
      <c r="EKI36" s="6"/>
      <c r="EKJ36" s="6"/>
      <c r="EKK36" s="6"/>
      <c r="EKL36" s="6"/>
      <c r="EKM36" s="6"/>
      <c r="EKN36" s="6"/>
      <c r="EKO36" s="6"/>
      <c r="EKP36" s="6"/>
      <c r="EKQ36" s="6"/>
      <c r="EKR36" s="6"/>
      <c r="EKS36" s="6"/>
      <c r="EKT36" s="6"/>
      <c r="EKU36" s="6"/>
      <c r="EKV36" s="6"/>
      <c r="EKW36" s="6"/>
      <c r="EKX36" s="6"/>
      <c r="EKY36" s="6"/>
      <c r="EKZ36" s="6"/>
      <c r="ELA36" s="6"/>
      <c r="ELB36" s="6"/>
      <c r="ELC36" s="6"/>
      <c r="ELD36" s="6"/>
      <c r="ELE36" s="6"/>
      <c r="ELF36" s="6"/>
      <c r="ELG36" s="6"/>
      <c r="ELH36" s="6"/>
      <c r="ELI36" s="6"/>
      <c r="ELJ36" s="6"/>
      <c r="ELK36" s="6"/>
      <c r="ELL36" s="6"/>
      <c r="ELM36" s="6"/>
      <c r="ELN36" s="6"/>
      <c r="ELO36" s="6"/>
      <c r="ELP36" s="6"/>
      <c r="ELQ36" s="6"/>
      <c r="ELR36" s="6"/>
      <c r="ELS36" s="6"/>
      <c r="ELT36" s="6"/>
      <c r="ELU36" s="6"/>
      <c r="ELV36" s="6"/>
      <c r="ELW36" s="6"/>
      <c r="ELX36" s="6"/>
      <c r="ELY36" s="6"/>
      <c r="ELZ36" s="6"/>
      <c r="EMA36" s="6"/>
      <c r="EMB36" s="6"/>
      <c r="EMC36" s="6"/>
      <c r="EMD36" s="6"/>
      <c r="EME36" s="6"/>
      <c r="EMF36" s="6"/>
      <c r="EMG36" s="6"/>
      <c r="EMH36" s="6"/>
      <c r="EMI36" s="6"/>
      <c r="EMJ36" s="6"/>
      <c r="EMK36" s="6"/>
      <c r="EML36" s="6"/>
      <c r="EMM36" s="6"/>
      <c r="EMN36" s="6"/>
      <c r="EMO36" s="6"/>
      <c r="EMP36" s="6"/>
      <c r="EMQ36" s="6"/>
      <c r="EMR36" s="6"/>
      <c r="EMS36" s="6"/>
      <c r="EMT36" s="6"/>
      <c r="EMU36" s="6"/>
      <c r="EMV36" s="6"/>
      <c r="EMW36" s="6"/>
      <c r="EMX36" s="6"/>
      <c r="EMY36" s="6"/>
      <c r="EMZ36" s="6"/>
      <c r="ENA36" s="6"/>
      <c r="ENB36" s="6"/>
      <c r="ENC36" s="6"/>
      <c r="END36" s="6"/>
      <c r="ENE36" s="6"/>
      <c r="ENF36" s="6"/>
      <c r="ENG36" s="6"/>
      <c r="ENH36" s="6"/>
      <c r="ENI36" s="6"/>
      <c r="ENJ36" s="6"/>
      <c r="ENK36" s="6"/>
      <c r="ENL36" s="6"/>
      <c r="ENM36" s="6"/>
      <c r="ENN36" s="6"/>
      <c r="ENO36" s="6"/>
      <c r="ENP36" s="6"/>
      <c r="ENQ36" s="6"/>
      <c r="ENR36" s="6"/>
      <c r="ENS36" s="6"/>
      <c r="ENT36" s="6"/>
      <c r="ENU36" s="6"/>
      <c r="ENV36" s="6"/>
      <c r="ENW36" s="6"/>
      <c r="ENX36" s="6"/>
      <c r="ENY36" s="6"/>
      <c r="ENZ36" s="6"/>
      <c r="EOA36" s="6"/>
      <c r="EOB36" s="6"/>
      <c r="EOC36" s="6"/>
      <c r="EOD36" s="6"/>
      <c r="EOE36" s="6"/>
      <c r="EOF36" s="6"/>
      <c r="EOG36" s="6"/>
      <c r="EOH36" s="6"/>
      <c r="EOI36" s="6"/>
      <c r="EOJ36" s="6"/>
      <c r="EOK36" s="6"/>
      <c r="EOL36" s="6"/>
      <c r="EOM36" s="6"/>
      <c r="EON36" s="6"/>
      <c r="EOO36" s="6"/>
      <c r="EOP36" s="6"/>
      <c r="EOQ36" s="6"/>
      <c r="EOR36" s="6"/>
      <c r="EOS36" s="6"/>
      <c r="EOT36" s="6"/>
      <c r="EOU36" s="6"/>
      <c r="EOV36" s="6"/>
      <c r="EOW36" s="6"/>
      <c r="EOX36" s="6"/>
      <c r="EOY36" s="6"/>
      <c r="EOZ36" s="6"/>
      <c r="EPA36" s="6"/>
      <c r="EPB36" s="6"/>
      <c r="EPC36" s="6"/>
      <c r="EPD36" s="6"/>
      <c r="EPE36" s="6"/>
      <c r="EPF36" s="6"/>
      <c r="EPG36" s="6"/>
      <c r="EPH36" s="6"/>
      <c r="EPI36" s="6"/>
      <c r="EPJ36" s="6"/>
      <c r="EPK36" s="6"/>
      <c r="EPL36" s="6"/>
      <c r="EPM36" s="6"/>
      <c r="EPN36" s="6"/>
      <c r="EPO36" s="6"/>
      <c r="EPP36" s="6"/>
      <c r="EPQ36" s="6"/>
      <c r="EPR36" s="6"/>
      <c r="EPS36" s="6"/>
      <c r="EPT36" s="6"/>
      <c r="EPU36" s="6"/>
      <c r="EPV36" s="6"/>
      <c r="EPW36" s="6"/>
      <c r="EPX36" s="6"/>
      <c r="EPY36" s="6"/>
      <c r="EPZ36" s="6"/>
      <c r="EQA36" s="6"/>
      <c r="EQB36" s="6"/>
      <c r="EQC36" s="6"/>
      <c r="EQD36" s="6"/>
      <c r="EQE36" s="6"/>
      <c r="EQF36" s="6"/>
      <c r="EQG36" s="6"/>
      <c r="EQH36" s="6"/>
      <c r="EQI36" s="6"/>
      <c r="EQJ36" s="6"/>
      <c r="EQK36" s="6"/>
      <c r="EQL36" s="6"/>
      <c r="EQM36" s="6"/>
      <c r="EQN36" s="6"/>
      <c r="EQO36" s="6"/>
      <c r="EQP36" s="6"/>
      <c r="EQQ36" s="6"/>
      <c r="EQR36" s="6"/>
      <c r="EQS36" s="6"/>
      <c r="EQT36" s="6"/>
      <c r="EQU36" s="6"/>
      <c r="EQV36" s="6"/>
      <c r="EQW36" s="6"/>
      <c r="EQX36" s="6"/>
      <c r="EQY36" s="6"/>
      <c r="EQZ36" s="6"/>
      <c r="ERA36" s="6"/>
      <c r="ERB36" s="6"/>
      <c r="ERC36" s="6"/>
      <c r="ERD36" s="6"/>
      <c r="ERE36" s="6"/>
      <c r="ERF36" s="6"/>
      <c r="ERG36" s="6"/>
      <c r="ERH36" s="6"/>
      <c r="ERI36" s="6"/>
      <c r="ERJ36" s="6"/>
      <c r="ERK36" s="6"/>
      <c r="ERL36" s="6"/>
      <c r="ERM36" s="6"/>
      <c r="ERN36" s="6"/>
      <c r="ERO36" s="6"/>
      <c r="ERP36" s="6"/>
      <c r="ERQ36" s="6"/>
      <c r="ERR36" s="6"/>
      <c r="ERS36" s="6"/>
      <c r="ERT36" s="6"/>
      <c r="ERU36" s="6"/>
      <c r="ERV36" s="6"/>
      <c r="ERW36" s="6"/>
      <c r="ERX36" s="6"/>
      <c r="ERY36" s="6"/>
      <c r="ERZ36" s="6"/>
      <c r="ESA36" s="6"/>
      <c r="ESB36" s="6"/>
      <c r="ESC36" s="6"/>
      <c r="ESD36" s="6"/>
      <c r="ESE36" s="6"/>
      <c r="ESF36" s="6"/>
      <c r="ESG36" s="6"/>
      <c r="ESH36" s="6"/>
      <c r="ESI36" s="6"/>
      <c r="ESJ36" s="6"/>
      <c r="ESK36" s="6"/>
      <c r="ESL36" s="6"/>
      <c r="ESM36" s="6"/>
      <c r="ESN36" s="6"/>
      <c r="ESO36" s="6"/>
      <c r="ESP36" s="6"/>
      <c r="ESQ36" s="6"/>
      <c r="ESR36" s="6"/>
      <c r="ESS36" s="6"/>
      <c r="EST36" s="6"/>
      <c r="ESU36" s="6"/>
      <c r="ESV36" s="6"/>
      <c r="ESW36" s="6"/>
      <c r="ESX36" s="6"/>
      <c r="ESY36" s="6"/>
      <c r="ESZ36" s="6"/>
      <c r="ETA36" s="6"/>
      <c r="ETB36" s="6"/>
      <c r="ETC36" s="6"/>
      <c r="ETD36" s="6"/>
      <c r="ETE36" s="6"/>
      <c r="ETF36" s="6"/>
      <c r="ETG36" s="6"/>
      <c r="ETH36" s="6"/>
      <c r="ETI36" s="6"/>
      <c r="ETJ36" s="6"/>
      <c r="ETK36" s="6"/>
      <c r="ETL36" s="6"/>
      <c r="ETM36" s="6"/>
      <c r="ETN36" s="6"/>
      <c r="ETO36" s="6"/>
      <c r="ETP36" s="6"/>
      <c r="ETQ36" s="6"/>
      <c r="ETR36" s="6"/>
      <c r="ETS36" s="6"/>
      <c r="ETT36" s="6"/>
      <c r="ETU36" s="6"/>
      <c r="ETV36" s="6"/>
      <c r="ETW36" s="6"/>
      <c r="ETX36" s="6"/>
      <c r="ETY36" s="6"/>
      <c r="ETZ36" s="6"/>
      <c r="EUA36" s="6"/>
      <c r="EUB36" s="6"/>
      <c r="EUC36" s="6"/>
      <c r="EUD36" s="6"/>
      <c r="EUE36" s="6"/>
      <c r="EUF36" s="6"/>
      <c r="EUG36" s="6"/>
      <c r="EUH36" s="6"/>
      <c r="EUI36" s="6"/>
      <c r="EUJ36" s="6"/>
      <c r="EUK36" s="6"/>
      <c r="EUL36" s="6"/>
      <c r="EUM36" s="6"/>
      <c r="EUN36" s="6"/>
      <c r="EUO36" s="6"/>
      <c r="EUP36" s="6"/>
      <c r="EUQ36" s="6"/>
      <c r="EUR36" s="6"/>
      <c r="EUS36" s="6"/>
      <c r="EUT36" s="6"/>
      <c r="EUU36" s="6"/>
      <c r="EUV36" s="6"/>
      <c r="EUW36" s="6"/>
      <c r="EUX36" s="6"/>
      <c r="EUY36" s="6"/>
      <c r="EUZ36" s="6"/>
      <c r="EVA36" s="6"/>
      <c r="EVB36" s="6"/>
      <c r="EVC36" s="6"/>
      <c r="EVD36" s="6"/>
      <c r="EVE36" s="6"/>
      <c r="EVF36" s="6"/>
      <c r="EVG36" s="6"/>
      <c r="EVH36" s="6"/>
      <c r="EVI36" s="6"/>
      <c r="EVJ36" s="6"/>
      <c r="EVK36" s="6"/>
      <c r="EVL36" s="6"/>
      <c r="EVM36" s="6"/>
      <c r="EVN36" s="6"/>
      <c r="EVO36" s="6"/>
      <c r="EVP36" s="6"/>
      <c r="EVQ36" s="6"/>
      <c r="EVR36" s="6"/>
      <c r="EVS36" s="6"/>
      <c r="EVT36" s="6"/>
      <c r="EVU36" s="6"/>
      <c r="EVV36" s="6"/>
      <c r="EVW36" s="6"/>
      <c r="EVX36" s="6"/>
      <c r="EVY36" s="6"/>
      <c r="EVZ36" s="6"/>
      <c r="EWA36" s="6"/>
      <c r="EWB36" s="6"/>
      <c r="EWC36" s="6"/>
      <c r="EWD36" s="6"/>
      <c r="EWE36" s="6"/>
      <c r="EWF36" s="6"/>
      <c r="EWG36" s="6"/>
      <c r="EWH36" s="6"/>
      <c r="EWI36" s="6"/>
      <c r="EWJ36" s="6"/>
      <c r="EWK36" s="6"/>
      <c r="EWL36" s="6"/>
      <c r="EWM36" s="6"/>
      <c r="EWN36" s="6"/>
      <c r="EWO36" s="6"/>
      <c r="EWP36" s="6"/>
      <c r="EWQ36" s="6"/>
      <c r="EWR36" s="6"/>
      <c r="EWS36" s="6"/>
      <c r="EWT36" s="6"/>
      <c r="EWU36" s="6"/>
      <c r="EWV36" s="6"/>
      <c r="EWW36" s="6"/>
      <c r="EWX36" s="6"/>
      <c r="EWY36" s="6"/>
      <c r="EWZ36" s="6"/>
      <c r="EXA36" s="6"/>
      <c r="EXB36" s="6"/>
      <c r="EXC36" s="6"/>
      <c r="EXD36" s="6"/>
      <c r="EXE36" s="6"/>
      <c r="EXF36" s="6"/>
      <c r="EXG36" s="6"/>
      <c r="EXH36" s="6"/>
      <c r="EXI36" s="6"/>
      <c r="EXJ36" s="6"/>
      <c r="EXK36" s="6"/>
      <c r="EXL36" s="6"/>
      <c r="EXM36" s="6"/>
      <c r="EXN36" s="6"/>
      <c r="EXO36" s="6"/>
      <c r="EXP36" s="6"/>
      <c r="EXQ36" s="6"/>
      <c r="EXR36" s="6"/>
      <c r="EXS36" s="6"/>
      <c r="EXT36" s="6"/>
      <c r="EXU36" s="6"/>
      <c r="EXV36" s="6"/>
      <c r="EXW36" s="6"/>
      <c r="EXX36" s="6"/>
      <c r="EXY36" s="6"/>
      <c r="EXZ36" s="6"/>
      <c r="EYA36" s="6"/>
      <c r="EYB36" s="6"/>
      <c r="EYC36" s="6"/>
      <c r="EYD36" s="6"/>
      <c r="EYE36" s="6"/>
      <c r="EYF36" s="6"/>
      <c r="EYG36" s="6"/>
      <c r="EYH36" s="6"/>
      <c r="EYI36" s="6"/>
      <c r="EYJ36" s="6"/>
      <c r="EYK36" s="6"/>
      <c r="EYL36" s="6"/>
      <c r="EYM36" s="6"/>
      <c r="EYN36" s="6"/>
      <c r="EYO36" s="6"/>
      <c r="EYP36" s="6"/>
      <c r="EYQ36" s="6"/>
      <c r="EYR36" s="6"/>
      <c r="EYS36" s="6"/>
      <c r="EYT36" s="6"/>
      <c r="EYU36" s="6"/>
      <c r="EYV36" s="6"/>
      <c r="EYW36" s="6"/>
      <c r="EYX36" s="6"/>
      <c r="EYY36" s="6"/>
      <c r="EYZ36" s="6"/>
      <c r="EZA36" s="6"/>
      <c r="EZB36" s="6"/>
      <c r="EZC36" s="6"/>
      <c r="EZD36" s="6"/>
      <c r="EZE36" s="6"/>
      <c r="EZF36" s="6"/>
      <c r="EZG36" s="6"/>
      <c r="EZH36" s="6"/>
      <c r="EZI36" s="6"/>
      <c r="EZJ36" s="6"/>
      <c r="EZK36" s="6"/>
      <c r="EZL36" s="6"/>
      <c r="EZM36" s="6"/>
      <c r="EZN36" s="6"/>
      <c r="EZO36" s="6"/>
      <c r="EZP36" s="6"/>
      <c r="EZQ36" s="6"/>
      <c r="EZR36" s="6"/>
      <c r="EZS36" s="6"/>
      <c r="EZT36" s="6"/>
      <c r="EZU36" s="6"/>
      <c r="EZV36" s="6"/>
      <c r="EZW36" s="6"/>
      <c r="EZX36" s="6"/>
      <c r="EZY36" s="6"/>
      <c r="EZZ36" s="6"/>
      <c r="FAA36" s="6"/>
      <c r="FAB36" s="6"/>
      <c r="FAC36" s="6"/>
      <c r="FAD36" s="6"/>
      <c r="FAE36" s="6"/>
      <c r="FAF36" s="6"/>
      <c r="FAG36" s="6"/>
      <c r="FAH36" s="6"/>
      <c r="FAI36" s="6"/>
      <c r="FAJ36" s="6"/>
      <c r="FAK36" s="6"/>
      <c r="FAL36" s="6"/>
      <c r="FAM36" s="6"/>
      <c r="FAN36" s="6"/>
      <c r="FAO36" s="6"/>
      <c r="FAP36" s="6"/>
      <c r="FAQ36" s="6"/>
      <c r="FAR36" s="6"/>
      <c r="FAS36" s="6"/>
      <c r="FAT36" s="6"/>
      <c r="FAU36" s="6"/>
      <c r="FAV36" s="6"/>
      <c r="FAW36" s="6"/>
      <c r="FAX36" s="6"/>
      <c r="FAY36" s="6"/>
      <c r="FAZ36" s="6"/>
      <c r="FBA36" s="6"/>
      <c r="FBB36" s="6"/>
      <c r="FBC36" s="6"/>
      <c r="FBD36" s="6"/>
      <c r="FBE36" s="6"/>
      <c r="FBF36" s="6"/>
      <c r="FBG36" s="6"/>
      <c r="FBH36" s="6"/>
      <c r="FBI36" s="6"/>
      <c r="FBJ36" s="6"/>
      <c r="FBK36" s="6"/>
      <c r="FBL36" s="6"/>
      <c r="FBM36" s="6"/>
      <c r="FBN36" s="6"/>
      <c r="FBO36" s="6"/>
      <c r="FBP36" s="6"/>
      <c r="FBQ36" s="6"/>
      <c r="FBR36" s="6"/>
      <c r="FBS36" s="6"/>
      <c r="FBT36" s="6"/>
      <c r="FBU36" s="6"/>
      <c r="FBV36" s="6"/>
      <c r="FBW36" s="6"/>
      <c r="FBX36" s="6"/>
      <c r="FBY36" s="6"/>
      <c r="FBZ36" s="6"/>
      <c r="FCA36" s="6"/>
      <c r="FCB36" s="6"/>
      <c r="FCC36" s="6"/>
      <c r="FCD36" s="6"/>
      <c r="FCE36" s="6"/>
      <c r="FCF36" s="6"/>
      <c r="FCG36" s="6"/>
      <c r="FCH36" s="6"/>
      <c r="FCI36" s="6"/>
      <c r="FCJ36" s="6"/>
      <c r="FCK36" s="6"/>
      <c r="FCL36" s="6"/>
      <c r="FCM36" s="6"/>
      <c r="FCN36" s="6"/>
      <c r="FCO36" s="6"/>
      <c r="FCP36" s="6"/>
      <c r="FCQ36" s="6"/>
      <c r="FCR36" s="6"/>
      <c r="FCS36" s="6"/>
      <c r="FCT36" s="6"/>
      <c r="FCU36" s="6"/>
      <c r="FCV36" s="6"/>
      <c r="FCW36" s="6"/>
      <c r="FCX36" s="6"/>
      <c r="FCY36" s="6"/>
      <c r="FCZ36" s="6"/>
      <c r="FDA36" s="6"/>
      <c r="FDB36" s="6"/>
      <c r="FDC36" s="6"/>
      <c r="FDD36" s="6"/>
      <c r="FDE36" s="6"/>
      <c r="FDF36" s="6"/>
      <c r="FDG36" s="6"/>
      <c r="FDH36" s="6"/>
      <c r="FDI36" s="6"/>
      <c r="FDJ36" s="6"/>
      <c r="FDK36" s="6"/>
      <c r="FDL36" s="6"/>
      <c r="FDM36" s="6"/>
      <c r="FDN36" s="6"/>
      <c r="FDO36" s="6"/>
      <c r="FDP36" s="6"/>
      <c r="FDQ36" s="6"/>
      <c r="FDR36" s="6"/>
      <c r="FDS36" s="6"/>
      <c r="FDT36" s="6"/>
      <c r="FDU36" s="6"/>
      <c r="FDV36" s="6"/>
      <c r="FDW36" s="6"/>
      <c r="FDX36" s="6"/>
      <c r="FDY36" s="6"/>
      <c r="FDZ36" s="6"/>
      <c r="FEA36" s="6"/>
      <c r="FEB36" s="6"/>
      <c r="FEC36" s="6"/>
      <c r="FED36" s="6"/>
      <c r="FEE36" s="6"/>
      <c r="FEF36" s="6"/>
      <c r="FEG36" s="6"/>
      <c r="FEH36" s="6"/>
      <c r="FEI36" s="6"/>
      <c r="FEJ36" s="6"/>
      <c r="FEK36" s="6"/>
      <c r="FEL36" s="6"/>
      <c r="FEM36" s="6"/>
      <c r="FEN36" s="6"/>
      <c r="FEO36" s="6"/>
      <c r="FEP36" s="6"/>
      <c r="FEQ36" s="6"/>
      <c r="FER36" s="6"/>
      <c r="FES36" s="6"/>
      <c r="FET36" s="6"/>
      <c r="FEU36" s="6"/>
      <c r="FEV36" s="6"/>
      <c r="FEW36" s="6"/>
      <c r="FEX36" s="6"/>
      <c r="FEY36" s="6"/>
      <c r="FEZ36" s="6"/>
      <c r="FFA36" s="6"/>
      <c r="FFB36" s="6"/>
      <c r="FFC36" s="6"/>
      <c r="FFD36" s="6"/>
      <c r="FFE36" s="6"/>
      <c r="FFF36" s="6"/>
      <c r="FFG36" s="6"/>
      <c r="FFH36" s="6"/>
      <c r="FFI36" s="6"/>
      <c r="FFJ36" s="6"/>
      <c r="FFK36" s="6"/>
      <c r="FFL36" s="6"/>
      <c r="FFM36" s="6"/>
      <c r="FFN36" s="6"/>
      <c r="FFO36" s="6"/>
      <c r="FFP36" s="6"/>
      <c r="FFQ36" s="6"/>
      <c r="FFR36" s="6"/>
      <c r="FFS36" s="6"/>
      <c r="FFT36" s="6"/>
      <c r="FFU36" s="6"/>
      <c r="FFV36" s="6"/>
      <c r="FFW36" s="6"/>
      <c r="FFX36" s="6"/>
      <c r="FFY36" s="6"/>
      <c r="FFZ36" s="6"/>
      <c r="FGA36" s="6"/>
      <c r="FGB36" s="6"/>
      <c r="FGC36" s="6"/>
      <c r="FGD36" s="6"/>
      <c r="FGE36" s="6"/>
      <c r="FGF36" s="6"/>
      <c r="FGG36" s="6"/>
      <c r="FGH36" s="6"/>
      <c r="FGI36" s="6"/>
      <c r="FGJ36" s="6"/>
      <c r="FGK36" s="6"/>
      <c r="FGL36" s="6"/>
      <c r="FGM36" s="6"/>
      <c r="FGN36" s="6"/>
      <c r="FGO36" s="6"/>
      <c r="FGP36" s="6"/>
      <c r="FGQ36" s="6"/>
      <c r="FGR36" s="6"/>
      <c r="FGS36" s="6"/>
      <c r="FGT36" s="6"/>
      <c r="FGU36" s="6"/>
      <c r="FGV36" s="6"/>
      <c r="FGW36" s="6"/>
      <c r="FGX36" s="6"/>
      <c r="FGY36" s="6"/>
      <c r="FGZ36" s="6"/>
      <c r="FHA36" s="6"/>
      <c r="FHB36" s="6"/>
      <c r="FHC36" s="6"/>
      <c r="FHD36" s="6"/>
      <c r="FHE36" s="6"/>
      <c r="FHF36" s="6"/>
      <c r="FHG36" s="6"/>
      <c r="FHH36" s="6"/>
      <c r="FHI36" s="6"/>
      <c r="FHJ36" s="6"/>
      <c r="FHK36" s="6"/>
      <c r="FHL36" s="6"/>
      <c r="FHM36" s="6"/>
      <c r="FHN36" s="6"/>
      <c r="FHO36" s="6"/>
      <c r="FHP36" s="6"/>
      <c r="FHQ36" s="6"/>
      <c r="FHR36" s="6"/>
      <c r="FHS36" s="6"/>
      <c r="FHT36" s="6"/>
      <c r="FHU36" s="6"/>
      <c r="FHV36" s="6"/>
      <c r="FHW36" s="6"/>
      <c r="FHX36" s="6"/>
      <c r="FHY36" s="6"/>
      <c r="FHZ36" s="6"/>
      <c r="FIA36" s="6"/>
      <c r="FIB36" s="6"/>
      <c r="FIC36" s="6"/>
      <c r="FID36" s="6"/>
      <c r="FIE36" s="6"/>
      <c r="FIF36" s="6"/>
      <c r="FIG36" s="6"/>
      <c r="FIH36" s="6"/>
      <c r="FII36" s="6"/>
      <c r="FIJ36" s="6"/>
      <c r="FIK36" s="6"/>
      <c r="FIL36" s="6"/>
      <c r="FIM36" s="6"/>
      <c r="FIN36" s="6"/>
      <c r="FIO36" s="6"/>
      <c r="FIP36" s="6"/>
      <c r="FIQ36" s="6"/>
      <c r="FIR36" s="6"/>
      <c r="FIS36" s="6"/>
      <c r="FIT36" s="6"/>
      <c r="FIU36" s="6"/>
      <c r="FIV36" s="6"/>
      <c r="FIW36" s="6"/>
      <c r="FIX36" s="6"/>
      <c r="FIY36" s="6"/>
      <c r="FIZ36" s="6"/>
      <c r="FJA36" s="6"/>
      <c r="FJB36" s="6"/>
      <c r="FJC36" s="6"/>
      <c r="FJD36" s="6"/>
      <c r="FJE36" s="6"/>
      <c r="FJF36" s="6"/>
      <c r="FJG36" s="6"/>
      <c r="FJH36" s="6"/>
      <c r="FJI36" s="6"/>
      <c r="FJJ36" s="6"/>
      <c r="FJK36" s="6"/>
      <c r="FJL36" s="6"/>
      <c r="FJM36" s="6"/>
      <c r="FJN36" s="6"/>
      <c r="FJO36" s="6"/>
      <c r="FJP36" s="6"/>
      <c r="FJQ36" s="6"/>
      <c r="FJR36" s="6"/>
      <c r="FJS36" s="6"/>
      <c r="FJT36" s="6"/>
      <c r="FJU36" s="6"/>
      <c r="FJV36" s="6"/>
      <c r="FJW36" s="6"/>
      <c r="FJX36" s="6"/>
      <c r="FJY36" s="6"/>
      <c r="FJZ36" s="6"/>
      <c r="FKA36" s="6"/>
      <c r="FKB36" s="6"/>
      <c r="FKC36" s="6"/>
      <c r="FKD36" s="6"/>
      <c r="FKE36" s="6"/>
      <c r="FKF36" s="6"/>
      <c r="FKG36" s="6"/>
      <c r="FKH36" s="6"/>
      <c r="FKI36" s="6"/>
      <c r="FKJ36" s="6"/>
      <c r="FKK36" s="6"/>
      <c r="FKL36" s="6"/>
      <c r="FKM36" s="6"/>
      <c r="FKN36" s="6"/>
      <c r="FKO36" s="6"/>
      <c r="FKP36" s="6"/>
      <c r="FKQ36" s="6"/>
      <c r="FKR36" s="6"/>
      <c r="FKS36" s="6"/>
      <c r="FKT36" s="6"/>
      <c r="FKU36" s="6"/>
      <c r="FKV36" s="6"/>
      <c r="FKW36" s="6"/>
      <c r="FKX36" s="6"/>
      <c r="FKY36" s="6"/>
      <c r="FKZ36" s="6"/>
      <c r="FLA36" s="6"/>
      <c r="FLB36" s="6"/>
      <c r="FLC36" s="6"/>
      <c r="FLD36" s="6"/>
      <c r="FLE36" s="6"/>
      <c r="FLF36" s="6"/>
      <c r="FLG36" s="6"/>
      <c r="FLH36" s="6"/>
      <c r="FLI36" s="6"/>
      <c r="FLJ36" s="6"/>
      <c r="FLK36" s="6"/>
      <c r="FLL36" s="6"/>
      <c r="FLM36" s="6"/>
      <c r="FLN36" s="6"/>
      <c r="FLO36" s="6"/>
      <c r="FLP36" s="6"/>
      <c r="FLQ36" s="6"/>
      <c r="FLR36" s="6"/>
      <c r="FLS36" s="6"/>
      <c r="FLT36" s="6"/>
      <c r="FLU36" s="6"/>
      <c r="FLV36" s="6"/>
      <c r="FLW36" s="6"/>
      <c r="FLX36" s="6"/>
      <c r="FLY36" s="6"/>
      <c r="FLZ36" s="6"/>
      <c r="FMA36" s="6"/>
      <c r="FMB36" s="6"/>
      <c r="FMC36" s="6"/>
      <c r="FMD36" s="6"/>
      <c r="FME36" s="6"/>
      <c r="FMF36" s="6"/>
      <c r="FMG36" s="6"/>
      <c r="FMH36" s="6"/>
      <c r="FMI36" s="6"/>
      <c r="FMJ36" s="6"/>
      <c r="FMK36" s="6"/>
      <c r="FML36" s="6"/>
      <c r="FMM36" s="6"/>
      <c r="FMN36" s="6"/>
      <c r="FMO36" s="6"/>
      <c r="FMP36" s="6"/>
      <c r="FMQ36" s="6"/>
      <c r="FMR36" s="6"/>
      <c r="FMS36" s="6"/>
      <c r="FMT36" s="6"/>
      <c r="FMU36" s="6"/>
      <c r="FMV36" s="6"/>
      <c r="FMW36" s="6"/>
      <c r="FMX36" s="6"/>
      <c r="FMY36" s="6"/>
      <c r="FMZ36" s="6"/>
      <c r="FNA36" s="6"/>
      <c r="FNB36" s="6"/>
      <c r="FNC36" s="6"/>
      <c r="FND36" s="6"/>
      <c r="FNE36" s="6"/>
      <c r="FNF36" s="6"/>
      <c r="FNG36" s="6"/>
      <c r="FNH36" s="6"/>
      <c r="FNI36" s="6"/>
      <c r="FNJ36" s="6"/>
      <c r="FNK36" s="6"/>
      <c r="FNL36" s="6"/>
      <c r="FNM36" s="6"/>
      <c r="FNN36" s="6"/>
      <c r="FNO36" s="6"/>
      <c r="FNP36" s="6"/>
      <c r="FNQ36" s="6"/>
      <c r="FNR36" s="6"/>
      <c r="FNS36" s="6"/>
      <c r="FNT36" s="6"/>
      <c r="FNU36" s="6"/>
      <c r="FNV36" s="6"/>
      <c r="FNW36" s="6"/>
      <c r="FNX36" s="6"/>
      <c r="FNY36" s="6"/>
      <c r="FNZ36" s="6"/>
      <c r="FOA36" s="6"/>
      <c r="FOB36" s="6"/>
      <c r="FOC36" s="6"/>
      <c r="FOD36" s="6"/>
      <c r="FOE36" s="6"/>
      <c r="FOF36" s="6"/>
      <c r="FOG36" s="6"/>
      <c r="FOH36" s="6"/>
      <c r="FOI36" s="6"/>
      <c r="FOJ36" s="6"/>
      <c r="FOK36" s="6"/>
      <c r="FOL36" s="6"/>
      <c r="FOM36" s="6"/>
      <c r="FON36" s="6"/>
      <c r="FOO36" s="6"/>
      <c r="FOP36" s="6"/>
      <c r="FOQ36" s="6"/>
      <c r="FOR36" s="6"/>
      <c r="FOS36" s="6"/>
      <c r="FOT36" s="6"/>
      <c r="FOU36" s="6"/>
      <c r="FOV36" s="6"/>
      <c r="FOW36" s="6"/>
      <c r="FOX36" s="6"/>
      <c r="FOY36" s="6"/>
      <c r="FOZ36" s="6"/>
      <c r="FPA36" s="6"/>
      <c r="FPB36" s="6"/>
      <c r="FPC36" s="6"/>
      <c r="FPD36" s="6"/>
      <c r="FPE36" s="6"/>
      <c r="FPF36" s="6"/>
      <c r="FPG36" s="6"/>
      <c r="FPH36" s="6"/>
      <c r="FPI36" s="6"/>
      <c r="FPJ36" s="6"/>
      <c r="FPK36" s="6"/>
      <c r="FPL36" s="6"/>
      <c r="FPM36" s="6"/>
      <c r="FPN36" s="6"/>
      <c r="FPO36" s="6"/>
      <c r="FPP36" s="6"/>
      <c r="FPQ36" s="6"/>
      <c r="FPR36" s="6"/>
      <c r="FPS36" s="6"/>
      <c r="FPT36" s="6"/>
      <c r="FPU36" s="6"/>
      <c r="FPV36" s="6"/>
      <c r="FPW36" s="6"/>
      <c r="FPX36" s="6"/>
      <c r="FPY36" s="6"/>
      <c r="FPZ36" s="6"/>
      <c r="FQA36" s="6"/>
      <c r="FQB36" s="6"/>
      <c r="FQC36" s="6"/>
      <c r="FQD36" s="6"/>
      <c r="FQE36" s="6"/>
      <c r="FQF36" s="6"/>
      <c r="FQG36" s="6"/>
      <c r="FQH36" s="6"/>
      <c r="FQI36" s="6"/>
      <c r="FQJ36" s="6"/>
      <c r="FQK36" s="6"/>
      <c r="FQL36" s="6"/>
      <c r="FQM36" s="6"/>
      <c r="FQN36" s="6"/>
      <c r="FQO36" s="6"/>
      <c r="FQP36" s="6"/>
      <c r="FQQ36" s="6"/>
      <c r="FQR36" s="6"/>
      <c r="FQS36" s="6"/>
      <c r="FQT36" s="6"/>
      <c r="FQU36" s="6"/>
      <c r="FQV36" s="6"/>
      <c r="FQW36" s="6"/>
      <c r="FQX36" s="6"/>
      <c r="FQY36" s="6"/>
      <c r="FQZ36" s="6"/>
      <c r="FRA36" s="6"/>
      <c r="FRB36" s="6"/>
      <c r="FRC36" s="6"/>
      <c r="FRD36" s="6"/>
      <c r="FRE36" s="6"/>
      <c r="FRF36" s="6"/>
      <c r="FRG36" s="6"/>
      <c r="FRH36" s="6"/>
      <c r="FRI36" s="6"/>
      <c r="FRJ36" s="6"/>
      <c r="FRK36" s="6"/>
      <c r="FRL36" s="6"/>
      <c r="FRM36" s="6"/>
      <c r="FRN36" s="6"/>
      <c r="FRO36" s="6"/>
      <c r="FRP36" s="6"/>
      <c r="FRQ36" s="6"/>
      <c r="FRR36" s="6"/>
      <c r="FRS36" s="6"/>
      <c r="FRT36" s="6"/>
      <c r="FRU36" s="6"/>
      <c r="FRV36" s="6"/>
      <c r="FRW36" s="6"/>
      <c r="FRX36" s="6"/>
      <c r="FRY36" s="6"/>
      <c r="FRZ36" s="6"/>
      <c r="FSA36" s="6"/>
      <c r="FSB36" s="6"/>
      <c r="FSC36" s="6"/>
      <c r="FSD36" s="6"/>
      <c r="FSE36" s="6"/>
      <c r="FSF36" s="6"/>
      <c r="FSG36" s="6"/>
      <c r="FSH36" s="6"/>
      <c r="FSI36" s="6"/>
      <c r="FSJ36" s="6"/>
      <c r="FSK36" s="6"/>
      <c r="FSL36" s="6"/>
      <c r="FSM36" s="6"/>
      <c r="FSN36" s="6"/>
      <c r="FSO36" s="6"/>
      <c r="FSP36" s="6"/>
      <c r="FSQ36" s="6"/>
      <c r="FSR36" s="6"/>
      <c r="FSS36" s="6"/>
      <c r="FST36" s="6"/>
      <c r="FSU36" s="6"/>
      <c r="FSV36" s="6"/>
      <c r="FSW36" s="6"/>
      <c r="FSX36" s="6"/>
      <c r="FSY36" s="6"/>
      <c r="FSZ36" s="6"/>
      <c r="FTA36" s="6"/>
      <c r="FTB36" s="6"/>
      <c r="FTC36" s="6"/>
      <c r="FTD36" s="6"/>
      <c r="FTE36" s="6"/>
      <c r="FTF36" s="6"/>
      <c r="FTG36" s="6"/>
      <c r="FTH36" s="6"/>
      <c r="FTI36" s="6"/>
      <c r="FTJ36" s="6"/>
      <c r="FTK36" s="6"/>
      <c r="FTL36" s="6"/>
      <c r="FTM36" s="6"/>
      <c r="FTN36" s="6"/>
      <c r="FTO36" s="6"/>
      <c r="FTP36" s="6"/>
      <c r="FTQ36" s="6"/>
      <c r="FTR36" s="6"/>
      <c r="FTS36" s="6"/>
      <c r="FTT36" s="6"/>
      <c r="FTU36" s="6"/>
      <c r="FTV36" s="6"/>
      <c r="FTW36" s="6"/>
      <c r="FTX36" s="6"/>
      <c r="FTY36" s="6"/>
      <c r="FTZ36" s="6"/>
      <c r="FUA36" s="6"/>
      <c r="FUB36" s="6"/>
      <c r="FUC36" s="6"/>
      <c r="FUD36" s="6"/>
      <c r="FUE36" s="6"/>
      <c r="FUF36" s="6"/>
      <c r="FUG36" s="6"/>
      <c r="FUH36" s="6"/>
      <c r="FUI36" s="6"/>
      <c r="FUJ36" s="6"/>
      <c r="FUK36" s="6"/>
      <c r="FUL36" s="6"/>
      <c r="FUM36" s="6"/>
      <c r="FUN36" s="6"/>
      <c r="FUO36" s="6"/>
      <c r="FUP36" s="6"/>
      <c r="FUQ36" s="6"/>
      <c r="FUR36" s="6"/>
      <c r="FUS36" s="6"/>
      <c r="FUT36" s="6"/>
      <c r="FUU36" s="6"/>
      <c r="FUV36" s="6"/>
      <c r="FUW36" s="6"/>
      <c r="FUX36" s="6"/>
      <c r="FUY36" s="6"/>
      <c r="FUZ36" s="6"/>
      <c r="FVA36" s="6"/>
      <c r="FVB36" s="6"/>
      <c r="FVC36" s="6"/>
      <c r="FVD36" s="6"/>
      <c r="FVE36" s="6"/>
      <c r="FVF36" s="6"/>
      <c r="FVG36" s="6"/>
      <c r="FVH36" s="6"/>
      <c r="FVI36" s="6"/>
      <c r="FVJ36" s="6"/>
      <c r="FVK36" s="6"/>
      <c r="FVL36" s="6"/>
      <c r="FVM36" s="6"/>
      <c r="FVN36" s="6"/>
      <c r="FVO36" s="6"/>
      <c r="FVP36" s="6"/>
      <c r="FVQ36" s="6"/>
      <c r="FVR36" s="6"/>
      <c r="FVS36" s="6"/>
      <c r="FVT36" s="6"/>
      <c r="FVU36" s="6"/>
      <c r="FVV36" s="6"/>
      <c r="FVW36" s="6"/>
      <c r="FVX36" s="6"/>
      <c r="FVY36" s="6"/>
      <c r="FVZ36" s="6"/>
      <c r="FWA36" s="6"/>
      <c r="FWB36" s="6"/>
      <c r="FWC36" s="6"/>
      <c r="FWD36" s="6"/>
      <c r="FWE36" s="6"/>
      <c r="FWF36" s="6"/>
      <c r="FWG36" s="6"/>
      <c r="FWH36" s="6"/>
      <c r="FWI36" s="6"/>
      <c r="FWJ36" s="6"/>
      <c r="FWK36" s="6"/>
      <c r="FWL36" s="6"/>
      <c r="FWM36" s="6"/>
      <c r="FWN36" s="6"/>
      <c r="FWO36" s="6"/>
      <c r="FWP36" s="6"/>
      <c r="FWQ36" s="6"/>
      <c r="FWR36" s="6"/>
      <c r="FWS36" s="6"/>
      <c r="FWT36" s="6"/>
      <c r="FWU36" s="6"/>
      <c r="FWV36" s="6"/>
      <c r="FWW36" s="6"/>
      <c r="FWX36" s="6"/>
      <c r="FWY36" s="6"/>
      <c r="FWZ36" s="6"/>
      <c r="FXA36" s="6"/>
      <c r="FXB36" s="6"/>
      <c r="FXC36" s="6"/>
      <c r="FXD36" s="6"/>
      <c r="FXE36" s="6"/>
      <c r="FXF36" s="6"/>
      <c r="FXG36" s="6"/>
      <c r="FXH36" s="6"/>
      <c r="FXI36" s="6"/>
      <c r="FXJ36" s="6"/>
      <c r="FXK36" s="6"/>
      <c r="FXL36" s="6"/>
      <c r="FXM36" s="6"/>
      <c r="FXN36" s="6"/>
      <c r="FXO36" s="6"/>
      <c r="FXP36" s="6"/>
      <c r="FXQ36" s="6"/>
      <c r="FXR36" s="6"/>
      <c r="FXS36" s="6"/>
      <c r="FXT36" s="6"/>
      <c r="FXU36" s="6"/>
      <c r="FXV36" s="6"/>
      <c r="FXW36" s="6"/>
      <c r="FXX36" s="6"/>
      <c r="FXY36" s="6"/>
      <c r="FXZ36" s="6"/>
      <c r="FYA36" s="6"/>
      <c r="FYB36" s="6"/>
      <c r="FYC36" s="6"/>
      <c r="FYD36" s="6"/>
      <c r="FYE36" s="6"/>
      <c r="FYF36" s="6"/>
      <c r="FYG36" s="6"/>
      <c r="FYH36" s="6"/>
      <c r="FYI36" s="6"/>
      <c r="FYJ36" s="6"/>
      <c r="FYK36" s="6"/>
      <c r="FYL36" s="6"/>
      <c r="FYM36" s="6"/>
      <c r="FYN36" s="6"/>
      <c r="FYO36" s="6"/>
      <c r="FYP36" s="6"/>
      <c r="FYQ36" s="6"/>
      <c r="FYR36" s="6"/>
      <c r="FYS36" s="6"/>
      <c r="FYT36" s="6"/>
      <c r="FYU36" s="6"/>
      <c r="FYV36" s="6"/>
      <c r="FYW36" s="6"/>
      <c r="FYX36" s="6"/>
      <c r="FYY36" s="6"/>
      <c r="FYZ36" s="6"/>
      <c r="FZA36" s="6"/>
      <c r="FZB36" s="6"/>
      <c r="FZC36" s="6"/>
      <c r="FZD36" s="6"/>
      <c r="FZE36" s="6"/>
      <c r="FZF36" s="6"/>
      <c r="FZG36" s="6"/>
      <c r="FZH36" s="6"/>
      <c r="FZI36" s="6"/>
      <c r="FZJ36" s="6"/>
      <c r="FZK36" s="6"/>
      <c r="FZL36" s="6"/>
      <c r="FZM36" s="6"/>
      <c r="FZN36" s="6"/>
      <c r="FZO36" s="6"/>
      <c r="FZP36" s="6"/>
      <c r="FZQ36" s="6"/>
      <c r="FZR36" s="6"/>
      <c r="FZS36" s="6"/>
      <c r="FZT36" s="6"/>
      <c r="FZU36" s="6"/>
      <c r="FZV36" s="6"/>
      <c r="FZW36" s="6"/>
      <c r="FZX36" s="6"/>
      <c r="FZY36" s="6"/>
      <c r="FZZ36" s="6"/>
      <c r="GAA36" s="6"/>
      <c r="GAB36" s="6"/>
      <c r="GAC36" s="6"/>
      <c r="GAD36" s="6"/>
      <c r="GAE36" s="6"/>
      <c r="GAF36" s="6"/>
      <c r="GAG36" s="6"/>
      <c r="GAH36" s="6"/>
      <c r="GAI36" s="6"/>
      <c r="GAJ36" s="6"/>
      <c r="GAK36" s="6"/>
      <c r="GAL36" s="6"/>
      <c r="GAM36" s="6"/>
      <c r="GAN36" s="6"/>
      <c r="GAO36" s="6"/>
      <c r="GAP36" s="6"/>
      <c r="GAQ36" s="6"/>
      <c r="GAR36" s="6"/>
      <c r="GAS36" s="6"/>
      <c r="GAT36" s="6"/>
      <c r="GAU36" s="6"/>
      <c r="GAV36" s="6"/>
      <c r="GAW36" s="6"/>
      <c r="GAX36" s="6"/>
      <c r="GAY36" s="6"/>
      <c r="GAZ36" s="6"/>
      <c r="GBA36" s="6"/>
      <c r="GBB36" s="6"/>
      <c r="GBC36" s="6"/>
      <c r="GBD36" s="6"/>
      <c r="GBE36" s="6"/>
      <c r="GBF36" s="6"/>
      <c r="GBG36" s="6"/>
      <c r="GBH36" s="6"/>
      <c r="GBI36" s="6"/>
      <c r="GBJ36" s="6"/>
      <c r="GBK36" s="6"/>
      <c r="GBL36" s="6"/>
      <c r="GBM36" s="6"/>
      <c r="GBN36" s="6"/>
      <c r="GBO36" s="6"/>
      <c r="GBP36" s="6"/>
      <c r="GBQ36" s="6"/>
      <c r="GBR36" s="6"/>
      <c r="GBS36" s="6"/>
      <c r="GBT36" s="6"/>
      <c r="GBU36" s="6"/>
      <c r="GBV36" s="6"/>
      <c r="GBW36" s="6"/>
      <c r="GBX36" s="6"/>
      <c r="GBY36" s="6"/>
      <c r="GBZ36" s="6"/>
      <c r="GCA36" s="6"/>
      <c r="GCB36" s="6"/>
      <c r="GCC36" s="6"/>
      <c r="GCD36" s="6"/>
      <c r="GCE36" s="6"/>
      <c r="GCF36" s="6"/>
      <c r="GCG36" s="6"/>
      <c r="GCH36" s="6"/>
      <c r="GCI36" s="6"/>
      <c r="GCJ36" s="6"/>
      <c r="GCK36" s="6"/>
      <c r="GCL36" s="6"/>
      <c r="GCM36" s="6"/>
      <c r="GCN36" s="6"/>
      <c r="GCO36" s="6"/>
      <c r="GCP36" s="6"/>
      <c r="GCQ36" s="6"/>
      <c r="GCR36" s="6"/>
      <c r="GCS36" s="6"/>
      <c r="GCT36" s="6"/>
      <c r="GCU36" s="6"/>
      <c r="GCV36" s="6"/>
      <c r="GCW36" s="6"/>
      <c r="GCX36" s="6"/>
      <c r="GCY36" s="6"/>
      <c r="GCZ36" s="6"/>
      <c r="GDA36" s="6"/>
      <c r="GDB36" s="6"/>
      <c r="GDC36" s="6"/>
      <c r="GDD36" s="6"/>
      <c r="GDE36" s="6"/>
      <c r="GDF36" s="6"/>
      <c r="GDG36" s="6"/>
      <c r="GDH36" s="6"/>
      <c r="GDI36" s="6"/>
      <c r="GDJ36" s="6"/>
      <c r="GDK36" s="6"/>
      <c r="GDL36" s="6"/>
      <c r="GDM36" s="6"/>
      <c r="GDN36" s="6"/>
      <c r="GDO36" s="6"/>
      <c r="GDP36" s="6"/>
      <c r="GDQ36" s="6"/>
      <c r="GDR36" s="6"/>
      <c r="GDS36" s="6"/>
      <c r="GDT36" s="6"/>
      <c r="GDU36" s="6"/>
      <c r="GDV36" s="6"/>
      <c r="GDW36" s="6"/>
      <c r="GDX36" s="6"/>
      <c r="GDY36" s="6"/>
      <c r="GDZ36" s="6"/>
      <c r="GEA36" s="6"/>
      <c r="GEB36" s="6"/>
      <c r="GEC36" s="6"/>
      <c r="GED36" s="6"/>
      <c r="GEE36" s="6"/>
      <c r="GEF36" s="6"/>
      <c r="GEG36" s="6"/>
      <c r="GEH36" s="6"/>
      <c r="GEI36" s="6"/>
      <c r="GEJ36" s="6"/>
      <c r="GEK36" s="6"/>
      <c r="GEL36" s="6"/>
      <c r="GEM36" s="6"/>
      <c r="GEN36" s="6"/>
      <c r="GEO36" s="6"/>
      <c r="GEP36" s="6"/>
      <c r="GEQ36" s="6"/>
      <c r="GER36" s="6"/>
      <c r="GES36" s="6"/>
      <c r="GET36" s="6"/>
      <c r="GEU36" s="6"/>
      <c r="GEV36" s="6"/>
      <c r="GEW36" s="6"/>
      <c r="GEX36" s="6"/>
      <c r="GEY36" s="6"/>
      <c r="GEZ36" s="6"/>
      <c r="GFA36" s="6"/>
      <c r="GFB36" s="6"/>
      <c r="GFC36" s="6"/>
      <c r="GFD36" s="6"/>
      <c r="GFE36" s="6"/>
      <c r="GFF36" s="6"/>
      <c r="GFG36" s="6"/>
      <c r="GFH36" s="6"/>
      <c r="GFI36" s="6"/>
      <c r="GFJ36" s="6"/>
      <c r="GFK36" s="6"/>
      <c r="GFL36" s="6"/>
      <c r="GFM36" s="6"/>
      <c r="GFN36" s="6"/>
      <c r="GFO36" s="6"/>
      <c r="GFP36" s="6"/>
      <c r="GFQ36" s="6"/>
      <c r="GFR36" s="6"/>
      <c r="GFS36" s="6"/>
      <c r="GFT36" s="6"/>
      <c r="GFU36" s="6"/>
      <c r="GFV36" s="6"/>
      <c r="GFW36" s="6"/>
      <c r="GFX36" s="6"/>
      <c r="GFY36" s="6"/>
      <c r="GFZ36" s="6"/>
      <c r="GGA36" s="6"/>
      <c r="GGB36" s="6"/>
      <c r="GGC36" s="6"/>
      <c r="GGD36" s="6"/>
      <c r="GGE36" s="6"/>
      <c r="GGF36" s="6"/>
      <c r="GGG36" s="6"/>
      <c r="GGH36" s="6"/>
      <c r="GGI36" s="6"/>
      <c r="GGJ36" s="6"/>
      <c r="GGK36" s="6"/>
      <c r="GGL36" s="6"/>
      <c r="GGM36" s="6"/>
      <c r="GGN36" s="6"/>
      <c r="GGO36" s="6"/>
      <c r="GGP36" s="6"/>
      <c r="GGQ36" s="6"/>
      <c r="GGR36" s="6"/>
      <c r="GGS36" s="6"/>
      <c r="GGT36" s="6"/>
      <c r="GGU36" s="6"/>
      <c r="GGV36" s="6"/>
      <c r="GGW36" s="6"/>
      <c r="GGX36" s="6"/>
      <c r="GGY36" s="6"/>
      <c r="GGZ36" s="6"/>
      <c r="GHA36" s="6"/>
      <c r="GHB36" s="6"/>
      <c r="GHC36" s="6"/>
      <c r="GHD36" s="6"/>
      <c r="GHE36" s="6"/>
      <c r="GHF36" s="6"/>
      <c r="GHG36" s="6"/>
      <c r="GHH36" s="6"/>
      <c r="GHI36" s="6"/>
      <c r="GHJ36" s="6"/>
      <c r="GHK36" s="6"/>
      <c r="GHL36" s="6"/>
      <c r="GHM36" s="6"/>
      <c r="GHN36" s="6"/>
      <c r="GHO36" s="6"/>
      <c r="GHP36" s="6"/>
      <c r="GHQ36" s="6"/>
      <c r="GHR36" s="6"/>
      <c r="GHS36" s="6"/>
      <c r="GHT36" s="6"/>
      <c r="GHU36" s="6"/>
      <c r="GHV36" s="6"/>
      <c r="GHW36" s="6"/>
      <c r="GHX36" s="6"/>
      <c r="GHY36" s="6"/>
      <c r="GHZ36" s="6"/>
      <c r="GIA36" s="6"/>
      <c r="GIB36" s="6"/>
      <c r="GIC36" s="6"/>
      <c r="GID36" s="6"/>
      <c r="GIE36" s="6"/>
      <c r="GIF36" s="6"/>
      <c r="GIG36" s="6"/>
      <c r="GIH36" s="6"/>
      <c r="GII36" s="6"/>
      <c r="GIJ36" s="6"/>
      <c r="GIK36" s="6"/>
      <c r="GIL36" s="6"/>
      <c r="GIM36" s="6"/>
      <c r="GIN36" s="6"/>
      <c r="GIO36" s="6"/>
      <c r="GIP36" s="6"/>
      <c r="GIQ36" s="6"/>
      <c r="GIR36" s="6"/>
      <c r="GIS36" s="6"/>
      <c r="GIT36" s="6"/>
      <c r="GIU36" s="6"/>
      <c r="GIV36" s="6"/>
      <c r="GIW36" s="6"/>
      <c r="GIX36" s="6"/>
      <c r="GIY36" s="6"/>
      <c r="GIZ36" s="6"/>
      <c r="GJA36" s="6"/>
      <c r="GJB36" s="6"/>
      <c r="GJC36" s="6"/>
      <c r="GJD36" s="6"/>
      <c r="GJE36" s="6"/>
      <c r="GJF36" s="6"/>
      <c r="GJG36" s="6"/>
      <c r="GJH36" s="6"/>
      <c r="GJI36" s="6"/>
      <c r="GJJ36" s="6"/>
      <c r="GJK36" s="6"/>
      <c r="GJL36" s="6"/>
      <c r="GJM36" s="6"/>
      <c r="GJN36" s="6"/>
      <c r="GJO36" s="6"/>
      <c r="GJP36" s="6"/>
      <c r="GJQ36" s="6"/>
      <c r="GJR36" s="6"/>
      <c r="GJS36" s="6"/>
      <c r="GJT36" s="6"/>
      <c r="GJU36" s="6"/>
      <c r="GJV36" s="6"/>
      <c r="GJW36" s="6"/>
      <c r="GJX36" s="6"/>
      <c r="GJY36" s="6"/>
      <c r="GJZ36" s="6"/>
      <c r="GKA36" s="6"/>
      <c r="GKB36" s="6"/>
      <c r="GKC36" s="6"/>
      <c r="GKD36" s="6"/>
      <c r="GKE36" s="6"/>
      <c r="GKF36" s="6"/>
      <c r="GKG36" s="6"/>
      <c r="GKH36" s="6"/>
      <c r="GKI36" s="6"/>
      <c r="GKJ36" s="6"/>
      <c r="GKK36" s="6"/>
      <c r="GKL36" s="6"/>
      <c r="GKM36" s="6"/>
      <c r="GKN36" s="6"/>
      <c r="GKO36" s="6"/>
      <c r="GKP36" s="6"/>
      <c r="GKQ36" s="6"/>
      <c r="GKR36" s="6"/>
      <c r="GKS36" s="6"/>
      <c r="GKT36" s="6"/>
      <c r="GKU36" s="6"/>
      <c r="GKV36" s="6"/>
      <c r="GKW36" s="6"/>
      <c r="GKX36" s="6"/>
      <c r="GKY36" s="6"/>
      <c r="GKZ36" s="6"/>
      <c r="GLA36" s="6"/>
      <c r="GLB36" s="6"/>
      <c r="GLC36" s="6"/>
      <c r="GLD36" s="6"/>
      <c r="GLE36" s="6"/>
      <c r="GLF36" s="6"/>
      <c r="GLG36" s="6"/>
      <c r="GLH36" s="6"/>
      <c r="GLI36" s="6"/>
      <c r="GLJ36" s="6"/>
      <c r="GLK36" s="6"/>
      <c r="GLL36" s="6"/>
      <c r="GLM36" s="6"/>
      <c r="GLN36" s="6"/>
      <c r="GLO36" s="6"/>
      <c r="GLP36" s="6"/>
      <c r="GLQ36" s="6"/>
      <c r="GLR36" s="6"/>
      <c r="GLS36" s="6"/>
      <c r="GLT36" s="6"/>
      <c r="GLU36" s="6"/>
      <c r="GLV36" s="6"/>
      <c r="GLW36" s="6"/>
      <c r="GLX36" s="6"/>
      <c r="GLY36" s="6"/>
      <c r="GLZ36" s="6"/>
      <c r="GMA36" s="6"/>
      <c r="GMB36" s="6"/>
      <c r="GMC36" s="6"/>
      <c r="GMD36" s="6"/>
      <c r="GME36" s="6"/>
      <c r="GMF36" s="6"/>
      <c r="GMG36" s="6"/>
      <c r="GMH36" s="6"/>
      <c r="GMI36" s="6"/>
      <c r="GMJ36" s="6"/>
      <c r="GMK36" s="6"/>
      <c r="GML36" s="6"/>
      <c r="GMM36" s="6"/>
      <c r="GMN36" s="6"/>
      <c r="GMO36" s="6"/>
      <c r="GMP36" s="6"/>
      <c r="GMQ36" s="6"/>
      <c r="GMR36" s="6"/>
      <c r="GMS36" s="6"/>
      <c r="GMT36" s="6"/>
      <c r="GMU36" s="6"/>
      <c r="GMV36" s="6"/>
      <c r="GMW36" s="6"/>
      <c r="GMX36" s="6"/>
      <c r="GMY36" s="6"/>
      <c r="GMZ36" s="6"/>
      <c r="GNA36" s="6"/>
      <c r="GNB36" s="6"/>
      <c r="GNC36" s="6"/>
      <c r="GND36" s="6"/>
      <c r="GNE36" s="6"/>
      <c r="GNF36" s="6"/>
      <c r="GNG36" s="6"/>
      <c r="GNH36" s="6"/>
      <c r="GNI36" s="6"/>
      <c r="GNJ36" s="6"/>
      <c r="GNK36" s="6"/>
      <c r="GNL36" s="6"/>
      <c r="GNM36" s="6"/>
      <c r="GNN36" s="6"/>
      <c r="GNO36" s="6"/>
      <c r="GNP36" s="6"/>
      <c r="GNQ36" s="6"/>
      <c r="GNR36" s="6"/>
      <c r="GNS36" s="6"/>
      <c r="GNT36" s="6"/>
      <c r="GNU36" s="6"/>
      <c r="GNV36" s="6"/>
      <c r="GNW36" s="6"/>
      <c r="GNX36" s="6"/>
      <c r="GNY36" s="6"/>
      <c r="GNZ36" s="6"/>
      <c r="GOA36" s="6"/>
      <c r="GOB36" s="6"/>
      <c r="GOC36" s="6"/>
      <c r="GOD36" s="6"/>
      <c r="GOE36" s="6"/>
      <c r="GOF36" s="6"/>
      <c r="GOG36" s="6"/>
      <c r="GOH36" s="6"/>
      <c r="GOI36" s="6"/>
      <c r="GOJ36" s="6"/>
      <c r="GOK36" s="6"/>
      <c r="GOL36" s="6"/>
      <c r="GOM36" s="6"/>
      <c r="GON36" s="6"/>
      <c r="GOO36" s="6"/>
      <c r="GOP36" s="6"/>
      <c r="GOQ36" s="6"/>
      <c r="GOR36" s="6"/>
      <c r="GOS36" s="6"/>
      <c r="GOT36" s="6"/>
      <c r="GOU36" s="6"/>
      <c r="GOV36" s="6"/>
      <c r="GOW36" s="6"/>
      <c r="GOX36" s="6"/>
      <c r="GOY36" s="6"/>
      <c r="GOZ36" s="6"/>
      <c r="GPA36" s="6"/>
      <c r="GPB36" s="6"/>
      <c r="GPC36" s="6"/>
      <c r="GPD36" s="6"/>
      <c r="GPE36" s="6"/>
      <c r="GPF36" s="6"/>
      <c r="GPG36" s="6"/>
      <c r="GPH36" s="6"/>
      <c r="GPI36" s="6"/>
      <c r="GPJ36" s="6"/>
      <c r="GPK36" s="6"/>
      <c r="GPL36" s="6"/>
      <c r="GPM36" s="6"/>
      <c r="GPN36" s="6"/>
      <c r="GPO36" s="6"/>
      <c r="GPP36" s="6"/>
      <c r="GPQ36" s="6"/>
      <c r="GPR36" s="6"/>
      <c r="GPS36" s="6"/>
      <c r="GPT36" s="6"/>
      <c r="GPU36" s="6"/>
      <c r="GPV36" s="6"/>
      <c r="GPW36" s="6"/>
      <c r="GPX36" s="6"/>
      <c r="GPY36" s="6"/>
      <c r="GPZ36" s="6"/>
      <c r="GQA36" s="6"/>
      <c r="GQB36" s="6"/>
      <c r="GQC36" s="6"/>
      <c r="GQD36" s="6"/>
      <c r="GQE36" s="6"/>
      <c r="GQF36" s="6"/>
      <c r="GQG36" s="6"/>
      <c r="GQH36" s="6"/>
      <c r="GQI36" s="6"/>
      <c r="GQJ36" s="6"/>
      <c r="GQK36" s="6"/>
      <c r="GQL36" s="6"/>
      <c r="GQM36" s="6"/>
      <c r="GQN36" s="6"/>
      <c r="GQO36" s="6"/>
      <c r="GQP36" s="6"/>
      <c r="GQQ36" s="6"/>
      <c r="GQR36" s="6"/>
      <c r="GQS36" s="6"/>
      <c r="GQT36" s="6"/>
      <c r="GQU36" s="6"/>
      <c r="GQV36" s="6"/>
      <c r="GQW36" s="6"/>
      <c r="GQX36" s="6"/>
      <c r="GQY36" s="6"/>
      <c r="GQZ36" s="6"/>
      <c r="GRA36" s="6"/>
      <c r="GRB36" s="6"/>
      <c r="GRC36" s="6"/>
      <c r="GRD36" s="6"/>
      <c r="GRE36" s="6"/>
      <c r="GRF36" s="6"/>
      <c r="GRG36" s="6"/>
      <c r="GRH36" s="6"/>
      <c r="GRI36" s="6"/>
      <c r="GRJ36" s="6"/>
      <c r="GRK36" s="6"/>
      <c r="GRL36" s="6"/>
      <c r="GRM36" s="6"/>
      <c r="GRN36" s="6"/>
      <c r="GRO36" s="6"/>
      <c r="GRP36" s="6"/>
      <c r="GRQ36" s="6"/>
      <c r="GRR36" s="6"/>
      <c r="GRS36" s="6"/>
      <c r="GRT36" s="6"/>
      <c r="GRU36" s="6"/>
      <c r="GRV36" s="6"/>
      <c r="GRW36" s="6"/>
      <c r="GRX36" s="6"/>
      <c r="GRY36" s="6"/>
      <c r="GRZ36" s="6"/>
      <c r="GSA36" s="6"/>
      <c r="GSB36" s="6"/>
      <c r="GSC36" s="6"/>
      <c r="GSD36" s="6"/>
      <c r="GSE36" s="6"/>
      <c r="GSF36" s="6"/>
      <c r="GSG36" s="6"/>
      <c r="GSH36" s="6"/>
      <c r="GSI36" s="6"/>
      <c r="GSJ36" s="6"/>
      <c r="GSK36" s="6"/>
      <c r="GSL36" s="6"/>
      <c r="GSM36" s="6"/>
      <c r="GSN36" s="6"/>
      <c r="GSO36" s="6"/>
      <c r="GSP36" s="6"/>
      <c r="GSQ36" s="6"/>
      <c r="GSR36" s="6"/>
      <c r="GSS36" s="6"/>
      <c r="GST36" s="6"/>
      <c r="GSU36" s="6"/>
      <c r="GSV36" s="6"/>
      <c r="GSW36" s="6"/>
      <c r="GSX36" s="6"/>
      <c r="GSY36" s="6"/>
      <c r="GSZ36" s="6"/>
      <c r="GTA36" s="6"/>
      <c r="GTB36" s="6"/>
      <c r="GTC36" s="6"/>
      <c r="GTD36" s="6"/>
      <c r="GTE36" s="6"/>
      <c r="GTF36" s="6"/>
      <c r="GTG36" s="6"/>
      <c r="GTH36" s="6"/>
      <c r="GTI36" s="6"/>
      <c r="GTJ36" s="6"/>
      <c r="GTK36" s="6"/>
      <c r="GTL36" s="6"/>
      <c r="GTM36" s="6"/>
      <c r="GTN36" s="6"/>
      <c r="GTO36" s="6"/>
      <c r="GTP36" s="6"/>
      <c r="GTQ36" s="6"/>
      <c r="GTR36" s="6"/>
      <c r="GTS36" s="6"/>
      <c r="GTT36" s="6"/>
      <c r="GTU36" s="6"/>
      <c r="GTV36" s="6"/>
      <c r="GTW36" s="6"/>
      <c r="GTX36" s="6"/>
      <c r="GTY36" s="6"/>
      <c r="GTZ36" s="6"/>
      <c r="GUA36" s="6"/>
      <c r="GUB36" s="6"/>
      <c r="GUC36" s="6"/>
      <c r="GUD36" s="6"/>
      <c r="GUE36" s="6"/>
      <c r="GUF36" s="6"/>
      <c r="GUG36" s="6"/>
      <c r="GUH36" s="6"/>
      <c r="GUI36" s="6"/>
      <c r="GUJ36" s="6"/>
      <c r="GUK36" s="6"/>
      <c r="GUL36" s="6"/>
      <c r="GUM36" s="6"/>
      <c r="GUN36" s="6"/>
      <c r="GUO36" s="6"/>
      <c r="GUP36" s="6"/>
      <c r="GUQ36" s="6"/>
      <c r="GUR36" s="6"/>
      <c r="GUS36" s="6"/>
      <c r="GUT36" s="6"/>
      <c r="GUU36" s="6"/>
      <c r="GUV36" s="6"/>
      <c r="GUW36" s="6"/>
      <c r="GUX36" s="6"/>
      <c r="GUY36" s="6"/>
      <c r="GUZ36" s="6"/>
      <c r="GVA36" s="6"/>
      <c r="GVB36" s="6"/>
      <c r="GVC36" s="6"/>
      <c r="GVD36" s="6"/>
      <c r="GVE36" s="6"/>
      <c r="GVF36" s="6"/>
      <c r="GVG36" s="6"/>
      <c r="GVH36" s="6"/>
      <c r="GVI36" s="6"/>
      <c r="GVJ36" s="6"/>
      <c r="GVK36" s="6"/>
      <c r="GVL36" s="6"/>
      <c r="GVM36" s="6"/>
      <c r="GVN36" s="6"/>
      <c r="GVO36" s="6"/>
      <c r="GVP36" s="6"/>
      <c r="GVQ36" s="6"/>
      <c r="GVR36" s="6"/>
      <c r="GVS36" s="6"/>
      <c r="GVT36" s="6"/>
      <c r="GVU36" s="6"/>
      <c r="GVV36" s="6"/>
      <c r="GVW36" s="6"/>
      <c r="GVX36" s="6"/>
      <c r="GVY36" s="6"/>
      <c r="GVZ36" s="6"/>
      <c r="GWA36" s="6"/>
      <c r="GWB36" s="6"/>
      <c r="GWC36" s="6"/>
      <c r="GWD36" s="6"/>
      <c r="GWE36" s="6"/>
      <c r="GWF36" s="6"/>
      <c r="GWG36" s="6"/>
      <c r="GWH36" s="6"/>
      <c r="GWI36" s="6"/>
      <c r="GWJ36" s="6"/>
      <c r="GWK36" s="6"/>
      <c r="GWL36" s="6"/>
      <c r="GWM36" s="6"/>
      <c r="GWN36" s="6"/>
      <c r="GWO36" s="6"/>
      <c r="GWP36" s="6"/>
      <c r="GWQ36" s="6"/>
      <c r="GWR36" s="6"/>
      <c r="GWS36" s="6"/>
      <c r="GWT36" s="6"/>
      <c r="GWU36" s="6"/>
      <c r="GWV36" s="6"/>
      <c r="GWW36" s="6"/>
      <c r="GWX36" s="6"/>
      <c r="GWY36" s="6"/>
      <c r="GWZ36" s="6"/>
      <c r="GXA36" s="6"/>
      <c r="GXB36" s="6"/>
      <c r="GXC36" s="6"/>
      <c r="GXD36" s="6"/>
      <c r="GXE36" s="6"/>
      <c r="GXF36" s="6"/>
      <c r="GXG36" s="6"/>
      <c r="GXH36" s="6"/>
      <c r="GXI36" s="6"/>
      <c r="GXJ36" s="6"/>
      <c r="GXK36" s="6"/>
      <c r="GXL36" s="6"/>
      <c r="GXM36" s="6"/>
      <c r="GXN36" s="6"/>
      <c r="GXO36" s="6"/>
      <c r="GXP36" s="6"/>
      <c r="GXQ36" s="6"/>
      <c r="GXR36" s="6"/>
      <c r="GXS36" s="6"/>
      <c r="GXT36" s="6"/>
      <c r="GXU36" s="6"/>
      <c r="GXV36" s="6"/>
      <c r="GXW36" s="6"/>
      <c r="GXX36" s="6"/>
      <c r="GXY36" s="6"/>
      <c r="GXZ36" s="6"/>
      <c r="GYA36" s="6"/>
      <c r="GYB36" s="6"/>
      <c r="GYC36" s="6"/>
      <c r="GYD36" s="6"/>
      <c r="GYE36" s="6"/>
      <c r="GYF36" s="6"/>
      <c r="GYG36" s="6"/>
      <c r="GYH36" s="6"/>
      <c r="GYI36" s="6"/>
      <c r="GYJ36" s="6"/>
      <c r="GYK36" s="6"/>
      <c r="GYL36" s="6"/>
      <c r="GYM36" s="6"/>
      <c r="GYN36" s="6"/>
      <c r="GYO36" s="6"/>
      <c r="GYP36" s="6"/>
      <c r="GYQ36" s="6"/>
      <c r="GYR36" s="6"/>
      <c r="GYS36" s="6"/>
      <c r="GYT36" s="6"/>
      <c r="GYU36" s="6"/>
      <c r="GYV36" s="6"/>
      <c r="GYW36" s="6"/>
      <c r="GYX36" s="6"/>
      <c r="GYY36" s="6"/>
      <c r="GYZ36" s="6"/>
      <c r="GZA36" s="6"/>
      <c r="GZB36" s="6"/>
      <c r="GZC36" s="6"/>
      <c r="GZD36" s="6"/>
      <c r="GZE36" s="6"/>
      <c r="GZF36" s="6"/>
      <c r="GZG36" s="6"/>
      <c r="GZH36" s="6"/>
      <c r="GZI36" s="6"/>
      <c r="GZJ36" s="6"/>
      <c r="GZK36" s="6"/>
      <c r="GZL36" s="6"/>
      <c r="GZM36" s="6"/>
      <c r="GZN36" s="6"/>
      <c r="GZO36" s="6"/>
      <c r="GZP36" s="6"/>
      <c r="GZQ36" s="6"/>
      <c r="GZR36" s="6"/>
      <c r="GZS36" s="6"/>
      <c r="GZT36" s="6"/>
      <c r="GZU36" s="6"/>
      <c r="GZV36" s="6"/>
      <c r="GZW36" s="6"/>
      <c r="GZX36" s="6"/>
      <c r="GZY36" s="6"/>
      <c r="GZZ36" s="6"/>
      <c r="HAA36" s="6"/>
      <c r="HAB36" s="6"/>
      <c r="HAC36" s="6"/>
      <c r="HAD36" s="6"/>
      <c r="HAE36" s="6"/>
      <c r="HAF36" s="6"/>
      <c r="HAG36" s="6"/>
      <c r="HAH36" s="6"/>
      <c r="HAI36" s="6"/>
      <c r="HAJ36" s="6"/>
      <c r="HAK36" s="6"/>
      <c r="HAL36" s="6"/>
      <c r="HAM36" s="6"/>
      <c r="HAN36" s="6"/>
      <c r="HAO36" s="6"/>
      <c r="HAP36" s="6"/>
      <c r="HAQ36" s="6"/>
      <c r="HAR36" s="6"/>
      <c r="HAS36" s="6"/>
      <c r="HAT36" s="6"/>
      <c r="HAU36" s="6"/>
      <c r="HAV36" s="6"/>
      <c r="HAW36" s="6"/>
      <c r="HAX36" s="6"/>
      <c r="HAY36" s="6"/>
      <c r="HAZ36" s="6"/>
      <c r="HBA36" s="6"/>
      <c r="HBB36" s="6"/>
      <c r="HBC36" s="6"/>
      <c r="HBD36" s="6"/>
      <c r="HBE36" s="6"/>
      <c r="HBF36" s="6"/>
      <c r="HBG36" s="6"/>
      <c r="HBH36" s="6"/>
      <c r="HBI36" s="6"/>
      <c r="HBJ36" s="6"/>
      <c r="HBK36" s="6"/>
      <c r="HBL36" s="6"/>
      <c r="HBM36" s="6"/>
      <c r="HBN36" s="6"/>
      <c r="HBO36" s="6"/>
      <c r="HBP36" s="6"/>
      <c r="HBQ36" s="6"/>
      <c r="HBR36" s="6"/>
      <c r="HBS36" s="6"/>
      <c r="HBT36" s="6"/>
      <c r="HBU36" s="6"/>
      <c r="HBV36" s="6"/>
      <c r="HBW36" s="6"/>
      <c r="HBX36" s="6"/>
      <c r="HBY36" s="6"/>
      <c r="HBZ36" s="6"/>
      <c r="HCA36" s="6"/>
      <c r="HCB36" s="6"/>
      <c r="HCC36" s="6"/>
      <c r="HCD36" s="6"/>
      <c r="HCE36" s="6"/>
      <c r="HCF36" s="6"/>
      <c r="HCG36" s="6"/>
      <c r="HCH36" s="6"/>
      <c r="HCI36" s="6"/>
      <c r="HCJ36" s="6"/>
      <c r="HCK36" s="6"/>
      <c r="HCL36" s="6"/>
      <c r="HCM36" s="6"/>
      <c r="HCN36" s="6"/>
      <c r="HCO36" s="6"/>
      <c r="HCP36" s="6"/>
      <c r="HCQ36" s="6"/>
      <c r="HCR36" s="6"/>
      <c r="HCS36" s="6"/>
      <c r="HCT36" s="6"/>
      <c r="HCU36" s="6"/>
      <c r="HCV36" s="6"/>
      <c r="HCW36" s="6"/>
      <c r="HCX36" s="6"/>
      <c r="HCY36" s="6"/>
      <c r="HCZ36" s="6"/>
      <c r="HDA36" s="6"/>
      <c r="HDB36" s="6"/>
      <c r="HDC36" s="6"/>
      <c r="HDD36" s="6"/>
      <c r="HDE36" s="6"/>
      <c r="HDF36" s="6"/>
      <c r="HDG36" s="6"/>
      <c r="HDH36" s="6"/>
      <c r="HDI36" s="6"/>
      <c r="HDJ36" s="6"/>
      <c r="HDK36" s="6"/>
      <c r="HDL36" s="6"/>
      <c r="HDM36" s="6"/>
      <c r="HDN36" s="6"/>
      <c r="HDO36" s="6"/>
      <c r="HDP36" s="6"/>
      <c r="HDQ36" s="6"/>
      <c r="HDR36" s="6"/>
      <c r="HDS36" s="6"/>
      <c r="HDT36" s="6"/>
      <c r="HDU36" s="6"/>
      <c r="HDV36" s="6"/>
      <c r="HDW36" s="6"/>
      <c r="HDX36" s="6"/>
      <c r="HDY36" s="6"/>
      <c r="HDZ36" s="6"/>
      <c r="HEA36" s="6"/>
      <c r="HEB36" s="6"/>
      <c r="HEC36" s="6"/>
      <c r="HED36" s="6"/>
      <c r="HEE36" s="6"/>
      <c r="HEF36" s="6"/>
      <c r="HEG36" s="6"/>
      <c r="HEH36" s="6"/>
      <c r="HEI36" s="6"/>
      <c r="HEJ36" s="6"/>
      <c r="HEK36" s="6"/>
      <c r="HEL36" s="6"/>
      <c r="HEM36" s="6"/>
      <c r="HEN36" s="6"/>
      <c r="HEO36" s="6"/>
      <c r="HEP36" s="6"/>
      <c r="HEQ36" s="6"/>
      <c r="HER36" s="6"/>
      <c r="HES36" s="6"/>
      <c r="HET36" s="6"/>
      <c r="HEU36" s="6"/>
      <c r="HEV36" s="6"/>
      <c r="HEW36" s="6"/>
      <c r="HEX36" s="6"/>
      <c r="HEY36" s="6"/>
      <c r="HEZ36" s="6"/>
      <c r="HFA36" s="6"/>
      <c r="HFB36" s="6"/>
      <c r="HFC36" s="6"/>
      <c r="HFD36" s="6"/>
      <c r="HFE36" s="6"/>
      <c r="HFF36" s="6"/>
      <c r="HFG36" s="6"/>
      <c r="HFH36" s="6"/>
      <c r="HFI36" s="6"/>
      <c r="HFJ36" s="6"/>
      <c r="HFK36" s="6"/>
      <c r="HFL36" s="6"/>
      <c r="HFM36" s="6"/>
      <c r="HFN36" s="6"/>
      <c r="HFO36" s="6"/>
      <c r="HFP36" s="6"/>
      <c r="HFQ36" s="6"/>
      <c r="HFR36" s="6"/>
      <c r="HFS36" s="6"/>
      <c r="HFT36" s="6"/>
      <c r="HFU36" s="6"/>
      <c r="HFV36" s="6"/>
      <c r="HFW36" s="6"/>
      <c r="HFX36" s="6"/>
      <c r="HFY36" s="6"/>
      <c r="HFZ36" s="6"/>
      <c r="HGA36" s="6"/>
      <c r="HGB36" s="6"/>
      <c r="HGC36" s="6"/>
      <c r="HGD36" s="6"/>
      <c r="HGE36" s="6"/>
      <c r="HGF36" s="6"/>
      <c r="HGG36" s="6"/>
      <c r="HGH36" s="6"/>
      <c r="HGI36" s="6"/>
      <c r="HGJ36" s="6"/>
      <c r="HGK36" s="6"/>
      <c r="HGL36" s="6"/>
      <c r="HGM36" s="6"/>
      <c r="HGN36" s="6"/>
      <c r="HGO36" s="6"/>
      <c r="HGP36" s="6"/>
      <c r="HGQ36" s="6"/>
      <c r="HGR36" s="6"/>
      <c r="HGS36" s="6"/>
      <c r="HGT36" s="6"/>
      <c r="HGU36" s="6"/>
      <c r="HGV36" s="6"/>
      <c r="HGW36" s="6"/>
      <c r="HGX36" s="6"/>
      <c r="HGY36" s="6"/>
      <c r="HGZ36" s="6"/>
      <c r="HHA36" s="6"/>
      <c r="HHB36" s="6"/>
      <c r="HHC36" s="6"/>
      <c r="HHD36" s="6"/>
      <c r="HHE36" s="6"/>
      <c r="HHF36" s="6"/>
      <c r="HHG36" s="6"/>
      <c r="HHH36" s="6"/>
      <c r="HHI36" s="6"/>
      <c r="HHJ36" s="6"/>
      <c r="HHK36" s="6"/>
      <c r="HHL36" s="6"/>
      <c r="HHM36" s="6"/>
      <c r="HHN36" s="6"/>
      <c r="HHO36" s="6"/>
      <c r="HHP36" s="6"/>
      <c r="HHQ36" s="6"/>
      <c r="HHR36" s="6"/>
      <c r="HHS36" s="6"/>
      <c r="HHT36" s="6"/>
      <c r="HHU36" s="6"/>
      <c r="HHV36" s="6"/>
      <c r="HHW36" s="6"/>
      <c r="HHX36" s="6"/>
      <c r="HHY36" s="6"/>
      <c r="HHZ36" s="6"/>
      <c r="HIA36" s="6"/>
      <c r="HIB36" s="6"/>
      <c r="HIC36" s="6"/>
      <c r="HID36" s="6"/>
      <c r="HIE36" s="6"/>
      <c r="HIF36" s="6"/>
      <c r="HIG36" s="6"/>
      <c r="HIH36" s="6"/>
      <c r="HII36" s="6"/>
      <c r="HIJ36" s="6"/>
      <c r="HIK36" s="6"/>
      <c r="HIL36" s="6"/>
      <c r="HIM36" s="6"/>
      <c r="HIN36" s="6"/>
      <c r="HIO36" s="6"/>
      <c r="HIP36" s="6"/>
      <c r="HIQ36" s="6"/>
      <c r="HIR36" s="6"/>
      <c r="HIS36" s="6"/>
      <c r="HIT36" s="6"/>
      <c r="HIU36" s="6"/>
      <c r="HIV36" s="6"/>
      <c r="HIW36" s="6"/>
      <c r="HIX36" s="6"/>
      <c r="HIY36" s="6"/>
      <c r="HIZ36" s="6"/>
      <c r="HJA36" s="6"/>
      <c r="HJB36" s="6"/>
      <c r="HJC36" s="6"/>
      <c r="HJD36" s="6"/>
      <c r="HJE36" s="6"/>
      <c r="HJF36" s="6"/>
      <c r="HJG36" s="6"/>
      <c r="HJH36" s="6"/>
      <c r="HJI36" s="6"/>
      <c r="HJJ36" s="6"/>
      <c r="HJK36" s="6"/>
      <c r="HJL36" s="6"/>
      <c r="HJM36" s="6"/>
      <c r="HJN36" s="6"/>
      <c r="HJO36" s="6"/>
      <c r="HJP36" s="6"/>
      <c r="HJQ36" s="6"/>
      <c r="HJR36" s="6"/>
      <c r="HJS36" s="6"/>
      <c r="HJT36" s="6"/>
      <c r="HJU36" s="6"/>
      <c r="HJV36" s="6"/>
      <c r="HJW36" s="6"/>
      <c r="HJX36" s="6"/>
      <c r="HJY36" s="6"/>
      <c r="HJZ36" s="6"/>
      <c r="HKA36" s="6"/>
      <c r="HKB36" s="6"/>
      <c r="HKC36" s="6"/>
      <c r="HKD36" s="6"/>
      <c r="HKE36" s="6"/>
      <c r="HKF36" s="6"/>
      <c r="HKG36" s="6"/>
      <c r="HKH36" s="6"/>
      <c r="HKI36" s="6"/>
      <c r="HKJ36" s="6"/>
      <c r="HKK36" s="6"/>
      <c r="HKL36" s="6"/>
      <c r="HKM36" s="6"/>
      <c r="HKN36" s="6"/>
      <c r="HKO36" s="6"/>
      <c r="HKP36" s="6"/>
      <c r="HKQ36" s="6"/>
      <c r="HKR36" s="6"/>
      <c r="HKS36" s="6"/>
      <c r="HKT36" s="6"/>
      <c r="HKU36" s="6"/>
      <c r="HKV36" s="6"/>
      <c r="HKW36" s="6"/>
      <c r="HKX36" s="6"/>
      <c r="HKY36" s="6"/>
      <c r="HKZ36" s="6"/>
      <c r="HLA36" s="6"/>
      <c r="HLB36" s="6"/>
      <c r="HLC36" s="6"/>
      <c r="HLD36" s="6"/>
      <c r="HLE36" s="6"/>
      <c r="HLF36" s="6"/>
      <c r="HLG36" s="6"/>
      <c r="HLH36" s="6"/>
      <c r="HLI36" s="6"/>
      <c r="HLJ36" s="6"/>
      <c r="HLK36" s="6"/>
      <c r="HLL36" s="6"/>
      <c r="HLM36" s="6"/>
      <c r="HLN36" s="6"/>
      <c r="HLO36" s="6"/>
      <c r="HLP36" s="6"/>
      <c r="HLQ36" s="6"/>
      <c r="HLR36" s="6"/>
      <c r="HLS36" s="6"/>
      <c r="HLT36" s="6"/>
      <c r="HLU36" s="6"/>
      <c r="HLV36" s="6"/>
      <c r="HLW36" s="6"/>
      <c r="HLX36" s="6"/>
      <c r="HLY36" s="6"/>
      <c r="HLZ36" s="6"/>
      <c r="HMA36" s="6"/>
      <c r="HMB36" s="6"/>
      <c r="HMC36" s="6"/>
      <c r="HMD36" s="6"/>
      <c r="HME36" s="6"/>
      <c r="HMF36" s="6"/>
      <c r="HMG36" s="6"/>
      <c r="HMH36" s="6"/>
      <c r="HMI36" s="6"/>
      <c r="HMJ36" s="6"/>
      <c r="HMK36" s="6"/>
      <c r="HML36" s="6"/>
      <c r="HMM36" s="6"/>
      <c r="HMN36" s="6"/>
      <c r="HMO36" s="6"/>
      <c r="HMP36" s="6"/>
      <c r="HMQ36" s="6"/>
      <c r="HMR36" s="6"/>
      <c r="HMS36" s="6"/>
      <c r="HMT36" s="6"/>
      <c r="HMU36" s="6"/>
      <c r="HMV36" s="6"/>
      <c r="HMW36" s="6"/>
      <c r="HMX36" s="6"/>
      <c r="HMY36" s="6"/>
      <c r="HMZ36" s="6"/>
      <c r="HNA36" s="6"/>
      <c r="HNB36" s="6"/>
      <c r="HNC36" s="6"/>
      <c r="HND36" s="6"/>
      <c r="HNE36" s="6"/>
      <c r="HNF36" s="6"/>
      <c r="HNG36" s="6"/>
      <c r="HNH36" s="6"/>
      <c r="HNI36" s="6"/>
      <c r="HNJ36" s="6"/>
      <c r="HNK36" s="6"/>
      <c r="HNL36" s="6"/>
      <c r="HNM36" s="6"/>
      <c r="HNN36" s="6"/>
      <c r="HNO36" s="6"/>
      <c r="HNP36" s="6"/>
      <c r="HNQ36" s="6"/>
      <c r="HNR36" s="6"/>
      <c r="HNS36" s="6"/>
      <c r="HNT36" s="6"/>
      <c r="HNU36" s="6"/>
      <c r="HNV36" s="6"/>
      <c r="HNW36" s="6"/>
      <c r="HNX36" s="6"/>
      <c r="HNY36" s="6"/>
      <c r="HNZ36" s="6"/>
      <c r="HOA36" s="6"/>
      <c r="HOB36" s="6"/>
      <c r="HOC36" s="6"/>
      <c r="HOD36" s="6"/>
      <c r="HOE36" s="6"/>
      <c r="HOF36" s="6"/>
      <c r="HOG36" s="6"/>
      <c r="HOH36" s="6"/>
      <c r="HOI36" s="6"/>
      <c r="HOJ36" s="6"/>
      <c r="HOK36" s="6"/>
      <c r="HOL36" s="6"/>
      <c r="HOM36" s="6"/>
      <c r="HON36" s="6"/>
      <c r="HOO36" s="6"/>
      <c r="HOP36" s="6"/>
      <c r="HOQ36" s="6"/>
      <c r="HOR36" s="6"/>
      <c r="HOS36" s="6"/>
      <c r="HOT36" s="6"/>
      <c r="HOU36" s="6"/>
      <c r="HOV36" s="6"/>
      <c r="HOW36" s="6"/>
      <c r="HOX36" s="6"/>
      <c r="HOY36" s="6"/>
      <c r="HOZ36" s="6"/>
      <c r="HPA36" s="6"/>
      <c r="HPB36" s="6"/>
      <c r="HPC36" s="6"/>
      <c r="HPD36" s="6"/>
      <c r="HPE36" s="6"/>
      <c r="HPF36" s="6"/>
      <c r="HPG36" s="6"/>
      <c r="HPH36" s="6"/>
      <c r="HPI36" s="6"/>
      <c r="HPJ36" s="6"/>
      <c r="HPK36" s="6"/>
      <c r="HPL36" s="6"/>
      <c r="HPM36" s="6"/>
      <c r="HPN36" s="6"/>
      <c r="HPO36" s="6"/>
      <c r="HPP36" s="6"/>
      <c r="HPQ36" s="6"/>
      <c r="HPR36" s="6"/>
      <c r="HPS36" s="6"/>
      <c r="HPT36" s="6"/>
      <c r="HPU36" s="6"/>
      <c r="HPV36" s="6"/>
      <c r="HPW36" s="6"/>
      <c r="HPX36" s="6"/>
      <c r="HPY36" s="6"/>
      <c r="HPZ36" s="6"/>
      <c r="HQA36" s="6"/>
      <c r="HQB36" s="6"/>
      <c r="HQC36" s="6"/>
      <c r="HQD36" s="6"/>
      <c r="HQE36" s="6"/>
      <c r="HQF36" s="6"/>
      <c r="HQG36" s="6"/>
      <c r="HQH36" s="6"/>
      <c r="HQI36" s="6"/>
      <c r="HQJ36" s="6"/>
      <c r="HQK36" s="6"/>
      <c r="HQL36" s="6"/>
      <c r="HQM36" s="6"/>
      <c r="HQN36" s="6"/>
      <c r="HQO36" s="6"/>
      <c r="HQP36" s="6"/>
      <c r="HQQ36" s="6"/>
      <c r="HQR36" s="6"/>
      <c r="HQS36" s="6"/>
      <c r="HQT36" s="6"/>
      <c r="HQU36" s="6"/>
      <c r="HQV36" s="6"/>
      <c r="HQW36" s="6"/>
      <c r="HQX36" s="6"/>
      <c r="HQY36" s="6"/>
      <c r="HQZ36" s="6"/>
      <c r="HRA36" s="6"/>
      <c r="HRB36" s="6"/>
      <c r="HRC36" s="6"/>
      <c r="HRD36" s="6"/>
      <c r="HRE36" s="6"/>
      <c r="HRF36" s="6"/>
      <c r="HRG36" s="6"/>
      <c r="HRH36" s="6"/>
      <c r="HRI36" s="6"/>
      <c r="HRJ36" s="6"/>
      <c r="HRK36" s="6"/>
      <c r="HRL36" s="6"/>
      <c r="HRM36" s="6"/>
      <c r="HRN36" s="6"/>
      <c r="HRO36" s="6"/>
      <c r="HRP36" s="6"/>
      <c r="HRQ36" s="6"/>
      <c r="HRR36" s="6"/>
      <c r="HRS36" s="6"/>
      <c r="HRT36" s="6"/>
      <c r="HRU36" s="6"/>
      <c r="HRV36" s="6"/>
      <c r="HRW36" s="6"/>
      <c r="HRX36" s="6"/>
      <c r="HRY36" s="6"/>
      <c r="HRZ36" s="6"/>
      <c r="HSA36" s="6"/>
      <c r="HSB36" s="6"/>
      <c r="HSC36" s="6"/>
      <c r="HSD36" s="6"/>
      <c r="HSE36" s="6"/>
      <c r="HSF36" s="6"/>
      <c r="HSG36" s="6"/>
      <c r="HSH36" s="6"/>
      <c r="HSI36" s="6"/>
      <c r="HSJ36" s="6"/>
      <c r="HSK36" s="6"/>
      <c r="HSL36" s="6"/>
      <c r="HSM36" s="6"/>
      <c r="HSN36" s="6"/>
      <c r="HSO36" s="6"/>
      <c r="HSP36" s="6"/>
      <c r="HSQ36" s="6"/>
      <c r="HSR36" s="6"/>
      <c r="HSS36" s="6"/>
      <c r="HST36" s="6"/>
      <c r="HSU36" s="6"/>
      <c r="HSV36" s="6"/>
      <c r="HSW36" s="6"/>
      <c r="HSX36" s="6"/>
      <c r="HSY36" s="6"/>
      <c r="HSZ36" s="6"/>
      <c r="HTA36" s="6"/>
      <c r="HTB36" s="6"/>
      <c r="HTC36" s="6"/>
      <c r="HTD36" s="6"/>
      <c r="HTE36" s="6"/>
      <c r="HTF36" s="6"/>
      <c r="HTG36" s="6"/>
      <c r="HTH36" s="6"/>
      <c r="HTI36" s="6"/>
      <c r="HTJ36" s="6"/>
      <c r="HTK36" s="6"/>
      <c r="HTL36" s="6"/>
      <c r="HTM36" s="6"/>
      <c r="HTN36" s="6"/>
      <c r="HTO36" s="6"/>
      <c r="HTP36" s="6"/>
      <c r="HTQ36" s="6"/>
      <c r="HTR36" s="6"/>
      <c r="HTS36" s="6"/>
      <c r="HTT36" s="6"/>
      <c r="HTU36" s="6"/>
      <c r="HTV36" s="6"/>
      <c r="HTW36" s="6"/>
      <c r="HTX36" s="6"/>
      <c r="HTY36" s="6"/>
      <c r="HTZ36" s="6"/>
      <c r="HUA36" s="6"/>
      <c r="HUB36" s="6"/>
      <c r="HUC36" s="6"/>
      <c r="HUD36" s="6"/>
      <c r="HUE36" s="6"/>
      <c r="HUF36" s="6"/>
      <c r="HUG36" s="6"/>
      <c r="HUH36" s="6"/>
      <c r="HUI36" s="6"/>
      <c r="HUJ36" s="6"/>
      <c r="HUK36" s="6"/>
      <c r="HUL36" s="6"/>
      <c r="HUM36" s="6"/>
      <c r="HUN36" s="6"/>
      <c r="HUO36" s="6"/>
      <c r="HUP36" s="6"/>
      <c r="HUQ36" s="6"/>
      <c r="HUR36" s="6"/>
      <c r="HUS36" s="6"/>
      <c r="HUT36" s="6"/>
      <c r="HUU36" s="6"/>
      <c r="HUV36" s="6"/>
      <c r="HUW36" s="6"/>
      <c r="HUX36" s="6"/>
      <c r="HUY36" s="6"/>
      <c r="HUZ36" s="6"/>
      <c r="HVA36" s="6"/>
      <c r="HVB36" s="6"/>
      <c r="HVC36" s="6"/>
      <c r="HVD36" s="6"/>
      <c r="HVE36" s="6"/>
      <c r="HVF36" s="6"/>
      <c r="HVG36" s="6"/>
      <c r="HVH36" s="6"/>
      <c r="HVI36" s="6"/>
      <c r="HVJ36" s="6"/>
      <c r="HVK36" s="6"/>
      <c r="HVL36" s="6"/>
      <c r="HVM36" s="6"/>
      <c r="HVN36" s="6"/>
      <c r="HVO36" s="6"/>
      <c r="HVP36" s="6"/>
      <c r="HVQ36" s="6"/>
      <c r="HVR36" s="6"/>
      <c r="HVS36" s="6"/>
      <c r="HVT36" s="6"/>
      <c r="HVU36" s="6"/>
      <c r="HVV36" s="6"/>
      <c r="HVW36" s="6"/>
      <c r="HVX36" s="6"/>
      <c r="HVY36" s="6"/>
      <c r="HVZ36" s="6"/>
      <c r="HWA36" s="6"/>
      <c r="HWB36" s="6"/>
      <c r="HWC36" s="6"/>
      <c r="HWD36" s="6"/>
      <c r="HWE36" s="6"/>
      <c r="HWF36" s="6"/>
      <c r="HWG36" s="6"/>
      <c r="HWH36" s="6"/>
      <c r="HWI36" s="6"/>
      <c r="HWJ36" s="6"/>
      <c r="HWK36" s="6"/>
      <c r="HWL36" s="6"/>
      <c r="HWM36" s="6"/>
      <c r="HWN36" s="6"/>
      <c r="HWO36" s="6"/>
      <c r="HWP36" s="6"/>
      <c r="HWQ36" s="6"/>
      <c r="HWR36" s="6"/>
      <c r="HWS36" s="6"/>
      <c r="HWT36" s="6"/>
      <c r="HWU36" s="6"/>
      <c r="HWV36" s="6"/>
      <c r="HWW36" s="6"/>
      <c r="HWX36" s="6"/>
      <c r="HWY36" s="6"/>
      <c r="HWZ36" s="6"/>
      <c r="HXA36" s="6"/>
      <c r="HXB36" s="6"/>
      <c r="HXC36" s="6"/>
      <c r="HXD36" s="6"/>
      <c r="HXE36" s="6"/>
      <c r="HXF36" s="6"/>
      <c r="HXG36" s="6"/>
      <c r="HXH36" s="6"/>
      <c r="HXI36" s="6"/>
      <c r="HXJ36" s="6"/>
      <c r="HXK36" s="6"/>
      <c r="HXL36" s="6"/>
      <c r="HXM36" s="6"/>
      <c r="HXN36" s="6"/>
      <c r="HXO36" s="6"/>
      <c r="HXP36" s="6"/>
      <c r="HXQ36" s="6"/>
      <c r="HXR36" s="6"/>
      <c r="HXS36" s="6"/>
      <c r="HXT36" s="6"/>
      <c r="HXU36" s="6"/>
      <c r="HXV36" s="6"/>
      <c r="HXW36" s="6"/>
      <c r="HXX36" s="6"/>
      <c r="HXY36" s="6"/>
      <c r="HXZ36" s="6"/>
      <c r="HYA36" s="6"/>
      <c r="HYB36" s="6"/>
      <c r="HYC36" s="6"/>
      <c r="HYD36" s="6"/>
      <c r="HYE36" s="6"/>
      <c r="HYF36" s="6"/>
      <c r="HYG36" s="6"/>
      <c r="HYH36" s="6"/>
      <c r="HYI36" s="6"/>
      <c r="HYJ36" s="6"/>
      <c r="HYK36" s="6"/>
      <c r="HYL36" s="6"/>
      <c r="HYM36" s="6"/>
      <c r="HYN36" s="6"/>
      <c r="HYO36" s="6"/>
      <c r="HYP36" s="6"/>
      <c r="HYQ36" s="6"/>
      <c r="HYR36" s="6"/>
      <c r="HYS36" s="6"/>
      <c r="HYT36" s="6"/>
      <c r="HYU36" s="6"/>
      <c r="HYV36" s="6"/>
      <c r="HYW36" s="6"/>
      <c r="HYX36" s="6"/>
      <c r="HYY36" s="6"/>
      <c r="HYZ36" s="6"/>
      <c r="HZA36" s="6"/>
      <c r="HZB36" s="6"/>
      <c r="HZC36" s="6"/>
      <c r="HZD36" s="6"/>
      <c r="HZE36" s="6"/>
      <c r="HZF36" s="6"/>
      <c r="HZG36" s="6"/>
      <c r="HZH36" s="6"/>
      <c r="HZI36" s="6"/>
      <c r="HZJ36" s="6"/>
      <c r="HZK36" s="6"/>
      <c r="HZL36" s="6"/>
      <c r="HZM36" s="6"/>
      <c r="HZN36" s="6"/>
      <c r="HZO36" s="6"/>
      <c r="HZP36" s="6"/>
      <c r="HZQ36" s="6"/>
      <c r="HZR36" s="6"/>
      <c r="HZS36" s="6"/>
      <c r="HZT36" s="6"/>
      <c r="HZU36" s="6"/>
      <c r="HZV36" s="6"/>
      <c r="HZW36" s="6"/>
      <c r="HZX36" s="6"/>
      <c r="HZY36" s="6"/>
      <c r="HZZ36" s="6"/>
      <c r="IAA36" s="6"/>
      <c r="IAB36" s="6"/>
      <c r="IAC36" s="6"/>
      <c r="IAD36" s="6"/>
      <c r="IAE36" s="6"/>
      <c r="IAF36" s="6"/>
      <c r="IAG36" s="6"/>
      <c r="IAH36" s="6"/>
      <c r="IAI36" s="6"/>
      <c r="IAJ36" s="6"/>
      <c r="IAK36" s="6"/>
      <c r="IAL36" s="6"/>
      <c r="IAM36" s="6"/>
      <c r="IAN36" s="6"/>
      <c r="IAO36" s="6"/>
      <c r="IAP36" s="6"/>
      <c r="IAQ36" s="6"/>
      <c r="IAR36" s="6"/>
      <c r="IAS36" s="6"/>
      <c r="IAT36" s="6"/>
      <c r="IAU36" s="6"/>
      <c r="IAV36" s="6"/>
      <c r="IAW36" s="6"/>
      <c r="IAX36" s="6"/>
      <c r="IAY36" s="6"/>
      <c r="IAZ36" s="6"/>
      <c r="IBA36" s="6"/>
      <c r="IBB36" s="6"/>
      <c r="IBC36" s="6"/>
      <c r="IBD36" s="6"/>
      <c r="IBE36" s="6"/>
      <c r="IBF36" s="6"/>
      <c r="IBG36" s="6"/>
      <c r="IBH36" s="6"/>
      <c r="IBI36" s="6"/>
      <c r="IBJ36" s="6"/>
      <c r="IBK36" s="6"/>
      <c r="IBL36" s="6"/>
      <c r="IBM36" s="6"/>
      <c r="IBN36" s="6"/>
      <c r="IBO36" s="6"/>
      <c r="IBP36" s="6"/>
      <c r="IBQ36" s="6"/>
      <c r="IBR36" s="6"/>
      <c r="IBS36" s="6"/>
      <c r="IBT36" s="6"/>
      <c r="IBU36" s="6"/>
      <c r="IBV36" s="6"/>
      <c r="IBW36" s="6"/>
      <c r="IBX36" s="6"/>
      <c r="IBY36" s="6"/>
      <c r="IBZ36" s="6"/>
      <c r="ICA36" s="6"/>
      <c r="ICB36" s="6"/>
      <c r="ICC36" s="6"/>
      <c r="ICD36" s="6"/>
      <c r="ICE36" s="6"/>
      <c r="ICF36" s="6"/>
      <c r="ICG36" s="6"/>
      <c r="ICH36" s="6"/>
      <c r="ICI36" s="6"/>
      <c r="ICJ36" s="6"/>
      <c r="ICK36" s="6"/>
      <c r="ICL36" s="6"/>
      <c r="ICM36" s="6"/>
      <c r="ICN36" s="6"/>
      <c r="ICO36" s="6"/>
      <c r="ICP36" s="6"/>
      <c r="ICQ36" s="6"/>
      <c r="ICR36" s="6"/>
      <c r="ICS36" s="6"/>
      <c r="ICT36" s="6"/>
      <c r="ICU36" s="6"/>
      <c r="ICV36" s="6"/>
      <c r="ICW36" s="6"/>
      <c r="ICX36" s="6"/>
      <c r="ICY36" s="6"/>
      <c r="ICZ36" s="6"/>
      <c r="IDA36" s="6"/>
      <c r="IDB36" s="6"/>
      <c r="IDC36" s="6"/>
      <c r="IDD36" s="6"/>
      <c r="IDE36" s="6"/>
      <c r="IDF36" s="6"/>
      <c r="IDG36" s="6"/>
      <c r="IDH36" s="6"/>
      <c r="IDI36" s="6"/>
      <c r="IDJ36" s="6"/>
      <c r="IDK36" s="6"/>
      <c r="IDL36" s="6"/>
      <c r="IDM36" s="6"/>
      <c r="IDN36" s="6"/>
      <c r="IDO36" s="6"/>
      <c r="IDP36" s="6"/>
      <c r="IDQ36" s="6"/>
      <c r="IDR36" s="6"/>
      <c r="IDS36" s="6"/>
      <c r="IDT36" s="6"/>
      <c r="IDU36" s="6"/>
      <c r="IDV36" s="6"/>
      <c r="IDW36" s="6"/>
      <c r="IDX36" s="6"/>
      <c r="IDY36" s="6"/>
      <c r="IDZ36" s="6"/>
      <c r="IEA36" s="6"/>
      <c r="IEB36" s="6"/>
      <c r="IEC36" s="6"/>
      <c r="IED36" s="6"/>
      <c r="IEE36" s="6"/>
      <c r="IEF36" s="6"/>
      <c r="IEG36" s="6"/>
      <c r="IEH36" s="6"/>
      <c r="IEI36" s="6"/>
      <c r="IEJ36" s="6"/>
      <c r="IEK36" s="6"/>
      <c r="IEL36" s="6"/>
      <c r="IEM36" s="6"/>
      <c r="IEN36" s="6"/>
      <c r="IEO36" s="6"/>
      <c r="IEP36" s="6"/>
      <c r="IEQ36" s="6"/>
      <c r="IER36" s="6"/>
      <c r="IES36" s="6"/>
      <c r="IET36" s="6"/>
      <c r="IEU36" s="6"/>
      <c r="IEV36" s="6"/>
      <c r="IEW36" s="6"/>
      <c r="IEX36" s="6"/>
      <c r="IEY36" s="6"/>
      <c r="IEZ36" s="6"/>
      <c r="IFA36" s="6"/>
      <c r="IFB36" s="6"/>
      <c r="IFC36" s="6"/>
      <c r="IFD36" s="6"/>
      <c r="IFE36" s="6"/>
      <c r="IFF36" s="6"/>
      <c r="IFG36" s="6"/>
      <c r="IFH36" s="6"/>
      <c r="IFI36" s="6"/>
      <c r="IFJ36" s="6"/>
      <c r="IFK36" s="6"/>
      <c r="IFL36" s="6"/>
      <c r="IFM36" s="6"/>
      <c r="IFN36" s="6"/>
      <c r="IFO36" s="6"/>
      <c r="IFP36" s="6"/>
      <c r="IFQ36" s="6"/>
      <c r="IFR36" s="6"/>
      <c r="IFS36" s="6"/>
      <c r="IFT36" s="6"/>
      <c r="IFU36" s="6"/>
      <c r="IFV36" s="6"/>
      <c r="IFW36" s="6"/>
      <c r="IFX36" s="6"/>
      <c r="IFY36" s="6"/>
      <c r="IFZ36" s="6"/>
      <c r="IGA36" s="6"/>
      <c r="IGB36" s="6"/>
      <c r="IGC36" s="6"/>
      <c r="IGD36" s="6"/>
      <c r="IGE36" s="6"/>
      <c r="IGF36" s="6"/>
      <c r="IGG36" s="6"/>
      <c r="IGH36" s="6"/>
      <c r="IGI36" s="6"/>
      <c r="IGJ36" s="6"/>
      <c r="IGK36" s="6"/>
      <c r="IGL36" s="6"/>
      <c r="IGM36" s="6"/>
      <c r="IGN36" s="6"/>
      <c r="IGO36" s="6"/>
      <c r="IGP36" s="6"/>
      <c r="IGQ36" s="6"/>
      <c r="IGR36" s="6"/>
      <c r="IGS36" s="6"/>
      <c r="IGT36" s="6"/>
      <c r="IGU36" s="6"/>
      <c r="IGV36" s="6"/>
      <c r="IGW36" s="6"/>
      <c r="IGX36" s="6"/>
      <c r="IGY36" s="6"/>
      <c r="IGZ36" s="6"/>
      <c r="IHA36" s="6"/>
      <c r="IHB36" s="6"/>
      <c r="IHC36" s="6"/>
      <c r="IHD36" s="6"/>
      <c r="IHE36" s="6"/>
      <c r="IHF36" s="6"/>
      <c r="IHG36" s="6"/>
      <c r="IHH36" s="6"/>
      <c r="IHI36" s="6"/>
      <c r="IHJ36" s="6"/>
      <c r="IHK36" s="6"/>
      <c r="IHL36" s="6"/>
      <c r="IHM36" s="6"/>
      <c r="IHN36" s="6"/>
      <c r="IHO36" s="6"/>
      <c r="IHP36" s="6"/>
      <c r="IHQ36" s="6"/>
      <c r="IHR36" s="6"/>
      <c r="IHS36" s="6"/>
      <c r="IHT36" s="6"/>
      <c r="IHU36" s="6"/>
      <c r="IHV36" s="6"/>
      <c r="IHW36" s="6"/>
      <c r="IHX36" s="6"/>
      <c r="IHY36" s="6"/>
      <c r="IHZ36" s="6"/>
      <c r="IIA36" s="6"/>
      <c r="IIB36" s="6"/>
      <c r="IIC36" s="6"/>
      <c r="IID36" s="6"/>
      <c r="IIE36" s="6"/>
      <c r="IIF36" s="6"/>
      <c r="IIG36" s="6"/>
      <c r="IIH36" s="6"/>
      <c r="III36" s="6"/>
      <c r="IIJ36" s="6"/>
      <c r="IIK36" s="6"/>
      <c r="IIL36" s="6"/>
      <c r="IIM36" s="6"/>
      <c r="IIN36" s="6"/>
      <c r="IIO36" s="6"/>
      <c r="IIP36" s="6"/>
      <c r="IIQ36" s="6"/>
      <c r="IIR36" s="6"/>
      <c r="IIS36" s="6"/>
      <c r="IIT36" s="6"/>
      <c r="IIU36" s="6"/>
      <c r="IIV36" s="6"/>
      <c r="IIW36" s="6"/>
      <c r="IIX36" s="6"/>
      <c r="IIY36" s="6"/>
      <c r="IIZ36" s="6"/>
      <c r="IJA36" s="6"/>
      <c r="IJB36" s="6"/>
      <c r="IJC36" s="6"/>
      <c r="IJD36" s="6"/>
      <c r="IJE36" s="6"/>
      <c r="IJF36" s="6"/>
      <c r="IJG36" s="6"/>
      <c r="IJH36" s="6"/>
      <c r="IJI36" s="6"/>
      <c r="IJJ36" s="6"/>
      <c r="IJK36" s="6"/>
      <c r="IJL36" s="6"/>
      <c r="IJM36" s="6"/>
      <c r="IJN36" s="6"/>
      <c r="IJO36" s="6"/>
      <c r="IJP36" s="6"/>
      <c r="IJQ36" s="6"/>
      <c r="IJR36" s="6"/>
      <c r="IJS36" s="6"/>
      <c r="IJT36" s="6"/>
      <c r="IJU36" s="6"/>
      <c r="IJV36" s="6"/>
      <c r="IJW36" s="6"/>
      <c r="IJX36" s="6"/>
      <c r="IJY36" s="6"/>
      <c r="IJZ36" s="6"/>
      <c r="IKA36" s="6"/>
      <c r="IKB36" s="6"/>
      <c r="IKC36" s="6"/>
      <c r="IKD36" s="6"/>
      <c r="IKE36" s="6"/>
      <c r="IKF36" s="6"/>
      <c r="IKG36" s="6"/>
      <c r="IKH36" s="6"/>
      <c r="IKI36" s="6"/>
      <c r="IKJ36" s="6"/>
      <c r="IKK36" s="6"/>
      <c r="IKL36" s="6"/>
      <c r="IKM36" s="6"/>
      <c r="IKN36" s="6"/>
      <c r="IKO36" s="6"/>
      <c r="IKP36" s="6"/>
      <c r="IKQ36" s="6"/>
      <c r="IKR36" s="6"/>
      <c r="IKS36" s="6"/>
      <c r="IKT36" s="6"/>
      <c r="IKU36" s="6"/>
      <c r="IKV36" s="6"/>
      <c r="IKW36" s="6"/>
      <c r="IKX36" s="6"/>
      <c r="IKY36" s="6"/>
      <c r="IKZ36" s="6"/>
      <c r="ILA36" s="6"/>
      <c r="ILB36" s="6"/>
      <c r="ILC36" s="6"/>
      <c r="ILD36" s="6"/>
      <c r="ILE36" s="6"/>
      <c r="ILF36" s="6"/>
      <c r="ILG36" s="6"/>
      <c r="ILH36" s="6"/>
      <c r="ILI36" s="6"/>
      <c r="ILJ36" s="6"/>
      <c r="ILK36" s="6"/>
      <c r="ILL36" s="6"/>
      <c r="ILM36" s="6"/>
      <c r="ILN36" s="6"/>
      <c r="ILO36" s="6"/>
      <c r="ILP36" s="6"/>
      <c r="ILQ36" s="6"/>
      <c r="ILR36" s="6"/>
      <c r="ILS36" s="6"/>
      <c r="ILT36" s="6"/>
      <c r="ILU36" s="6"/>
      <c r="ILV36" s="6"/>
      <c r="ILW36" s="6"/>
      <c r="ILX36" s="6"/>
      <c r="ILY36" s="6"/>
      <c r="ILZ36" s="6"/>
      <c r="IMA36" s="6"/>
      <c r="IMB36" s="6"/>
      <c r="IMC36" s="6"/>
      <c r="IMD36" s="6"/>
      <c r="IME36" s="6"/>
      <c r="IMF36" s="6"/>
      <c r="IMG36" s="6"/>
      <c r="IMH36" s="6"/>
      <c r="IMI36" s="6"/>
      <c r="IMJ36" s="6"/>
      <c r="IMK36" s="6"/>
      <c r="IML36" s="6"/>
      <c r="IMM36" s="6"/>
      <c r="IMN36" s="6"/>
      <c r="IMO36" s="6"/>
      <c r="IMP36" s="6"/>
      <c r="IMQ36" s="6"/>
      <c r="IMR36" s="6"/>
      <c r="IMS36" s="6"/>
      <c r="IMT36" s="6"/>
      <c r="IMU36" s="6"/>
      <c r="IMV36" s="6"/>
      <c r="IMW36" s="6"/>
      <c r="IMX36" s="6"/>
      <c r="IMY36" s="6"/>
      <c r="IMZ36" s="6"/>
      <c r="INA36" s="6"/>
      <c r="INB36" s="6"/>
      <c r="INC36" s="6"/>
      <c r="IND36" s="6"/>
      <c r="INE36" s="6"/>
      <c r="INF36" s="6"/>
      <c r="ING36" s="6"/>
      <c r="INH36" s="6"/>
      <c r="INI36" s="6"/>
      <c r="INJ36" s="6"/>
      <c r="INK36" s="6"/>
      <c r="INL36" s="6"/>
      <c r="INM36" s="6"/>
      <c r="INN36" s="6"/>
      <c r="INO36" s="6"/>
      <c r="INP36" s="6"/>
      <c r="INQ36" s="6"/>
      <c r="INR36" s="6"/>
      <c r="INS36" s="6"/>
      <c r="INT36" s="6"/>
      <c r="INU36" s="6"/>
      <c r="INV36" s="6"/>
      <c r="INW36" s="6"/>
      <c r="INX36" s="6"/>
      <c r="INY36" s="6"/>
      <c r="INZ36" s="6"/>
      <c r="IOA36" s="6"/>
      <c r="IOB36" s="6"/>
      <c r="IOC36" s="6"/>
      <c r="IOD36" s="6"/>
      <c r="IOE36" s="6"/>
      <c r="IOF36" s="6"/>
      <c r="IOG36" s="6"/>
      <c r="IOH36" s="6"/>
      <c r="IOI36" s="6"/>
      <c r="IOJ36" s="6"/>
      <c r="IOK36" s="6"/>
      <c r="IOL36" s="6"/>
      <c r="IOM36" s="6"/>
      <c r="ION36" s="6"/>
      <c r="IOO36" s="6"/>
      <c r="IOP36" s="6"/>
      <c r="IOQ36" s="6"/>
      <c r="IOR36" s="6"/>
      <c r="IOS36" s="6"/>
      <c r="IOT36" s="6"/>
      <c r="IOU36" s="6"/>
      <c r="IOV36" s="6"/>
      <c r="IOW36" s="6"/>
      <c r="IOX36" s="6"/>
      <c r="IOY36" s="6"/>
      <c r="IOZ36" s="6"/>
      <c r="IPA36" s="6"/>
      <c r="IPB36" s="6"/>
      <c r="IPC36" s="6"/>
      <c r="IPD36" s="6"/>
      <c r="IPE36" s="6"/>
      <c r="IPF36" s="6"/>
      <c r="IPG36" s="6"/>
      <c r="IPH36" s="6"/>
      <c r="IPI36" s="6"/>
      <c r="IPJ36" s="6"/>
      <c r="IPK36" s="6"/>
      <c r="IPL36" s="6"/>
      <c r="IPM36" s="6"/>
      <c r="IPN36" s="6"/>
      <c r="IPO36" s="6"/>
      <c r="IPP36" s="6"/>
      <c r="IPQ36" s="6"/>
      <c r="IPR36" s="6"/>
      <c r="IPS36" s="6"/>
      <c r="IPT36" s="6"/>
      <c r="IPU36" s="6"/>
      <c r="IPV36" s="6"/>
      <c r="IPW36" s="6"/>
      <c r="IPX36" s="6"/>
      <c r="IPY36" s="6"/>
      <c r="IPZ36" s="6"/>
      <c r="IQA36" s="6"/>
      <c r="IQB36" s="6"/>
      <c r="IQC36" s="6"/>
      <c r="IQD36" s="6"/>
      <c r="IQE36" s="6"/>
      <c r="IQF36" s="6"/>
      <c r="IQG36" s="6"/>
      <c r="IQH36" s="6"/>
      <c r="IQI36" s="6"/>
      <c r="IQJ36" s="6"/>
      <c r="IQK36" s="6"/>
      <c r="IQL36" s="6"/>
      <c r="IQM36" s="6"/>
      <c r="IQN36" s="6"/>
      <c r="IQO36" s="6"/>
      <c r="IQP36" s="6"/>
      <c r="IQQ36" s="6"/>
      <c r="IQR36" s="6"/>
      <c r="IQS36" s="6"/>
      <c r="IQT36" s="6"/>
      <c r="IQU36" s="6"/>
      <c r="IQV36" s="6"/>
      <c r="IQW36" s="6"/>
      <c r="IQX36" s="6"/>
      <c r="IQY36" s="6"/>
      <c r="IQZ36" s="6"/>
      <c r="IRA36" s="6"/>
      <c r="IRB36" s="6"/>
      <c r="IRC36" s="6"/>
      <c r="IRD36" s="6"/>
      <c r="IRE36" s="6"/>
      <c r="IRF36" s="6"/>
      <c r="IRG36" s="6"/>
      <c r="IRH36" s="6"/>
      <c r="IRI36" s="6"/>
      <c r="IRJ36" s="6"/>
      <c r="IRK36" s="6"/>
      <c r="IRL36" s="6"/>
      <c r="IRM36" s="6"/>
      <c r="IRN36" s="6"/>
      <c r="IRO36" s="6"/>
      <c r="IRP36" s="6"/>
      <c r="IRQ36" s="6"/>
      <c r="IRR36" s="6"/>
      <c r="IRS36" s="6"/>
      <c r="IRT36" s="6"/>
      <c r="IRU36" s="6"/>
      <c r="IRV36" s="6"/>
      <c r="IRW36" s="6"/>
      <c r="IRX36" s="6"/>
      <c r="IRY36" s="6"/>
      <c r="IRZ36" s="6"/>
      <c r="ISA36" s="6"/>
      <c r="ISB36" s="6"/>
      <c r="ISC36" s="6"/>
      <c r="ISD36" s="6"/>
      <c r="ISE36" s="6"/>
      <c r="ISF36" s="6"/>
      <c r="ISG36" s="6"/>
      <c r="ISH36" s="6"/>
      <c r="ISI36" s="6"/>
      <c r="ISJ36" s="6"/>
      <c r="ISK36" s="6"/>
      <c r="ISL36" s="6"/>
      <c r="ISM36" s="6"/>
      <c r="ISN36" s="6"/>
      <c r="ISO36" s="6"/>
      <c r="ISP36" s="6"/>
      <c r="ISQ36" s="6"/>
      <c r="ISR36" s="6"/>
      <c r="ISS36" s="6"/>
      <c r="IST36" s="6"/>
      <c r="ISU36" s="6"/>
      <c r="ISV36" s="6"/>
      <c r="ISW36" s="6"/>
      <c r="ISX36" s="6"/>
      <c r="ISY36" s="6"/>
      <c r="ISZ36" s="6"/>
      <c r="ITA36" s="6"/>
      <c r="ITB36" s="6"/>
      <c r="ITC36" s="6"/>
      <c r="ITD36" s="6"/>
      <c r="ITE36" s="6"/>
      <c r="ITF36" s="6"/>
      <c r="ITG36" s="6"/>
      <c r="ITH36" s="6"/>
      <c r="ITI36" s="6"/>
      <c r="ITJ36" s="6"/>
      <c r="ITK36" s="6"/>
      <c r="ITL36" s="6"/>
      <c r="ITM36" s="6"/>
      <c r="ITN36" s="6"/>
      <c r="ITO36" s="6"/>
      <c r="ITP36" s="6"/>
      <c r="ITQ36" s="6"/>
      <c r="ITR36" s="6"/>
      <c r="ITS36" s="6"/>
      <c r="ITT36" s="6"/>
      <c r="ITU36" s="6"/>
      <c r="ITV36" s="6"/>
      <c r="ITW36" s="6"/>
      <c r="ITX36" s="6"/>
      <c r="ITY36" s="6"/>
      <c r="ITZ36" s="6"/>
      <c r="IUA36" s="6"/>
      <c r="IUB36" s="6"/>
      <c r="IUC36" s="6"/>
      <c r="IUD36" s="6"/>
      <c r="IUE36" s="6"/>
      <c r="IUF36" s="6"/>
      <c r="IUG36" s="6"/>
      <c r="IUH36" s="6"/>
      <c r="IUI36" s="6"/>
      <c r="IUJ36" s="6"/>
      <c r="IUK36" s="6"/>
      <c r="IUL36" s="6"/>
      <c r="IUM36" s="6"/>
      <c r="IUN36" s="6"/>
      <c r="IUO36" s="6"/>
      <c r="IUP36" s="6"/>
      <c r="IUQ36" s="6"/>
      <c r="IUR36" s="6"/>
      <c r="IUS36" s="6"/>
      <c r="IUT36" s="6"/>
      <c r="IUU36" s="6"/>
      <c r="IUV36" s="6"/>
      <c r="IUW36" s="6"/>
      <c r="IUX36" s="6"/>
      <c r="IUY36" s="6"/>
      <c r="IUZ36" s="6"/>
      <c r="IVA36" s="6"/>
      <c r="IVB36" s="6"/>
      <c r="IVC36" s="6"/>
      <c r="IVD36" s="6"/>
      <c r="IVE36" s="6"/>
      <c r="IVF36" s="6"/>
      <c r="IVG36" s="6"/>
      <c r="IVH36" s="6"/>
      <c r="IVI36" s="6"/>
      <c r="IVJ36" s="6"/>
      <c r="IVK36" s="6"/>
      <c r="IVL36" s="6"/>
      <c r="IVM36" s="6"/>
      <c r="IVN36" s="6"/>
      <c r="IVO36" s="6"/>
      <c r="IVP36" s="6"/>
      <c r="IVQ36" s="6"/>
      <c r="IVR36" s="6"/>
      <c r="IVS36" s="6"/>
      <c r="IVT36" s="6"/>
      <c r="IVU36" s="6"/>
      <c r="IVV36" s="6"/>
      <c r="IVW36" s="6"/>
      <c r="IVX36" s="6"/>
      <c r="IVY36" s="6"/>
      <c r="IVZ36" s="6"/>
      <c r="IWA36" s="6"/>
      <c r="IWB36" s="6"/>
      <c r="IWC36" s="6"/>
      <c r="IWD36" s="6"/>
      <c r="IWE36" s="6"/>
      <c r="IWF36" s="6"/>
      <c r="IWG36" s="6"/>
      <c r="IWH36" s="6"/>
      <c r="IWI36" s="6"/>
      <c r="IWJ36" s="6"/>
      <c r="IWK36" s="6"/>
      <c r="IWL36" s="6"/>
      <c r="IWM36" s="6"/>
      <c r="IWN36" s="6"/>
      <c r="IWO36" s="6"/>
      <c r="IWP36" s="6"/>
      <c r="IWQ36" s="6"/>
      <c r="IWR36" s="6"/>
      <c r="IWS36" s="6"/>
      <c r="IWT36" s="6"/>
      <c r="IWU36" s="6"/>
      <c r="IWV36" s="6"/>
      <c r="IWW36" s="6"/>
      <c r="IWX36" s="6"/>
      <c r="IWY36" s="6"/>
      <c r="IWZ36" s="6"/>
      <c r="IXA36" s="6"/>
      <c r="IXB36" s="6"/>
      <c r="IXC36" s="6"/>
      <c r="IXD36" s="6"/>
      <c r="IXE36" s="6"/>
      <c r="IXF36" s="6"/>
      <c r="IXG36" s="6"/>
      <c r="IXH36" s="6"/>
      <c r="IXI36" s="6"/>
      <c r="IXJ36" s="6"/>
      <c r="IXK36" s="6"/>
      <c r="IXL36" s="6"/>
      <c r="IXM36" s="6"/>
      <c r="IXN36" s="6"/>
      <c r="IXO36" s="6"/>
      <c r="IXP36" s="6"/>
      <c r="IXQ36" s="6"/>
      <c r="IXR36" s="6"/>
      <c r="IXS36" s="6"/>
      <c r="IXT36" s="6"/>
      <c r="IXU36" s="6"/>
      <c r="IXV36" s="6"/>
      <c r="IXW36" s="6"/>
      <c r="IXX36" s="6"/>
      <c r="IXY36" s="6"/>
      <c r="IXZ36" s="6"/>
      <c r="IYA36" s="6"/>
      <c r="IYB36" s="6"/>
      <c r="IYC36" s="6"/>
      <c r="IYD36" s="6"/>
      <c r="IYE36" s="6"/>
      <c r="IYF36" s="6"/>
      <c r="IYG36" s="6"/>
      <c r="IYH36" s="6"/>
      <c r="IYI36" s="6"/>
      <c r="IYJ36" s="6"/>
      <c r="IYK36" s="6"/>
      <c r="IYL36" s="6"/>
      <c r="IYM36" s="6"/>
      <c r="IYN36" s="6"/>
      <c r="IYO36" s="6"/>
      <c r="IYP36" s="6"/>
      <c r="IYQ36" s="6"/>
      <c r="IYR36" s="6"/>
      <c r="IYS36" s="6"/>
      <c r="IYT36" s="6"/>
      <c r="IYU36" s="6"/>
      <c r="IYV36" s="6"/>
      <c r="IYW36" s="6"/>
      <c r="IYX36" s="6"/>
      <c r="IYY36" s="6"/>
      <c r="IYZ36" s="6"/>
      <c r="IZA36" s="6"/>
      <c r="IZB36" s="6"/>
      <c r="IZC36" s="6"/>
      <c r="IZD36" s="6"/>
      <c r="IZE36" s="6"/>
      <c r="IZF36" s="6"/>
      <c r="IZG36" s="6"/>
      <c r="IZH36" s="6"/>
      <c r="IZI36" s="6"/>
      <c r="IZJ36" s="6"/>
      <c r="IZK36" s="6"/>
      <c r="IZL36" s="6"/>
      <c r="IZM36" s="6"/>
      <c r="IZN36" s="6"/>
      <c r="IZO36" s="6"/>
      <c r="IZP36" s="6"/>
      <c r="IZQ36" s="6"/>
      <c r="IZR36" s="6"/>
      <c r="IZS36" s="6"/>
      <c r="IZT36" s="6"/>
      <c r="IZU36" s="6"/>
      <c r="IZV36" s="6"/>
      <c r="IZW36" s="6"/>
      <c r="IZX36" s="6"/>
      <c r="IZY36" s="6"/>
      <c r="IZZ36" s="6"/>
      <c r="JAA36" s="6"/>
      <c r="JAB36" s="6"/>
      <c r="JAC36" s="6"/>
      <c r="JAD36" s="6"/>
      <c r="JAE36" s="6"/>
      <c r="JAF36" s="6"/>
      <c r="JAG36" s="6"/>
      <c r="JAH36" s="6"/>
      <c r="JAI36" s="6"/>
      <c r="JAJ36" s="6"/>
      <c r="JAK36" s="6"/>
      <c r="JAL36" s="6"/>
      <c r="JAM36" s="6"/>
      <c r="JAN36" s="6"/>
      <c r="JAO36" s="6"/>
      <c r="JAP36" s="6"/>
      <c r="JAQ36" s="6"/>
      <c r="JAR36" s="6"/>
      <c r="JAS36" s="6"/>
      <c r="JAT36" s="6"/>
      <c r="JAU36" s="6"/>
      <c r="JAV36" s="6"/>
      <c r="JAW36" s="6"/>
      <c r="JAX36" s="6"/>
      <c r="JAY36" s="6"/>
      <c r="JAZ36" s="6"/>
      <c r="JBA36" s="6"/>
      <c r="JBB36" s="6"/>
      <c r="JBC36" s="6"/>
      <c r="JBD36" s="6"/>
      <c r="JBE36" s="6"/>
      <c r="JBF36" s="6"/>
      <c r="JBG36" s="6"/>
      <c r="JBH36" s="6"/>
      <c r="JBI36" s="6"/>
      <c r="JBJ36" s="6"/>
      <c r="JBK36" s="6"/>
      <c r="JBL36" s="6"/>
      <c r="JBM36" s="6"/>
      <c r="JBN36" s="6"/>
      <c r="JBO36" s="6"/>
      <c r="JBP36" s="6"/>
      <c r="JBQ36" s="6"/>
      <c r="JBR36" s="6"/>
      <c r="JBS36" s="6"/>
      <c r="JBT36" s="6"/>
      <c r="JBU36" s="6"/>
      <c r="JBV36" s="6"/>
      <c r="JBW36" s="6"/>
      <c r="JBX36" s="6"/>
      <c r="JBY36" s="6"/>
      <c r="JBZ36" s="6"/>
      <c r="JCA36" s="6"/>
      <c r="JCB36" s="6"/>
      <c r="JCC36" s="6"/>
      <c r="JCD36" s="6"/>
      <c r="JCE36" s="6"/>
      <c r="JCF36" s="6"/>
      <c r="JCG36" s="6"/>
      <c r="JCH36" s="6"/>
      <c r="JCI36" s="6"/>
      <c r="JCJ36" s="6"/>
      <c r="JCK36" s="6"/>
      <c r="JCL36" s="6"/>
      <c r="JCM36" s="6"/>
      <c r="JCN36" s="6"/>
      <c r="JCO36" s="6"/>
      <c r="JCP36" s="6"/>
      <c r="JCQ36" s="6"/>
      <c r="JCR36" s="6"/>
      <c r="JCS36" s="6"/>
      <c r="JCT36" s="6"/>
      <c r="JCU36" s="6"/>
      <c r="JCV36" s="6"/>
      <c r="JCW36" s="6"/>
      <c r="JCX36" s="6"/>
      <c r="JCY36" s="6"/>
      <c r="JCZ36" s="6"/>
      <c r="JDA36" s="6"/>
      <c r="JDB36" s="6"/>
      <c r="JDC36" s="6"/>
      <c r="JDD36" s="6"/>
      <c r="JDE36" s="6"/>
      <c r="JDF36" s="6"/>
      <c r="JDG36" s="6"/>
      <c r="JDH36" s="6"/>
      <c r="JDI36" s="6"/>
      <c r="JDJ36" s="6"/>
      <c r="JDK36" s="6"/>
      <c r="JDL36" s="6"/>
      <c r="JDM36" s="6"/>
      <c r="JDN36" s="6"/>
      <c r="JDO36" s="6"/>
      <c r="JDP36" s="6"/>
      <c r="JDQ36" s="6"/>
      <c r="JDR36" s="6"/>
      <c r="JDS36" s="6"/>
      <c r="JDT36" s="6"/>
      <c r="JDU36" s="6"/>
      <c r="JDV36" s="6"/>
      <c r="JDW36" s="6"/>
      <c r="JDX36" s="6"/>
      <c r="JDY36" s="6"/>
      <c r="JDZ36" s="6"/>
      <c r="JEA36" s="6"/>
      <c r="JEB36" s="6"/>
      <c r="JEC36" s="6"/>
      <c r="JED36" s="6"/>
      <c r="JEE36" s="6"/>
      <c r="JEF36" s="6"/>
      <c r="JEG36" s="6"/>
      <c r="JEH36" s="6"/>
      <c r="JEI36" s="6"/>
      <c r="JEJ36" s="6"/>
      <c r="JEK36" s="6"/>
      <c r="JEL36" s="6"/>
      <c r="JEM36" s="6"/>
      <c r="JEN36" s="6"/>
      <c r="JEO36" s="6"/>
      <c r="JEP36" s="6"/>
      <c r="JEQ36" s="6"/>
      <c r="JER36" s="6"/>
      <c r="JES36" s="6"/>
      <c r="JET36" s="6"/>
      <c r="JEU36" s="6"/>
      <c r="JEV36" s="6"/>
      <c r="JEW36" s="6"/>
      <c r="JEX36" s="6"/>
      <c r="JEY36" s="6"/>
      <c r="JEZ36" s="6"/>
      <c r="JFA36" s="6"/>
      <c r="JFB36" s="6"/>
      <c r="JFC36" s="6"/>
      <c r="JFD36" s="6"/>
      <c r="JFE36" s="6"/>
      <c r="JFF36" s="6"/>
      <c r="JFG36" s="6"/>
      <c r="JFH36" s="6"/>
      <c r="JFI36" s="6"/>
      <c r="JFJ36" s="6"/>
      <c r="JFK36" s="6"/>
      <c r="JFL36" s="6"/>
      <c r="JFM36" s="6"/>
      <c r="JFN36" s="6"/>
      <c r="JFO36" s="6"/>
      <c r="JFP36" s="6"/>
      <c r="JFQ36" s="6"/>
      <c r="JFR36" s="6"/>
      <c r="JFS36" s="6"/>
      <c r="JFT36" s="6"/>
      <c r="JFU36" s="6"/>
      <c r="JFV36" s="6"/>
      <c r="JFW36" s="6"/>
      <c r="JFX36" s="6"/>
      <c r="JFY36" s="6"/>
      <c r="JFZ36" s="6"/>
      <c r="JGA36" s="6"/>
      <c r="JGB36" s="6"/>
      <c r="JGC36" s="6"/>
      <c r="JGD36" s="6"/>
      <c r="JGE36" s="6"/>
      <c r="JGF36" s="6"/>
      <c r="JGG36" s="6"/>
      <c r="JGH36" s="6"/>
      <c r="JGI36" s="6"/>
      <c r="JGJ36" s="6"/>
      <c r="JGK36" s="6"/>
      <c r="JGL36" s="6"/>
      <c r="JGM36" s="6"/>
      <c r="JGN36" s="6"/>
      <c r="JGO36" s="6"/>
      <c r="JGP36" s="6"/>
      <c r="JGQ36" s="6"/>
      <c r="JGR36" s="6"/>
      <c r="JGS36" s="6"/>
      <c r="JGT36" s="6"/>
      <c r="JGU36" s="6"/>
      <c r="JGV36" s="6"/>
      <c r="JGW36" s="6"/>
      <c r="JGX36" s="6"/>
      <c r="JGY36" s="6"/>
      <c r="JGZ36" s="6"/>
      <c r="JHA36" s="6"/>
      <c r="JHB36" s="6"/>
      <c r="JHC36" s="6"/>
      <c r="JHD36" s="6"/>
      <c r="JHE36" s="6"/>
      <c r="JHF36" s="6"/>
      <c r="JHG36" s="6"/>
      <c r="JHH36" s="6"/>
      <c r="JHI36" s="6"/>
      <c r="JHJ36" s="6"/>
      <c r="JHK36" s="6"/>
      <c r="JHL36" s="6"/>
      <c r="JHM36" s="6"/>
      <c r="JHN36" s="6"/>
      <c r="JHO36" s="6"/>
      <c r="JHP36" s="6"/>
      <c r="JHQ36" s="6"/>
      <c r="JHR36" s="6"/>
      <c r="JHS36" s="6"/>
      <c r="JHT36" s="6"/>
      <c r="JHU36" s="6"/>
      <c r="JHV36" s="6"/>
      <c r="JHW36" s="6"/>
      <c r="JHX36" s="6"/>
      <c r="JHY36" s="6"/>
      <c r="JHZ36" s="6"/>
      <c r="JIA36" s="6"/>
      <c r="JIB36" s="6"/>
      <c r="JIC36" s="6"/>
      <c r="JID36" s="6"/>
      <c r="JIE36" s="6"/>
      <c r="JIF36" s="6"/>
      <c r="JIG36" s="6"/>
      <c r="JIH36" s="6"/>
      <c r="JII36" s="6"/>
      <c r="JIJ36" s="6"/>
      <c r="JIK36" s="6"/>
      <c r="JIL36" s="6"/>
      <c r="JIM36" s="6"/>
      <c r="JIN36" s="6"/>
      <c r="JIO36" s="6"/>
      <c r="JIP36" s="6"/>
      <c r="JIQ36" s="6"/>
      <c r="JIR36" s="6"/>
      <c r="JIS36" s="6"/>
      <c r="JIT36" s="6"/>
      <c r="JIU36" s="6"/>
      <c r="JIV36" s="6"/>
      <c r="JIW36" s="6"/>
      <c r="JIX36" s="6"/>
      <c r="JIY36" s="6"/>
      <c r="JIZ36" s="6"/>
      <c r="JJA36" s="6"/>
      <c r="JJB36" s="6"/>
      <c r="JJC36" s="6"/>
      <c r="JJD36" s="6"/>
      <c r="JJE36" s="6"/>
      <c r="JJF36" s="6"/>
      <c r="JJG36" s="6"/>
      <c r="JJH36" s="6"/>
      <c r="JJI36" s="6"/>
      <c r="JJJ36" s="6"/>
      <c r="JJK36" s="6"/>
      <c r="JJL36" s="6"/>
      <c r="JJM36" s="6"/>
      <c r="JJN36" s="6"/>
      <c r="JJO36" s="6"/>
      <c r="JJP36" s="6"/>
      <c r="JJQ36" s="6"/>
      <c r="JJR36" s="6"/>
      <c r="JJS36" s="6"/>
      <c r="JJT36" s="6"/>
      <c r="JJU36" s="6"/>
      <c r="JJV36" s="6"/>
      <c r="JJW36" s="6"/>
      <c r="JJX36" s="6"/>
      <c r="JJY36" s="6"/>
      <c r="JJZ36" s="6"/>
      <c r="JKA36" s="6"/>
      <c r="JKB36" s="6"/>
      <c r="JKC36" s="6"/>
      <c r="JKD36" s="6"/>
      <c r="JKE36" s="6"/>
      <c r="JKF36" s="6"/>
      <c r="JKG36" s="6"/>
      <c r="JKH36" s="6"/>
      <c r="JKI36" s="6"/>
      <c r="JKJ36" s="6"/>
      <c r="JKK36" s="6"/>
      <c r="JKL36" s="6"/>
      <c r="JKM36" s="6"/>
      <c r="JKN36" s="6"/>
      <c r="JKO36" s="6"/>
      <c r="JKP36" s="6"/>
      <c r="JKQ36" s="6"/>
      <c r="JKR36" s="6"/>
      <c r="JKS36" s="6"/>
      <c r="JKT36" s="6"/>
      <c r="JKU36" s="6"/>
      <c r="JKV36" s="6"/>
      <c r="JKW36" s="6"/>
      <c r="JKX36" s="6"/>
      <c r="JKY36" s="6"/>
      <c r="JKZ36" s="6"/>
      <c r="JLA36" s="6"/>
      <c r="JLB36" s="6"/>
      <c r="JLC36" s="6"/>
      <c r="JLD36" s="6"/>
      <c r="JLE36" s="6"/>
      <c r="JLF36" s="6"/>
      <c r="JLG36" s="6"/>
      <c r="JLH36" s="6"/>
      <c r="JLI36" s="6"/>
      <c r="JLJ36" s="6"/>
      <c r="JLK36" s="6"/>
      <c r="JLL36" s="6"/>
      <c r="JLM36" s="6"/>
      <c r="JLN36" s="6"/>
      <c r="JLO36" s="6"/>
      <c r="JLP36" s="6"/>
      <c r="JLQ36" s="6"/>
      <c r="JLR36" s="6"/>
      <c r="JLS36" s="6"/>
      <c r="JLT36" s="6"/>
      <c r="JLU36" s="6"/>
      <c r="JLV36" s="6"/>
      <c r="JLW36" s="6"/>
      <c r="JLX36" s="6"/>
      <c r="JLY36" s="6"/>
      <c r="JLZ36" s="6"/>
      <c r="JMA36" s="6"/>
      <c r="JMB36" s="6"/>
      <c r="JMC36" s="6"/>
      <c r="JMD36" s="6"/>
      <c r="JME36" s="6"/>
      <c r="JMF36" s="6"/>
      <c r="JMG36" s="6"/>
      <c r="JMH36" s="6"/>
      <c r="JMI36" s="6"/>
      <c r="JMJ36" s="6"/>
      <c r="JMK36" s="6"/>
      <c r="JML36" s="6"/>
      <c r="JMM36" s="6"/>
      <c r="JMN36" s="6"/>
      <c r="JMO36" s="6"/>
      <c r="JMP36" s="6"/>
      <c r="JMQ36" s="6"/>
      <c r="JMR36" s="6"/>
      <c r="JMS36" s="6"/>
      <c r="JMT36" s="6"/>
      <c r="JMU36" s="6"/>
      <c r="JMV36" s="6"/>
      <c r="JMW36" s="6"/>
      <c r="JMX36" s="6"/>
      <c r="JMY36" s="6"/>
      <c r="JMZ36" s="6"/>
      <c r="JNA36" s="6"/>
      <c r="JNB36" s="6"/>
      <c r="JNC36" s="6"/>
      <c r="JND36" s="6"/>
      <c r="JNE36" s="6"/>
      <c r="JNF36" s="6"/>
      <c r="JNG36" s="6"/>
      <c r="JNH36" s="6"/>
      <c r="JNI36" s="6"/>
      <c r="JNJ36" s="6"/>
      <c r="JNK36" s="6"/>
      <c r="JNL36" s="6"/>
      <c r="JNM36" s="6"/>
      <c r="JNN36" s="6"/>
      <c r="JNO36" s="6"/>
      <c r="JNP36" s="6"/>
      <c r="JNQ36" s="6"/>
      <c r="JNR36" s="6"/>
      <c r="JNS36" s="6"/>
      <c r="JNT36" s="6"/>
      <c r="JNU36" s="6"/>
      <c r="JNV36" s="6"/>
      <c r="JNW36" s="6"/>
      <c r="JNX36" s="6"/>
      <c r="JNY36" s="6"/>
      <c r="JNZ36" s="6"/>
      <c r="JOA36" s="6"/>
      <c r="JOB36" s="6"/>
      <c r="JOC36" s="6"/>
      <c r="JOD36" s="6"/>
      <c r="JOE36" s="6"/>
      <c r="JOF36" s="6"/>
      <c r="JOG36" s="6"/>
      <c r="JOH36" s="6"/>
      <c r="JOI36" s="6"/>
      <c r="JOJ36" s="6"/>
      <c r="JOK36" s="6"/>
      <c r="JOL36" s="6"/>
      <c r="JOM36" s="6"/>
      <c r="JON36" s="6"/>
      <c r="JOO36" s="6"/>
      <c r="JOP36" s="6"/>
      <c r="JOQ36" s="6"/>
      <c r="JOR36" s="6"/>
      <c r="JOS36" s="6"/>
      <c r="JOT36" s="6"/>
      <c r="JOU36" s="6"/>
      <c r="JOV36" s="6"/>
      <c r="JOW36" s="6"/>
      <c r="JOX36" s="6"/>
      <c r="JOY36" s="6"/>
      <c r="JOZ36" s="6"/>
      <c r="JPA36" s="6"/>
      <c r="JPB36" s="6"/>
      <c r="JPC36" s="6"/>
      <c r="JPD36" s="6"/>
      <c r="JPE36" s="6"/>
      <c r="JPF36" s="6"/>
      <c r="JPG36" s="6"/>
      <c r="JPH36" s="6"/>
      <c r="JPI36" s="6"/>
      <c r="JPJ36" s="6"/>
      <c r="JPK36" s="6"/>
      <c r="JPL36" s="6"/>
      <c r="JPM36" s="6"/>
      <c r="JPN36" s="6"/>
      <c r="JPO36" s="6"/>
      <c r="JPP36" s="6"/>
      <c r="JPQ36" s="6"/>
      <c r="JPR36" s="6"/>
      <c r="JPS36" s="6"/>
      <c r="JPT36" s="6"/>
      <c r="JPU36" s="6"/>
      <c r="JPV36" s="6"/>
      <c r="JPW36" s="6"/>
      <c r="JPX36" s="6"/>
      <c r="JPY36" s="6"/>
      <c r="JPZ36" s="6"/>
      <c r="JQA36" s="6"/>
      <c r="JQB36" s="6"/>
      <c r="JQC36" s="6"/>
      <c r="JQD36" s="6"/>
      <c r="JQE36" s="6"/>
      <c r="JQF36" s="6"/>
      <c r="JQG36" s="6"/>
      <c r="JQH36" s="6"/>
      <c r="JQI36" s="6"/>
      <c r="JQJ36" s="6"/>
      <c r="JQK36" s="6"/>
      <c r="JQL36" s="6"/>
      <c r="JQM36" s="6"/>
      <c r="JQN36" s="6"/>
      <c r="JQO36" s="6"/>
      <c r="JQP36" s="6"/>
      <c r="JQQ36" s="6"/>
      <c r="JQR36" s="6"/>
      <c r="JQS36" s="6"/>
      <c r="JQT36" s="6"/>
      <c r="JQU36" s="6"/>
      <c r="JQV36" s="6"/>
      <c r="JQW36" s="6"/>
      <c r="JQX36" s="6"/>
      <c r="JQY36" s="6"/>
      <c r="JQZ36" s="6"/>
      <c r="JRA36" s="6"/>
      <c r="JRB36" s="6"/>
      <c r="JRC36" s="6"/>
      <c r="JRD36" s="6"/>
      <c r="JRE36" s="6"/>
      <c r="JRF36" s="6"/>
      <c r="JRG36" s="6"/>
      <c r="JRH36" s="6"/>
      <c r="JRI36" s="6"/>
      <c r="JRJ36" s="6"/>
      <c r="JRK36" s="6"/>
      <c r="JRL36" s="6"/>
      <c r="JRM36" s="6"/>
      <c r="JRN36" s="6"/>
      <c r="JRO36" s="6"/>
      <c r="JRP36" s="6"/>
      <c r="JRQ36" s="6"/>
      <c r="JRR36" s="6"/>
      <c r="JRS36" s="6"/>
      <c r="JRT36" s="6"/>
      <c r="JRU36" s="6"/>
      <c r="JRV36" s="6"/>
      <c r="JRW36" s="6"/>
      <c r="JRX36" s="6"/>
      <c r="JRY36" s="6"/>
      <c r="JRZ36" s="6"/>
      <c r="JSA36" s="6"/>
      <c r="JSB36" s="6"/>
      <c r="JSC36" s="6"/>
      <c r="JSD36" s="6"/>
      <c r="JSE36" s="6"/>
      <c r="JSF36" s="6"/>
      <c r="JSG36" s="6"/>
      <c r="JSH36" s="6"/>
      <c r="JSI36" s="6"/>
      <c r="JSJ36" s="6"/>
      <c r="JSK36" s="6"/>
      <c r="JSL36" s="6"/>
      <c r="JSM36" s="6"/>
      <c r="JSN36" s="6"/>
      <c r="JSO36" s="6"/>
      <c r="JSP36" s="6"/>
      <c r="JSQ36" s="6"/>
      <c r="JSR36" s="6"/>
      <c r="JSS36" s="6"/>
      <c r="JST36" s="6"/>
      <c r="JSU36" s="6"/>
      <c r="JSV36" s="6"/>
      <c r="JSW36" s="6"/>
      <c r="JSX36" s="6"/>
      <c r="JSY36" s="6"/>
      <c r="JSZ36" s="6"/>
      <c r="JTA36" s="6"/>
      <c r="JTB36" s="6"/>
      <c r="JTC36" s="6"/>
      <c r="JTD36" s="6"/>
      <c r="JTE36" s="6"/>
      <c r="JTF36" s="6"/>
      <c r="JTG36" s="6"/>
      <c r="JTH36" s="6"/>
      <c r="JTI36" s="6"/>
      <c r="JTJ36" s="6"/>
      <c r="JTK36" s="6"/>
      <c r="JTL36" s="6"/>
      <c r="JTM36" s="6"/>
      <c r="JTN36" s="6"/>
      <c r="JTO36" s="6"/>
      <c r="JTP36" s="6"/>
      <c r="JTQ36" s="6"/>
      <c r="JTR36" s="6"/>
      <c r="JTS36" s="6"/>
      <c r="JTT36" s="6"/>
      <c r="JTU36" s="6"/>
      <c r="JTV36" s="6"/>
      <c r="JTW36" s="6"/>
      <c r="JTX36" s="6"/>
      <c r="JTY36" s="6"/>
      <c r="JTZ36" s="6"/>
      <c r="JUA36" s="6"/>
      <c r="JUB36" s="6"/>
      <c r="JUC36" s="6"/>
      <c r="JUD36" s="6"/>
      <c r="JUE36" s="6"/>
      <c r="JUF36" s="6"/>
      <c r="JUG36" s="6"/>
      <c r="JUH36" s="6"/>
      <c r="JUI36" s="6"/>
      <c r="JUJ36" s="6"/>
      <c r="JUK36" s="6"/>
      <c r="JUL36" s="6"/>
      <c r="JUM36" s="6"/>
      <c r="JUN36" s="6"/>
      <c r="JUO36" s="6"/>
      <c r="JUP36" s="6"/>
      <c r="JUQ36" s="6"/>
      <c r="JUR36" s="6"/>
      <c r="JUS36" s="6"/>
      <c r="JUT36" s="6"/>
      <c r="JUU36" s="6"/>
      <c r="JUV36" s="6"/>
      <c r="JUW36" s="6"/>
      <c r="JUX36" s="6"/>
      <c r="JUY36" s="6"/>
      <c r="JUZ36" s="6"/>
      <c r="JVA36" s="6"/>
      <c r="JVB36" s="6"/>
      <c r="JVC36" s="6"/>
      <c r="JVD36" s="6"/>
      <c r="JVE36" s="6"/>
      <c r="JVF36" s="6"/>
      <c r="JVG36" s="6"/>
      <c r="JVH36" s="6"/>
      <c r="JVI36" s="6"/>
      <c r="JVJ36" s="6"/>
      <c r="JVK36" s="6"/>
      <c r="JVL36" s="6"/>
      <c r="JVM36" s="6"/>
      <c r="JVN36" s="6"/>
      <c r="JVO36" s="6"/>
      <c r="JVP36" s="6"/>
      <c r="JVQ36" s="6"/>
      <c r="JVR36" s="6"/>
      <c r="JVS36" s="6"/>
      <c r="JVT36" s="6"/>
      <c r="JVU36" s="6"/>
      <c r="JVV36" s="6"/>
      <c r="JVW36" s="6"/>
      <c r="JVX36" s="6"/>
      <c r="JVY36" s="6"/>
      <c r="JVZ36" s="6"/>
      <c r="JWA36" s="6"/>
      <c r="JWB36" s="6"/>
      <c r="JWC36" s="6"/>
      <c r="JWD36" s="6"/>
      <c r="JWE36" s="6"/>
      <c r="JWF36" s="6"/>
      <c r="JWG36" s="6"/>
      <c r="JWH36" s="6"/>
      <c r="JWI36" s="6"/>
      <c r="JWJ36" s="6"/>
      <c r="JWK36" s="6"/>
      <c r="JWL36" s="6"/>
      <c r="JWM36" s="6"/>
      <c r="JWN36" s="6"/>
      <c r="JWO36" s="6"/>
      <c r="JWP36" s="6"/>
      <c r="JWQ36" s="6"/>
      <c r="JWR36" s="6"/>
      <c r="JWS36" s="6"/>
      <c r="JWT36" s="6"/>
      <c r="JWU36" s="6"/>
      <c r="JWV36" s="6"/>
      <c r="JWW36" s="6"/>
      <c r="JWX36" s="6"/>
      <c r="JWY36" s="6"/>
      <c r="JWZ36" s="6"/>
      <c r="JXA36" s="6"/>
      <c r="JXB36" s="6"/>
      <c r="JXC36" s="6"/>
      <c r="JXD36" s="6"/>
      <c r="JXE36" s="6"/>
      <c r="JXF36" s="6"/>
      <c r="JXG36" s="6"/>
      <c r="JXH36" s="6"/>
      <c r="JXI36" s="6"/>
      <c r="JXJ36" s="6"/>
      <c r="JXK36" s="6"/>
      <c r="JXL36" s="6"/>
      <c r="JXM36" s="6"/>
      <c r="JXN36" s="6"/>
      <c r="JXO36" s="6"/>
      <c r="JXP36" s="6"/>
      <c r="JXQ36" s="6"/>
      <c r="JXR36" s="6"/>
      <c r="JXS36" s="6"/>
      <c r="JXT36" s="6"/>
      <c r="JXU36" s="6"/>
      <c r="JXV36" s="6"/>
      <c r="JXW36" s="6"/>
      <c r="JXX36" s="6"/>
      <c r="JXY36" s="6"/>
      <c r="JXZ36" s="6"/>
      <c r="JYA36" s="6"/>
      <c r="JYB36" s="6"/>
      <c r="JYC36" s="6"/>
      <c r="JYD36" s="6"/>
      <c r="JYE36" s="6"/>
      <c r="JYF36" s="6"/>
      <c r="JYG36" s="6"/>
      <c r="JYH36" s="6"/>
      <c r="JYI36" s="6"/>
      <c r="JYJ36" s="6"/>
      <c r="JYK36" s="6"/>
      <c r="JYL36" s="6"/>
      <c r="JYM36" s="6"/>
      <c r="JYN36" s="6"/>
      <c r="JYO36" s="6"/>
      <c r="JYP36" s="6"/>
      <c r="JYQ36" s="6"/>
      <c r="JYR36" s="6"/>
      <c r="JYS36" s="6"/>
      <c r="JYT36" s="6"/>
      <c r="JYU36" s="6"/>
      <c r="JYV36" s="6"/>
      <c r="JYW36" s="6"/>
      <c r="JYX36" s="6"/>
      <c r="JYY36" s="6"/>
      <c r="JYZ36" s="6"/>
      <c r="JZA36" s="6"/>
      <c r="JZB36" s="6"/>
      <c r="JZC36" s="6"/>
      <c r="JZD36" s="6"/>
      <c r="JZE36" s="6"/>
      <c r="JZF36" s="6"/>
      <c r="JZG36" s="6"/>
      <c r="JZH36" s="6"/>
      <c r="JZI36" s="6"/>
      <c r="JZJ36" s="6"/>
      <c r="JZK36" s="6"/>
      <c r="JZL36" s="6"/>
      <c r="JZM36" s="6"/>
      <c r="JZN36" s="6"/>
      <c r="JZO36" s="6"/>
      <c r="JZP36" s="6"/>
      <c r="JZQ36" s="6"/>
      <c r="JZR36" s="6"/>
      <c r="JZS36" s="6"/>
      <c r="JZT36" s="6"/>
      <c r="JZU36" s="6"/>
      <c r="JZV36" s="6"/>
      <c r="JZW36" s="6"/>
      <c r="JZX36" s="6"/>
      <c r="JZY36" s="6"/>
      <c r="JZZ36" s="6"/>
      <c r="KAA36" s="6"/>
      <c r="KAB36" s="6"/>
      <c r="KAC36" s="6"/>
      <c r="KAD36" s="6"/>
      <c r="KAE36" s="6"/>
      <c r="KAF36" s="6"/>
      <c r="KAG36" s="6"/>
      <c r="KAH36" s="6"/>
      <c r="KAI36" s="6"/>
      <c r="KAJ36" s="6"/>
      <c r="KAK36" s="6"/>
      <c r="KAL36" s="6"/>
      <c r="KAM36" s="6"/>
      <c r="KAN36" s="6"/>
      <c r="KAO36" s="6"/>
      <c r="KAP36" s="6"/>
      <c r="KAQ36" s="6"/>
      <c r="KAR36" s="6"/>
      <c r="KAS36" s="6"/>
      <c r="KAT36" s="6"/>
      <c r="KAU36" s="6"/>
      <c r="KAV36" s="6"/>
      <c r="KAW36" s="6"/>
      <c r="KAX36" s="6"/>
      <c r="KAY36" s="6"/>
      <c r="KAZ36" s="6"/>
      <c r="KBA36" s="6"/>
      <c r="KBB36" s="6"/>
      <c r="KBC36" s="6"/>
      <c r="KBD36" s="6"/>
      <c r="KBE36" s="6"/>
      <c r="KBF36" s="6"/>
      <c r="KBG36" s="6"/>
      <c r="KBH36" s="6"/>
      <c r="KBI36" s="6"/>
      <c r="KBJ36" s="6"/>
      <c r="KBK36" s="6"/>
      <c r="KBL36" s="6"/>
      <c r="KBM36" s="6"/>
      <c r="KBN36" s="6"/>
      <c r="KBO36" s="6"/>
      <c r="KBP36" s="6"/>
      <c r="KBQ36" s="6"/>
      <c r="KBR36" s="6"/>
      <c r="KBS36" s="6"/>
      <c r="KBT36" s="6"/>
      <c r="KBU36" s="6"/>
      <c r="KBV36" s="6"/>
      <c r="KBW36" s="6"/>
      <c r="KBX36" s="6"/>
      <c r="KBY36" s="6"/>
      <c r="KBZ36" s="6"/>
      <c r="KCA36" s="6"/>
      <c r="KCB36" s="6"/>
      <c r="KCC36" s="6"/>
      <c r="KCD36" s="6"/>
      <c r="KCE36" s="6"/>
      <c r="KCF36" s="6"/>
      <c r="KCG36" s="6"/>
      <c r="KCH36" s="6"/>
      <c r="KCI36" s="6"/>
      <c r="KCJ36" s="6"/>
      <c r="KCK36" s="6"/>
      <c r="KCL36" s="6"/>
      <c r="KCM36" s="6"/>
      <c r="KCN36" s="6"/>
      <c r="KCO36" s="6"/>
      <c r="KCP36" s="6"/>
      <c r="KCQ36" s="6"/>
      <c r="KCR36" s="6"/>
      <c r="KCS36" s="6"/>
      <c r="KCT36" s="6"/>
      <c r="KCU36" s="6"/>
      <c r="KCV36" s="6"/>
      <c r="KCW36" s="6"/>
      <c r="KCX36" s="6"/>
      <c r="KCY36" s="6"/>
      <c r="KCZ36" s="6"/>
      <c r="KDA36" s="6"/>
      <c r="KDB36" s="6"/>
      <c r="KDC36" s="6"/>
      <c r="KDD36" s="6"/>
      <c r="KDE36" s="6"/>
      <c r="KDF36" s="6"/>
      <c r="KDG36" s="6"/>
      <c r="KDH36" s="6"/>
      <c r="KDI36" s="6"/>
      <c r="KDJ36" s="6"/>
      <c r="KDK36" s="6"/>
      <c r="KDL36" s="6"/>
      <c r="KDM36" s="6"/>
      <c r="KDN36" s="6"/>
      <c r="KDO36" s="6"/>
      <c r="KDP36" s="6"/>
      <c r="KDQ36" s="6"/>
      <c r="KDR36" s="6"/>
      <c r="KDS36" s="6"/>
      <c r="KDT36" s="6"/>
      <c r="KDU36" s="6"/>
      <c r="KDV36" s="6"/>
      <c r="KDW36" s="6"/>
      <c r="KDX36" s="6"/>
      <c r="KDY36" s="6"/>
      <c r="KDZ36" s="6"/>
      <c r="KEA36" s="6"/>
      <c r="KEB36" s="6"/>
      <c r="KEC36" s="6"/>
      <c r="KED36" s="6"/>
      <c r="KEE36" s="6"/>
      <c r="KEF36" s="6"/>
      <c r="KEG36" s="6"/>
      <c r="KEH36" s="6"/>
      <c r="KEI36" s="6"/>
      <c r="KEJ36" s="6"/>
      <c r="KEK36" s="6"/>
      <c r="KEL36" s="6"/>
      <c r="KEM36" s="6"/>
      <c r="KEN36" s="6"/>
      <c r="KEO36" s="6"/>
      <c r="KEP36" s="6"/>
      <c r="KEQ36" s="6"/>
      <c r="KER36" s="6"/>
      <c r="KES36" s="6"/>
      <c r="KET36" s="6"/>
      <c r="KEU36" s="6"/>
      <c r="KEV36" s="6"/>
      <c r="KEW36" s="6"/>
      <c r="KEX36" s="6"/>
      <c r="KEY36" s="6"/>
      <c r="KEZ36" s="6"/>
      <c r="KFA36" s="6"/>
      <c r="KFB36" s="6"/>
      <c r="KFC36" s="6"/>
      <c r="KFD36" s="6"/>
      <c r="KFE36" s="6"/>
      <c r="KFF36" s="6"/>
      <c r="KFG36" s="6"/>
      <c r="KFH36" s="6"/>
      <c r="KFI36" s="6"/>
      <c r="KFJ36" s="6"/>
      <c r="KFK36" s="6"/>
      <c r="KFL36" s="6"/>
      <c r="KFM36" s="6"/>
      <c r="KFN36" s="6"/>
      <c r="KFO36" s="6"/>
      <c r="KFP36" s="6"/>
      <c r="KFQ36" s="6"/>
      <c r="KFR36" s="6"/>
      <c r="KFS36" s="6"/>
      <c r="KFT36" s="6"/>
      <c r="KFU36" s="6"/>
      <c r="KFV36" s="6"/>
      <c r="KFW36" s="6"/>
      <c r="KFX36" s="6"/>
      <c r="KFY36" s="6"/>
      <c r="KFZ36" s="6"/>
      <c r="KGA36" s="6"/>
      <c r="KGB36" s="6"/>
      <c r="KGC36" s="6"/>
      <c r="KGD36" s="6"/>
      <c r="KGE36" s="6"/>
      <c r="KGF36" s="6"/>
      <c r="KGG36" s="6"/>
      <c r="KGH36" s="6"/>
      <c r="KGI36" s="6"/>
      <c r="KGJ36" s="6"/>
      <c r="KGK36" s="6"/>
      <c r="KGL36" s="6"/>
      <c r="KGM36" s="6"/>
      <c r="KGN36" s="6"/>
      <c r="KGO36" s="6"/>
      <c r="KGP36" s="6"/>
      <c r="KGQ36" s="6"/>
      <c r="KGR36" s="6"/>
      <c r="KGS36" s="6"/>
      <c r="KGT36" s="6"/>
      <c r="KGU36" s="6"/>
      <c r="KGV36" s="6"/>
      <c r="KGW36" s="6"/>
      <c r="KGX36" s="6"/>
      <c r="KGY36" s="6"/>
      <c r="KGZ36" s="6"/>
      <c r="KHA36" s="6"/>
      <c r="KHB36" s="6"/>
      <c r="KHC36" s="6"/>
      <c r="KHD36" s="6"/>
      <c r="KHE36" s="6"/>
      <c r="KHF36" s="6"/>
      <c r="KHG36" s="6"/>
      <c r="KHH36" s="6"/>
      <c r="KHI36" s="6"/>
      <c r="KHJ36" s="6"/>
      <c r="KHK36" s="6"/>
      <c r="KHL36" s="6"/>
      <c r="KHM36" s="6"/>
      <c r="KHN36" s="6"/>
      <c r="KHO36" s="6"/>
      <c r="KHP36" s="6"/>
      <c r="KHQ36" s="6"/>
      <c r="KHR36" s="6"/>
      <c r="KHS36" s="6"/>
      <c r="KHT36" s="6"/>
      <c r="KHU36" s="6"/>
      <c r="KHV36" s="6"/>
      <c r="KHW36" s="6"/>
      <c r="KHX36" s="6"/>
      <c r="KHY36" s="6"/>
      <c r="KHZ36" s="6"/>
      <c r="KIA36" s="6"/>
      <c r="KIB36" s="6"/>
      <c r="KIC36" s="6"/>
      <c r="KID36" s="6"/>
      <c r="KIE36" s="6"/>
      <c r="KIF36" s="6"/>
      <c r="KIG36" s="6"/>
      <c r="KIH36" s="6"/>
      <c r="KII36" s="6"/>
      <c r="KIJ36" s="6"/>
      <c r="KIK36" s="6"/>
      <c r="KIL36" s="6"/>
      <c r="KIM36" s="6"/>
      <c r="KIN36" s="6"/>
      <c r="KIO36" s="6"/>
      <c r="KIP36" s="6"/>
      <c r="KIQ36" s="6"/>
      <c r="KIR36" s="6"/>
      <c r="KIS36" s="6"/>
      <c r="KIT36" s="6"/>
      <c r="KIU36" s="6"/>
      <c r="KIV36" s="6"/>
      <c r="KIW36" s="6"/>
      <c r="KIX36" s="6"/>
      <c r="KIY36" s="6"/>
      <c r="KIZ36" s="6"/>
      <c r="KJA36" s="6"/>
      <c r="KJB36" s="6"/>
      <c r="KJC36" s="6"/>
      <c r="KJD36" s="6"/>
      <c r="KJE36" s="6"/>
      <c r="KJF36" s="6"/>
      <c r="KJG36" s="6"/>
      <c r="KJH36" s="6"/>
      <c r="KJI36" s="6"/>
      <c r="KJJ36" s="6"/>
      <c r="KJK36" s="6"/>
      <c r="KJL36" s="6"/>
      <c r="KJM36" s="6"/>
      <c r="KJN36" s="6"/>
      <c r="KJO36" s="6"/>
      <c r="KJP36" s="6"/>
      <c r="KJQ36" s="6"/>
      <c r="KJR36" s="6"/>
      <c r="KJS36" s="6"/>
      <c r="KJT36" s="6"/>
      <c r="KJU36" s="6"/>
      <c r="KJV36" s="6"/>
      <c r="KJW36" s="6"/>
      <c r="KJX36" s="6"/>
      <c r="KJY36" s="6"/>
      <c r="KJZ36" s="6"/>
      <c r="KKA36" s="6"/>
      <c r="KKB36" s="6"/>
      <c r="KKC36" s="6"/>
      <c r="KKD36" s="6"/>
      <c r="KKE36" s="6"/>
      <c r="KKF36" s="6"/>
      <c r="KKG36" s="6"/>
      <c r="KKH36" s="6"/>
      <c r="KKI36" s="6"/>
      <c r="KKJ36" s="6"/>
      <c r="KKK36" s="6"/>
      <c r="KKL36" s="6"/>
      <c r="KKM36" s="6"/>
      <c r="KKN36" s="6"/>
      <c r="KKO36" s="6"/>
      <c r="KKP36" s="6"/>
      <c r="KKQ36" s="6"/>
      <c r="KKR36" s="6"/>
      <c r="KKS36" s="6"/>
      <c r="KKT36" s="6"/>
      <c r="KKU36" s="6"/>
      <c r="KKV36" s="6"/>
      <c r="KKW36" s="6"/>
      <c r="KKX36" s="6"/>
      <c r="KKY36" s="6"/>
      <c r="KKZ36" s="6"/>
      <c r="KLA36" s="6"/>
      <c r="KLB36" s="6"/>
      <c r="KLC36" s="6"/>
      <c r="KLD36" s="6"/>
      <c r="KLE36" s="6"/>
      <c r="KLF36" s="6"/>
      <c r="KLG36" s="6"/>
      <c r="KLH36" s="6"/>
      <c r="KLI36" s="6"/>
      <c r="KLJ36" s="6"/>
      <c r="KLK36" s="6"/>
      <c r="KLL36" s="6"/>
      <c r="KLM36" s="6"/>
      <c r="KLN36" s="6"/>
      <c r="KLO36" s="6"/>
      <c r="KLP36" s="6"/>
      <c r="KLQ36" s="6"/>
      <c r="KLR36" s="6"/>
      <c r="KLS36" s="6"/>
      <c r="KLT36" s="6"/>
      <c r="KLU36" s="6"/>
      <c r="KLV36" s="6"/>
      <c r="KLW36" s="6"/>
      <c r="KLX36" s="6"/>
      <c r="KLY36" s="6"/>
      <c r="KLZ36" s="6"/>
      <c r="KMA36" s="6"/>
      <c r="KMB36" s="6"/>
      <c r="KMC36" s="6"/>
      <c r="KMD36" s="6"/>
      <c r="KME36" s="6"/>
      <c r="KMF36" s="6"/>
      <c r="KMG36" s="6"/>
      <c r="KMH36" s="6"/>
      <c r="KMI36" s="6"/>
      <c r="KMJ36" s="6"/>
      <c r="KMK36" s="6"/>
      <c r="KML36" s="6"/>
      <c r="KMM36" s="6"/>
      <c r="KMN36" s="6"/>
      <c r="KMO36" s="6"/>
      <c r="KMP36" s="6"/>
      <c r="KMQ36" s="6"/>
      <c r="KMR36" s="6"/>
      <c r="KMS36" s="6"/>
      <c r="KMT36" s="6"/>
      <c r="KMU36" s="6"/>
      <c r="KMV36" s="6"/>
      <c r="KMW36" s="6"/>
      <c r="KMX36" s="6"/>
      <c r="KMY36" s="6"/>
      <c r="KMZ36" s="6"/>
      <c r="KNA36" s="6"/>
      <c r="KNB36" s="6"/>
      <c r="KNC36" s="6"/>
      <c r="KND36" s="6"/>
      <c r="KNE36" s="6"/>
      <c r="KNF36" s="6"/>
      <c r="KNG36" s="6"/>
      <c r="KNH36" s="6"/>
      <c r="KNI36" s="6"/>
      <c r="KNJ36" s="6"/>
      <c r="KNK36" s="6"/>
      <c r="KNL36" s="6"/>
      <c r="KNM36" s="6"/>
      <c r="KNN36" s="6"/>
      <c r="KNO36" s="6"/>
      <c r="KNP36" s="6"/>
      <c r="KNQ36" s="6"/>
      <c r="KNR36" s="6"/>
      <c r="KNS36" s="6"/>
      <c r="KNT36" s="6"/>
      <c r="KNU36" s="6"/>
      <c r="KNV36" s="6"/>
      <c r="KNW36" s="6"/>
      <c r="KNX36" s="6"/>
      <c r="KNY36" s="6"/>
      <c r="KNZ36" s="6"/>
      <c r="KOA36" s="6"/>
      <c r="KOB36" s="6"/>
      <c r="KOC36" s="6"/>
      <c r="KOD36" s="6"/>
      <c r="KOE36" s="6"/>
      <c r="KOF36" s="6"/>
      <c r="KOG36" s="6"/>
      <c r="KOH36" s="6"/>
      <c r="KOI36" s="6"/>
      <c r="KOJ36" s="6"/>
      <c r="KOK36" s="6"/>
      <c r="KOL36" s="6"/>
      <c r="KOM36" s="6"/>
      <c r="KON36" s="6"/>
      <c r="KOO36" s="6"/>
      <c r="KOP36" s="6"/>
      <c r="KOQ36" s="6"/>
      <c r="KOR36" s="6"/>
      <c r="KOS36" s="6"/>
      <c r="KOT36" s="6"/>
      <c r="KOU36" s="6"/>
      <c r="KOV36" s="6"/>
      <c r="KOW36" s="6"/>
      <c r="KOX36" s="6"/>
      <c r="KOY36" s="6"/>
      <c r="KOZ36" s="6"/>
      <c r="KPA36" s="6"/>
      <c r="KPB36" s="6"/>
      <c r="KPC36" s="6"/>
      <c r="KPD36" s="6"/>
      <c r="KPE36" s="6"/>
      <c r="KPF36" s="6"/>
      <c r="KPG36" s="6"/>
      <c r="KPH36" s="6"/>
      <c r="KPI36" s="6"/>
      <c r="KPJ36" s="6"/>
      <c r="KPK36" s="6"/>
      <c r="KPL36" s="6"/>
      <c r="KPM36" s="6"/>
      <c r="KPN36" s="6"/>
      <c r="KPO36" s="6"/>
      <c r="KPP36" s="6"/>
      <c r="KPQ36" s="6"/>
      <c r="KPR36" s="6"/>
      <c r="KPS36" s="6"/>
      <c r="KPT36" s="6"/>
      <c r="KPU36" s="6"/>
      <c r="KPV36" s="6"/>
      <c r="KPW36" s="6"/>
      <c r="KPX36" s="6"/>
      <c r="KPY36" s="6"/>
      <c r="KPZ36" s="6"/>
      <c r="KQA36" s="6"/>
      <c r="KQB36" s="6"/>
      <c r="KQC36" s="6"/>
      <c r="KQD36" s="6"/>
      <c r="KQE36" s="6"/>
      <c r="KQF36" s="6"/>
      <c r="KQG36" s="6"/>
      <c r="KQH36" s="6"/>
      <c r="KQI36" s="6"/>
      <c r="KQJ36" s="6"/>
      <c r="KQK36" s="6"/>
      <c r="KQL36" s="6"/>
      <c r="KQM36" s="6"/>
      <c r="KQN36" s="6"/>
      <c r="KQO36" s="6"/>
      <c r="KQP36" s="6"/>
      <c r="KQQ36" s="6"/>
      <c r="KQR36" s="6"/>
      <c r="KQS36" s="6"/>
      <c r="KQT36" s="6"/>
      <c r="KQU36" s="6"/>
      <c r="KQV36" s="6"/>
      <c r="KQW36" s="6"/>
      <c r="KQX36" s="6"/>
      <c r="KQY36" s="6"/>
      <c r="KQZ36" s="6"/>
      <c r="KRA36" s="6"/>
      <c r="KRB36" s="6"/>
      <c r="KRC36" s="6"/>
      <c r="KRD36" s="6"/>
      <c r="KRE36" s="6"/>
      <c r="KRF36" s="6"/>
      <c r="KRG36" s="6"/>
      <c r="KRH36" s="6"/>
      <c r="KRI36" s="6"/>
      <c r="KRJ36" s="6"/>
      <c r="KRK36" s="6"/>
      <c r="KRL36" s="6"/>
      <c r="KRM36" s="6"/>
      <c r="KRN36" s="6"/>
      <c r="KRO36" s="6"/>
      <c r="KRP36" s="6"/>
      <c r="KRQ36" s="6"/>
      <c r="KRR36" s="6"/>
      <c r="KRS36" s="6"/>
      <c r="KRT36" s="6"/>
      <c r="KRU36" s="6"/>
      <c r="KRV36" s="6"/>
      <c r="KRW36" s="6"/>
      <c r="KRX36" s="6"/>
      <c r="KRY36" s="6"/>
      <c r="KRZ36" s="6"/>
      <c r="KSA36" s="6"/>
      <c r="KSB36" s="6"/>
      <c r="KSC36" s="6"/>
      <c r="KSD36" s="6"/>
      <c r="KSE36" s="6"/>
      <c r="KSF36" s="6"/>
      <c r="KSG36" s="6"/>
      <c r="KSH36" s="6"/>
      <c r="KSI36" s="6"/>
      <c r="KSJ36" s="6"/>
      <c r="KSK36" s="6"/>
      <c r="KSL36" s="6"/>
      <c r="KSM36" s="6"/>
      <c r="KSN36" s="6"/>
      <c r="KSO36" s="6"/>
      <c r="KSP36" s="6"/>
      <c r="KSQ36" s="6"/>
      <c r="KSR36" s="6"/>
      <c r="KSS36" s="6"/>
      <c r="KST36" s="6"/>
      <c r="KSU36" s="6"/>
      <c r="KSV36" s="6"/>
      <c r="KSW36" s="6"/>
      <c r="KSX36" s="6"/>
      <c r="KSY36" s="6"/>
      <c r="KSZ36" s="6"/>
      <c r="KTA36" s="6"/>
      <c r="KTB36" s="6"/>
      <c r="KTC36" s="6"/>
      <c r="KTD36" s="6"/>
      <c r="KTE36" s="6"/>
      <c r="KTF36" s="6"/>
      <c r="KTG36" s="6"/>
      <c r="KTH36" s="6"/>
      <c r="KTI36" s="6"/>
      <c r="KTJ36" s="6"/>
      <c r="KTK36" s="6"/>
      <c r="KTL36" s="6"/>
      <c r="KTM36" s="6"/>
      <c r="KTN36" s="6"/>
      <c r="KTO36" s="6"/>
      <c r="KTP36" s="6"/>
      <c r="KTQ36" s="6"/>
      <c r="KTR36" s="6"/>
      <c r="KTS36" s="6"/>
      <c r="KTT36" s="6"/>
      <c r="KTU36" s="6"/>
      <c r="KTV36" s="6"/>
      <c r="KTW36" s="6"/>
      <c r="KTX36" s="6"/>
      <c r="KTY36" s="6"/>
      <c r="KTZ36" s="6"/>
      <c r="KUA36" s="6"/>
      <c r="KUB36" s="6"/>
      <c r="KUC36" s="6"/>
      <c r="KUD36" s="6"/>
      <c r="KUE36" s="6"/>
      <c r="KUF36" s="6"/>
      <c r="KUG36" s="6"/>
      <c r="KUH36" s="6"/>
      <c r="KUI36" s="6"/>
      <c r="KUJ36" s="6"/>
      <c r="KUK36" s="6"/>
      <c r="KUL36" s="6"/>
      <c r="KUM36" s="6"/>
      <c r="KUN36" s="6"/>
      <c r="KUO36" s="6"/>
      <c r="KUP36" s="6"/>
      <c r="KUQ36" s="6"/>
      <c r="KUR36" s="6"/>
      <c r="KUS36" s="6"/>
      <c r="KUT36" s="6"/>
      <c r="KUU36" s="6"/>
      <c r="KUV36" s="6"/>
      <c r="KUW36" s="6"/>
      <c r="KUX36" s="6"/>
      <c r="KUY36" s="6"/>
      <c r="KUZ36" s="6"/>
      <c r="KVA36" s="6"/>
      <c r="KVB36" s="6"/>
      <c r="KVC36" s="6"/>
      <c r="KVD36" s="6"/>
      <c r="KVE36" s="6"/>
      <c r="KVF36" s="6"/>
      <c r="KVG36" s="6"/>
      <c r="KVH36" s="6"/>
      <c r="KVI36" s="6"/>
      <c r="KVJ36" s="6"/>
      <c r="KVK36" s="6"/>
      <c r="KVL36" s="6"/>
      <c r="KVM36" s="6"/>
      <c r="KVN36" s="6"/>
      <c r="KVO36" s="6"/>
      <c r="KVP36" s="6"/>
      <c r="KVQ36" s="6"/>
      <c r="KVR36" s="6"/>
      <c r="KVS36" s="6"/>
      <c r="KVT36" s="6"/>
      <c r="KVU36" s="6"/>
      <c r="KVV36" s="6"/>
      <c r="KVW36" s="6"/>
      <c r="KVX36" s="6"/>
      <c r="KVY36" s="6"/>
      <c r="KVZ36" s="6"/>
      <c r="KWA36" s="6"/>
      <c r="KWB36" s="6"/>
      <c r="KWC36" s="6"/>
      <c r="KWD36" s="6"/>
      <c r="KWE36" s="6"/>
      <c r="KWF36" s="6"/>
      <c r="KWG36" s="6"/>
      <c r="KWH36" s="6"/>
      <c r="KWI36" s="6"/>
      <c r="KWJ36" s="6"/>
      <c r="KWK36" s="6"/>
      <c r="KWL36" s="6"/>
      <c r="KWM36" s="6"/>
      <c r="KWN36" s="6"/>
      <c r="KWO36" s="6"/>
      <c r="KWP36" s="6"/>
      <c r="KWQ36" s="6"/>
      <c r="KWR36" s="6"/>
      <c r="KWS36" s="6"/>
      <c r="KWT36" s="6"/>
      <c r="KWU36" s="6"/>
      <c r="KWV36" s="6"/>
      <c r="KWW36" s="6"/>
      <c r="KWX36" s="6"/>
      <c r="KWY36" s="6"/>
      <c r="KWZ36" s="6"/>
      <c r="KXA36" s="6"/>
      <c r="KXB36" s="6"/>
      <c r="KXC36" s="6"/>
      <c r="KXD36" s="6"/>
      <c r="KXE36" s="6"/>
      <c r="KXF36" s="6"/>
      <c r="KXG36" s="6"/>
      <c r="KXH36" s="6"/>
      <c r="KXI36" s="6"/>
      <c r="KXJ36" s="6"/>
      <c r="KXK36" s="6"/>
      <c r="KXL36" s="6"/>
      <c r="KXM36" s="6"/>
      <c r="KXN36" s="6"/>
      <c r="KXO36" s="6"/>
      <c r="KXP36" s="6"/>
      <c r="KXQ36" s="6"/>
      <c r="KXR36" s="6"/>
      <c r="KXS36" s="6"/>
      <c r="KXT36" s="6"/>
      <c r="KXU36" s="6"/>
      <c r="KXV36" s="6"/>
      <c r="KXW36" s="6"/>
      <c r="KXX36" s="6"/>
      <c r="KXY36" s="6"/>
      <c r="KXZ36" s="6"/>
      <c r="KYA36" s="6"/>
      <c r="KYB36" s="6"/>
      <c r="KYC36" s="6"/>
      <c r="KYD36" s="6"/>
      <c r="KYE36" s="6"/>
      <c r="KYF36" s="6"/>
      <c r="KYG36" s="6"/>
      <c r="KYH36" s="6"/>
      <c r="KYI36" s="6"/>
      <c r="KYJ36" s="6"/>
      <c r="KYK36" s="6"/>
      <c r="KYL36" s="6"/>
      <c r="KYM36" s="6"/>
      <c r="KYN36" s="6"/>
      <c r="KYO36" s="6"/>
      <c r="KYP36" s="6"/>
      <c r="KYQ36" s="6"/>
      <c r="KYR36" s="6"/>
      <c r="KYS36" s="6"/>
      <c r="KYT36" s="6"/>
      <c r="KYU36" s="6"/>
      <c r="KYV36" s="6"/>
      <c r="KYW36" s="6"/>
      <c r="KYX36" s="6"/>
      <c r="KYY36" s="6"/>
      <c r="KYZ36" s="6"/>
      <c r="KZA36" s="6"/>
      <c r="KZB36" s="6"/>
      <c r="KZC36" s="6"/>
      <c r="KZD36" s="6"/>
      <c r="KZE36" s="6"/>
      <c r="KZF36" s="6"/>
      <c r="KZG36" s="6"/>
      <c r="KZH36" s="6"/>
      <c r="KZI36" s="6"/>
      <c r="KZJ36" s="6"/>
      <c r="KZK36" s="6"/>
      <c r="KZL36" s="6"/>
      <c r="KZM36" s="6"/>
      <c r="KZN36" s="6"/>
      <c r="KZO36" s="6"/>
      <c r="KZP36" s="6"/>
      <c r="KZQ36" s="6"/>
      <c r="KZR36" s="6"/>
      <c r="KZS36" s="6"/>
      <c r="KZT36" s="6"/>
      <c r="KZU36" s="6"/>
      <c r="KZV36" s="6"/>
      <c r="KZW36" s="6"/>
      <c r="KZX36" s="6"/>
      <c r="KZY36" s="6"/>
      <c r="KZZ36" s="6"/>
      <c r="LAA36" s="6"/>
      <c r="LAB36" s="6"/>
      <c r="LAC36" s="6"/>
      <c r="LAD36" s="6"/>
      <c r="LAE36" s="6"/>
      <c r="LAF36" s="6"/>
      <c r="LAG36" s="6"/>
      <c r="LAH36" s="6"/>
      <c r="LAI36" s="6"/>
      <c r="LAJ36" s="6"/>
      <c r="LAK36" s="6"/>
      <c r="LAL36" s="6"/>
      <c r="LAM36" s="6"/>
      <c r="LAN36" s="6"/>
      <c r="LAO36" s="6"/>
      <c r="LAP36" s="6"/>
      <c r="LAQ36" s="6"/>
      <c r="LAR36" s="6"/>
      <c r="LAS36" s="6"/>
      <c r="LAT36" s="6"/>
      <c r="LAU36" s="6"/>
      <c r="LAV36" s="6"/>
      <c r="LAW36" s="6"/>
      <c r="LAX36" s="6"/>
      <c r="LAY36" s="6"/>
      <c r="LAZ36" s="6"/>
      <c r="LBA36" s="6"/>
      <c r="LBB36" s="6"/>
      <c r="LBC36" s="6"/>
      <c r="LBD36" s="6"/>
      <c r="LBE36" s="6"/>
      <c r="LBF36" s="6"/>
      <c r="LBG36" s="6"/>
      <c r="LBH36" s="6"/>
      <c r="LBI36" s="6"/>
      <c r="LBJ36" s="6"/>
      <c r="LBK36" s="6"/>
      <c r="LBL36" s="6"/>
      <c r="LBM36" s="6"/>
      <c r="LBN36" s="6"/>
      <c r="LBO36" s="6"/>
      <c r="LBP36" s="6"/>
      <c r="LBQ36" s="6"/>
      <c r="LBR36" s="6"/>
      <c r="LBS36" s="6"/>
      <c r="LBT36" s="6"/>
      <c r="LBU36" s="6"/>
      <c r="LBV36" s="6"/>
      <c r="LBW36" s="6"/>
      <c r="LBX36" s="6"/>
      <c r="LBY36" s="6"/>
      <c r="LBZ36" s="6"/>
      <c r="LCA36" s="6"/>
      <c r="LCB36" s="6"/>
      <c r="LCC36" s="6"/>
      <c r="LCD36" s="6"/>
      <c r="LCE36" s="6"/>
      <c r="LCF36" s="6"/>
      <c r="LCG36" s="6"/>
      <c r="LCH36" s="6"/>
      <c r="LCI36" s="6"/>
      <c r="LCJ36" s="6"/>
      <c r="LCK36" s="6"/>
      <c r="LCL36" s="6"/>
      <c r="LCM36" s="6"/>
      <c r="LCN36" s="6"/>
      <c r="LCO36" s="6"/>
      <c r="LCP36" s="6"/>
      <c r="LCQ36" s="6"/>
      <c r="LCR36" s="6"/>
      <c r="LCS36" s="6"/>
      <c r="LCT36" s="6"/>
      <c r="LCU36" s="6"/>
      <c r="LCV36" s="6"/>
      <c r="LCW36" s="6"/>
      <c r="LCX36" s="6"/>
      <c r="LCY36" s="6"/>
      <c r="LCZ36" s="6"/>
      <c r="LDA36" s="6"/>
      <c r="LDB36" s="6"/>
      <c r="LDC36" s="6"/>
      <c r="LDD36" s="6"/>
      <c r="LDE36" s="6"/>
      <c r="LDF36" s="6"/>
      <c r="LDG36" s="6"/>
      <c r="LDH36" s="6"/>
      <c r="LDI36" s="6"/>
      <c r="LDJ36" s="6"/>
      <c r="LDK36" s="6"/>
      <c r="LDL36" s="6"/>
      <c r="LDM36" s="6"/>
      <c r="LDN36" s="6"/>
      <c r="LDO36" s="6"/>
      <c r="LDP36" s="6"/>
      <c r="LDQ36" s="6"/>
      <c r="LDR36" s="6"/>
      <c r="LDS36" s="6"/>
      <c r="LDT36" s="6"/>
      <c r="LDU36" s="6"/>
      <c r="LDV36" s="6"/>
      <c r="LDW36" s="6"/>
      <c r="LDX36" s="6"/>
      <c r="LDY36" s="6"/>
      <c r="LDZ36" s="6"/>
      <c r="LEA36" s="6"/>
      <c r="LEB36" s="6"/>
      <c r="LEC36" s="6"/>
      <c r="LED36" s="6"/>
      <c r="LEE36" s="6"/>
      <c r="LEF36" s="6"/>
      <c r="LEG36" s="6"/>
      <c r="LEH36" s="6"/>
      <c r="LEI36" s="6"/>
      <c r="LEJ36" s="6"/>
      <c r="LEK36" s="6"/>
      <c r="LEL36" s="6"/>
      <c r="LEM36" s="6"/>
      <c r="LEN36" s="6"/>
      <c r="LEO36" s="6"/>
      <c r="LEP36" s="6"/>
      <c r="LEQ36" s="6"/>
      <c r="LER36" s="6"/>
      <c r="LES36" s="6"/>
      <c r="LET36" s="6"/>
      <c r="LEU36" s="6"/>
      <c r="LEV36" s="6"/>
      <c r="LEW36" s="6"/>
      <c r="LEX36" s="6"/>
      <c r="LEY36" s="6"/>
      <c r="LEZ36" s="6"/>
      <c r="LFA36" s="6"/>
      <c r="LFB36" s="6"/>
      <c r="LFC36" s="6"/>
      <c r="LFD36" s="6"/>
      <c r="LFE36" s="6"/>
      <c r="LFF36" s="6"/>
      <c r="LFG36" s="6"/>
      <c r="LFH36" s="6"/>
      <c r="LFI36" s="6"/>
      <c r="LFJ36" s="6"/>
      <c r="LFK36" s="6"/>
      <c r="LFL36" s="6"/>
      <c r="LFM36" s="6"/>
      <c r="LFN36" s="6"/>
      <c r="LFO36" s="6"/>
      <c r="LFP36" s="6"/>
      <c r="LFQ36" s="6"/>
      <c r="LFR36" s="6"/>
      <c r="LFS36" s="6"/>
      <c r="LFT36" s="6"/>
      <c r="LFU36" s="6"/>
      <c r="LFV36" s="6"/>
      <c r="LFW36" s="6"/>
      <c r="LFX36" s="6"/>
      <c r="LFY36" s="6"/>
      <c r="LFZ36" s="6"/>
      <c r="LGA36" s="6"/>
      <c r="LGB36" s="6"/>
      <c r="LGC36" s="6"/>
      <c r="LGD36" s="6"/>
      <c r="LGE36" s="6"/>
      <c r="LGF36" s="6"/>
      <c r="LGG36" s="6"/>
      <c r="LGH36" s="6"/>
      <c r="LGI36" s="6"/>
      <c r="LGJ36" s="6"/>
      <c r="LGK36" s="6"/>
      <c r="LGL36" s="6"/>
      <c r="LGM36" s="6"/>
      <c r="LGN36" s="6"/>
      <c r="LGO36" s="6"/>
      <c r="LGP36" s="6"/>
      <c r="LGQ36" s="6"/>
      <c r="LGR36" s="6"/>
      <c r="LGS36" s="6"/>
      <c r="LGT36" s="6"/>
      <c r="LGU36" s="6"/>
      <c r="LGV36" s="6"/>
      <c r="LGW36" s="6"/>
      <c r="LGX36" s="6"/>
      <c r="LGY36" s="6"/>
      <c r="LGZ36" s="6"/>
      <c r="LHA36" s="6"/>
      <c r="LHB36" s="6"/>
      <c r="LHC36" s="6"/>
      <c r="LHD36" s="6"/>
      <c r="LHE36" s="6"/>
      <c r="LHF36" s="6"/>
      <c r="LHG36" s="6"/>
      <c r="LHH36" s="6"/>
      <c r="LHI36" s="6"/>
      <c r="LHJ36" s="6"/>
      <c r="LHK36" s="6"/>
      <c r="LHL36" s="6"/>
      <c r="LHM36" s="6"/>
      <c r="LHN36" s="6"/>
      <c r="LHO36" s="6"/>
      <c r="LHP36" s="6"/>
      <c r="LHQ36" s="6"/>
      <c r="LHR36" s="6"/>
      <c r="LHS36" s="6"/>
      <c r="LHT36" s="6"/>
      <c r="LHU36" s="6"/>
      <c r="LHV36" s="6"/>
      <c r="LHW36" s="6"/>
      <c r="LHX36" s="6"/>
      <c r="LHY36" s="6"/>
      <c r="LHZ36" s="6"/>
      <c r="LIA36" s="6"/>
      <c r="LIB36" s="6"/>
      <c r="LIC36" s="6"/>
      <c r="LID36" s="6"/>
      <c r="LIE36" s="6"/>
      <c r="LIF36" s="6"/>
      <c r="LIG36" s="6"/>
      <c r="LIH36" s="6"/>
      <c r="LII36" s="6"/>
      <c r="LIJ36" s="6"/>
      <c r="LIK36" s="6"/>
      <c r="LIL36" s="6"/>
      <c r="LIM36" s="6"/>
      <c r="LIN36" s="6"/>
      <c r="LIO36" s="6"/>
      <c r="LIP36" s="6"/>
      <c r="LIQ36" s="6"/>
      <c r="LIR36" s="6"/>
      <c r="LIS36" s="6"/>
      <c r="LIT36" s="6"/>
      <c r="LIU36" s="6"/>
      <c r="LIV36" s="6"/>
      <c r="LIW36" s="6"/>
      <c r="LIX36" s="6"/>
      <c r="LIY36" s="6"/>
      <c r="LIZ36" s="6"/>
      <c r="LJA36" s="6"/>
      <c r="LJB36" s="6"/>
      <c r="LJC36" s="6"/>
      <c r="LJD36" s="6"/>
      <c r="LJE36" s="6"/>
      <c r="LJF36" s="6"/>
      <c r="LJG36" s="6"/>
      <c r="LJH36" s="6"/>
      <c r="LJI36" s="6"/>
      <c r="LJJ36" s="6"/>
      <c r="LJK36" s="6"/>
      <c r="LJL36" s="6"/>
      <c r="LJM36" s="6"/>
      <c r="LJN36" s="6"/>
      <c r="LJO36" s="6"/>
      <c r="LJP36" s="6"/>
      <c r="LJQ36" s="6"/>
      <c r="LJR36" s="6"/>
      <c r="LJS36" s="6"/>
      <c r="LJT36" s="6"/>
      <c r="LJU36" s="6"/>
      <c r="LJV36" s="6"/>
      <c r="LJW36" s="6"/>
      <c r="LJX36" s="6"/>
      <c r="LJY36" s="6"/>
      <c r="LJZ36" s="6"/>
      <c r="LKA36" s="6"/>
      <c r="LKB36" s="6"/>
      <c r="LKC36" s="6"/>
      <c r="LKD36" s="6"/>
      <c r="LKE36" s="6"/>
      <c r="LKF36" s="6"/>
      <c r="LKG36" s="6"/>
      <c r="LKH36" s="6"/>
      <c r="LKI36" s="6"/>
      <c r="LKJ36" s="6"/>
      <c r="LKK36" s="6"/>
      <c r="LKL36" s="6"/>
      <c r="LKM36" s="6"/>
      <c r="LKN36" s="6"/>
      <c r="LKO36" s="6"/>
      <c r="LKP36" s="6"/>
      <c r="LKQ36" s="6"/>
      <c r="LKR36" s="6"/>
      <c r="LKS36" s="6"/>
      <c r="LKT36" s="6"/>
      <c r="LKU36" s="6"/>
      <c r="LKV36" s="6"/>
      <c r="LKW36" s="6"/>
      <c r="LKX36" s="6"/>
      <c r="LKY36" s="6"/>
      <c r="LKZ36" s="6"/>
      <c r="LLA36" s="6"/>
      <c r="LLB36" s="6"/>
      <c r="LLC36" s="6"/>
      <c r="LLD36" s="6"/>
      <c r="LLE36" s="6"/>
      <c r="LLF36" s="6"/>
      <c r="LLG36" s="6"/>
      <c r="LLH36" s="6"/>
      <c r="LLI36" s="6"/>
      <c r="LLJ36" s="6"/>
      <c r="LLK36" s="6"/>
      <c r="LLL36" s="6"/>
      <c r="LLM36" s="6"/>
      <c r="LLN36" s="6"/>
      <c r="LLO36" s="6"/>
      <c r="LLP36" s="6"/>
      <c r="LLQ36" s="6"/>
      <c r="LLR36" s="6"/>
      <c r="LLS36" s="6"/>
      <c r="LLT36" s="6"/>
      <c r="LLU36" s="6"/>
      <c r="LLV36" s="6"/>
      <c r="LLW36" s="6"/>
      <c r="LLX36" s="6"/>
      <c r="LLY36" s="6"/>
      <c r="LLZ36" s="6"/>
      <c r="LMA36" s="6"/>
      <c r="LMB36" s="6"/>
      <c r="LMC36" s="6"/>
      <c r="LMD36" s="6"/>
      <c r="LME36" s="6"/>
      <c r="LMF36" s="6"/>
      <c r="LMG36" s="6"/>
      <c r="LMH36" s="6"/>
      <c r="LMI36" s="6"/>
      <c r="LMJ36" s="6"/>
      <c r="LMK36" s="6"/>
      <c r="LML36" s="6"/>
      <c r="LMM36" s="6"/>
      <c r="LMN36" s="6"/>
      <c r="LMO36" s="6"/>
      <c r="LMP36" s="6"/>
      <c r="LMQ36" s="6"/>
      <c r="LMR36" s="6"/>
      <c r="LMS36" s="6"/>
      <c r="LMT36" s="6"/>
      <c r="LMU36" s="6"/>
      <c r="LMV36" s="6"/>
      <c r="LMW36" s="6"/>
      <c r="LMX36" s="6"/>
      <c r="LMY36" s="6"/>
      <c r="LMZ36" s="6"/>
      <c r="LNA36" s="6"/>
      <c r="LNB36" s="6"/>
      <c r="LNC36" s="6"/>
      <c r="LND36" s="6"/>
      <c r="LNE36" s="6"/>
      <c r="LNF36" s="6"/>
      <c r="LNG36" s="6"/>
      <c r="LNH36" s="6"/>
      <c r="LNI36" s="6"/>
      <c r="LNJ36" s="6"/>
      <c r="LNK36" s="6"/>
      <c r="LNL36" s="6"/>
      <c r="LNM36" s="6"/>
      <c r="LNN36" s="6"/>
      <c r="LNO36" s="6"/>
      <c r="LNP36" s="6"/>
      <c r="LNQ36" s="6"/>
      <c r="LNR36" s="6"/>
      <c r="LNS36" s="6"/>
      <c r="LNT36" s="6"/>
      <c r="LNU36" s="6"/>
      <c r="LNV36" s="6"/>
      <c r="LNW36" s="6"/>
      <c r="LNX36" s="6"/>
      <c r="LNY36" s="6"/>
      <c r="LNZ36" s="6"/>
      <c r="LOA36" s="6"/>
      <c r="LOB36" s="6"/>
      <c r="LOC36" s="6"/>
      <c r="LOD36" s="6"/>
      <c r="LOE36" s="6"/>
      <c r="LOF36" s="6"/>
      <c r="LOG36" s="6"/>
      <c r="LOH36" s="6"/>
      <c r="LOI36" s="6"/>
      <c r="LOJ36" s="6"/>
      <c r="LOK36" s="6"/>
      <c r="LOL36" s="6"/>
      <c r="LOM36" s="6"/>
      <c r="LON36" s="6"/>
      <c r="LOO36" s="6"/>
      <c r="LOP36" s="6"/>
      <c r="LOQ36" s="6"/>
      <c r="LOR36" s="6"/>
      <c r="LOS36" s="6"/>
      <c r="LOT36" s="6"/>
      <c r="LOU36" s="6"/>
      <c r="LOV36" s="6"/>
      <c r="LOW36" s="6"/>
      <c r="LOX36" s="6"/>
      <c r="LOY36" s="6"/>
      <c r="LOZ36" s="6"/>
      <c r="LPA36" s="6"/>
      <c r="LPB36" s="6"/>
      <c r="LPC36" s="6"/>
      <c r="LPD36" s="6"/>
      <c r="LPE36" s="6"/>
      <c r="LPF36" s="6"/>
      <c r="LPG36" s="6"/>
      <c r="LPH36" s="6"/>
      <c r="LPI36" s="6"/>
      <c r="LPJ36" s="6"/>
      <c r="LPK36" s="6"/>
      <c r="LPL36" s="6"/>
      <c r="LPM36" s="6"/>
      <c r="LPN36" s="6"/>
      <c r="LPO36" s="6"/>
      <c r="LPP36" s="6"/>
      <c r="LPQ36" s="6"/>
      <c r="LPR36" s="6"/>
      <c r="LPS36" s="6"/>
      <c r="LPT36" s="6"/>
      <c r="LPU36" s="6"/>
      <c r="LPV36" s="6"/>
      <c r="LPW36" s="6"/>
      <c r="LPX36" s="6"/>
      <c r="LPY36" s="6"/>
      <c r="LPZ36" s="6"/>
      <c r="LQA36" s="6"/>
      <c r="LQB36" s="6"/>
      <c r="LQC36" s="6"/>
      <c r="LQD36" s="6"/>
      <c r="LQE36" s="6"/>
      <c r="LQF36" s="6"/>
      <c r="LQG36" s="6"/>
      <c r="LQH36" s="6"/>
      <c r="LQI36" s="6"/>
      <c r="LQJ36" s="6"/>
      <c r="LQK36" s="6"/>
      <c r="LQL36" s="6"/>
      <c r="LQM36" s="6"/>
      <c r="LQN36" s="6"/>
      <c r="LQO36" s="6"/>
      <c r="LQP36" s="6"/>
      <c r="LQQ36" s="6"/>
      <c r="LQR36" s="6"/>
      <c r="LQS36" s="6"/>
      <c r="LQT36" s="6"/>
      <c r="LQU36" s="6"/>
      <c r="LQV36" s="6"/>
      <c r="LQW36" s="6"/>
      <c r="LQX36" s="6"/>
      <c r="LQY36" s="6"/>
      <c r="LQZ36" s="6"/>
      <c r="LRA36" s="6"/>
      <c r="LRB36" s="6"/>
      <c r="LRC36" s="6"/>
      <c r="LRD36" s="6"/>
      <c r="LRE36" s="6"/>
      <c r="LRF36" s="6"/>
      <c r="LRG36" s="6"/>
      <c r="LRH36" s="6"/>
      <c r="LRI36" s="6"/>
      <c r="LRJ36" s="6"/>
      <c r="LRK36" s="6"/>
      <c r="LRL36" s="6"/>
      <c r="LRM36" s="6"/>
      <c r="LRN36" s="6"/>
      <c r="LRO36" s="6"/>
      <c r="LRP36" s="6"/>
      <c r="LRQ36" s="6"/>
      <c r="LRR36" s="6"/>
      <c r="LRS36" s="6"/>
      <c r="LRT36" s="6"/>
      <c r="LRU36" s="6"/>
      <c r="LRV36" s="6"/>
      <c r="LRW36" s="6"/>
      <c r="LRX36" s="6"/>
      <c r="LRY36" s="6"/>
      <c r="LRZ36" s="6"/>
      <c r="LSA36" s="6"/>
      <c r="LSB36" s="6"/>
      <c r="LSC36" s="6"/>
      <c r="LSD36" s="6"/>
      <c r="LSE36" s="6"/>
      <c r="LSF36" s="6"/>
      <c r="LSG36" s="6"/>
      <c r="LSH36" s="6"/>
      <c r="LSI36" s="6"/>
      <c r="LSJ36" s="6"/>
      <c r="LSK36" s="6"/>
      <c r="LSL36" s="6"/>
      <c r="LSM36" s="6"/>
      <c r="LSN36" s="6"/>
      <c r="LSO36" s="6"/>
      <c r="LSP36" s="6"/>
      <c r="LSQ36" s="6"/>
      <c r="LSR36" s="6"/>
      <c r="LSS36" s="6"/>
      <c r="LST36" s="6"/>
      <c r="LSU36" s="6"/>
      <c r="LSV36" s="6"/>
      <c r="LSW36" s="6"/>
      <c r="LSX36" s="6"/>
      <c r="LSY36" s="6"/>
      <c r="LSZ36" s="6"/>
      <c r="LTA36" s="6"/>
      <c r="LTB36" s="6"/>
      <c r="LTC36" s="6"/>
      <c r="LTD36" s="6"/>
      <c r="LTE36" s="6"/>
      <c r="LTF36" s="6"/>
      <c r="LTG36" s="6"/>
      <c r="LTH36" s="6"/>
      <c r="LTI36" s="6"/>
      <c r="LTJ36" s="6"/>
      <c r="LTK36" s="6"/>
      <c r="LTL36" s="6"/>
      <c r="LTM36" s="6"/>
      <c r="LTN36" s="6"/>
      <c r="LTO36" s="6"/>
      <c r="LTP36" s="6"/>
      <c r="LTQ36" s="6"/>
      <c r="LTR36" s="6"/>
      <c r="LTS36" s="6"/>
      <c r="LTT36" s="6"/>
      <c r="LTU36" s="6"/>
      <c r="LTV36" s="6"/>
      <c r="LTW36" s="6"/>
      <c r="LTX36" s="6"/>
      <c r="LTY36" s="6"/>
      <c r="LTZ36" s="6"/>
      <c r="LUA36" s="6"/>
      <c r="LUB36" s="6"/>
      <c r="LUC36" s="6"/>
      <c r="LUD36" s="6"/>
      <c r="LUE36" s="6"/>
      <c r="LUF36" s="6"/>
      <c r="LUG36" s="6"/>
      <c r="LUH36" s="6"/>
      <c r="LUI36" s="6"/>
      <c r="LUJ36" s="6"/>
      <c r="LUK36" s="6"/>
      <c r="LUL36" s="6"/>
      <c r="LUM36" s="6"/>
      <c r="LUN36" s="6"/>
      <c r="LUO36" s="6"/>
      <c r="LUP36" s="6"/>
      <c r="LUQ36" s="6"/>
      <c r="LUR36" s="6"/>
      <c r="LUS36" s="6"/>
      <c r="LUT36" s="6"/>
      <c r="LUU36" s="6"/>
      <c r="LUV36" s="6"/>
      <c r="LUW36" s="6"/>
      <c r="LUX36" s="6"/>
      <c r="LUY36" s="6"/>
      <c r="LUZ36" s="6"/>
      <c r="LVA36" s="6"/>
      <c r="LVB36" s="6"/>
      <c r="LVC36" s="6"/>
      <c r="LVD36" s="6"/>
      <c r="LVE36" s="6"/>
      <c r="LVF36" s="6"/>
      <c r="LVG36" s="6"/>
      <c r="LVH36" s="6"/>
      <c r="LVI36" s="6"/>
      <c r="LVJ36" s="6"/>
      <c r="LVK36" s="6"/>
      <c r="LVL36" s="6"/>
      <c r="LVM36" s="6"/>
      <c r="LVN36" s="6"/>
      <c r="LVO36" s="6"/>
      <c r="LVP36" s="6"/>
      <c r="LVQ36" s="6"/>
      <c r="LVR36" s="6"/>
      <c r="LVS36" s="6"/>
      <c r="LVT36" s="6"/>
      <c r="LVU36" s="6"/>
      <c r="LVV36" s="6"/>
      <c r="LVW36" s="6"/>
      <c r="LVX36" s="6"/>
      <c r="LVY36" s="6"/>
      <c r="LVZ36" s="6"/>
      <c r="LWA36" s="6"/>
      <c r="LWB36" s="6"/>
      <c r="LWC36" s="6"/>
      <c r="LWD36" s="6"/>
      <c r="LWE36" s="6"/>
      <c r="LWF36" s="6"/>
      <c r="LWG36" s="6"/>
      <c r="LWH36" s="6"/>
      <c r="LWI36" s="6"/>
      <c r="LWJ36" s="6"/>
      <c r="LWK36" s="6"/>
      <c r="LWL36" s="6"/>
      <c r="LWM36" s="6"/>
      <c r="LWN36" s="6"/>
      <c r="LWO36" s="6"/>
      <c r="LWP36" s="6"/>
      <c r="LWQ36" s="6"/>
      <c r="LWR36" s="6"/>
      <c r="LWS36" s="6"/>
      <c r="LWT36" s="6"/>
      <c r="LWU36" s="6"/>
      <c r="LWV36" s="6"/>
      <c r="LWW36" s="6"/>
      <c r="LWX36" s="6"/>
      <c r="LWY36" s="6"/>
      <c r="LWZ36" s="6"/>
      <c r="LXA36" s="6"/>
      <c r="LXB36" s="6"/>
      <c r="LXC36" s="6"/>
      <c r="LXD36" s="6"/>
      <c r="LXE36" s="6"/>
      <c r="LXF36" s="6"/>
      <c r="LXG36" s="6"/>
      <c r="LXH36" s="6"/>
      <c r="LXI36" s="6"/>
      <c r="LXJ36" s="6"/>
      <c r="LXK36" s="6"/>
      <c r="LXL36" s="6"/>
      <c r="LXM36" s="6"/>
      <c r="LXN36" s="6"/>
      <c r="LXO36" s="6"/>
      <c r="LXP36" s="6"/>
      <c r="LXQ36" s="6"/>
      <c r="LXR36" s="6"/>
      <c r="LXS36" s="6"/>
      <c r="LXT36" s="6"/>
      <c r="LXU36" s="6"/>
      <c r="LXV36" s="6"/>
      <c r="LXW36" s="6"/>
      <c r="LXX36" s="6"/>
      <c r="LXY36" s="6"/>
      <c r="LXZ36" s="6"/>
      <c r="LYA36" s="6"/>
      <c r="LYB36" s="6"/>
      <c r="LYC36" s="6"/>
      <c r="LYD36" s="6"/>
      <c r="LYE36" s="6"/>
      <c r="LYF36" s="6"/>
      <c r="LYG36" s="6"/>
      <c r="LYH36" s="6"/>
      <c r="LYI36" s="6"/>
      <c r="LYJ36" s="6"/>
      <c r="LYK36" s="6"/>
      <c r="LYL36" s="6"/>
      <c r="LYM36" s="6"/>
      <c r="LYN36" s="6"/>
      <c r="LYO36" s="6"/>
      <c r="LYP36" s="6"/>
      <c r="LYQ36" s="6"/>
      <c r="LYR36" s="6"/>
      <c r="LYS36" s="6"/>
      <c r="LYT36" s="6"/>
      <c r="LYU36" s="6"/>
      <c r="LYV36" s="6"/>
      <c r="LYW36" s="6"/>
      <c r="LYX36" s="6"/>
      <c r="LYY36" s="6"/>
      <c r="LYZ36" s="6"/>
      <c r="LZA36" s="6"/>
      <c r="LZB36" s="6"/>
      <c r="LZC36" s="6"/>
      <c r="LZD36" s="6"/>
      <c r="LZE36" s="6"/>
      <c r="LZF36" s="6"/>
      <c r="LZG36" s="6"/>
      <c r="LZH36" s="6"/>
      <c r="LZI36" s="6"/>
      <c r="LZJ36" s="6"/>
      <c r="LZK36" s="6"/>
      <c r="LZL36" s="6"/>
      <c r="LZM36" s="6"/>
      <c r="LZN36" s="6"/>
      <c r="LZO36" s="6"/>
      <c r="LZP36" s="6"/>
      <c r="LZQ36" s="6"/>
      <c r="LZR36" s="6"/>
      <c r="LZS36" s="6"/>
      <c r="LZT36" s="6"/>
      <c r="LZU36" s="6"/>
      <c r="LZV36" s="6"/>
      <c r="LZW36" s="6"/>
      <c r="LZX36" s="6"/>
      <c r="LZY36" s="6"/>
      <c r="LZZ36" s="6"/>
      <c r="MAA36" s="6"/>
      <c r="MAB36" s="6"/>
      <c r="MAC36" s="6"/>
      <c r="MAD36" s="6"/>
      <c r="MAE36" s="6"/>
      <c r="MAF36" s="6"/>
      <c r="MAG36" s="6"/>
      <c r="MAH36" s="6"/>
      <c r="MAI36" s="6"/>
      <c r="MAJ36" s="6"/>
      <c r="MAK36" s="6"/>
      <c r="MAL36" s="6"/>
      <c r="MAM36" s="6"/>
      <c r="MAN36" s="6"/>
      <c r="MAO36" s="6"/>
      <c r="MAP36" s="6"/>
      <c r="MAQ36" s="6"/>
      <c r="MAR36" s="6"/>
      <c r="MAS36" s="6"/>
      <c r="MAT36" s="6"/>
      <c r="MAU36" s="6"/>
      <c r="MAV36" s="6"/>
      <c r="MAW36" s="6"/>
      <c r="MAX36" s="6"/>
      <c r="MAY36" s="6"/>
      <c r="MAZ36" s="6"/>
      <c r="MBA36" s="6"/>
      <c r="MBB36" s="6"/>
      <c r="MBC36" s="6"/>
      <c r="MBD36" s="6"/>
      <c r="MBE36" s="6"/>
      <c r="MBF36" s="6"/>
      <c r="MBG36" s="6"/>
      <c r="MBH36" s="6"/>
      <c r="MBI36" s="6"/>
      <c r="MBJ36" s="6"/>
      <c r="MBK36" s="6"/>
      <c r="MBL36" s="6"/>
      <c r="MBM36" s="6"/>
      <c r="MBN36" s="6"/>
      <c r="MBO36" s="6"/>
      <c r="MBP36" s="6"/>
      <c r="MBQ36" s="6"/>
      <c r="MBR36" s="6"/>
      <c r="MBS36" s="6"/>
      <c r="MBT36" s="6"/>
      <c r="MBU36" s="6"/>
      <c r="MBV36" s="6"/>
      <c r="MBW36" s="6"/>
      <c r="MBX36" s="6"/>
      <c r="MBY36" s="6"/>
      <c r="MBZ36" s="6"/>
      <c r="MCA36" s="6"/>
      <c r="MCB36" s="6"/>
      <c r="MCC36" s="6"/>
      <c r="MCD36" s="6"/>
      <c r="MCE36" s="6"/>
      <c r="MCF36" s="6"/>
      <c r="MCG36" s="6"/>
      <c r="MCH36" s="6"/>
      <c r="MCI36" s="6"/>
      <c r="MCJ36" s="6"/>
      <c r="MCK36" s="6"/>
      <c r="MCL36" s="6"/>
      <c r="MCM36" s="6"/>
      <c r="MCN36" s="6"/>
      <c r="MCO36" s="6"/>
      <c r="MCP36" s="6"/>
      <c r="MCQ36" s="6"/>
      <c r="MCR36" s="6"/>
      <c r="MCS36" s="6"/>
      <c r="MCT36" s="6"/>
      <c r="MCU36" s="6"/>
      <c r="MCV36" s="6"/>
      <c r="MCW36" s="6"/>
      <c r="MCX36" s="6"/>
      <c r="MCY36" s="6"/>
      <c r="MCZ36" s="6"/>
      <c r="MDA36" s="6"/>
      <c r="MDB36" s="6"/>
      <c r="MDC36" s="6"/>
      <c r="MDD36" s="6"/>
      <c r="MDE36" s="6"/>
      <c r="MDF36" s="6"/>
      <c r="MDG36" s="6"/>
      <c r="MDH36" s="6"/>
      <c r="MDI36" s="6"/>
      <c r="MDJ36" s="6"/>
      <c r="MDK36" s="6"/>
      <c r="MDL36" s="6"/>
      <c r="MDM36" s="6"/>
      <c r="MDN36" s="6"/>
      <c r="MDO36" s="6"/>
      <c r="MDP36" s="6"/>
      <c r="MDQ36" s="6"/>
      <c r="MDR36" s="6"/>
      <c r="MDS36" s="6"/>
      <c r="MDT36" s="6"/>
      <c r="MDU36" s="6"/>
      <c r="MDV36" s="6"/>
      <c r="MDW36" s="6"/>
      <c r="MDX36" s="6"/>
      <c r="MDY36" s="6"/>
      <c r="MDZ36" s="6"/>
      <c r="MEA36" s="6"/>
      <c r="MEB36" s="6"/>
      <c r="MEC36" s="6"/>
      <c r="MED36" s="6"/>
      <c r="MEE36" s="6"/>
      <c r="MEF36" s="6"/>
      <c r="MEG36" s="6"/>
      <c r="MEH36" s="6"/>
      <c r="MEI36" s="6"/>
      <c r="MEJ36" s="6"/>
      <c r="MEK36" s="6"/>
      <c r="MEL36" s="6"/>
      <c r="MEM36" s="6"/>
      <c r="MEN36" s="6"/>
      <c r="MEO36" s="6"/>
      <c r="MEP36" s="6"/>
      <c r="MEQ36" s="6"/>
      <c r="MER36" s="6"/>
      <c r="MES36" s="6"/>
      <c r="MET36" s="6"/>
      <c r="MEU36" s="6"/>
      <c r="MEV36" s="6"/>
      <c r="MEW36" s="6"/>
      <c r="MEX36" s="6"/>
      <c r="MEY36" s="6"/>
      <c r="MEZ36" s="6"/>
      <c r="MFA36" s="6"/>
      <c r="MFB36" s="6"/>
      <c r="MFC36" s="6"/>
      <c r="MFD36" s="6"/>
      <c r="MFE36" s="6"/>
      <c r="MFF36" s="6"/>
      <c r="MFG36" s="6"/>
      <c r="MFH36" s="6"/>
      <c r="MFI36" s="6"/>
      <c r="MFJ36" s="6"/>
      <c r="MFK36" s="6"/>
      <c r="MFL36" s="6"/>
      <c r="MFM36" s="6"/>
      <c r="MFN36" s="6"/>
      <c r="MFO36" s="6"/>
      <c r="MFP36" s="6"/>
      <c r="MFQ36" s="6"/>
      <c r="MFR36" s="6"/>
      <c r="MFS36" s="6"/>
      <c r="MFT36" s="6"/>
      <c r="MFU36" s="6"/>
      <c r="MFV36" s="6"/>
      <c r="MFW36" s="6"/>
      <c r="MFX36" s="6"/>
      <c r="MFY36" s="6"/>
      <c r="MFZ36" s="6"/>
      <c r="MGA36" s="6"/>
      <c r="MGB36" s="6"/>
      <c r="MGC36" s="6"/>
      <c r="MGD36" s="6"/>
      <c r="MGE36" s="6"/>
      <c r="MGF36" s="6"/>
      <c r="MGG36" s="6"/>
      <c r="MGH36" s="6"/>
      <c r="MGI36" s="6"/>
      <c r="MGJ36" s="6"/>
      <c r="MGK36" s="6"/>
      <c r="MGL36" s="6"/>
      <c r="MGM36" s="6"/>
      <c r="MGN36" s="6"/>
      <c r="MGO36" s="6"/>
      <c r="MGP36" s="6"/>
      <c r="MGQ36" s="6"/>
      <c r="MGR36" s="6"/>
      <c r="MGS36" s="6"/>
      <c r="MGT36" s="6"/>
      <c r="MGU36" s="6"/>
      <c r="MGV36" s="6"/>
      <c r="MGW36" s="6"/>
      <c r="MGX36" s="6"/>
      <c r="MGY36" s="6"/>
      <c r="MGZ36" s="6"/>
      <c r="MHA36" s="6"/>
      <c r="MHB36" s="6"/>
      <c r="MHC36" s="6"/>
      <c r="MHD36" s="6"/>
      <c r="MHE36" s="6"/>
      <c r="MHF36" s="6"/>
      <c r="MHG36" s="6"/>
      <c r="MHH36" s="6"/>
      <c r="MHI36" s="6"/>
      <c r="MHJ36" s="6"/>
      <c r="MHK36" s="6"/>
      <c r="MHL36" s="6"/>
      <c r="MHM36" s="6"/>
      <c r="MHN36" s="6"/>
      <c r="MHO36" s="6"/>
      <c r="MHP36" s="6"/>
      <c r="MHQ36" s="6"/>
      <c r="MHR36" s="6"/>
      <c r="MHS36" s="6"/>
      <c r="MHT36" s="6"/>
      <c r="MHU36" s="6"/>
      <c r="MHV36" s="6"/>
      <c r="MHW36" s="6"/>
      <c r="MHX36" s="6"/>
      <c r="MHY36" s="6"/>
      <c r="MHZ36" s="6"/>
      <c r="MIA36" s="6"/>
      <c r="MIB36" s="6"/>
      <c r="MIC36" s="6"/>
      <c r="MID36" s="6"/>
      <c r="MIE36" s="6"/>
      <c r="MIF36" s="6"/>
      <c r="MIG36" s="6"/>
      <c r="MIH36" s="6"/>
      <c r="MII36" s="6"/>
      <c r="MIJ36" s="6"/>
      <c r="MIK36" s="6"/>
      <c r="MIL36" s="6"/>
      <c r="MIM36" s="6"/>
      <c r="MIN36" s="6"/>
      <c r="MIO36" s="6"/>
      <c r="MIP36" s="6"/>
      <c r="MIQ36" s="6"/>
      <c r="MIR36" s="6"/>
      <c r="MIS36" s="6"/>
      <c r="MIT36" s="6"/>
      <c r="MIU36" s="6"/>
      <c r="MIV36" s="6"/>
      <c r="MIW36" s="6"/>
      <c r="MIX36" s="6"/>
      <c r="MIY36" s="6"/>
      <c r="MIZ36" s="6"/>
      <c r="MJA36" s="6"/>
      <c r="MJB36" s="6"/>
      <c r="MJC36" s="6"/>
      <c r="MJD36" s="6"/>
      <c r="MJE36" s="6"/>
      <c r="MJF36" s="6"/>
      <c r="MJG36" s="6"/>
      <c r="MJH36" s="6"/>
      <c r="MJI36" s="6"/>
      <c r="MJJ36" s="6"/>
      <c r="MJK36" s="6"/>
      <c r="MJL36" s="6"/>
      <c r="MJM36" s="6"/>
      <c r="MJN36" s="6"/>
      <c r="MJO36" s="6"/>
      <c r="MJP36" s="6"/>
      <c r="MJQ36" s="6"/>
      <c r="MJR36" s="6"/>
      <c r="MJS36" s="6"/>
      <c r="MJT36" s="6"/>
      <c r="MJU36" s="6"/>
      <c r="MJV36" s="6"/>
      <c r="MJW36" s="6"/>
      <c r="MJX36" s="6"/>
      <c r="MJY36" s="6"/>
      <c r="MJZ36" s="6"/>
      <c r="MKA36" s="6"/>
      <c r="MKB36" s="6"/>
      <c r="MKC36" s="6"/>
      <c r="MKD36" s="6"/>
      <c r="MKE36" s="6"/>
      <c r="MKF36" s="6"/>
      <c r="MKG36" s="6"/>
      <c r="MKH36" s="6"/>
      <c r="MKI36" s="6"/>
      <c r="MKJ36" s="6"/>
      <c r="MKK36" s="6"/>
      <c r="MKL36" s="6"/>
      <c r="MKM36" s="6"/>
      <c r="MKN36" s="6"/>
      <c r="MKO36" s="6"/>
      <c r="MKP36" s="6"/>
      <c r="MKQ36" s="6"/>
      <c r="MKR36" s="6"/>
      <c r="MKS36" s="6"/>
      <c r="MKT36" s="6"/>
      <c r="MKU36" s="6"/>
      <c r="MKV36" s="6"/>
      <c r="MKW36" s="6"/>
      <c r="MKX36" s="6"/>
      <c r="MKY36" s="6"/>
      <c r="MKZ36" s="6"/>
      <c r="MLA36" s="6"/>
      <c r="MLB36" s="6"/>
      <c r="MLC36" s="6"/>
      <c r="MLD36" s="6"/>
      <c r="MLE36" s="6"/>
      <c r="MLF36" s="6"/>
      <c r="MLG36" s="6"/>
      <c r="MLH36" s="6"/>
      <c r="MLI36" s="6"/>
      <c r="MLJ36" s="6"/>
      <c r="MLK36" s="6"/>
      <c r="MLL36" s="6"/>
      <c r="MLM36" s="6"/>
      <c r="MLN36" s="6"/>
      <c r="MLO36" s="6"/>
      <c r="MLP36" s="6"/>
      <c r="MLQ36" s="6"/>
      <c r="MLR36" s="6"/>
      <c r="MLS36" s="6"/>
      <c r="MLT36" s="6"/>
      <c r="MLU36" s="6"/>
      <c r="MLV36" s="6"/>
      <c r="MLW36" s="6"/>
      <c r="MLX36" s="6"/>
      <c r="MLY36" s="6"/>
      <c r="MLZ36" s="6"/>
      <c r="MMA36" s="6"/>
      <c r="MMB36" s="6"/>
      <c r="MMC36" s="6"/>
      <c r="MMD36" s="6"/>
      <c r="MME36" s="6"/>
      <c r="MMF36" s="6"/>
      <c r="MMG36" s="6"/>
      <c r="MMH36" s="6"/>
      <c r="MMI36" s="6"/>
      <c r="MMJ36" s="6"/>
      <c r="MMK36" s="6"/>
      <c r="MML36" s="6"/>
      <c r="MMM36" s="6"/>
      <c r="MMN36" s="6"/>
      <c r="MMO36" s="6"/>
      <c r="MMP36" s="6"/>
      <c r="MMQ36" s="6"/>
      <c r="MMR36" s="6"/>
      <c r="MMS36" s="6"/>
      <c r="MMT36" s="6"/>
      <c r="MMU36" s="6"/>
      <c r="MMV36" s="6"/>
      <c r="MMW36" s="6"/>
      <c r="MMX36" s="6"/>
      <c r="MMY36" s="6"/>
      <c r="MMZ36" s="6"/>
      <c r="MNA36" s="6"/>
      <c r="MNB36" s="6"/>
      <c r="MNC36" s="6"/>
      <c r="MND36" s="6"/>
      <c r="MNE36" s="6"/>
      <c r="MNF36" s="6"/>
      <c r="MNG36" s="6"/>
      <c r="MNH36" s="6"/>
      <c r="MNI36" s="6"/>
      <c r="MNJ36" s="6"/>
      <c r="MNK36" s="6"/>
      <c r="MNL36" s="6"/>
      <c r="MNM36" s="6"/>
      <c r="MNN36" s="6"/>
      <c r="MNO36" s="6"/>
      <c r="MNP36" s="6"/>
      <c r="MNQ36" s="6"/>
      <c r="MNR36" s="6"/>
      <c r="MNS36" s="6"/>
      <c r="MNT36" s="6"/>
      <c r="MNU36" s="6"/>
      <c r="MNV36" s="6"/>
      <c r="MNW36" s="6"/>
      <c r="MNX36" s="6"/>
      <c r="MNY36" s="6"/>
      <c r="MNZ36" s="6"/>
      <c r="MOA36" s="6"/>
      <c r="MOB36" s="6"/>
      <c r="MOC36" s="6"/>
      <c r="MOD36" s="6"/>
      <c r="MOE36" s="6"/>
      <c r="MOF36" s="6"/>
      <c r="MOG36" s="6"/>
      <c r="MOH36" s="6"/>
      <c r="MOI36" s="6"/>
      <c r="MOJ36" s="6"/>
      <c r="MOK36" s="6"/>
      <c r="MOL36" s="6"/>
      <c r="MOM36" s="6"/>
      <c r="MON36" s="6"/>
      <c r="MOO36" s="6"/>
      <c r="MOP36" s="6"/>
      <c r="MOQ36" s="6"/>
      <c r="MOR36" s="6"/>
      <c r="MOS36" s="6"/>
      <c r="MOT36" s="6"/>
      <c r="MOU36" s="6"/>
      <c r="MOV36" s="6"/>
      <c r="MOW36" s="6"/>
      <c r="MOX36" s="6"/>
      <c r="MOY36" s="6"/>
      <c r="MOZ36" s="6"/>
      <c r="MPA36" s="6"/>
      <c r="MPB36" s="6"/>
      <c r="MPC36" s="6"/>
      <c r="MPD36" s="6"/>
      <c r="MPE36" s="6"/>
      <c r="MPF36" s="6"/>
      <c r="MPG36" s="6"/>
      <c r="MPH36" s="6"/>
      <c r="MPI36" s="6"/>
      <c r="MPJ36" s="6"/>
      <c r="MPK36" s="6"/>
      <c r="MPL36" s="6"/>
      <c r="MPM36" s="6"/>
      <c r="MPN36" s="6"/>
      <c r="MPO36" s="6"/>
      <c r="MPP36" s="6"/>
      <c r="MPQ36" s="6"/>
      <c r="MPR36" s="6"/>
      <c r="MPS36" s="6"/>
      <c r="MPT36" s="6"/>
      <c r="MPU36" s="6"/>
      <c r="MPV36" s="6"/>
      <c r="MPW36" s="6"/>
      <c r="MPX36" s="6"/>
      <c r="MPY36" s="6"/>
      <c r="MPZ36" s="6"/>
      <c r="MQA36" s="6"/>
      <c r="MQB36" s="6"/>
      <c r="MQC36" s="6"/>
      <c r="MQD36" s="6"/>
      <c r="MQE36" s="6"/>
      <c r="MQF36" s="6"/>
      <c r="MQG36" s="6"/>
      <c r="MQH36" s="6"/>
      <c r="MQI36" s="6"/>
      <c r="MQJ36" s="6"/>
      <c r="MQK36" s="6"/>
      <c r="MQL36" s="6"/>
      <c r="MQM36" s="6"/>
      <c r="MQN36" s="6"/>
      <c r="MQO36" s="6"/>
      <c r="MQP36" s="6"/>
      <c r="MQQ36" s="6"/>
      <c r="MQR36" s="6"/>
      <c r="MQS36" s="6"/>
      <c r="MQT36" s="6"/>
      <c r="MQU36" s="6"/>
      <c r="MQV36" s="6"/>
      <c r="MQW36" s="6"/>
      <c r="MQX36" s="6"/>
      <c r="MQY36" s="6"/>
      <c r="MQZ36" s="6"/>
      <c r="MRA36" s="6"/>
      <c r="MRB36" s="6"/>
      <c r="MRC36" s="6"/>
      <c r="MRD36" s="6"/>
      <c r="MRE36" s="6"/>
      <c r="MRF36" s="6"/>
      <c r="MRG36" s="6"/>
      <c r="MRH36" s="6"/>
      <c r="MRI36" s="6"/>
      <c r="MRJ36" s="6"/>
      <c r="MRK36" s="6"/>
      <c r="MRL36" s="6"/>
      <c r="MRM36" s="6"/>
      <c r="MRN36" s="6"/>
      <c r="MRO36" s="6"/>
      <c r="MRP36" s="6"/>
      <c r="MRQ36" s="6"/>
      <c r="MRR36" s="6"/>
      <c r="MRS36" s="6"/>
      <c r="MRT36" s="6"/>
      <c r="MRU36" s="6"/>
      <c r="MRV36" s="6"/>
      <c r="MRW36" s="6"/>
      <c r="MRX36" s="6"/>
      <c r="MRY36" s="6"/>
      <c r="MRZ36" s="6"/>
      <c r="MSA36" s="6"/>
      <c r="MSB36" s="6"/>
      <c r="MSC36" s="6"/>
      <c r="MSD36" s="6"/>
      <c r="MSE36" s="6"/>
      <c r="MSF36" s="6"/>
      <c r="MSG36" s="6"/>
      <c r="MSH36" s="6"/>
      <c r="MSI36" s="6"/>
      <c r="MSJ36" s="6"/>
      <c r="MSK36" s="6"/>
      <c r="MSL36" s="6"/>
      <c r="MSM36" s="6"/>
      <c r="MSN36" s="6"/>
      <c r="MSO36" s="6"/>
      <c r="MSP36" s="6"/>
      <c r="MSQ36" s="6"/>
      <c r="MSR36" s="6"/>
      <c r="MSS36" s="6"/>
      <c r="MST36" s="6"/>
      <c r="MSU36" s="6"/>
      <c r="MSV36" s="6"/>
      <c r="MSW36" s="6"/>
      <c r="MSX36" s="6"/>
      <c r="MSY36" s="6"/>
      <c r="MSZ36" s="6"/>
      <c r="MTA36" s="6"/>
      <c r="MTB36" s="6"/>
      <c r="MTC36" s="6"/>
      <c r="MTD36" s="6"/>
      <c r="MTE36" s="6"/>
      <c r="MTF36" s="6"/>
      <c r="MTG36" s="6"/>
      <c r="MTH36" s="6"/>
      <c r="MTI36" s="6"/>
      <c r="MTJ36" s="6"/>
      <c r="MTK36" s="6"/>
      <c r="MTL36" s="6"/>
      <c r="MTM36" s="6"/>
      <c r="MTN36" s="6"/>
      <c r="MTO36" s="6"/>
      <c r="MTP36" s="6"/>
      <c r="MTQ36" s="6"/>
      <c r="MTR36" s="6"/>
      <c r="MTS36" s="6"/>
      <c r="MTT36" s="6"/>
      <c r="MTU36" s="6"/>
      <c r="MTV36" s="6"/>
      <c r="MTW36" s="6"/>
      <c r="MTX36" s="6"/>
      <c r="MTY36" s="6"/>
      <c r="MTZ36" s="6"/>
      <c r="MUA36" s="6"/>
      <c r="MUB36" s="6"/>
      <c r="MUC36" s="6"/>
      <c r="MUD36" s="6"/>
      <c r="MUE36" s="6"/>
      <c r="MUF36" s="6"/>
      <c r="MUG36" s="6"/>
      <c r="MUH36" s="6"/>
      <c r="MUI36" s="6"/>
      <c r="MUJ36" s="6"/>
      <c r="MUK36" s="6"/>
      <c r="MUL36" s="6"/>
      <c r="MUM36" s="6"/>
      <c r="MUN36" s="6"/>
      <c r="MUO36" s="6"/>
      <c r="MUP36" s="6"/>
      <c r="MUQ36" s="6"/>
      <c r="MUR36" s="6"/>
      <c r="MUS36" s="6"/>
      <c r="MUT36" s="6"/>
      <c r="MUU36" s="6"/>
      <c r="MUV36" s="6"/>
      <c r="MUW36" s="6"/>
      <c r="MUX36" s="6"/>
      <c r="MUY36" s="6"/>
      <c r="MUZ36" s="6"/>
      <c r="MVA36" s="6"/>
      <c r="MVB36" s="6"/>
      <c r="MVC36" s="6"/>
      <c r="MVD36" s="6"/>
      <c r="MVE36" s="6"/>
      <c r="MVF36" s="6"/>
      <c r="MVG36" s="6"/>
      <c r="MVH36" s="6"/>
      <c r="MVI36" s="6"/>
      <c r="MVJ36" s="6"/>
      <c r="MVK36" s="6"/>
      <c r="MVL36" s="6"/>
      <c r="MVM36" s="6"/>
      <c r="MVN36" s="6"/>
      <c r="MVO36" s="6"/>
      <c r="MVP36" s="6"/>
      <c r="MVQ36" s="6"/>
      <c r="MVR36" s="6"/>
      <c r="MVS36" s="6"/>
      <c r="MVT36" s="6"/>
      <c r="MVU36" s="6"/>
      <c r="MVV36" s="6"/>
      <c r="MVW36" s="6"/>
      <c r="MVX36" s="6"/>
      <c r="MVY36" s="6"/>
      <c r="MVZ36" s="6"/>
      <c r="MWA36" s="6"/>
      <c r="MWB36" s="6"/>
      <c r="MWC36" s="6"/>
      <c r="MWD36" s="6"/>
      <c r="MWE36" s="6"/>
      <c r="MWF36" s="6"/>
      <c r="MWG36" s="6"/>
      <c r="MWH36" s="6"/>
      <c r="MWI36" s="6"/>
      <c r="MWJ36" s="6"/>
      <c r="MWK36" s="6"/>
      <c r="MWL36" s="6"/>
      <c r="MWM36" s="6"/>
      <c r="MWN36" s="6"/>
      <c r="MWO36" s="6"/>
      <c r="MWP36" s="6"/>
      <c r="MWQ36" s="6"/>
      <c r="MWR36" s="6"/>
      <c r="MWS36" s="6"/>
      <c r="MWT36" s="6"/>
      <c r="MWU36" s="6"/>
      <c r="MWV36" s="6"/>
      <c r="MWW36" s="6"/>
      <c r="MWX36" s="6"/>
      <c r="MWY36" s="6"/>
      <c r="MWZ36" s="6"/>
      <c r="MXA36" s="6"/>
      <c r="MXB36" s="6"/>
      <c r="MXC36" s="6"/>
      <c r="MXD36" s="6"/>
      <c r="MXE36" s="6"/>
      <c r="MXF36" s="6"/>
      <c r="MXG36" s="6"/>
      <c r="MXH36" s="6"/>
      <c r="MXI36" s="6"/>
      <c r="MXJ36" s="6"/>
      <c r="MXK36" s="6"/>
      <c r="MXL36" s="6"/>
      <c r="MXM36" s="6"/>
      <c r="MXN36" s="6"/>
      <c r="MXO36" s="6"/>
      <c r="MXP36" s="6"/>
      <c r="MXQ36" s="6"/>
      <c r="MXR36" s="6"/>
      <c r="MXS36" s="6"/>
      <c r="MXT36" s="6"/>
      <c r="MXU36" s="6"/>
      <c r="MXV36" s="6"/>
      <c r="MXW36" s="6"/>
      <c r="MXX36" s="6"/>
      <c r="MXY36" s="6"/>
      <c r="MXZ36" s="6"/>
      <c r="MYA36" s="6"/>
      <c r="MYB36" s="6"/>
      <c r="MYC36" s="6"/>
      <c r="MYD36" s="6"/>
      <c r="MYE36" s="6"/>
      <c r="MYF36" s="6"/>
      <c r="MYG36" s="6"/>
      <c r="MYH36" s="6"/>
      <c r="MYI36" s="6"/>
      <c r="MYJ36" s="6"/>
      <c r="MYK36" s="6"/>
      <c r="MYL36" s="6"/>
      <c r="MYM36" s="6"/>
      <c r="MYN36" s="6"/>
      <c r="MYO36" s="6"/>
      <c r="MYP36" s="6"/>
      <c r="MYQ36" s="6"/>
      <c r="MYR36" s="6"/>
      <c r="MYS36" s="6"/>
      <c r="MYT36" s="6"/>
      <c r="MYU36" s="6"/>
      <c r="MYV36" s="6"/>
      <c r="MYW36" s="6"/>
      <c r="MYX36" s="6"/>
      <c r="MYY36" s="6"/>
      <c r="MYZ36" s="6"/>
      <c r="MZA36" s="6"/>
      <c r="MZB36" s="6"/>
      <c r="MZC36" s="6"/>
      <c r="MZD36" s="6"/>
      <c r="MZE36" s="6"/>
      <c r="MZF36" s="6"/>
      <c r="MZG36" s="6"/>
      <c r="MZH36" s="6"/>
      <c r="MZI36" s="6"/>
      <c r="MZJ36" s="6"/>
      <c r="MZK36" s="6"/>
      <c r="MZL36" s="6"/>
      <c r="MZM36" s="6"/>
      <c r="MZN36" s="6"/>
      <c r="MZO36" s="6"/>
      <c r="MZP36" s="6"/>
      <c r="MZQ36" s="6"/>
      <c r="MZR36" s="6"/>
      <c r="MZS36" s="6"/>
      <c r="MZT36" s="6"/>
      <c r="MZU36" s="6"/>
      <c r="MZV36" s="6"/>
      <c r="MZW36" s="6"/>
      <c r="MZX36" s="6"/>
      <c r="MZY36" s="6"/>
      <c r="MZZ36" s="6"/>
      <c r="NAA36" s="6"/>
      <c r="NAB36" s="6"/>
      <c r="NAC36" s="6"/>
      <c r="NAD36" s="6"/>
      <c r="NAE36" s="6"/>
      <c r="NAF36" s="6"/>
      <c r="NAG36" s="6"/>
      <c r="NAH36" s="6"/>
      <c r="NAI36" s="6"/>
      <c r="NAJ36" s="6"/>
      <c r="NAK36" s="6"/>
      <c r="NAL36" s="6"/>
      <c r="NAM36" s="6"/>
      <c r="NAN36" s="6"/>
      <c r="NAO36" s="6"/>
      <c r="NAP36" s="6"/>
      <c r="NAQ36" s="6"/>
      <c r="NAR36" s="6"/>
      <c r="NAS36" s="6"/>
      <c r="NAT36" s="6"/>
      <c r="NAU36" s="6"/>
      <c r="NAV36" s="6"/>
      <c r="NAW36" s="6"/>
      <c r="NAX36" s="6"/>
      <c r="NAY36" s="6"/>
      <c r="NAZ36" s="6"/>
      <c r="NBA36" s="6"/>
      <c r="NBB36" s="6"/>
      <c r="NBC36" s="6"/>
      <c r="NBD36" s="6"/>
      <c r="NBE36" s="6"/>
      <c r="NBF36" s="6"/>
      <c r="NBG36" s="6"/>
      <c r="NBH36" s="6"/>
      <c r="NBI36" s="6"/>
      <c r="NBJ36" s="6"/>
      <c r="NBK36" s="6"/>
      <c r="NBL36" s="6"/>
      <c r="NBM36" s="6"/>
      <c r="NBN36" s="6"/>
      <c r="NBO36" s="6"/>
      <c r="NBP36" s="6"/>
      <c r="NBQ36" s="6"/>
      <c r="NBR36" s="6"/>
      <c r="NBS36" s="6"/>
      <c r="NBT36" s="6"/>
      <c r="NBU36" s="6"/>
      <c r="NBV36" s="6"/>
      <c r="NBW36" s="6"/>
      <c r="NBX36" s="6"/>
      <c r="NBY36" s="6"/>
      <c r="NBZ36" s="6"/>
      <c r="NCA36" s="6"/>
      <c r="NCB36" s="6"/>
      <c r="NCC36" s="6"/>
      <c r="NCD36" s="6"/>
      <c r="NCE36" s="6"/>
      <c r="NCF36" s="6"/>
      <c r="NCG36" s="6"/>
      <c r="NCH36" s="6"/>
      <c r="NCI36" s="6"/>
      <c r="NCJ36" s="6"/>
      <c r="NCK36" s="6"/>
      <c r="NCL36" s="6"/>
      <c r="NCM36" s="6"/>
      <c r="NCN36" s="6"/>
      <c r="NCO36" s="6"/>
      <c r="NCP36" s="6"/>
      <c r="NCQ36" s="6"/>
      <c r="NCR36" s="6"/>
      <c r="NCS36" s="6"/>
      <c r="NCT36" s="6"/>
      <c r="NCU36" s="6"/>
      <c r="NCV36" s="6"/>
      <c r="NCW36" s="6"/>
      <c r="NCX36" s="6"/>
      <c r="NCY36" s="6"/>
      <c r="NCZ36" s="6"/>
      <c r="NDA36" s="6"/>
      <c r="NDB36" s="6"/>
      <c r="NDC36" s="6"/>
      <c r="NDD36" s="6"/>
      <c r="NDE36" s="6"/>
      <c r="NDF36" s="6"/>
      <c r="NDG36" s="6"/>
      <c r="NDH36" s="6"/>
      <c r="NDI36" s="6"/>
      <c r="NDJ36" s="6"/>
      <c r="NDK36" s="6"/>
      <c r="NDL36" s="6"/>
      <c r="NDM36" s="6"/>
      <c r="NDN36" s="6"/>
      <c r="NDO36" s="6"/>
      <c r="NDP36" s="6"/>
      <c r="NDQ36" s="6"/>
      <c r="NDR36" s="6"/>
      <c r="NDS36" s="6"/>
      <c r="NDT36" s="6"/>
      <c r="NDU36" s="6"/>
      <c r="NDV36" s="6"/>
      <c r="NDW36" s="6"/>
      <c r="NDX36" s="6"/>
      <c r="NDY36" s="6"/>
      <c r="NDZ36" s="6"/>
      <c r="NEA36" s="6"/>
      <c r="NEB36" s="6"/>
      <c r="NEC36" s="6"/>
      <c r="NED36" s="6"/>
      <c r="NEE36" s="6"/>
      <c r="NEF36" s="6"/>
      <c r="NEG36" s="6"/>
      <c r="NEH36" s="6"/>
      <c r="NEI36" s="6"/>
      <c r="NEJ36" s="6"/>
      <c r="NEK36" s="6"/>
      <c r="NEL36" s="6"/>
      <c r="NEM36" s="6"/>
      <c r="NEN36" s="6"/>
      <c r="NEO36" s="6"/>
      <c r="NEP36" s="6"/>
      <c r="NEQ36" s="6"/>
      <c r="NER36" s="6"/>
      <c r="NES36" s="6"/>
      <c r="NET36" s="6"/>
      <c r="NEU36" s="6"/>
      <c r="NEV36" s="6"/>
      <c r="NEW36" s="6"/>
      <c r="NEX36" s="6"/>
      <c r="NEY36" s="6"/>
      <c r="NEZ36" s="6"/>
      <c r="NFA36" s="6"/>
      <c r="NFB36" s="6"/>
      <c r="NFC36" s="6"/>
      <c r="NFD36" s="6"/>
      <c r="NFE36" s="6"/>
      <c r="NFF36" s="6"/>
      <c r="NFG36" s="6"/>
      <c r="NFH36" s="6"/>
      <c r="NFI36" s="6"/>
      <c r="NFJ36" s="6"/>
      <c r="NFK36" s="6"/>
      <c r="NFL36" s="6"/>
      <c r="NFM36" s="6"/>
      <c r="NFN36" s="6"/>
      <c r="NFO36" s="6"/>
      <c r="NFP36" s="6"/>
      <c r="NFQ36" s="6"/>
      <c r="NFR36" s="6"/>
      <c r="NFS36" s="6"/>
      <c r="NFT36" s="6"/>
      <c r="NFU36" s="6"/>
      <c r="NFV36" s="6"/>
      <c r="NFW36" s="6"/>
      <c r="NFX36" s="6"/>
      <c r="NFY36" s="6"/>
      <c r="NFZ36" s="6"/>
      <c r="NGA36" s="6"/>
      <c r="NGB36" s="6"/>
      <c r="NGC36" s="6"/>
      <c r="NGD36" s="6"/>
      <c r="NGE36" s="6"/>
      <c r="NGF36" s="6"/>
      <c r="NGG36" s="6"/>
      <c r="NGH36" s="6"/>
      <c r="NGI36" s="6"/>
      <c r="NGJ36" s="6"/>
      <c r="NGK36" s="6"/>
      <c r="NGL36" s="6"/>
      <c r="NGM36" s="6"/>
      <c r="NGN36" s="6"/>
      <c r="NGO36" s="6"/>
      <c r="NGP36" s="6"/>
      <c r="NGQ36" s="6"/>
      <c r="NGR36" s="6"/>
      <c r="NGS36" s="6"/>
      <c r="NGT36" s="6"/>
      <c r="NGU36" s="6"/>
      <c r="NGV36" s="6"/>
      <c r="NGW36" s="6"/>
      <c r="NGX36" s="6"/>
      <c r="NGY36" s="6"/>
      <c r="NGZ36" s="6"/>
      <c r="NHA36" s="6"/>
      <c r="NHB36" s="6"/>
      <c r="NHC36" s="6"/>
      <c r="NHD36" s="6"/>
      <c r="NHE36" s="6"/>
      <c r="NHF36" s="6"/>
      <c r="NHG36" s="6"/>
      <c r="NHH36" s="6"/>
      <c r="NHI36" s="6"/>
      <c r="NHJ36" s="6"/>
      <c r="NHK36" s="6"/>
      <c r="NHL36" s="6"/>
      <c r="NHM36" s="6"/>
      <c r="NHN36" s="6"/>
      <c r="NHO36" s="6"/>
      <c r="NHP36" s="6"/>
      <c r="NHQ36" s="6"/>
      <c r="NHR36" s="6"/>
      <c r="NHS36" s="6"/>
      <c r="NHT36" s="6"/>
      <c r="NHU36" s="6"/>
      <c r="NHV36" s="6"/>
      <c r="NHW36" s="6"/>
      <c r="NHX36" s="6"/>
      <c r="NHY36" s="6"/>
      <c r="NHZ36" s="6"/>
      <c r="NIA36" s="6"/>
      <c r="NIB36" s="6"/>
      <c r="NIC36" s="6"/>
      <c r="NID36" s="6"/>
      <c r="NIE36" s="6"/>
      <c r="NIF36" s="6"/>
      <c r="NIG36" s="6"/>
      <c r="NIH36" s="6"/>
      <c r="NII36" s="6"/>
      <c r="NIJ36" s="6"/>
      <c r="NIK36" s="6"/>
      <c r="NIL36" s="6"/>
      <c r="NIM36" s="6"/>
      <c r="NIN36" s="6"/>
      <c r="NIO36" s="6"/>
      <c r="NIP36" s="6"/>
      <c r="NIQ36" s="6"/>
      <c r="NIR36" s="6"/>
      <c r="NIS36" s="6"/>
      <c r="NIT36" s="6"/>
      <c r="NIU36" s="6"/>
      <c r="NIV36" s="6"/>
      <c r="NIW36" s="6"/>
      <c r="NIX36" s="6"/>
      <c r="NIY36" s="6"/>
      <c r="NIZ36" s="6"/>
      <c r="NJA36" s="6"/>
      <c r="NJB36" s="6"/>
      <c r="NJC36" s="6"/>
      <c r="NJD36" s="6"/>
      <c r="NJE36" s="6"/>
      <c r="NJF36" s="6"/>
      <c r="NJG36" s="6"/>
      <c r="NJH36" s="6"/>
      <c r="NJI36" s="6"/>
      <c r="NJJ36" s="6"/>
      <c r="NJK36" s="6"/>
      <c r="NJL36" s="6"/>
      <c r="NJM36" s="6"/>
      <c r="NJN36" s="6"/>
      <c r="NJO36" s="6"/>
      <c r="NJP36" s="6"/>
      <c r="NJQ36" s="6"/>
      <c r="NJR36" s="6"/>
      <c r="NJS36" s="6"/>
      <c r="NJT36" s="6"/>
      <c r="NJU36" s="6"/>
      <c r="NJV36" s="6"/>
      <c r="NJW36" s="6"/>
      <c r="NJX36" s="6"/>
      <c r="NJY36" s="6"/>
      <c r="NJZ36" s="6"/>
      <c r="NKA36" s="6"/>
      <c r="NKB36" s="6"/>
      <c r="NKC36" s="6"/>
      <c r="NKD36" s="6"/>
      <c r="NKE36" s="6"/>
      <c r="NKF36" s="6"/>
      <c r="NKG36" s="6"/>
      <c r="NKH36" s="6"/>
      <c r="NKI36" s="6"/>
      <c r="NKJ36" s="6"/>
      <c r="NKK36" s="6"/>
      <c r="NKL36" s="6"/>
      <c r="NKM36" s="6"/>
      <c r="NKN36" s="6"/>
      <c r="NKO36" s="6"/>
      <c r="NKP36" s="6"/>
      <c r="NKQ36" s="6"/>
      <c r="NKR36" s="6"/>
      <c r="NKS36" s="6"/>
      <c r="NKT36" s="6"/>
      <c r="NKU36" s="6"/>
      <c r="NKV36" s="6"/>
      <c r="NKW36" s="6"/>
      <c r="NKX36" s="6"/>
      <c r="NKY36" s="6"/>
      <c r="NKZ36" s="6"/>
      <c r="NLA36" s="6"/>
      <c r="NLB36" s="6"/>
      <c r="NLC36" s="6"/>
      <c r="NLD36" s="6"/>
      <c r="NLE36" s="6"/>
      <c r="NLF36" s="6"/>
      <c r="NLG36" s="6"/>
      <c r="NLH36" s="6"/>
      <c r="NLI36" s="6"/>
      <c r="NLJ36" s="6"/>
      <c r="NLK36" s="6"/>
      <c r="NLL36" s="6"/>
      <c r="NLM36" s="6"/>
      <c r="NLN36" s="6"/>
      <c r="NLO36" s="6"/>
      <c r="NLP36" s="6"/>
      <c r="NLQ36" s="6"/>
      <c r="NLR36" s="6"/>
      <c r="NLS36" s="6"/>
      <c r="NLT36" s="6"/>
      <c r="NLU36" s="6"/>
      <c r="NLV36" s="6"/>
      <c r="NLW36" s="6"/>
      <c r="NLX36" s="6"/>
      <c r="NLY36" s="6"/>
      <c r="NLZ36" s="6"/>
      <c r="NMA36" s="6"/>
      <c r="NMB36" s="6"/>
      <c r="NMC36" s="6"/>
      <c r="NMD36" s="6"/>
      <c r="NME36" s="6"/>
      <c r="NMF36" s="6"/>
      <c r="NMG36" s="6"/>
      <c r="NMH36" s="6"/>
      <c r="NMI36" s="6"/>
      <c r="NMJ36" s="6"/>
      <c r="NMK36" s="6"/>
      <c r="NML36" s="6"/>
      <c r="NMM36" s="6"/>
      <c r="NMN36" s="6"/>
      <c r="NMO36" s="6"/>
      <c r="NMP36" s="6"/>
      <c r="NMQ36" s="6"/>
      <c r="NMR36" s="6"/>
      <c r="NMS36" s="6"/>
      <c r="NMT36" s="6"/>
      <c r="NMU36" s="6"/>
      <c r="NMV36" s="6"/>
      <c r="NMW36" s="6"/>
      <c r="NMX36" s="6"/>
      <c r="NMY36" s="6"/>
      <c r="NMZ36" s="6"/>
      <c r="NNA36" s="6"/>
      <c r="NNB36" s="6"/>
      <c r="NNC36" s="6"/>
      <c r="NND36" s="6"/>
      <c r="NNE36" s="6"/>
      <c r="NNF36" s="6"/>
      <c r="NNG36" s="6"/>
      <c r="NNH36" s="6"/>
      <c r="NNI36" s="6"/>
      <c r="NNJ36" s="6"/>
      <c r="NNK36" s="6"/>
      <c r="NNL36" s="6"/>
      <c r="NNM36" s="6"/>
      <c r="NNN36" s="6"/>
      <c r="NNO36" s="6"/>
      <c r="NNP36" s="6"/>
      <c r="NNQ36" s="6"/>
      <c r="NNR36" s="6"/>
      <c r="NNS36" s="6"/>
      <c r="NNT36" s="6"/>
      <c r="NNU36" s="6"/>
      <c r="NNV36" s="6"/>
      <c r="NNW36" s="6"/>
      <c r="NNX36" s="6"/>
      <c r="NNY36" s="6"/>
      <c r="NNZ36" s="6"/>
      <c r="NOA36" s="6"/>
      <c r="NOB36" s="6"/>
      <c r="NOC36" s="6"/>
      <c r="NOD36" s="6"/>
      <c r="NOE36" s="6"/>
      <c r="NOF36" s="6"/>
      <c r="NOG36" s="6"/>
      <c r="NOH36" s="6"/>
      <c r="NOI36" s="6"/>
      <c r="NOJ36" s="6"/>
      <c r="NOK36" s="6"/>
      <c r="NOL36" s="6"/>
      <c r="NOM36" s="6"/>
      <c r="NON36" s="6"/>
      <c r="NOO36" s="6"/>
      <c r="NOP36" s="6"/>
      <c r="NOQ36" s="6"/>
      <c r="NOR36" s="6"/>
      <c r="NOS36" s="6"/>
      <c r="NOT36" s="6"/>
      <c r="NOU36" s="6"/>
      <c r="NOV36" s="6"/>
      <c r="NOW36" s="6"/>
      <c r="NOX36" s="6"/>
      <c r="NOY36" s="6"/>
      <c r="NOZ36" s="6"/>
      <c r="NPA36" s="6"/>
      <c r="NPB36" s="6"/>
      <c r="NPC36" s="6"/>
      <c r="NPD36" s="6"/>
      <c r="NPE36" s="6"/>
      <c r="NPF36" s="6"/>
      <c r="NPG36" s="6"/>
      <c r="NPH36" s="6"/>
      <c r="NPI36" s="6"/>
      <c r="NPJ36" s="6"/>
      <c r="NPK36" s="6"/>
      <c r="NPL36" s="6"/>
      <c r="NPM36" s="6"/>
      <c r="NPN36" s="6"/>
      <c r="NPO36" s="6"/>
      <c r="NPP36" s="6"/>
      <c r="NPQ36" s="6"/>
      <c r="NPR36" s="6"/>
      <c r="NPS36" s="6"/>
      <c r="NPT36" s="6"/>
      <c r="NPU36" s="6"/>
      <c r="NPV36" s="6"/>
      <c r="NPW36" s="6"/>
      <c r="NPX36" s="6"/>
      <c r="NPY36" s="6"/>
      <c r="NPZ36" s="6"/>
      <c r="NQA36" s="6"/>
      <c r="NQB36" s="6"/>
      <c r="NQC36" s="6"/>
      <c r="NQD36" s="6"/>
      <c r="NQE36" s="6"/>
      <c r="NQF36" s="6"/>
      <c r="NQG36" s="6"/>
      <c r="NQH36" s="6"/>
      <c r="NQI36" s="6"/>
      <c r="NQJ36" s="6"/>
      <c r="NQK36" s="6"/>
      <c r="NQL36" s="6"/>
      <c r="NQM36" s="6"/>
      <c r="NQN36" s="6"/>
      <c r="NQO36" s="6"/>
      <c r="NQP36" s="6"/>
      <c r="NQQ36" s="6"/>
      <c r="NQR36" s="6"/>
      <c r="NQS36" s="6"/>
      <c r="NQT36" s="6"/>
      <c r="NQU36" s="6"/>
      <c r="NQV36" s="6"/>
      <c r="NQW36" s="6"/>
      <c r="NQX36" s="6"/>
      <c r="NQY36" s="6"/>
      <c r="NQZ36" s="6"/>
      <c r="NRA36" s="6"/>
      <c r="NRB36" s="6"/>
      <c r="NRC36" s="6"/>
      <c r="NRD36" s="6"/>
      <c r="NRE36" s="6"/>
      <c r="NRF36" s="6"/>
      <c r="NRG36" s="6"/>
      <c r="NRH36" s="6"/>
      <c r="NRI36" s="6"/>
      <c r="NRJ36" s="6"/>
      <c r="NRK36" s="6"/>
      <c r="NRL36" s="6"/>
      <c r="NRM36" s="6"/>
      <c r="NRN36" s="6"/>
      <c r="NRO36" s="6"/>
      <c r="NRP36" s="6"/>
      <c r="NRQ36" s="6"/>
      <c r="NRR36" s="6"/>
      <c r="NRS36" s="6"/>
      <c r="NRT36" s="6"/>
      <c r="NRU36" s="6"/>
      <c r="NRV36" s="6"/>
      <c r="NRW36" s="6"/>
      <c r="NRX36" s="6"/>
      <c r="NRY36" s="6"/>
      <c r="NRZ36" s="6"/>
      <c r="NSA36" s="6"/>
      <c r="NSB36" s="6"/>
      <c r="NSC36" s="6"/>
      <c r="NSD36" s="6"/>
      <c r="NSE36" s="6"/>
      <c r="NSF36" s="6"/>
      <c r="NSG36" s="6"/>
      <c r="NSH36" s="6"/>
      <c r="NSI36" s="6"/>
      <c r="NSJ36" s="6"/>
      <c r="NSK36" s="6"/>
      <c r="NSL36" s="6"/>
      <c r="NSM36" s="6"/>
      <c r="NSN36" s="6"/>
      <c r="NSO36" s="6"/>
      <c r="NSP36" s="6"/>
      <c r="NSQ36" s="6"/>
      <c r="NSR36" s="6"/>
      <c r="NSS36" s="6"/>
      <c r="NST36" s="6"/>
      <c r="NSU36" s="6"/>
      <c r="NSV36" s="6"/>
      <c r="NSW36" s="6"/>
      <c r="NSX36" s="6"/>
      <c r="NSY36" s="6"/>
      <c r="NSZ36" s="6"/>
      <c r="NTA36" s="6"/>
      <c r="NTB36" s="6"/>
      <c r="NTC36" s="6"/>
      <c r="NTD36" s="6"/>
      <c r="NTE36" s="6"/>
      <c r="NTF36" s="6"/>
      <c r="NTG36" s="6"/>
      <c r="NTH36" s="6"/>
      <c r="NTI36" s="6"/>
      <c r="NTJ36" s="6"/>
      <c r="NTK36" s="6"/>
      <c r="NTL36" s="6"/>
      <c r="NTM36" s="6"/>
      <c r="NTN36" s="6"/>
      <c r="NTO36" s="6"/>
      <c r="NTP36" s="6"/>
      <c r="NTQ36" s="6"/>
      <c r="NTR36" s="6"/>
      <c r="NTS36" s="6"/>
      <c r="NTT36" s="6"/>
      <c r="NTU36" s="6"/>
      <c r="NTV36" s="6"/>
      <c r="NTW36" s="6"/>
      <c r="NTX36" s="6"/>
      <c r="NTY36" s="6"/>
      <c r="NTZ36" s="6"/>
      <c r="NUA36" s="6"/>
      <c r="NUB36" s="6"/>
      <c r="NUC36" s="6"/>
      <c r="NUD36" s="6"/>
      <c r="NUE36" s="6"/>
      <c r="NUF36" s="6"/>
      <c r="NUG36" s="6"/>
      <c r="NUH36" s="6"/>
      <c r="NUI36" s="6"/>
      <c r="NUJ36" s="6"/>
      <c r="NUK36" s="6"/>
      <c r="NUL36" s="6"/>
      <c r="NUM36" s="6"/>
      <c r="NUN36" s="6"/>
      <c r="NUO36" s="6"/>
      <c r="NUP36" s="6"/>
      <c r="NUQ36" s="6"/>
      <c r="NUR36" s="6"/>
      <c r="NUS36" s="6"/>
      <c r="NUT36" s="6"/>
      <c r="NUU36" s="6"/>
      <c r="NUV36" s="6"/>
      <c r="NUW36" s="6"/>
      <c r="NUX36" s="6"/>
      <c r="NUY36" s="6"/>
      <c r="NUZ36" s="6"/>
      <c r="NVA36" s="6"/>
      <c r="NVB36" s="6"/>
      <c r="NVC36" s="6"/>
      <c r="NVD36" s="6"/>
      <c r="NVE36" s="6"/>
      <c r="NVF36" s="6"/>
      <c r="NVG36" s="6"/>
      <c r="NVH36" s="6"/>
      <c r="NVI36" s="6"/>
      <c r="NVJ36" s="6"/>
      <c r="NVK36" s="6"/>
      <c r="NVL36" s="6"/>
      <c r="NVM36" s="6"/>
      <c r="NVN36" s="6"/>
      <c r="NVO36" s="6"/>
      <c r="NVP36" s="6"/>
      <c r="NVQ36" s="6"/>
      <c r="NVR36" s="6"/>
      <c r="NVS36" s="6"/>
      <c r="NVT36" s="6"/>
      <c r="NVU36" s="6"/>
      <c r="NVV36" s="6"/>
      <c r="NVW36" s="6"/>
      <c r="NVX36" s="6"/>
      <c r="NVY36" s="6"/>
      <c r="NVZ36" s="6"/>
      <c r="NWA36" s="6"/>
      <c r="NWB36" s="6"/>
      <c r="NWC36" s="6"/>
      <c r="NWD36" s="6"/>
      <c r="NWE36" s="6"/>
      <c r="NWF36" s="6"/>
      <c r="NWG36" s="6"/>
      <c r="NWH36" s="6"/>
      <c r="NWI36" s="6"/>
      <c r="NWJ36" s="6"/>
      <c r="NWK36" s="6"/>
      <c r="NWL36" s="6"/>
      <c r="NWM36" s="6"/>
      <c r="NWN36" s="6"/>
      <c r="NWO36" s="6"/>
      <c r="NWP36" s="6"/>
      <c r="NWQ36" s="6"/>
      <c r="NWR36" s="6"/>
      <c r="NWS36" s="6"/>
      <c r="NWT36" s="6"/>
      <c r="NWU36" s="6"/>
      <c r="NWV36" s="6"/>
      <c r="NWW36" s="6"/>
      <c r="NWX36" s="6"/>
      <c r="NWY36" s="6"/>
      <c r="NWZ36" s="6"/>
      <c r="NXA36" s="6"/>
      <c r="NXB36" s="6"/>
      <c r="NXC36" s="6"/>
      <c r="NXD36" s="6"/>
      <c r="NXE36" s="6"/>
      <c r="NXF36" s="6"/>
      <c r="NXG36" s="6"/>
      <c r="NXH36" s="6"/>
      <c r="NXI36" s="6"/>
      <c r="NXJ36" s="6"/>
      <c r="NXK36" s="6"/>
      <c r="NXL36" s="6"/>
      <c r="NXM36" s="6"/>
      <c r="NXN36" s="6"/>
      <c r="NXO36" s="6"/>
      <c r="NXP36" s="6"/>
      <c r="NXQ36" s="6"/>
      <c r="NXR36" s="6"/>
      <c r="NXS36" s="6"/>
      <c r="NXT36" s="6"/>
      <c r="NXU36" s="6"/>
      <c r="NXV36" s="6"/>
      <c r="NXW36" s="6"/>
      <c r="NXX36" s="6"/>
      <c r="NXY36" s="6"/>
      <c r="NXZ36" s="6"/>
      <c r="NYA36" s="6"/>
      <c r="NYB36" s="6"/>
      <c r="NYC36" s="6"/>
      <c r="NYD36" s="6"/>
      <c r="NYE36" s="6"/>
      <c r="NYF36" s="6"/>
      <c r="NYG36" s="6"/>
      <c r="NYH36" s="6"/>
      <c r="NYI36" s="6"/>
      <c r="NYJ36" s="6"/>
      <c r="NYK36" s="6"/>
      <c r="NYL36" s="6"/>
      <c r="NYM36" s="6"/>
      <c r="NYN36" s="6"/>
      <c r="NYO36" s="6"/>
      <c r="NYP36" s="6"/>
      <c r="NYQ36" s="6"/>
      <c r="NYR36" s="6"/>
      <c r="NYS36" s="6"/>
      <c r="NYT36" s="6"/>
      <c r="NYU36" s="6"/>
      <c r="NYV36" s="6"/>
      <c r="NYW36" s="6"/>
      <c r="NYX36" s="6"/>
      <c r="NYY36" s="6"/>
      <c r="NYZ36" s="6"/>
      <c r="NZA36" s="6"/>
      <c r="NZB36" s="6"/>
      <c r="NZC36" s="6"/>
      <c r="NZD36" s="6"/>
      <c r="NZE36" s="6"/>
      <c r="NZF36" s="6"/>
      <c r="NZG36" s="6"/>
      <c r="NZH36" s="6"/>
      <c r="NZI36" s="6"/>
      <c r="NZJ36" s="6"/>
      <c r="NZK36" s="6"/>
      <c r="NZL36" s="6"/>
      <c r="NZM36" s="6"/>
      <c r="NZN36" s="6"/>
      <c r="NZO36" s="6"/>
      <c r="NZP36" s="6"/>
      <c r="NZQ36" s="6"/>
      <c r="NZR36" s="6"/>
      <c r="NZS36" s="6"/>
      <c r="NZT36" s="6"/>
      <c r="NZU36" s="6"/>
      <c r="NZV36" s="6"/>
      <c r="NZW36" s="6"/>
      <c r="NZX36" s="6"/>
      <c r="NZY36" s="6"/>
      <c r="NZZ36" s="6"/>
      <c r="OAA36" s="6"/>
      <c r="OAB36" s="6"/>
      <c r="OAC36" s="6"/>
      <c r="OAD36" s="6"/>
      <c r="OAE36" s="6"/>
      <c r="OAF36" s="6"/>
      <c r="OAG36" s="6"/>
      <c r="OAH36" s="6"/>
      <c r="OAI36" s="6"/>
      <c r="OAJ36" s="6"/>
      <c r="OAK36" s="6"/>
      <c r="OAL36" s="6"/>
      <c r="OAM36" s="6"/>
      <c r="OAN36" s="6"/>
      <c r="OAO36" s="6"/>
      <c r="OAP36" s="6"/>
      <c r="OAQ36" s="6"/>
      <c r="OAR36" s="6"/>
      <c r="OAS36" s="6"/>
      <c r="OAT36" s="6"/>
      <c r="OAU36" s="6"/>
      <c r="OAV36" s="6"/>
      <c r="OAW36" s="6"/>
      <c r="OAX36" s="6"/>
      <c r="OAY36" s="6"/>
      <c r="OAZ36" s="6"/>
      <c r="OBA36" s="6"/>
      <c r="OBB36" s="6"/>
      <c r="OBC36" s="6"/>
      <c r="OBD36" s="6"/>
      <c r="OBE36" s="6"/>
      <c r="OBF36" s="6"/>
      <c r="OBG36" s="6"/>
      <c r="OBH36" s="6"/>
      <c r="OBI36" s="6"/>
      <c r="OBJ36" s="6"/>
      <c r="OBK36" s="6"/>
      <c r="OBL36" s="6"/>
      <c r="OBM36" s="6"/>
      <c r="OBN36" s="6"/>
      <c r="OBO36" s="6"/>
      <c r="OBP36" s="6"/>
      <c r="OBQ36" s="6"/>
      <c r="OBR36" s="6"/>
      <c r="OBS36" s="6"/>
      <c r="OBT36" s="6"/>
      <c r="OBU36" s="6"/>
      <c r="OBV36" s="6"/>
      <c r="OBW36" s="6"/>
      <c r="OBX36" s="6"/>
      <c r="OBY36" s="6"/>
      <c r="OBZ36" s="6"/>
      <c r="OCA36" s="6"/>
      <c r="OCB36" s="6"/>
      <c r="OCC36" s="6"/>
      <c r="OCD36" s="6"/>
      <c r="OCE36" s="6"/>
      <c r="OCF36" s="6"/>
      <c r="OCG36" s="6"/>
      <c r="OCH36" s="6"/>
      <c r="OCI36" s="6"/>
      <c r="OCJ36" s="6"/>
      <c r="OCK36" s="6"/>
      <c r="OCL36" s="6"/>
      <c r="OCM36" s="6"/>
      <c r="OCN36" s="6"/>
      <c r="OCO36" s="6"/>
      <c r="OCP36" s="6"/>
      <c r="OCQ36" s="6"/>
      <c r="OCR36" s="6"/>
      <c r="OCS36" s="6"/>
      <c r="OCT36" s="6"/>
      <c r="OCU36" s="6"/>
      <c r="OCV36" s="6"/>
      <c r="OCW36" s="6"/>
      <c r="OCX36" s="6"/>
      <c r="OCY36" s="6"/>
      <c r="OCZ36" s="6"/>
      <c r="ODA36" s="6"/>
      <c r="ODB36" s="6"/>
      <c r="ODC36" s="6"/>
      <c r="ODD36" s="6"/>
      <c r="ODE36" s="6"/>
      <c r="ODF36" s="6"/>
      <c r="ODG36" s="6"/>
      <c r="ODH36" s="6"/>
      <c r="ODI36" s="6"/>
      <c r="ODJ36" s="6"/>
      <c r="ODK36" s="6"/>
      <c r="ODL36" s="6"/>
      <c r="ODM36" s="6"/>
      <c r="ODN36" s="6"/>
      <c r="ODO36" s="6"/>
      <c r="ODP36" s="6"/>
      <c r="ODQ36" s="6"/>
      <c r="ODR36" s="6"/>
      <c r="ODS36" s="6"/>
      <c r="ODT36" s="6"/>
      <c r="ODU36" s="6"/>
      <c r="ODV36" s="6"/>
      <c r="ODW36" s="6"/>
      <c r="ODX36" s="6"/>
      <c r="ODY36" s="6"/>
      <c r="ODZ36" s="6"/>
      <c r="OEA36" s="6"/>
      <c r="OEB36" s="6"/>
      <c r="OEC36" s="6"/>
      <c r="OED36" s="6"/>
      <c r="OEE36" s="6"/>
      <c r="OEF36" s="6"/>
      <c r="OEG36" s="6"/>
      <c r="OEH36" s="6"/>
      <c r="OEI36" s="6"/>
      <c r="OEJ36" s="6"/>
      <c r="OEK36" s="6"/>
      <c r="OEL36" s="6"/>
      <c r="OEM36" s="6"/>
      <c r="OEN36" s="6"/>
      <c r="OEO36" s="6"/>
      <c r="OEP36" s="6"/>
      <c r="OEQ36" s="6"/>
      <c r="OER36" s="6"/>
      <c r="OES36" s="6"/>
      <c r="OET36" s="6"/>
      <c r="OEU36" s="6"/>
      <c r="OEV36" s="6"/>
      <c r="OEW36" s="6"/>
      <c r="OEX36" s="6"/>
      <c r="OEY36" s="6"/>
      <c r="OEZ36" s="6"/>
      <c r="OFA36" s="6"/>
      <c r="OFB36" s="6"/>
      <c r="OFC36" s="6"/>
      <c r="OFD36" s="6"/>
      <c r="OFE36" s="6"/>
      <c r="OFF36" s="6"/>
      <c r="OFG36" s="6"/>
      <c r="OFH36" s="6"/>
      <c r="OFI36" s="6"/>
      <c r="OFJ36" s="6"/>
      <c r="OFK36" s="6"/>
      <c r="OFL36" s="6"/>
      <c r="OFM36" s="6"/>
      <c r="OFN36" s="6"/>
      <c r="OFO36" s="6"/>
      <c r="OFP36" s="6"/>
      <c r="OFQ36" s="6"/>
      <c r="OFR36" s="6"/>
      <c r="OFS36" s="6"/>
      <c r="OFT36" s="6"/>
      <c r="OFU36" s="6"/>
      <c r="OFV36" s="6"/>
      <c r="OFW36" s="6"/>
      <c r="OFX36" s="6"/>
      <c r="OFY36" s="6"/>
      <c r="OFZ36" s="6"/>
      <c r="OGA36" s="6"/>
      <c r="OGB36" s="6"/>
      <c r="OGC36" s="6"/>
      <c r="OGD36" s="6"/>
      <c r="OGE36" s="6"/>
      <c r="OGF36" s="6"/>
      <c r="OGG36" s="6"/>
      <c r="OGH36" s="6"/>
      <c r="OGI36" s="6"/>
      <c r="OGJ36" s="6"/>
      <c r="OGK36" s="6"/>
      <c r="OGL36" s="6"/>
      <c r="OGM36" s="6"/>
      <c r="OGN36" s="6"/>
      <c r="OGO36" s="6"/>
      <c r="OGP36" s="6"/>
      <c r="OGQ36" s="6"/>
      <c r="OGR36" s="6"/>
      <c r="OGS36" s="6"/>
      <c r="OGT36" s="6"/>
      <c r="OGU36" s="6"/>
      <c r="OGV36" s="6"/>
      <c r="OGW36" s="6"/>
      <c r="OGX36" s="6"/>
      <c r="OGY36" s="6"/>
      <c r="OGZ36" s="6"/>
      <c r="OHA36" s="6"/>
      <c r="OHB36" s="6"/>
      <c r="OHC36" s="6"/>
      <c r="OHD36" s="6"/>
      <c r="OHE36" s="6"/>
      <c r="OHF36" s="6"/>
      <c r="OHG36" s="6"/>
      <c r="OHH36" s="6"/>
      <c r="OHI36" s="6"/>
      <c r="OHJ36" s="6"/>
      <c r="OHK36" s="6"/>
      <c r="OHL36" s="6"/>
      <c r="OHM36" s="6"/>
      <c r="OHN36" s="6"/>
      <c r="OHO36" s="6"/>
      <c r="OHP36" s="6"/>
      <c r="OHQ36" s="6"/>
      <c r="OHR36" s="6"/>
      <c r="OHS36" s="6"/>
      <c r="OHT36" s="6"/>
      <c r="OHU36" s="6"/>
      <c r="OHV36" s="6"/>
      <c r="OHW36" s="6"/>
      <c r="OHX36" s="6"/>
      <c r="OHY36" s="6"/>
      <c r="OHZ36" s="6"/>
      <c r="OIA36" s="6"/>
      <c r="OIB36" s="6"/>
      <c r="OIC36" s="6"/>
      <c r="OID36" s="6"/>
      <c r="OIE36" s="6"/>
      <c r="OIF36" s="6"/>
      <c r="OIG36" s="6"/>
      <c r="OIH36" s="6"/>
      <c r="OII36" s="6"/>
      <c r="OIJ36" s="6"/>
      <c r="OIK36" s="6"/>
      <c r="OIL36" s="6"/>
      <c r="OIM36" s="6"/>
      <c r="OIN36" s="6"/>
      <c r="OIO36" s="6"/>
      <c r="OIP36" s="6"/>
      <c r="OIQ36" s="6"/>
      <c r="OIR36" s="6"/>
      <c r="OIS36" s="6"/>
      <c r="OIT36" s="6"/>
      <c r="OIU36" s="6"/>
      <c r="OIV36" s="6"/>
      <c r="OIW36" s="6"/>
      <c r="OIX36" s="6"/>
      <c r="OIY36" s="6"/>
      <c r="OIZ36" s="6"/>
      <c r="OJA36" s="6"/>
      <c r="OJB36" s="6"/>
      <c r="OJC36" s="6"/>
      <c r="OJD36" s="6"/>
      <c r="OJE36" s="6"/>
      <c r="OJF36" s="6"/>
      <c r="OJG36" s="6"/>
      <c r="OJH36" s="6"/>
      <c r="OJI36" s="6"/>
      <c r="OJJ36" s="6"/>
      <c r="OJK36" s="6"/>
      <c r="OJL36" s="6"/>
      <c r="OJM36" s="6"/>
      <c r="OJN36" s="6"/>
      <c r="OJO36" s="6"/>
      <c r="OJP36" s="6"/>
      <c r="OJQ36" s="6"/>
      <c r="OJR36" s="6"/>
      <c r="OJS36" s="6"/>
      <c r="OJT36" s="6"/>
      <c r="OJU36" s="6"/>
      <c r="OJV36" s="6"/>
      <c r="OJW36" s="6"/>
      <c r="OJX36" s="6"/>
      <c r="OJY36" s="6"/>
      <c r="OJZ36" s="6"/>
      <c r="OKA36" s="6"/>
      <c r="OKB36" s="6"/>
      <c r="OKC36" s="6"/>
      <c r="OKD36" s="6"/>
      <c r="OKE36" s="6"/>
      <c r="OKF36" s="6"/>
      <c r="OKG36" s="6"/>
      <c r="OKH36" s="6"/>
      <c r="OKI36" s="6"/>
      <c r="OKJ36" s="6"/>
      <c r="OKK36" s="6"/>
      <c r="OKL36" s="6"/>
      <c r="OKM36" s="6"/>
      <c r="OKN36" s="6"/>
      <c r="OKO36" s="6"/>
      <c r="OKP36" s="6"/>
      <c r="OKQ36" s="6"/>
      <c r="OKR36" s="6"/>
      <c r="OKS36" s="6"/>
      <c r="OKT36" s="6"/>
      <c r="OKU36" s="6"/>
      <c r="OKV36" s="6"/>
      <c r="OKW36" s="6"/>
      <c r="OKX36" s="6"/>
      <c r="OKY36" s="6"/>
      <c r="OKZ36" s="6"/>
      <c r="OLA36" s="6"/>
      <c r="OLB36" s="6"/>
      <c r="OLC36" s="6"/>
      <c r="OLD36" s="6"/>
      <c r="OLE36" s="6"/>
      <c r="OLF36" s="6"/>
      <c r="OLG36" s="6"/>
      <c r="OLH36" s="6"/>
      <c r="OLI36" s="6"/>
      <c r="OLJ36" s="6"/>
      <c r="OLK36" s="6"/>
      <c r="OLL36" s="6"/>
      <c r="OLM36" s="6"/>
      <c r="OLN36" s="6"/>
      <c r="OLO36" s="6"/>
      <c r="OLP36" s="6"/>
      <c r="OLQ36" s="6"/>
      <c r="OLR36" s="6"/>
      <c r="OLS36" s="6"/>
      <c r="OLT36" s="6"/>
      <c r="OLU36" s="6"/>
      <c r="OLV36" s="6"/>
      <c r="OLW36" s="6"/>
      <c r="OLX36" s="6"/>
      <c r="OLY36" s="6"/>
      <c r="OLZ36" s="6"/>
      <c r="OMA36" s="6"/>
      <c r="OMB36" s="6"/>
      <c r="OMC36" s="6"/>
      <c r="OMD36" s="6"/>
      <c r="OME36" s="6"/>
      <c r="OMF36" s="6"/>
      <c r="OMG36" s="6"/>
      <c r="OMH36" s="6"/>
      <c r="OMI36" s="6"/>
      <c r="OMJ36" s="6"/>
      <c r="OMK36" s="6"/>
      <c r="OML36" s="6"/>
      <c r="OMM36" s="6"/>
      <c r="OMN36" s="6"/>
      <c r="OMO36" s="6"/>
      <c r="OMP36" s="6"/>
      <c r="OMQ36" s="6"/>
      <c r="OMR36" s="6"/>
      <c r="OMS36" s="6"/>
      <c r="OMT36" s="6"/>
      <c r="OMU36" s="6"/>
      <c r="OMV36" s="6"/>
      <c r="OMW36" s="6"/>
      <c r="OMX36" s="6"/>
      <c r="OMY36" s="6"/>
      <c r="OMZ36" s="6"/>
      <c r="ONA36" s="6"/>
      <c r="ONB36" s="6"/>
      <c r="ONC36" s="6"/>
      <c r="OND36" s="6"/>
      <c r="ONE36" s="6"/>
      <c r="ONF36" s="6"/>
      <c r="ONG36" s="6"/>
      <c r="ONH36" s="6"/>
      <c r="ONI36" s="6"/>
      <c r="ONJ36" s="6"/>
      <c r="ONK36" s="6"/>
      <c r="ONL36" s="6"/>
      <c r="ONM36" s="6"/>
      <c r="ONN36" s="6"/>
      <c r="ONO36" s="6"/>
      <c r="ONP36" s="6"/>
      <c r="ONQ36" s="6"/>
      <c r="ONR36" s="6"/>
      <c r="ONS36" s="6"/>
      <c r="ONT36" s="6"/>
      <c r="ONU36" s="6"/>
      <c r="ONV36" s="6"/>
      <c r="ONW36" s="6"/>
      <c r="ONX36" s="6"/>
      <c r="ONY36" s="6"/>
      <c r="ONZ36" s="6"/>
      <c r="OOA36" s="6"/>
      <c r="OOB36" s="6"/>
      <c r="OOC36" s="6"/>
      <c r="OOD36" s="6"/>
      <c r="OOE36" s="6"/>
      <c r="OOF36" s="6"/>
      <c r="OOG36" s="6"/>
      <c r="OOH36" s="6"/>
      <c r="OOI36" s="6"/>
      <c r="OOJ36" s="6"/>
      <c r="OOK36" s="6"/>
      <c r="OOL36" s="6"/>
      <c r="OOM36" s="6"/>
      <c r="OON36" s="6"/>
      <c r="OOO36" s="6"/>
      <c r="OOP36" s="6"/>
      <c r="OOQ36" s="6"/>
      <c r="OOR36" s="6"/>
      <c r="OOS36" s="6"/>
      <c r="OOT36" s="6"/>
      <c r="OOU36" s="6"/>
      <c r="OOV36" s="6"/>
      <c r="OOW36" s="6"/>
      <c r="OOX36" s="6"/>
      <c r="OOY36" s="6"/>
      <c r="OOZ36" s="6"/>
      <c r="OPA36" s="6"/>
      <c r="OPB36" s="6"/>
      <c r="OPC36" s="6"/>
      <c r="OPD36" s="6"/>
      <c r="OPE36" s="6"/>
      <c r="OPF36" s="6"/>
      <c r="OPG36" s="6"/>
      <c r="OPH36" s="6"/>
      <c r="OPI36" s="6"/>
      <c r="OPJ36" s="6"/>
      <c r="OPK36" s="6"/>
      <c r="OPL36" s="6"/>
      <c r="OPM36" s="6"/>
      <c r="OPN36" s="6"/>
      <c r="OPO36" s="6"/>
      <c r="OPP36" s="6"/>
      <c r="OPQ36" s="6"/>
      <c r="OPR36" s="6"/>
      <c r="OPS36" s="6"/>
      <c r="OPT36" s="6"/>
      <c r="OPU36" s="6"/>
      <c r="OPV36" s="6"/>
      <c r="OPW36" s="6"/>
      <c r="OPX36" s="6"/>
      <c r="OPY36" s="6"/>
      <c r="OPZ36" s="6"/>
      <c r="OQA36" s="6"/>
      <c r="OQB36" s="6"/>
      <c r="OQC36" s="6"/>
      <c r="OQD36" s="6"/>
      <c r="OQE36" s="6"/>
      <c r="OQF36" s="6"/>
      <c r="OQG36" s="6"/>
      <c r="OQH36" s="6"/>
      <c r="OQI36" s="6"/>
      <c r="OQJ36" s="6"/>
      <c r="OQK36" s="6"/>
      <c r="OQL36" s="6"/>
      <c r="OQM36" s="6"/>
      <c r="OQN36" s="6"/>
      <c r="OQO36" s="6"/>
      <c r="OQP36" s="6"/>
      <c r="OQQ36" s="6"/>
      <c r="OQR36" s="6"/>
      <c r="OQS36" s="6"/>
      <c r="OQT36" s="6"/>
      <c r="OQU36" s="6"/>
      <c r="OQV36" s="6"/>
      <c r="OQW36" s="6"/>
      <c r="OQX36" s="6"/>
      <c r="OQY36" s="6"/>
      <c r="OQZ36" s="6"/>
      <c r="ORA36" s="6"/>
      <c r="ORB36" s="6"/>
      <c r="ORC36" s="6"/>
      <c r="ORD36" s="6"/>
      <c r="ORE36" s="6"/>
      <c r="ORF36" s="6"/>
      <c r="ORG36" s="6"/>
      <c r="ORH36" s="6"/>
      <c r="ORI36" s="6"/>
      <c r="ORJ36" s="6"/>
      <c r="ORK36" s="6"/>
      <c r="ORL36" s="6"/>
      <c r="ORM36" s="6"/>
      <c r="ORN36" s="6"/>
      <c r="ORO36" s="6"/>
      <c r="ORP36" s="6"/>
      <c r="ORQ36" s="6"/>
      <c r="ORR36" s="6"/>
      <c r="ORS36" s="6"/>
      <c r="ORT36" s="6"/>
      <c r="ORU36" s="6"/>
      <c r="ORV36" s="6"/>
      <c r="ORW36" s="6"/>
      <c r="ORX36" s="6"/>
      <c r="ORY36" s="6"/>
      <c r="ORZ36" s="6"/>
      <c r="OSA36" s="6"/>
      <c r="OSB36" s="6"/>
      <c r="OSC36" s="6"/>
      <c r="OSD36" s="6"/>
      <c r="OSE36" s="6"/>
      <c r="OSF36" s="6"/>
      <c r="OSG36" s="6"/>
      <c r="OSH36" s="6"/>
      <c r="OSI36" s="6"/>
      <c r="OSJ36" s="6"/>
      <c r="OSK36" s="6"/>
      <c r="OSL36" s="6"/>
      <c r="OSM36" s="6"/>
      <c r="OSN36" s="6"/>
      <c r="OSO36" s="6"/>
      <c r="OSP36" s="6"/>
      <c r="OSQ36" s="6"/>
      <c r="OSR36" s="6"/>
      <c r="OSS36" s="6"/>
      <c r="OST36" s="6"/>
      <c r="OSU36" s="6"/>
      <c r="OSV36" s="6"/>
      <c r="OSW36" s="6"/>
      <c r="OSX36" s="6"/>
      <c r="OSY36" s="6"/>
      <c r="OSZ36" s="6"/>
      <c r="OTA36" s="6"/>
      <c r="OTB36" s="6"/>
      <c r="OTC36" s="6"/>
      <c r="OTD36" s="6"/>
      <c r="OTE36" s="6"/>
      <c r="OTF36" s="6"/>
      <c r="OTG36" s="6"/>
      <c r="OTH36" s="6"/>
      <c r="OTI36" s="6"/>
      <c r="OTJ36" s="6"/>
      <c r="OTK36" s="6"/>
      <c r="OTL36" s="6"/>
      <c r="OTM36" s="6"/>
      <c r="OTN36" s="6"/>
      <c r="OTO36" s="6"/>
      <c r="OTP36" s="6"/>
      <c r="OTQ36" s="6"/>
      <c r="OTR36" s="6"/>
      <c r="OTS36" s="6"/>
      <c r="OTT36" s="6"/>
      <c r="OTU36" s="6"/>
      <c r="OTV36" s="6"/>
      <c r="OTW36" s="6"/>
      <c r="OTX36" s="6"/>
      <c r="OTY36" s="6"/>
      <c r="OTZ36" s="6"/>
      <c r="OUA36" s="6"/>
      <c r="OUB36" s="6"/>
      <c r="OUC36" s="6"/>
      <c r="OUD36" s="6"/>
      <c r="OUE36" s="6"/>
      <c r="OUF36" s="6"/>
      <c r="OUG36" s="6"/>
      <c r="OUH36" s="6"/>
      <c r="OUI36" s="6"/>
      <c r="OUJ36" s="6"/>
      <c r="OUK36" s="6"/>
      <c r="OUL36" s="6"/>
      <c r="OUM36" s="6"/>
      <c r="OUN36" s="6"/>
      <c r="OUO36" s="6"/>
      <c r="OUP36" s="6"/>
      <c r="OUQ36" s="6"/>
      <c r="OUR36" s="6"/>
      <c r="OUS36" s="6"/>
      <c r="OUT36" s="6"/>
      <c r="OUU36" s="6"/>
      <c r="OUV36" s="6"/>
      <c r="OUW36" s="6"/>
      <c r="OUX36" s="6"/>
      <c r="OUY36" s="6"/>
      <c r="OUZ36" s="6"/>
      <c r="OVA36" s="6"/>
      <c r="OVB36" s="6"/>
      <c r="OVC36" s="6"/>
      <c r="OVD36" s="6"/>
      <c r="OVE36" s="6"/>
      <c r="OVF36" s="6"/>
      <c r="OVG36" s="6"/>
      <c r="OVH36" s="6"/>
      <c r="OVI36" s="6"/>
      <c r="OVJ36" s="6"/>
      <c r="OVK36" s="6"/>
      <c r="OVL36" s="6"/>
      <c r="OVM36" s="6"/>
      <c r="OVN36" s="6"/>
      <c r="OVO36" s="6"/>
      <c r="OVP36" s="6"/>
      <c r="OVQ36" s="6"/>
      <c r="OVR36" s="6"/>
      <c r="OVS36" s="6"/>
      <c r="OVT36" s="6"/>
      <c r="OVU36" s="6"/>
      <c r="OVV36" s="6"/>
      <c r="OVW36" s="6"/>
      <c r="OVX36" s="6"/>
      <c r="OVY36" s="6"/>
      <c r="OVZ36" s="6"/>
      <c r="OWA36" s="6"/>
      <c r="OWB36" s="6"/>
      <c r="OWC36" s="6"/>
      <c r="OWD36" s="6"/>
      <c r="OWE36" s="6"/>
      <c r="OWF36" s="6"/>
      <c r="OWG36" s="6"/>
      <c r="OWH36" s="6"/>
      <c r="OWI36" s="6"/>
      <c r="OWJ36" s="6"/>
      <c r="OWK36" s="6"/>
      <c r="OWL36" s="6"/>
      <c r="OWM36" s="6"/>
      <c r="OWN36" s="6"/>
      <c r="OWO36" s="6"/>
      <c r="OWP36" s="6"/>
      <c r="OWQ36" s="6"/>
      <c r="OWR36" s="6"/>
      <c r="OWS36" s="6"/>
      <c r="OWT36" s="6"/>
      <c r="OWU36" s="6"/>
      <c r="OWV36" s="6"/>
      <c r="OWW36" s="6"/>
      <c r="OWX36" s="6"/>
      <c r="OWY36" s="6"/>
      <c r="OWZ36" s="6"/>
      <c r="OXA36" s="6"/>
      <c r="OXB36" s="6"/>
      <c r="OXC36" s="6"/>
      <c r="OXD36" s="6"/>
      <c r="OXE36" s="6"/>
      <c r="OXF36" s="6"/>
      <c r="OXG36" s="6"/>
      <c r="OXH36" s="6"/>
      <c r="OXI36" s="6"/>
      <c r="OXJ36" s="6"/>
      <c r="OXK36" s="6"/>
      <c r="OXL36" s="6"/>
      <c r="OXM36" s="6"/>
      <c r="OXN36" s="6"/>
      <c r="OXO36" s="6"/>
      <c r="OXP36" s="6"/>
      <c r="OXQ36" s="6"/>
      <c r="OXR36" s="6"/>
      <c r="OXS36" s="6"/>
      <c r="OXT36" s="6"/>
      <c r="OXU36" s="6"/>
      <c r="OXV36" s="6"/>
      <c r="OXW36" s="6"/>
      <c r="OXX36" s="6"/>
      <c r="OXY36" s="6"/>
      <c r="OXZ36" s="6"/>
      <c r="OYA36" s="6"/>
      <c r="OYB36" s="6"/>
      <c r="OYC36" s="6"/>
      <c r="OYD36" s="6"/>
      <c r="OYE36" s="6"/>
      <c r="OYF36" s="6"/>
      <c r="OYG36" s="6"/>
      <c r="OYH36" s="6"/>
      <c r="OYI36" s="6"/>
      <c r="OYJ36" s="6"/>
      <c r="OYK36" s="6"/>
      <c r="OYL36" s="6"/>
      <c r="OYM36" s="6"/>
      <c r="OYN36" s="6"/>
      <c r="OYO36" s="6"/>
      <c r="OYP36" s="6"/>
      <c r="OYQ36" s="6"/>
      <c r="OYR36" s="6"/>
      <c r="OYS36" s="6"/>
      <c r="OYT36" s="6"/>
      <c r="OYU36" s="6"/>
      <c r="OYV36" s="6"/>
      <c r="OYW36" s="6"/>
      <c r="OYX36" s="6"/>
      <c r="OYY36" s="6"/>
      <c r="OYZ36" s="6"/>
      <c r="OZA36" s="6"/>
      <c r="OZB36" s="6"/>
      <c r="OZC36" s="6"/>
      <c r="OZD36" s="6"/>
      <c r="OZE36" s="6"/>
      <c r="OZF36" s="6"/>
      <c r="OZG36" s="6"/>
      <c r="OZH36" s="6"/>
      <c r="OZI36" s="6"/>
      <c r="OZJ36" s="6"/>
      <c r="OZK36" s="6"/>
      <c r="OZL36" s="6"/>
      <c r="OZM36" s="6"/>
      <c r="OZN36" s="6"/>
      <c r="OZO36" s="6"/>
      <c r="OZP36" s="6"/>
      <c r="OZQ36" s="6"/>
      <c r="OZR36" s="6"/>
      <c r="OZS36" s="6"/>
      <c r="OZT36" s="6"/>
      <c r="OZU36" s="6"/>
      <c r="OZV36" s="6"/>
      <c r="OZW36" s="6"/>
      <c r="OZX36" s="6"/>
      <c r="OZY36" s="6"/>
      <c r="OZZ36" s="6"/>
      <c r="PAA36" s="6"/>
      <c r="PAB36" s="6"/>
      <c r="PAC36" s="6"/>
      <c r="PAD36" s="6"/>
      <c r="PAE36" s="6"/>
      <c r="PAF36" s="6"/>
      <c r="PAG36" s="6"/>
      <c r="PAH36" s="6"/>
      <c r="PAI36" s="6"/>
      <c r="PAJ36" s="6"/>
      <c r="PAK36" s="6"/>
      <c r="PAL36" s="6"/>
      <c r="PAM36" s="6"/>
      <c r="PAN36" s="6"/>
      <c r="PAO36" s="6"/>
      <c r="PAP36" s="6"/>
      <c r="PAQ36" s="6"/>
      <c r="PAR36" s="6"/>
      <c r="PAS36" s="6"/>
      <c r="PAT36" s="6"/>
      <c r="PAU36" s="6"/>
      <c r="PAV36" s="6"/>
      <c r="PAW36" s="6"/>
      <c r="PAX36" s="6"/>
      <c r="PAY36" s="6"/>
      <c r="PAZ36" s="6"/>
      <c r="PBA36" s="6"/>
      <c r="PBB36" s="6"/>
      <c r="PBC36" s="6"/>
      <c r="PBD36" s="6"/>
      <c r="PBE36" s="6"/>
      <c r="PBF36" s="6"/>
      <c r="PBG36" s="6"/>
      <c r="PBH36" s="6"/>
      <c r="PBI36" s="6"/>
      <c r="PBJ36" s="6"/>
      <c r="PBK36" s="6"/>
      <c r="PBL36" s="6"/>
      <c r="PBM36" s="6"/>
      <c r="PBN36" s="6"/>
      <c r="PBO36" s="6"/>
      <c r="PBP36" s="6"/>
      <c r="PBQ36" s="6"/>
      <c r="PBR36" s="6"/>
      <c r="PBS36" s="6"/>
      <c r="PBT36" s="6"/>
      <c r="PBU36" s="6"/>
      <c r="PBV36" s="6"/>
      <c r="PBW36" s="6"/>
      <c r="PBX36" s="6"/>
      <c r="PBY36" s="6"/>
      <c r="PBZ36" s="6"/>
      <c r="PCA36" s="6"/>
      <c r="PCB36" s="6"/>
      <c r="PCC36" s="6"/>
      <c r="PCD36" s="6"/>
      <c r="PCE36" s="6"/>
      <c r="PCF36" s="6"/>
      <c r="PCG36" s="6"/>
      <c r="PCH36" s="6"/>
      <c r="PCI36" s="6"/>
      <c r="PCJ36" s="6"/>
      <c r="PCK36" s="6"/>
      <c r="PCL36" s="6"/>
      <c r="PCM36" s="6"/>
      <c r="PCN36" s="6"/>
      <c r="PCO36" s="6"/>
      <c r="PCP36" s="6"/>
      <c r="PCQ36" s="6"/>
      <c r="PCR36" s="6"/>
      <c r="PCS36" s="6"/>
      <c r="PCT36" s="6"/>
      <c r="PCU36" s="6"/>
      <c r="PCV36" s="6"/>
      <c r="PCW36" s="6"/>
      <c r="PCX36" s="6"/>
      <c r="PCY36" s="6"/>
      <c r="PCZ36" s="6"/>
      <c r="PDA36" s="6"/>
      <c r="PDB36" s="6"/>
      <c r="PDC36" s="6"/>
      <c r="PDD36" s="6"/>
      <c r="PDE36" s="6"/>
      <c r="PDF36" s="6"/>
      <c r="PDG36" s="6"/>
      <c r="PDH36" s="6"/>
      <c r="PDI36" s="6"/>
      <c r="PDJ36" s="6"/>
      <c r="PDK36" s="6"/>
      <c r="PDL36" s="6"/>
      <c r="PDM36" s="6"/>
      <c r="PDN36" s="6"/>
      <c r="PDO36" s="6"/>
      <c r="PDP36" s="6"/>
      <c r="PDQ36" s="6"/>
      <c r="PDR36" s="6"/>
      <c r="PDS36" s="6"/>
      <c r="PDT36" s="6"/>
      <c r="PDU36" s="6"/>
      <c r="PDV36" s="6"/>
      <c r="PDW36" s="6"/>
      <c r="PDX36" s="6"/>
      <c r="PDY36" s="6"/>
      <c r="PDZ36" s="6"/>
      <c r="PEA36" s="6"/>
      <c r="PEB36" s="6"/>
      <c r="PEC36" s="6"/>
      <c r="PED36" s="6"/>
      <c r="PEE36" s="6"/>
      <c r="PEF36" s="6"/>
      <c r="PEG36" s="6"/>
      <c r="PEH36" s="6"/>
      <c r="PEI36" s="6"/>
      <c r="PEJ36" s="6"/>
      <c r="PEK36" s="6"/>
      <c r="PEL36" s="6"/>
      <c r="PEM36" s="6"/>
      <c r="PEN36" s="6"/>
      <c r="PEO36" s="6"/>
      <c r="PEP36" s="6"/>
      <c r="PEQ36" s="6"/>
      <c r="PER36" s="6"/>
      <c r="PES36" s="6"/>
      <c r="PET36" s="6"/>
      <c r="PEU36" s="6"/>
      <c r="PEV36" s="6"/>
      <c r="PEW36" s="6"/>
      <c r="PEX36" s="6"/>
      <c r="PEY36" s="6"/>
      <c r="PEZ36" s="6"/>
      <c r="PFA36" s="6"/>
      <c r="PFB36" s="6"/>
      <c r="PFC36" s="6"/>
      <c r="PFD36" s="6"/>
      <c r="PFE36" s="6"/>
      <c r="PFF36" s="6"/>
      <c r="PFG36" s="6"/>
      <c r="PFH36" s="6"/>
      <c r="PFI36" s="6"/>
      <c r="PFJ36" s="6"/>
      <c r="PFK36" s="6"/>
      <c r="PFL36" s="6"/>
      <c r="PFM36" s="6"/>
      <c r="PFN36" s="6"/>
      <c r="PFO36" s="6"/>
      <c r="PFP36" s="6"/>
      <c r="PFQ36" s="6"/>
      <c r="PFR36" s="6"/>
      <c r="PFS36" s="6"/>
      <c r="PFT36" s="6"/>
      <c r="PFU36" s="6"/>
      <c r="PFV36" s="6"/>
      <c r="PFW36" s="6"/>
      <c r="PFX36" s="6"/>
      <c r="PFY36" s="6"/>
      <c r="PFZ36" s="6"/>
      <c r="PGA36" s="6"/>
      <c r="PGB36" s="6"/>
      <c r="PGC36" s="6"/>
      <c r="PGD36" s="6"/>
      <c r="PGE36" s="6"/>
      <c r="PGF36" s="6"/>
      <c r="PGG36" s="6"/>
      <c r="PGH36" s="6"/>
      <c r="PGI36" s="6"/>
      <c r="PGJ36" s="6"/>
      <c r="PGK36" s="6"/>
      <c r="PGL36" s="6"/>
      <c r="PGM36" s="6"/>
      <c r="PGN36" s="6"/>
      <c r="PGO36" s="6"/>
      <c r="PGP36" s="6"/>
      <c r="PGQ36" s="6"/>
      <c r="PGR36" s="6"/>
      <c r="PGS36" s="6"/>
      <c r="PGT36" s="6"/>
      <c r="PGU36" s="6"/>
      <c r="PGV36" s="6"/>
      <c r="PGW36" s="6"/>
      <c r="PGX36" s="6"/>
      <c r="PGY36" s="6"/>
      <c r="PGZ36" s="6"/>
      <c r="PHA36" s="6"/>
      <c r="PHB36" s="6"/>
      <c r="PHC36" s="6"/>
      <c r="PHD36" s="6"/>
      <c r="PHE36" s="6"/>
      <c r="PHF36" s="6"/>
      <c r="PHG36" s="6"/>
      <c r="PHH36" s="6"/>
      <c r="PHI36" s="6"/>
      <c r="PHJ36" s="6"/>
      <c r="PHK36" s="6"/>
      <c r="PHL36" s="6"/>
      <c r="PHM36" s="6"/>
      <c r="PHN36" s="6"/>
      <c r="PHO36" s="6"/>
      <c r="PHP36" s="6"/>
      <c r="PHQ36" s="6"/>
      <c r="PHR36" s="6"/>
      <c r="PHS36" s="6"/>
      <c r="PHT36" s="6"/>
      <c r="PHU36" s="6"/>
      <c r="PHV36" s="6"/>
      <c r="PHW36" s="6"/>
      <c r="PHX36" s="6"/>
      <c r="PHY36" s="6"/>
      <c r="PHZ36" s="6"/>
      <c r="PIA36" s="6"/>
      <c r="PIB36" s="6"/>
      <c r="PIC36" s="6"/>
      <c r="PID36" s="6"/>
      <c r="PIE36" s="6"/>
      <c r="PIF36" s="6"/>
      <c r="PIG36" s="6"/>
      <c r="PIH36" s="6"/>
      <c r="PII36" s="6"/>
      <c r="PIJ36" s="6"/>
      <c r="PIK36" s="6"/>
      <c r="PIL36" s="6"/>
      <c r="PIM36" s="6"/>
      <c r="PIN36" s="6"/>
      <c r="PIO36" s="6"/>
      <c r="PIP36" s="6"/>
      <c r="PIQ36" s="6"/>
      <c r="PIR36" s="6"/>
      <c r="PIS36" s="6"/>
      <c r="PIT36" s="6"/>
      <c r="PIU36" s="6"/>
      <c r="PIV36" s="6"/>
      <c r="PIW36" s="6"/>
      <c r="PIX36" s="6"/>
      <c r="PIY36" s="6"/>
      <c r="PIZ36" s="6"/>
      <c r="PJA36" s="6"/>
      <c r="PJB36" s="6"/>
      <c r="PJC36" s="6"/>
      <c r="PJD36" s="6"/>
      <c r="PJE36" s="6"/>
      <c r="PJF36" s="6"/>
      <c r="PJG36" s="6"/>
      <c r="PJH36" s="6"/>
      <c r="PJI36" s="6"/>
      <c r="PJJ36" s="6"/>
      <c r="PJK36" s="6"/>
      <c r="PJL36" s="6"/>
      <c r="PJM36" s="6"/>
      <c r="PJN36" s="6"/>
      <c r="PJO36" s="6"/>
      <c r="PJP36" s="6"/>
      <c r="PJQ36" s="6"/>
      <c r="PJR36" s="6"/>
      <c r="PJS36" s="6"/>
      <c r="PJT36" s="6"/>
      <c r="PJU36" s="6"/>
      <c r="PJV36" s="6"/>
      <c r="PJW36" s="6"/>
      <c r="PJX36" s="6"/>
      <c r="PJY36" s="6"/>
      <c r="PJZ36" s="6"/>
      <c r="PKA36" s="6"/>
      <c r="PKB36" s="6"/>
      <c r="PKC36" s="6"/>
      <c r="PKD36" s="6"/>
      <c r="PKE36" s="6"/>
      <c r="PKF36" s="6"/>
      <c r="PKG36" s="6"/>
      <c r="PKH36" s="6"/>
      <c r="PKI36" s="6"/>
      <c r="PKJ36" s="6"/>
      <c r="PKK36" s="6"/>
      <c r="PKL36" s="6"/>
      <c r="PKM36" s="6"/>
      <c r="PKN36" s="6"/>
      <c r="PKO36" s="6"/>
      <c r="PKP36" s="6"/>
      <c r="PKQ36" s="6"/>
      <c r="PKR36" s="6"/>
      <c r="PKS36" s="6"/>
      <c r="PKT36" s="6"/>
      <c r="PKU36" s="6"/>
      <c r="PKV36" s="6"/>
      <c r="PKW36" s="6"/>
      <c r="PKX36" s="6"/>
      <c r="PKY36" s="6"/>
      <c r="PKZ36" s="6"/>
      <c r="PLA36" s="6"/>
      <c r="PLB36" s="6"/>
      <c r="PLC36" s="6"/>
      <c r="PLD36" s="6"/>
      <c r="PLE36" s="6"/>
      <c r="PLF36" s="6"/>
      <c r="PLG36" s="6"/>
      <c r="PLH36" s="6"/>
      <c r="PLI36" s="6"/>
      <c r="PLJ36" s="6"/>
      <c r="PLK36" s="6"/>
      <c r="PLL36" s="6"/>
      <c r="PLM36" s="6"/>
      <c r="PLN36" s="6"/>
      <c r="PLO36" s="6"/>
      <c r="PLP36" s="6"/>
      <c r="PLQ36" s="6"/>
      <c r="PLR36" s="6"/>
      <c r="PLS36" s="6"/>
      <c r="PLT36" s="6"/>
      <c r="PLU36" s="6"/>
      <c r="PLV36" s="6"/>
      <c r="PLW36" s="6"/>
      <c r="PLX36" s="6"/>
      <c r="PLY36" s="6"/>
      <c r="PLZ36" s="6"/>
      <c r="PMA36" s="6"/>
      <c r="PMB36" s="6"/>
      <c r="PMC36" s="6"/>
      <c r="PMD36" s="6"/>
      <c r="PME36" s="6"/>
      <c r="PMF36" s="6"/>
      <c r="PMG36" s="6"/>
      <c r="PMH36" s="6"/>
      <c r="PMI36" s="6"/>
      <c r="PMJ36" s="6"/>
      <c r="PMK36" s="6"/>
      <c r="PML36" s="6"/>
      <c r="PMM36" s="6"/>
      <c r="PMN36" s="6"/>
      <c r="PMO36" s="6"/>
      <c r="PMP36" s="6"/>
      <c r="PMQ36" s="6"/>
      <c r="PMR36" s="6"/>
      <c r="PMS36" s="6"/>
      <c r="PMT36" s="6"/>
      <c r="PMU36" s="6"/>
      <c r="PMV36" s="6"/>
      <c r="PMW36" s="6"/>
      <c r="PMX36" s="6"/>
      <c r="PMY36" s="6"/>
      <c r="PMZ36" s="6"/>
      <c r="PNA36" s="6"/>
      <c r="PNB36" s="6"/>
      <c r="PNC36" s="6"/>
      <c r="PND36" s="6"/>
      <c r="PNE36" s="6"/>
      <c r="PNF36" s="6"/>
      <c r="PNG36" s="6"/>
      <c r="PNH36" s="6"/>
      <c r="PNI36" s="6"/>
      <c r="PNJ36" s="6"/>
      <c r="PNK36" s="6"/>
      <c r="PNL36" s="6"/>
      <c r="PNM36" s="6"/>
      <c r="PNN36" s="6"/>
      <c r="PNO36" s="6"/>
      <c r="PNP36" s="6"/>
      <c r="PNQ36" s="6"/>
      <c r="PNR36" s="6"/>
      <c r="PNS36" s="6"/>
      <c r="PNT36" s="6"/>
      <c r="PNU36" s="6"/>
      <c r="PNV36" s="6"/>
      <c r="PNW36" s="6"/>
      <c r="PNX36" s="6"/>
      <c r="PNY36" s="6"/>
      <c r="PNZ36" s="6"/>
      <c r="POA36" s="6"/>
      <c r="POB36" s="6"/>
      <c r="POC36" s="6"/>
      <c r="POD36" s="6"/>
      <c r="POE36" s="6"/>
      <c r="POF36" s="6"/>
      <c r="POG36" s="6"/>
      <c r="POH36" s="6"/>
      <c r="POI36" s="6"/>
      <c r="POJ36" s="6"/>
      <c r="POK36" s="6"/>
      <c r="POL36" s="6"/>
      <c r="POM36" s="6"/>
      <c r="PON36" s="6"/>
      <c r="POO36" s="6"/>
      <c r="POP36" s="6"/>
      <c r="POQ36" s="6"/>
      <c r="POR36" s="6"/>
      <c r="POS36" s="6"/>
      <c r="POT36" s="6"/>
      <c r="POU36" s="6"/>
      <c r="POV36" s="6"/>
      <c r="POW36" s="6"/>
      <c r="POX36" s="6"/>
      <c r="POY36" s="6"/>
      <c r="POZ36" s="6"/>
      <c r="PPA36" s="6"/>
      <c r="PPB36" s="6"/>
      <c r="PPC36" s="6"/>
      <c r="PPD36" s="6"/>
      <c r="PPE36" s="6"/>
      <c r="PPF36" s="6"/>
      <c r="PPG36" s="6"/>
      <c r="PPH36" s="6"/>
      <c r="PPI36" s="6"/>
      <c r="PPJ36" s="6"/>
      <c r="PPK36" s="6"/>
      <c r="PPL36" s="6"/>
      <c r="PPM36" s="6"/>
      <c r="PPN36" s="6"/>
      <c r="PPO36" s="6"/>
      <c r="PPP36" s="6"/>
      <c r="PPQ36" s="6"/>
      <c r="PPR36" s="6"/>
      <c r="PPS36" s="6"/>
      <c r="PPT36" s="6"/>
      <c r="PPU36" s="6"/>
      <c r="PPV36" s="6"/>
      <c r="PPW36" s="6"/>
      <c r="PPX36" s="6"/>
      <c r="PPY36" s="6"/>
      <c r="PPZ36" s="6"/>
      <c r="PQA36" s="6"/>
      <c r="PQB36" s="6"/>
      <c r="PQC36" s="6"/>
      <c r="PQD36" s="6"/>
      <c r="PQE36" s="6"/>
      <c r="PQF36" s="6"/>
      <c r="PQG36" s="6"/>
      <c r="PQH36" s="6"/>
      <c r="PQI36" s="6"/>
      <c r="PQJ36" s="6"/>
      <c r="PQK36" s="6"/>
      <c r="PQL36" s="6"/>
      <c r="PQM36" s="6"/>
      <c r="PQN36" s="6"/>
      <c r="PQO36" s="6"/>
      <c r="PQP36" s="6"/>
      <c r="PQQ36" s="6"/>
      <c r="PQR36" s="6"/>
      <c r="PQS36" s="6"/>
      <c r="PQT36" s="6"/>
      <c r="PQU36" s="6"/>
      <c r="PQV36" s="6"/>
      <c r="PQW36" s="6"/>
      <c r="PQX36" s="6"/>
      <c r="PQY36" s="6"/>
      <c r="PQZ36" s="6"/>
      <c r="PRA36" s="6"/>
      <c r="PRB36" s="6"/>
      <c r="PRC36" s="6"/>
      <c r="PRD36" s="6"/>
      <c r="PRE36" s="6"/>
      <c r="PRF36" s="6"/>
      <c r="PRG36" s="6"/>
      <c r="PRH36" s="6"/>
      <c r="PRI36" s="6"/>
      <c r="PRJ36" s="6"/>
      <c r="PRK36" s="6"/>
      <c r="PRL36" s="6"/>
      <c r="PRM36" s="6"/>
      <c r="PRN36" s="6"/>
      <c r="PRO36" s="6"/>
      <c r="PRP36" s="6"/>
      <c r="PRQ36" s="6"/>
      <c r="PRR36" s="6"/>
      <c r="PRS36" s="6"/>
      <c r="PRT36" s="6"/>
      <c r="PRU36" s="6"/>
      <c r="PRV36" s="6"/>
      <c r="PRW36" s="6"/>
      <c r="PRX36" s="6"/>
      <c r="PRY36" s="6"/>
      <c r="PRZ36" s="6"/>
      <c r="PSA36" s="6"/>
      <c r="PSB36" s="6"/>
      <c r="PSC36" s="6"/>
      <c r="PSD36" s="6"/>
      <c r="PSE36" s="6"/>
      <c r="PSF36" s="6"/>
      <c r="PSG36" s="6"/>
      <c r="PSH36" s="6"/>
      <c r="PSI36" s="6"/>
      <c r="PSJ36" s="6"/>
      <c r="PSK36" s="6"/>
      <c r="PSL36" s="6"/>
      <c r="PSM36" s="6"/>
      <c r="PSN36" s="6"/>
      <c r="PSO36" s="6"/>
      <c r="PSP36" s="6"/>
      <c r="PSQ36" s="6"/>
      <c r="PSR36" s="6"/>
      <c r="PSS36" s="6"/>
      <c r="PST36" s="6"/>
      <c r="PSU36" s="6"/>
      <c r="PSV36" s="6"/>
      <c r="PSW36" s="6"/>
      <c r="PSX36" s="6"/>
      <c r="PSY36" s="6"/>
      <c r="PSZ36" s="6"/>
      <c r="PTA36" s="6"/>
      <c r="PTB36" s="6"/>
      <c r="PTC36" s="6"/>
      <c r="PTD36" s="6"/>
      <c r="PTE36" s="6"/>
      <c r="PTF36" s="6"/>
      <c r="PTG36" s="6"/>
      <c r="PTH36" s="6"/>
      <c r="PTI36" s="6"/>
      <c r="PTJ36" s="6"/>
      <c r="PTK36" s="6"/>
      <c r="PTL36" s="6"/>
      <c r="PTM36" s="6"/>
      <c r="PTN36" s="6"/>
      <c r="PTO36" s="6"/>
      <c r="PTP36" s="6"/>
      <c r="PTQ36" s="6"/>
      <c r="PTR36" s="6"/>
      <c r="PTS36" s="6"/>
      <c r="PTT36" s="6"/>
      <c r="PTU36" s="6"/>
      <c r="PTV36" s="6"/>
      <c r="PTW36" s="6"/>
      <c r="PTX36" s="6"/>
      <c r="PTY36" s="6"/>
      <c r="PTZ36" s="6"/>
      <c r="PUA36" s="6"/>
      <c r="PUB36" s="6"/>
      <c r="PUC36" s="6"/>
      <c r="PUD36" s="6"/>
      <c r="PUE36" s="6"/>
      <c r="PUF36" s="6"/>
      <c r="PUG36" s="6"/>
      <c r="PUH36" s="6"/>
      <c r="PUI36" s="6"/>
      <c r="PUJ36" s="6"/>
      <c r="PUK36" s="6"/>
      <c r="PUL36" s="6"/>
      <c r="PUM36" s="6"/>
      <c r="PUN36" s="6"/>
      <c r="PUO36" s="6"/>
      <c r="PUP36" s="6"/>
      <c r="PUQ36" s="6"/>
      <c r="PUR36" s="6"/>
      <c r="PUS36" s="6"/>
      <c r="PUT36" s="6"/>
      <c r="PUU36" s="6"/>
      <c r="PUV36" s="6"/>
      <c r="PUW36" s="6"/>
      <c r="PUX36" s="6"/>
      <c r="PUY36" s="6"/>
      <c r="PUZ36" s="6"/>
      <c r="PVA36" s="6"/>
      <c r="PVB36" s="6"/>
      <c r="PVC36" s="6"/>
      <c r="PVD36" s="6"/>
      <c r="PVE36" s="6"/>
      <c r="PVF36" s="6"/>
      <c r="PVG36" s="6"/>
      <c r="PVH36" s="6"/>
      <c r="PVI36" s="6"/>
      <c r="PVJ36" s="6"/>
      <c r="PVK36" s="6"/>
      <c r="PVL36" s="6"/>
      <c r="PVM36" s="6"/>
      <c r="PVN36" s="6"/>
      <c r="PVO36" s="6"/>
      <c r="PVP36" s="6"/>
      <c r="PVQ36" s="6"/>
      <c r="PVR36" s="6"/>
      <c r="PVS36" s="6"/>
      <c r="PVT36" s="6"/>
      <c r="PVU36" s="6"/>
      <c r="PVV36" s="6"/>
      <c r="PVW36" s="6"/>
      <c r="PVX36" s="6"/>
      <c r="PVY36" s="6"/>
      <c r="PVZ36" s="6"/>
      <c r="PWA36" s="6"/>
      <c r="PWB36" s="6"/>
      <c r="PWC36" s="6"/>
      <c r="PWD36" s="6"/>
      <c r="PWE36" s="6"/>
      <c r="PWF36" s="6"/>
      <c r="PWG36" s="6"/>
      <c r="PWH36" s="6"/>
      <c r="PWI36" s="6"/>
      <c r="PWJ36" s="6"/>
      <c r="PWK36" s="6"/>
      <c r="PWL36" s="6"/>
      <c r="PWM36" s="6"/>
      <c r="PWN36" s="6"/>
      <c r="PWO36" s="6"/>
      <c r="PWP36" s="6"/>
      <c r="PWQ36" s="6"/>
      <c r="PWR36" s="6"/>
      <c r="PWS36" s="6"/>
      <c r="PWT36" s="6"/>
      <c r="PWU36" s="6"/>
      <c r="PWV36" s="6"/>
      <c r="PWW36" s="6"/>
      <c r="PWX36" s="6"/>
      <c r="PWY36" s="6"/>
      <c r="PWZ36" s="6"/>
      <c r="PXA36" s="6"/>
      <c r="PXB36" s="6"/>
      <c r="PXC36" s="6"/>
      <c r="PXD36" s="6"/>
      <c r="PXE36" s="6"/>
      <c r="PXF36" s="6"/>
      <c r="PXG36" s="6"/>
      <c r="PXH36" s="6"/>
      <c r="PXI36" s="6"/>
      <c r="PXJ36" s="6"/>
      <c r="PXK36" s="6"/>
      <c r="PXL36" s="6"/>
      <c r="PXM36" s="6"/>
      <c r="PXN36" s="6"/>
      <c r="PXO36" s="6"/>
      <c r="PXP36" s="6"/>
      <c r="PXQ36" s="6"/>
      <c r="PXR36" s="6"/>
      <c r="PXS36" s="6"/>
      <c r="PXT36" s="6"/>
      <c r="PXU36" s="6"/>
      <c r="PXV36" s="6"/>
      <c r="PXW36" s="6"/>
      <c r="PXX36" s="6"/>
      <c r="PXY36" s="6"/>
      <c r="PXZ36" s="6"/>
      <c r="PYA36" s="6"/>
      <c r="PYB36" s="6"/>
      <c r="PYC36" s="6"/>
      <c r="PYD36" s="6"/>
      <c r="PYE36" s="6"/>
      <c r="PYF36" s="6"/>
      <c r="PYG36" s="6"/>
      <c r="PYH36" s="6"/>
      <c r="PYI36" s="6"/>
      <c r="PYJ36" s="6"/>
      <c r="PYK36" s="6"/>
      <c r="PYL36" s="6"/>
      <c r="PYM36" s="6"/>
      <c r="PYN36" s="6"/>
      <c r="PYO36" s="6"/>
      <c r="PYP36" s="6"/>
      <c r="PYQ36" s="6"/>
      <c r="PYR36" s="6"/>
      <c r="PYS36" s="6"/>
      <c r="PYT36" s="6"/>
      <c r="PYU36" s="6"/>
      <c r="PYV36" s="6"/>
      <c r="PYW36" s="6"/>
      <c r="PYX36" s="6"/>
      <c r="PYY36" s="6"/>
      <c r="PYZ36" s="6"/>
      <c r="PZA36" s="6"/>
      <c r="PZB36" s="6"/>
      <c r="PZC36" s="6"/>
      <c r="PZD36" s="6"/>
      <c r="PZE36" s="6"/>
      <c r="PZF36" s="6"/>
      <c r="PZG36" s="6"/>
      <c r="PZH36" s="6"/>
      <c r="PZI36" s="6"/>
      <c r="PZJ36" s="6"/>
      <c r="PZK36" s="6"/>
      <c r="PZL36" s="6"/>
      <c r="PZM36" s="6"/>
      <c r="PZN36" s="6"/>
      <c r="PZO36" s="6"/>
      <c r="PZP36" s="6"/>
      <c r="PZQ36" s="6"/>
      <c r="PZR36" s="6"/>
      <c r="PZS36" s="6"/>
      <c r="PZT36" s="6"/>
      <c r="PZU36" s="6"/>
      <c r="PZV36" s="6"/>
      <c r="PZW36" s="6"/>
      <c r="PZX36" s="6"/>
      <c r="PZY36" s="6"/>
      <c r="PZZ36" s="6"/>
      <c r="QAA36" s="6"/>
      <c r="QAB36" s="6"/>
      <c r="QAC36" s="6"/>
      <c r="QAD36" s="6"/>
      <c r="QAE36" s="6"/>
      <c r="QAF36" s="6"/>
      <c r="QAG36" s="6"/>
      <c r="QAH36" s="6"/>
      <c r="QAI36" s="6"/>
      <c r="QAJ36" s="6"/>
      <c r="QAK36" s="6"/>
      <c r="QAL36" s="6"/>
      <c r="QAM36" s="6"/>
      <c r="QAN36" s="6"/>
      <c r="QAO36" s="6"/>
      <c r="QAP36" s="6"/>
      <c r="QAQ36" s="6"/>
      <c r="QAR36" s="6"/>
      <c r="QAS36" s="6"/>
      <c r="QAT36" s="6"/>
      <c r="QAU36" s="6"/>
      <c r="QAV36" s="6"/>
      <c r="QAW36" s="6"/>
      <c r="QAX36" s="6"/>
      <c r="QAY36" s="6"/>
      <c r="QAZ36" s="6"/>
      <c r="QBA36" s="6"/>
      <c r="QBB36" s="6"/>
      <c r="QBC36" s="6"/>
      <c r="QBD36" s="6"/>
      <c r="QBE36" s="6"/>
      <c r="QBF36" s="6"/>
      <c r="QBG36" s="6"/>
      <c r="QBH36" s="6"/>
      <c r="QBI36" s="6"/>
      <c r="QBJ36" s="6"/>
      <c r="QBK36" s="6"/>
      <c r="QBL36" s="6"/>
      <c r="QBM36" s="6"/>
      <c r="QBN36" s="6"/>
      <c r="QBO36" s="6"/>
      <c r="QBP36" s="6"/>
      <c r="QBQ36" s="6"/>
      <c r="QBR36" s="6"/>
      <c r="QBS36" s="6"/>
      <c r="QBT36" s="6"/>
      <c r="QBU36" s="6"/>
      <c r="QBV36" s="6"/>
      <c r="QBW36" s="6"/>
      <c r="QBX36" s="6"/>
      <c r="QBY36" s="6"/>
      <c r="QBZ36" s="6"/>
      <c r="QCA36" s="6"/>
      <c r="QCB36" s="6"/>
      <c r="QCC36" s="6"/>
      <c r="QCD36" s="6"/>
      <c r="QCE36" s="6"/>
      <c r="QCF36" s="6"/>
      <c r="QCG36" s="6"/>
      <c r="QCH36" s="6"/>
      <c r="QCI36" s="6"/>
      <c r="QCJ36" s="6"/>
      <c r="QCK36" s="6"/>
      <c r="QCL36" s="6"/>
      <c r="QCM36" s="6"/>
      <c r="QCN36" s="6"/>
      <c r="QCO36" s="6"/>
      <c r="QCP36" s="6"/>
      <c r="QCQ36" s="6"/>
      <c r="QCR36" s="6"/>
      <c r="QCS36" s="6"/>
      <c r="QCT36" s="6"/>
      <c r="QCU36" s="6"/>
      <c r="QCV36" s="6"/>
      <c r="QCW36" s="6"/>
      <c r="QCX36" s="6"/>
      <c r="QCY36" s="6"/>
      <c r="QCZ36" s="6"/>
      <c r="QDA36" s="6"/>
      <c r="QDB36" s="6"/>
      <c r="QDC36" s="6"/>
      <c r="QDD36" s="6"/>
      <c r="QDE36" s="6"/>
      <c r="QDF36" s="6"/>
      <c r="QDG36" s="6"/>
      <c r="QDH36" s="6"/>
      <c r="QDI36" s="6"/>
      <c r="QDJ36" s="6"/>
      <c r="QDK36" s="6"/>
      <c r="QDL36" s="6"/>
      <c r="QDM36" s="6"/>
      <c r="QDN36" s="6"/>
      <c r="QDO36" s="6"/>
      <c r="QDP36" s="6"/>
      <c r="QDQ36" s="6"/>
      <c r="QDR36" s="6"/>
      <c r="QDS36" s="6"/>
      <c r="QDT36" s="6"/>
      <c r="QDU36" s="6"/>
      <c r="QDV36" s="6"/>
      <c r="QDW36" s="6"/>
      <c r="QDX36" s="6"/>
      <c r="QDY36" s="6"/>
      <c r="QDZ36" s="6"/>
      <c r="QEA36" s="6"/>
      <c r="QEB36" s="6"/>
      <c r="QEC36" s="6"/>
      <c r="QED36" s="6"/>
      <c r="QEE36" s="6"/>
      <c r="QEF36" s="6"/>
      <c r="QEG36" s="6"/>
      <c r="QEH36" s="6"/>
      <c r="QEI36" s="6"/>
      <c r="QEJ36" s="6"/>
      <c r="QEK36" s="6"/>
      <c r="QEL36" s="6"/>
      <c r="QEM36" s="6"/>
      <c r="QEN36" s="6"/>
      <c r="QEO36" s="6"/>
      <c r="QEP36" s="6"/>
      <c r="QEQ36" s="6"/>
      <c r="QER36" s="6"/>
      <c r="QES36" s="6"/>
      <c r="QET36" s="6"/>
      <c r="QEU36" s="6"/>
      <c r="QEV36" s="6"/>
      <c r="QEW36" s="6"/>
      <c r="QEX36" s="6"/>
      <c r="QEY36" s="6"/>
      <c r="QEZ36" s="6"/>
      <c r="QFA36" s="6"/>
      <c r="QFB36" s="6"/>
      <c r="QFC36" s="6"/>
      <c r="QFD36" s="6"/>
      <c r="QFE36" s="6"/>
      <c r="QFF36" s="6"/>
      <c r="QFG36" s="6"/>
      <c r="QFH36" s="6"/>
      <c r="QFI36" s="6"/>
      <c r="QFJ36" s="6"/>
      <c r="QFK36" s="6"/>
      <c r="QFL36" s="6"/>
      <c r="QFM36" s="6"/>
      <c r="QFN36" s="6"/>
      <c r="QFO36" s="6"/>
      <c r="QFP36" s="6"/>
      <c r="QFQ36" s="6"/>
      <c r="QFR36" s="6"/>
      <c r="QFS36" s="6"/>
      <c r="QFT36" s="6"/>
      <c r="QFU36" s="6"/>
      <c r="QFV36" s="6"/>
      <c r="QFW36" s="6"/>
      <c r="QFX36" s="6"/>
      <c r="QFY36" s="6"/>
      <c r="QFZ36" s="6"/>
      <c r="QGA36" s="6"/>
      <c r="QGB36" s="6"/>
      <c r="QGC36" s="6"/>
      <c r="QGD36" s="6"/>
      <c r="QGE36" s="6"/>
      <c r="QGF36" s="6"/>
      <c r="QGG36" s="6"/>
      <c r="QGH36" s="6"/>
      <c r="QGI36" s="6"/>
      <c r="QGJ36" s="6"/>
      <c r="QGK36" s="6"/>
      <c r="QGL36" s="6"/>
      <c r="QGM36" s="6"/>
      <c r="QGN36" s="6"/>
      <c r="QGO36" s="6"/>
      <c r="QGP36" s="6"/>
      <c r="QGQ36" s="6"/>
      <c r="QGR36" s="6"/>
      <c r="QGS36" s="6"/>
      <c r="QGT36" s="6"/>
      <c r="QGU36" s="6"/>
      <c r="QGV36" s="6"/>
      <c r="QGW36" s="6"/>
      <c r="QGX36" s="6"/>
      <c r="QGY36" s="6"/>
      <c r="QGZ36" s="6"/>
      <c r="QHA36" s="6"/>
      <c r="QHB36" s="6"/>
      <c r="QHC36" s="6"/>
      <c r="QHD36" s="6"/>
      <c r="QHE36" s="6"/>
      <c r="QHF36" s="6"/>
      <c r="QHG36" s="6"/>
      <c r="QHH36" s="6"/>
      <c r="QHI36" s="6"/>
      <c r="QHJ36" s="6"/>
      <c r="QHK36" s="6"/>
      <c r="QHL36" s="6"/>
      <c r="QHM36" s="6"/>
      <c r="QHN36" s="6"/>
      <c r="QHO36" s="6"/>
      <c r="QHP36" s="6"/>
      <c r="QHQ36" s="6"/>
      <c r="QHR36" s="6"/>
      <c r="QHS36" s="6"/>
      <c r="QHT36" s="6"/>
      <c r="QHU36" s="6"/>
      <c r="QHV36" s="6"/>
      <c r="QHW36" s="6"/>
      <c r="QHX36" s="6"/>
      <c r="QHY36" s="6"/>
      <c r="QHZ36" s="6"/>
      <c r="QIA36" s="6"/>
      <c r="QIB36" s="6"/>
      <c r="QIC36" s="6"/>
      <c r="QID36" s="6"/>
      <c r="QIE36" s="6"/>
      <c r="QIF36" s="6"/>
      <c r="QIG36" s="6"/>
      <c r="QIH36" s="6"/>
      <c r="QII36" s="6"/>
      <c r="QIJ36" s="6"/>
      <c r="QIK36" s="6"/>
      <c r="QIL36" s="6"/>
      <c r="QIM36" s="6"/>
      <c r="QIN36" s="6"/>
      <c r="QIO36" s="6"/>
      <c r="QIP36" s="6"/>
      <c r="QIQ36" s="6"/>
      <c r="QIR36" s="6"/>
      <c r="QIS36" s="6"/>
      <c r="QIT36" s="6"/>
      <c r="QIU36" s="6"/>
      <c r="QIV36" s="6"/>
      <c r="QIW36" s="6"/>
      <c r="QIX36" s="6"/>
      <c r="QIY36" s="6"/>
      <c r="QIZ36" s="6"/>
      <c r="QJA36" s="6"/>
      <c r="QJB36" s="6"/>
      <c r="QJC36" s="6"/>
      <c r="QJD36" s="6"/>
      <c r="QJE36" s="6"/>
      <c r="QJF36" s="6"/>
      <c r="QJG36" s="6"/>
      <c r="QJH36" s="6"/>
      <c r="QJI36" s="6"/>
      <c r="QJJ36" s="6"/>
      <c r="QJK36" s="6"/>
      <c r="QJL36" s="6"/>
      <c r="QJM36" s="6"/>
      <c r="QJN36" s="6"/>
      <c r="QJO36" s="6"/>
      <c r="QJP36" s="6"/>
      <c r="QJQ36" s="6"/>
      <c r="QJR36" s="6"/>
      <c r="QJS36" s="6"/>
      <c r="QJT36" s="6"/>
      <c r="QJU36" s="6"/>
      <c r="QJV36" s="6"/>
      <c r="QJW36" s="6"/>
      <c r="QJX36" s="6"/>
      <c r="QJY36" s="6"/>
      <c r="QJZ36" s="6"/>
      <c r="QKA36" s="6"/>
      <c r="QKB36" s="6"/>
      <c r="QKC36" s="6"/>
      <c r="QKD36" s="6"/>
      <c r="QKE36" s="6"/>
      <c r="QKF36" s="6"/>
      <c r="QKG36" s="6"/>
      <c r="QKH36" s="6"/>
      <c r="QKI36" s="6"/>
      <c r="QKJ36" s="6"/>
      <c r="QKK36" s="6"/>
      <c r="QKL36" s="6"/>
      <c r="QKM36" s="6"/>
      <c r="QKN36" s="6"/>
      <c r="QKO36" s="6"/>
      <c r="QKP36" s="6"/>
      <c r="QKQ36" s="6"/>
      <c r="QKR36" s="6"/>
      <c r="QKS36" s="6"/>
      <c r="QKT36" s="6"/>
      <c r="QKU36" s="6"/>
      <c r="QKV36" s="6"/>
      <c r="QKW36" s="6"/>
      <c r="QKX36" s="6"/>
      <c r="QKY36" s="6"/>
      <c r="QKZ36" s="6"/>
      <c r="QLA36" s="6"/>
      <c r="QLB36" s="6"/>
      <c r="QLC36" s="6"/>
      <c r="QLD36" s="6"/>
      <c r="QLE36" s="6"/>
      <c r="QLF36" s="6"/>
      <c r="QLG36" s="6"/>
      <c r="QLH36" s="6"/>
      <c r="QLI36" s="6"/>
      <c r="QLJ36" s="6"/>
      <c r="QLK36" s="6"/>
      <c r="QLL36" s="6"/>
      <c r="QLM36" s="6"/>
      <c r="QLN36" s="6"/>
      <c r="QLO36" s="6"/>
      <c r="QLP36" s="6"/>
      <c r="QLQ36" s="6"/>
      <c r="QLR36" s="6"/>
      <c r="QLS36" s="6"/>
      <c r="QLT36" s="6"/>
      <c r="QLU36" s="6"/>
      <c r="QLV36" s="6"/>
      <c r="QLW36" s="6"/>
      <c r="QLX36" s="6"/>
      <c r="QLY36" s="6"/>
      <c r="QLZ36" s="6"/>
      <c r="QMA36" s="6"/>
      <c r="QMB36" s="6"/>
      <c r="QMC36" s="6"/>
      <c r="QMD36" s="6"/>
      <c r="QME36" s="6"/>
      <c r="QMF36" s="6"/>
      <c r="QMG36" s="6"/>
      <c r="QMH36" s="6"/>
      <c r="QMI36" s="6"/>
      <c r="QMJ36" s="6"/>
      <c r="QMK36" s="6"/>
      <c r="QML36" s="6"/>
      <c r="QMM36" s="6"/>
      <c r="QMN36" s="6"/>
      <c r="QMO36" s="6"/>
      <c r="QMP36" s="6"/>
      <c r="QMQ36" s="6"/>
      <c r="QMR36" s="6"/>
      <c r="QMS36" s="6"/>
      <c r="QMT36" s="6"/>
      <c r="QMU36" s="6"/>
      <c r="QMV36" s="6"/>
      <c r="QMW36" s="6"/>
      <c r="QMX36" s="6"/>
      <c r="QMY36" s="6"/>
      <c r="QMZ36" s="6"/>
      <c r="QNA36" s="6"/>
      <c r="QNB36" s="6"/>
      <c r="QNC36" s="6"/>
      <c r="QND36" s="6"/>
      <c r="QNE36" s="6"/>
      <c r="QNF36" s="6"/>
      <c r="QNG36" s="6"/>
      <c r="QNH36" s="6"/>
      <c r="QNI36" s="6"/>
      <c r="QNJ36" s="6"/>
      <c r="QNK36" s="6"/>
      <c r="QNL36" s="6"/>
      <c r="QNM36" s="6"/>
      <c r="QNN36" s="6"/>
      <c r="QNO36" s="6"/>
      <c r="QNP36" s="6"/>
      <c r="QNQ36" s="6"/>
      <c r="QNR36" s="6"/>
      <c r="QNS36" s="6"/>
      <c r="QNT36" s="6"/>
      <c r="QNU36" s="6"/>
      <c r="QNV36" s="6"/>
      <c r="QNW36" s="6"/>
      <c r="QNX36" s="6"/>
      <c r="QNY36" s="6"/>
      <c r="QNZ36" s="6"/>
      <c r="QOA36" s="6"/>
      <c r="QOB36" s="6"/>
      <c r="QOC36" s="6"/>
      <c r="QOD36" s="6"/>
      <c r="QOE36" s="6"/>
      <c r="QOF36" s="6"/>
      <c r="QOG36" s="6"/>
      <c r="QOH36" s="6"/>
      <c r="QOI36" s="6"/>
      <c r="QOJ36" s="6"/>
      <c r="QOK36" s="6"/>
      <c r="QOL36" s="6"/>
      <c r="QOM36" s="6"/>
      <c r="QON36" s="6"/>
      <c r="QOO36" s="6"/>
      <c r="QOP36" s="6"/>
      <c r="QOQ36" s="6"/>
      <c r="QOR36" s="6"/>
      <c r="QOS36" s="6"/>
      <c r="QOT36" s="6"/>
      <c r="QOU36" s="6"/>
      <c r="QOV36" s="6"/>
      <c r="QOW36" s="6"/>
      <c r="QOX36" s="6"/>
      <c r="QOY36" s="6"/>
      <c r="QOZ36" s="6"/>
      <c r="QPA36" s="6"/>
      <c r="QPB36" s="6"/>
      <c r="QPC36" s="6"/>
      <c r="QPD36" s="6"/>
      <c r="QPE36" s="6"/>
      <c r="QPF36" s="6"/>
      <c r="QPG36" s="6"/>
      <c r="QPH36" s="6"/>
      <c r="QPI36" s="6"/>
      <c r="QPJ36" s="6"/>
      <c r="QPK36" s="6"/>
      <c r="QPL36" s="6"/>
      <c r="QPM36" s="6"/>
      <c r="QPN36" s="6"/>
      <c r="QPO36" s="6"/>
      <c r="QPP36" s="6"/>
      <c r="QPQ36" s="6"/>
      <c r="QPR36" s="6"/>
      <c r="QPS36" s="6"/>
      <c r="QPT36" s="6"/>
      <c r="QPU36" s="6"/>
      <c r="QPV36" s="6"/>
      <c r="QPW36" s="6"/>
      <c r="QPX36" s="6"/>
      <c r="QPY36" s="6"/>
      <c r="QPZ36" s="6"/>
      <c r="QQA36" s="6"/>
      <c r="QQB36" s="6"/>
      <c r="QQC36" s="6"/>
      <c r="QQD36" s="6"/>
      <c r="QQE36" s="6"/>
      <c r="QQF36" s="6"/>
      <c r="QQG36" s="6"/>
      <c r="QQH36" s="6"/>
      <c r="QQI36" s="6"/>
      <c r="QQJ36" s="6"/>
      <c r="QQK36" s="6"/>
      <c r="QQL36" s="6"/>
      <c r="QQM36" s="6"/>
      <c r="QQN36" s="6"/>
      <c r="QQO36" s="6"/>
      <c r="QQP36" s="6"/>
      <c r="QQQ36" s="6"/>
      <c r="QQR36" s="6"/>
      <c r="QQS36" s="6"/>
      <c r="QQT36" s="6"/>
      <c r="QQU36" s="6"/>
      <c r="QQV36" s="6"/>
      <c r="QQW36" s="6"/>
      <c r="QQX36" s="6"/>
      <c r="QQY36" s="6"/>
      <c r="QQZ36" s="6"/>
      <c r="QRA36" s="6"/>
      <c r="QRB36" s="6"/>
      <c r="QRC36" s="6"/>
      <c r="QRD36" s="6"/>
      <c r="QRE36" s="6"/>
      <c r="QRF36" s="6"/>
      <c r="QRG36" s="6"/>
      <c r="QRH36" s="6"/>
      <c r="QRI36" s="6"/>
      <c r="QRJ36" s="6"/>
      <c r="QRK36" s="6"/>
      <c r="QRL36" s="6"/>
      <c r="QRM36" s="6"/>
      <c r="QRN36" s="6"/>
      <c r="QRO36" s="6"/>
      <c r="QRP36" s="6"/>
      <c r="QRQ36" s="6"/>
      <c r="QRR36" s="6"/>
      <c r="QRS36" s="6"/>
      <c r="QRT36" s="6"/>
      <c r="QRU36" s="6"/>
      <c r="QRV36" s="6"/>
      <c r="QRW36" s="6"/>
      <c r="QRX36" s="6"/>
      <c r="QRY36" s="6"/>
      <c r="QRZ36" s="6"/>
      <c r="QSA36" s="6"/>
      <c r="QSB36" s="6"/>
      <c r="QSC36" s="6"/>
      <c r="QSD36" s="6"/>
      <c r="QSE36" s="6"/>
      <c r="QSF36" s="6"/>
      <c r="QSG36" s="6"/>
      <c r="QSH36" s="6"/>
      <c r="QSI36" s="6"/>
      <c r="QSJ36" s="6"/>
      <c r="QSK36" s="6"/>
      <c r="QSL36" s="6"/>
      <c r="QSM36" s="6"/>
      <c r="QSN36" s="6"/>
      <c r="QSO36" s="6"/>
      <c r="QSP36" s="6"/>
      <c r="QSQ36" s="6"/>
      <c r="QSR36" s="6"/>
      <c r="QSS36" s="6"/>
      <c r="QST36" s="6"/>
      <c r="QSU36" s="6"/>
      <c r="QSV36" s="6"/>
      <c r="QSW36" s="6"/>
      <c r="QSX36" s="6"/>
      <c r="QSY36" s="6"/>
      <c r="QSZ36" s="6"/>
      <c r="QTA36" s="6"/>
      <c r="QTB36" s="6"/>
      <c r="QTC36" s="6"/>
      <c r="QTD36" s="6"/>
      <c r="QTE36" s="6"/>
      <c r="QTF36" s="6"/>
      <c r="QTG36" s="6"/>
      <c r="QTH36" s="6"/>
      <c r="QTI36" s="6"/>
      <c r="QTJ36" s="6"/>
      <c r="QTK36" s="6"/>
      <c r="QTL36" s="6"/>
      <c r="QTM36" s="6"/>
      <c r="QTN36" s="6"/>
      <c r="QTO36" s="6"/>
      <c r="QTP36" s="6"/>
      <c r="QTQ36" s="6"/>
      <c r="QTR36" s="6"/>
      <c r="QTS36" s="6"/>
      <c r="QTT36" s="6"/>
      <c r="QTU36" s="6"/>
      <c r="QTV36" s="6"/>
      <c r="QTW36" s="6"/>
      <c r="QTX36" s="6"/>
      <c r="QTY36" s="6"/>
      <c r="QTZ36" s="6"/>
      <c r="QUA36" s="6"/>
      <c r="QUB36" s="6"/>
      <c r="QUC36" s="6"/>
      <c r="QUD36" s="6"/>
      <c r="QUE36" s="6"/>
      <c r="QUF36" s="6"/>
      <c r="QUG36" s="6"/>
      <c r="QUH36" s="6"/>
      <c r="QUI36" s="6"/>
      <c r="QUJ36" s="6"/>
      <c r="QUK36" s="6"/>
      <c r="QUL36" s="6"/>
      <c r="QUM36" s="6"/>
      <c r="QUN36" s="6"/>
      <c r="QUO36" s="6"/>
      <c r="QUP36" s="6"/>
      <c r="QUQ36" s="6"/>
      <c r="QUR36" s="6"/>
      <c r="QUS36" s="6"/>
      <c r="QUT36" s="6"/>
      <c r="QUU36" s="6"/>
      <c r="QUV36" s="6"/>
      <c r="QUW36" s="6"/>
      <c r="QUX36" s="6"/>
      <c r="QUY36" s="6"/>
      <c r="QUZ36" s="6"/>
      <c r="QVA36" s="6"/>
      <c r="QVB36" s="6"/>
      <c r="QVC36" s="6"/>
      <c r="QVD36" s="6"/>
      <c r="QVE36" s="6"/>
      <c r="QVF36" s="6"/>
      <c r="QVG36" s="6"/>
      <c r="QVH36" s="6"/>
      <c r="QVI36" s="6"/>
      <c r="QVJ36" s="6"/>
      <c r="QVK36" s="6"/>
      <c r="QVL36" s="6"/>
      <c r="QVM36" s="6"/>
      <c r="QVN36" s="6"/>
      <c r="QVO36" s="6"/>
      <c r="QVP36" s="6"/>
      <c r="QVQ36" s="6"/>
      <c r="QVR36" s="6"/>
      <c r="QVS36" s="6"/>
      <c r="QVT36" s="6"/>
      <c r="QVU36" s="6"/>
      <c r="QVV36" s="6"/>
      <c r="QVW36" s="6"/>
      <c r="QVX36" s="6"/>
      <c r="QVY36" s="6"/>
      <c r="QVZ36" s="6"/>
      <c r="QWA36" s="6"/>
      <c r="QWB36" s="6"/>
      <c r="QWC36" s="6"/>
      <c r="QWD36" s="6"/>
      <c r="QWE36" s="6"/>
      <c r="QWF36" s="6"/>
      <c r="QWG36" s="6"/>
      <c r="QWH36" s="6"/>
      <c r="QWI36" s="6"/>
      <c r="QWJ36" s="6"/>
      <c r="QWK36" s="6"/>
      <c r="QWL36" s="6"/>
      <c r="QWM36" s="6"/>
      <c r="QWN36" s="6"/>
      <c r="QWO36" s="6"/>
      <c r="QWP36" s="6"/>
      <c r="QWQ36" s="6"/>
      <c r="QWR36" s="6"/>
      <c r="QWS36" s="6"/>
      <c r="QWT36" s="6"/>
      <c r="QWU36" s="6"/>
      <c r="QWV36" s="6"/>
      <c r="QWW36" s="6"/>
      <c r="QWX36" s="6"/>
      <c r="QWY36" s="6"/>
      <c r="QWZ36" s="6"/>
      <c r="QXA36" s="6"/>
      <c r="QXB36" s="6"/>
      <c r="QXC36" s="6"/>
      <c r="QXD36" s="6"/>
      <c r="QXE36" s="6"/>
      <c r="QXF36" s="6"/>
      <c r="QXG36" s="6"/>
      <c r="QXH36" s="6"/>
      <c r="QXI36" s="6"/>
      <c r="QXJ36" s="6"/>
      <c r="QXK36" s="6"/>
      <c r="QXL36" s="6"/>
      <c r="QXM36" s="6"/>
      <c r="QXN36" s="6"/>
      <c r="QXO36" s="6"/>
      <c r="QXP36" s="6"/>
      <c r="QXQ36" s="6"/>
      <c r="QXR36" s="6"/>
      <c r="QXS36" s="6"/>
      <c r="QXT36" s="6"/>
      <c r="QXU36" s="6"/>
      <c r="QXV36" s="6"/>
      <c r="QXW36" s="6"/>
      <c r="QXX36" s="6"/>
      <c r="QXY36" s="6"/>
      <c r="QXZ36" s="6"/>
      <c r="QYA36" s="6"/>
      <c r="QYB36" s="6"/>
      <c r="QYC36" s="6"/>
      <c r="QYD36" s="6"/>
      <c r="QYE36" s="6"/>
      <c r="QYF36" s="6"/>
      <c r="QYG36" s="6"/>
      <c r="QYH36" s="6"/>
      <c r="QYI36" s="6"/>
      <c r="QYJ36" s="6"/>
      <c r="QYK36" s="6"/>
      <c r="QYL36" s="6"/>
      <c r="QYM36" s="6"/>
      <c r="QYN36" s="6"/>
      <c r="QYO36" s="6"/>
      <c r="QYP36" s="6"/>
      <c r="QYQ36" s="6"/>
      <c r="QYR36" s="6"/>
      <c r="QYS36" s="6"/>
      <c r="QYT36" s="6"/>
      <c r="QYU36" s="6"/>
      <c r="QYV36" s="6"/>
      <c r="QYW36" s="6"/>
      <c r="QYX36" s="6"/>
      <c r="QYY36" s="6"/>
      <c r="QYZ36" s="6"/>
      <c r="QZA36" s="6"/>
      <c r="QZB36" s="6"/>
      <c r="QZC36" s="6"/>
      <c r="QZD36" s="6"/>
      <c r="QZE36" s="6"/>
      <c r="QZF36" s="6"/>
      <c r="QZG36" s="6"/>
      <c r="QZH36" s="6"/>
      <c r="QZI36" s="6"/>
      <c r="QZJ36" s="6"/>
      <c r="QZK36" s="6"/>
      <c r="QZL36" s="6"/>
      <c r="QZM36" s="6"/>
      <c r="QZN36" s="6"/>
      <c r="QZO36" s="6"/>
      <c r="QZP36" s="6"/>
      <c r="QZQ36" s="6"/>
      <c r="QZR36" s="6"/>
      <c r="QZS36" s="6"/>
      <c r="QZT36" s="6"/>
      <c r="QZU36" s="6"/>
      <c r="QZV36" s="6"/>
      <c r="QZW36" s="6"/>
      <c r="QZX36" s="6"/>
      <c r="QZY36" s="6"/>
      <c r="QZZ36" s="6"/>
      <c r="RAA36" s="6"/>
      <c r="RAB36" s="6"/>
      <c r="RAC36" s="6"/>
      <c r="RAD36" s="6"/>
      <c r="RAE36" s="6"/>
      <c r="RAF36" s="6"/>
      <c r="RAG36" s="6"/>
      <c r="RAH36" s="6"/>
      <c r="RAI36" s="6"/>
      <c r="RAJ36" s="6"/>
      <c r="RAK36" s="6"/>
      <c r="RAL36" s="6"/>
      <c r="RAM36" s="6"/>
      <c r="RAN36" s="6"/>
      <c r="RAO36" s="6"/>
      <c r="RAP36" s="6"/>
      <c r="RAQ36" s="6"/>
      <c r="RAR36" s="6"/>
      <c r="RAS36" s="6"/>
      <c r="RAT36" s="6"/>
      <c r="RAU36" s="6"/>
      <c r="RAV36" s="6"/>
      <c r="RAW36" s="6"/>
      <c r="RAX36" s="6"/>
      <c r="RAY36" s="6"/>
      <c r="RAZ36" s="6"/>
      <c r="RBA36" s="6"/>
      <c r="RBB36" s="6"/>
      <c r="RBC36" s="6"/>
      <c r="RBD36" s="6"/>
      <c r="RBE36" s="6"/>
      <c r="RBF36" s="6"/>
      <c r="RBG36" s="6"/>
      <c r="RBH36" s="6"/>
      <c r="RBI36" s="6"/>
      <c r="RBJ36" s="6"/>
      <c r="RBK36" s="6"/>
      <c r="RBL36" s="6"/>
      <c r="RBM36" s="6"/>
      <c r="RBN36" s="6"/>
      <c r="RBO36" s="6"/>
      <c r="RBP36" s="6"/>
      <c r="RBQ36" s="6"/>
      <c r="RBR36" s="6"/>
      <c r="RBS36" s="6"/>
      <c r="RBT36" s="6"/>
      <c r="RBU36" s="6"/>
      <c r="RBV36" s="6"/>
      <c r="RBW36" s="6"/>
      <c r="RBX36" s="6"/>
      <c r="RBY36" s="6"/>
      <c r="RBZ36" s="6"/>
      <c r="RCA36" s="6"/>
      <c r="RCB36" s="6"/>
      <c r="RCC36" s="6"/>
      <c r="RCD36" s="6"/>
      <c r="RCE36" s="6"/>
      <c r="RCF36" s="6"/>
      <c r="RCG36" s="6"/>
      <c r="RCH36" s="6"/>
      <c r="RCI36" s="6"/>
      <c r="RCJ36" s="6"/>
      <c r="RCK36" s="6"/>
      <c r="RCL36" s="6"/>
      <c r="RCM36" s="6"/>
      <c r="RCN36" s="6"/>
      <c r="RCO36" s="6"/>
      <c r="RCP36" s="6"/>
      <c r="RCQ36" s="6"/>
      <c r="RCR36" s="6"/>
      <c r="RCS36" s="6"/>
      <c r="RCT36" s="6"/>
      <c r="RCU36" s="6"/>
      <c r="RCV36" s="6"/>
      <c r="RCW36" s="6"/>
      <c r="RCX36" s="6"/>
      <c r="RCY36" s="6"/>
      <c r="RCZ36" s="6"/>
      <c r="RDA36" s="6"/>
      <c r="RDB36" s="6"/>
      <c r="RDC36" s="6"/>
      <c r="RDD36" s="6"/>
      <c r="RDE36" s="6"/>
      <c r="RDF36" s="6"/>
      <c r="RDG36" s="6"/>
      <c r="RDH36" s="6"/>
      <c r="RDI36" s="6"/>
      <c r="RDJ36" s="6"/>
      <c r="RDK36" s="6"/>
      <c r="RDL36" s="6"/>
      <c r="RDM36" s="6"/>
      <c r="RDN36" s="6"/>
      <c r="RDO36" s="6"/>
      <c r="RDP36" s="6"/>
      <c r="RDQ36" s="6"/>
      <c r="RDR36" s="6"/>
      <c r="RDS36" s="6"/>
      <c r="RDT36" s="6"/>
      <c r="RDU36" s="6"/>
      <c r="RDV36" s="6"/>
      <c r="RDW36" s="6"/>
      <c r="RDX36" s="6"/>
      <c r="RDY36" s="6"/>
      <c r="RDZ36" s="6"/>
      <c r="REA36" s="6"/>
      <c r="REB36" s="6"/>
      <c r="REC36" s="6"/>
      <c r="RED36" s="6"/>
      <c r="REE36" s="6"/>
      <c r="REF36" s="6"/>
      <c r="REG36" s="6"/>
      <c r="REH36" s="6"/>
      <c r="REI36" s="6"/>
      <c r="REJ36" s="6"/>
      <c r="REK36" s="6"/>
      <c r="REL36" s="6"/>
      <c r="REM36" s="6"/>
      <c r="REN36" s="6"/>
      <c r="REO36" s="6"/>
      <c r="REP36" s="6"/>
      <c r="REQ36" s="6"/>
      <c r="RER36" s="6"/>
      <c r="RES36" s="6"/>
      <c r="RET36" s="6"/>
      <c r="REU36" s="6"/>
      <c r="REV36" s="6"/>
      <c r="REW36" s="6"/>
      <c r="REX36" s="6"/>
      <c r="REY36" s="6"/>
      <c r="REZ36" s="6"/>
      <c r="RFA36" s="6"/>
      <c r="RFB36" s="6"/>
      <c r="RFC36" s="6"/>
      <c r="RFD36" s="6"/>
      <c r="RFE36" s="6"/>
      <c r="RFF36" s="6"/>
      <c r="RFG36" s="6"/>
      <c r="RFH36" s="6"/>
      <c r="RFI36" s="6"/>
      <c r="RFJ36" s="6"/>
      <c r="RFK36" s="6"/>
      <c r="RFL36" s="6"/>
      <c r="RFM36" s="6"/>
      <c r="RFN36" s="6"/>
      <c r="RFO36" s="6"/>
      <c r="RFP36" s="6"/>
      <c r="RFQ36" s="6"/>
      <c r="RFR36" s="6"/>
      <c r="RFS36" s="6"/>
      <c r="RFT36" s="6"/>
      <c r="RFU36" s="6"/>
      <c r="RFV36" s="6"/>
      <c r="RFW36" s="6"/>
      <c r="RFX36" s="6"/>
      <c r="RFY36" s="6"/>
      <c r="RFZ36" s="6"/>
      <c r="RGA36" s="6"/>
      <c r="RGB36" s="6"/>
      <c r="RGC36" s="6"/>
      <c r="RGD36" s="6"/>
      <c r="RGE36" s="6"/>
      <c r="RGF36" s="6"/>
      <c r="RGG36" s="6"/>
      <c r="RGH36" s="6"/>
      <c r="RGI36" s="6"/>
      <c r="RGJ36" s="6"/>
      <c r="RGK36" s="6"/>
      <c r="RGL36" s="6"/>
      <c r="RGM36" s="6"/>
      <c r="RGN36" s="6"/>
      <c r="RGO36" s="6"/>
      <c r="RGP36" s="6"/>
      <c r="RGQ36" s="6"/>
      <c r="RGR36" s="6"/>
      <c r="RGS36" s="6"/>
      <c r="RGT36" s="6"/>
      <c r="RGU36" s="6"/>
      <c r="RGV36" s="6"/>
      <c r="RGW36" s="6"/>
      <c r="RGX36" s="6"/>
      <c r="RGY36" s="6"/>
      <c r="RGZ36" s="6"/>
      <c r="RHA36" s="6"/>
      <c r="RHB36" s="6"/>
      <c r="RHC36" s="6"/>
      <c r="RHD36" s="6"/>
      <c r="RHE36" s="6"/>
      <c r="RHF36" s="6"/>
      <c r="RHG36" s="6"/>
      <c r="RHH36" s="6"/>
      <c r="RHI36" s="6"/>
      <c r="RHJ36" s="6"/>
      <c r="RHK36" s="6"/>
      <c r="RHL36" s="6"/>
      <c r="RHM36" s="6"/>
      <c r="RHN36" s="6"/>
      <c r="RHO36" s="6"/>
      <c r="RHP36" s="6"/>
      <c r="RHQ36" s="6"/>
      <c r="RHR36" s="6"/>
      <c r="RHS36" s="6"/>
      <c r="RHT36" s="6"/>
      <c r="RHU36" s="6"/>
      <c r="RHV36" s="6"/>
      <c r="RHW36" s="6"/>
      <c r="RHX36" s="6"/>
      <c r="RHY36" s="6"/>
      <c r="RHZ36" s="6"/>
      <c r="RIA36" s="6"/>
      <c r="RIB36" s="6"/>
      <c r="RIC36" s="6"/>
      <c r="RID36" s="6"/>
      <c r="RIE36" s="6"/>
      <c r="RIF36" s="6"/>
      <c r="RIG36" s="6"/>
      <c r="RIH36" s="6"/>
      <c r="RII36" s="6"/>
      <c r="RIJ36" s="6"/>
      <c r="RIK36" s="6"/>
      <c r="RIL36" s="6"/>
      <c r="RIM36" s="6"/>
      <c r="RIN36" s="6"/>
      <c r="RIO36" s="6"/>
      <c r="RIP36" s="6"/>
      <c r="RIQ36" s="6"/>
      <c r="RIR36" s="6"/>
      <c r="RIS36" s="6"/>
      <c r="RIT36" s="6"/>
      <c r="RIU36" s="6"/>
      <c r="RIV36" s="6"/>
      <c r="RIW36" s="6"/>
      <c r="RIX36" s="6"/>
      <c r="RIY36" s="6"/>
      <c r="RIZ36" s="6"/>
      <c r="RJA36" s="6"/>
      <c r="RJB36" s="6"/>
      <c r="RJC36" s="6"/>
      <c r="RJD36" s="6"/>
      <c r="RJE36" s="6"/>
      <c r="RJF36" s="6"/>
      <c r="RJG36" s="6"/>
      <c r="RJH36" s="6"/>
      <c r="RJI36" s="6"/>
      <c r="RJJ36" s="6"/>
      <c r="RJK36" s="6"/>
      <c r="RJL36" s="6"/>
      <c r="RJM36" s="6"/>
      <c r="RJN36" s="6"/>
      <c r="RJO36" s="6"/>
      <c r="RJP36" s="6"/>
      <c r="RJQ36" s="6"/>
      <c r="RJR36" s="6"/>
      <c r="RJS36" s="6"/>
      <c r="RJT36" s="6"/>
      <c r="RJU36" s="6"/>
      <c r="RJV36" s="6"/>
      <c r="RJW36" s="6"/>
      <c r="RJX36" s="6"/>
      <c r="RJY36" s="6"/>
      <c r="RJZ36" s="6"/>
      <c r="RKA36" s="6"/>
      <c r="RKB36" s="6"/>
      <c r="RKC36" s="6"/>
      <c r="RKD36" s="6"/>
      <c r="RKE36" s="6"/>
      <c r="RKF36" s="6"/>
      <c r="RKG36" s="6"/>
      <c r="RKH36" s="6"/>
      <c r="RKI36" s="6"/>
      <c r="RKJ36" s="6"/>
      <c r="RKK36" s="6"/>
      <c r="RKL36" s="6"/>
      <c r="RKM36" s="6"/>
      <c r="RKN36" s="6"/>
      <c r="RKO36" s="6"/>
      <c r="RKP36" s="6"/>
      <c r="RKQ36" s="6"/>
      <c r="RKR36" s="6"/>
      <c r="RKS36" s="6"/>
      <c r="RKT36" s="6"/>
      <c r="RKU36" s="6"/>
      <c r="RKV36" s="6"/>
      <c r="RKW36" s="6"/>
      <c r="RKX36" s="6"/>
      <c r="RKY36" s="6"/>
      <c r="RKZ36" s="6"/>
      <c r="RLA36" s="6"/>
      <c r="RLB36" s="6"/>
      <c r="RLC36" s="6"/>
      <c r="RLD36" s="6"/>
      <c r="RLE36" s="6"/>
      <c r="RLF36" s="6"/>
      <c r="RLG36" s="6"/>
      <c r="RLH36" s="6"/>
      <c r="RLI36" s="6"/>
      <c r="RLJ36" s="6"/>
      <c r="RLK36" s="6"/>
      <c r="RLL36" s="6"/>
      <c r="RLM36" s="6"/>
      <c r="RLN36" s="6"/>
      <c r="RLO36" s="6"/>
      <c r="RLP36" s="6"/>
      <c r="RLQ36" s="6"/>
      <c r="RLR36" s="6"/>
      <c r="RLS36" s="6"/>
      <c r="RLT36" s="6"/>
      <c r="RLU36" s="6"/>
      <c r="RLV36" s="6"/>
      <c r="RLW36" s="6"/>
      <c r="RLX36" s="6"/>
      <c r="RLY36" s="6"/>
      <c r="RLZ36" s="6"/>
      <c r="RMA36" s="6"/>
      <c r="RMB36" s="6"/>
      <c r="RMC36" s="6"/>
      <c r="RMD36" s="6"/>
      <c r="RME36" s="6"/>
      <c r="RMF36" s="6"/>
      <c r="RMG36" s="6"/>
      <c r="RMH36" s="6"/>
      <c r="RMI36" s="6"/>
      <c r="RMJ36" s="6"/>
      <c r="RMK36" s="6"/>
      <c r="RML36" s="6"/>
      <c r="RMM36" s="6"/>
      <c r="RMN36" s="6"/>
      <c r="RMO36" s="6"/>
      <c r="RMP36" s="6"/>
      <c r="RMQ36" s="6"/>
      <c r="RMR36" s="6"/>
      <c r="RMS36" s="6"/>
      <c r="RMT36" s="6"/>
      <c r="RMU36" s="6"/>
      <c r="RMV36" s="6"/>
      <c r="RMW36" s="6"/>
      <c r="RMX36" s="6"/>
      <c r="RMY36" s="6"/>
      <c r="RMZ36" s="6"/>
      <c r="RNA36" s="6"/>
      <c r="RNB36" s="6"/>
      <c r="RNC36" s="6"/>
      <c r="RND36" s="6"/>
      <c r="RNE36" s="6"/>
      <c r="RNF36" s="6"/>
      <c r="RNG36" s="6"/>
      <c r="RNH36" s="6"/>
      <c r="RNI36" s="6"/>
      <c r="RNJ36" s="6"/>
      <c r="RNK36" s="6"/>
      <c r="RNL36" s="6"/>
      <c r="RNM36" s="6"/>
      <c r="RNN36" s="6"/>
      <c r="RNO36" s="6"/>
      <c r="RNP36" s="6"/>
      <c r="RNQ36" s="6"/>
      <c r="RNR36" s="6"/>
      <c r="RNS36" s="6"/>
      <c r="RNT36" s="6"/>
      <c r="RNU36" s="6"/>
      <c r="RNV36" s="6"/>
      <c r="RNW36" s="6"/>
      <c r="RNX36" s="6"/>
      <c r="RNY36" s="6"/>
      <c r="RNZ36" s="6"/>
      <c r="ROA36" s="6"/>
      <c r="ROB36" s="6"/>
      <c r="ROC36" s="6"/>
      <c r="ROD36" s="6"/>
      <c r="ROE36" s="6"/>
      <c r="ROF36" s="6"/>
      <c r="ROG36" s="6"/>
      <c r="ROH36" s="6"/>
      <c r="ROI36" s="6"/>
      <c r="ROJ36" s="6"/>
      <c r="ROK36" s="6"/>
      <c r="ROL36" s="6"/>
      <c r="ROM36" s="6"/>
      <c r="RON36" s="6"/>
      <c r="ROO36" s="6"/>
      <c r="ROP36" s="6"/>
      <c r="ROQ36" s="6"/>
      <c r="ROR36" s="6"/>
      <c r="ROS36" s="6"/>
      <c r="ROT36" s="6"/>
      <c r="ROU36" s="6"/>
      <c r="ROV36" s="6"/>
      <c r="ROW36" s="6"/>
      <c r="ROX36" s="6"/>
      <c r="ROY36" s="6"/>
      <c r="ROZ36" s="6"/>
      <c r="RPA36" s="6"/>
      <c r="RPB36" s="6"/>
      <c r="RPC36" s="6"/>
      <c r="RPD36" s="6"/>
      <c r="RPE36" s="6"/>
      <c r="RPF36" s="6"/>
      <c r="RPG36" s="6"/>
      <c r="RPH36" s="6"/>
      <c r="RPI36" s="6"/>
      <c r="RPJ36" s="6"/>
      <c r="RPK36" s="6"/>
      <c r="RPL36" s="6"/>
      <c r="RPM36" s="6"/>
      <c r="RPN36" s="6"/>
      <c r="RPO36" s="6"/>
      <c r="RPP36" s="6"/>
      <c r="RPQ36" s="6"/>
      <c r="RPR36" s="6"/>
      <c r="RPS36" s="6"/>
      <c r="RPT36" s="6"/>
      <c r="RPU36" s="6"/>
      <c r="RPV36" s="6"/>
      <c r="RPW36" s="6"/>
      <c r="RPX36" s="6"/>
      <c r="RPY36" s="6"/>
      <c r="RPZ36" s="6"/>
      <c r="RQA36" s="6"/>
      <c r="RQB36" s="6"/>
      <c r="RQC36" s="6"/>
      <c r="RQD36" s="6"/>
      <c r="RQE36" s="6"/>
      <c r="RQF36" s="6"/>
      <c r="RQG36" s="6"/>
      <c r="RQH36" s="6"/>
      <c r="RQI36" s="6"/>
      <c r="RQJ36" s="6"/>
      <c r="RQK36" s="6"/>
      <c r="RQL36" s="6"/>
      <c r="RQM36" s="6"/>
      <c r="RQN36" s="6"/>
      <c r="RQO36" s="6"/>
      <c r="RQP36" s="6"/>
      <c r="RQQ36" s="6"/>
      <c r="RQR36" s="6"/>
      <c r="RQS36" s="6"/>
      <c r="RQT36" s="6"/>
      <c r="RQU36" s="6"/>
      <c r="RQV36" s="6"/>
      <c r="RQW36" s="6"/>
      <c r="RQX36" s="6"/>
      <c r="RQY36" s="6"/>
      <c r="RQZ36" s="6"/>
      <c r="RRA36" s="6"/>
      <c r="RRB36" s="6"/>
      <c r="RRC36" s="6"/>
      <c r="RRD36" s="6"/>
      <c r="RRE36" s="6"/>
      <c r="RRF36" s="6"/>
      <c r="RRG36" s="6"/>
      <c r="RRH36" s="6"/>
      <c r="RRI36" s="6"/>
      <c r="RRJ36" s="6"/>
      <c r="RRK36" s="6"/>
      <c r="RRL36" s="6"/>
      <c r="RRM36" s="6"/>
      <c r="RRN36" s="6"/>
      <c r="RRO36" s="6"/>
      <c r="RRP36" s="6"/>
      <c r="RRQ36" s="6"/>
      <c r="RRR36" s="6"/>
      <c r="RRS36" s="6"/>
      <c r="RRT36" s="6"/>
      <c r="RRU36" s="6"/>
      <c r="RRV36" s="6"/>
      <c r="RRW36" s="6"/>
      <c r="RRX36" s="6"/>
      <c r="RRY36" s="6"/>
      <c r="RRZ36" s="6"/>
      <c r="RSA36" s="6"/>
      <c r="RSB36" s="6"/>
      <c r="RSC36" s="6"/>
      <c r="RSD36" s="6"/>
      <c r="RSE36" s="6"/>
      <c r="RSF36" s="6"/>
      <c r="RSG36" s="6"/>
      <c r="RSH36" s="6"/>
      <c r="RSI36" s="6"/>
      <c r="RSJ36" s="6"/>
      <c r="RSK36" s="6"/>
      <c r="RSL36" s="6"/>
      <c r="RSM36" s="6"/>
      <c r="RSN36" s="6"/>
      <c r="RSO36" s="6"/>
      <c r="RSP36" s="6"/>
      <c r="RSQ36" s="6"/>
      <c r="RSR36" s="6"/>
      <c r="RSS36" s="6"/>
      <c r="RST36" s="6"/>
      <c r="RSU36" s="6"/>
      <c r="RSV36" s="6"/>
      <c r="RSW36" s="6"/>
      <c r="RSX36" s="6"/>
      <c r="RSY36" s="6"/>
      <c r="RSZ36" s="6"/>
      <c r="RTA36" s="6"/>
      <c r="RTB36" s="6"/>
      <c r="RTC36" s="6"/>
      <c r="RTD36" s="6"/>
      <c r="RTE36" s="6"/>
      <c r="RTF36" s="6"/>
      <c r="RTG36" s="6"/>
      <c r="RTH36" s="6"/>
      <c r="RTI36" s="6"/>
      <c r="RTJ36" s="6"/>
      <c r="RTK36" s="6"/>
      <c r="RTL36" s="6"/>
      <c r="RTM36" s="6"/>
      <c r="RTN36" s="6"/>
      <c r="RTO36" s="6"/>
      <c r="RTP36" s="6"/>
      <c r="RTQ36" s="6"/>
      <c r="RTR36" s="6"/>
      <c r="RTS36" s="6"/>
      <c r="RTT36" s="6"/>
      <c r="RTU36" s="6"/>
      <c r="RTV36" s="6"/>
      <c r="RTW36" s="6"/>
      <c r="RTX36" s="6"/>
      <c r="RTY36" s="6"/>
      <c r="RTZ36" s="6"/>
      <c r="RUA36" s="6"/>
      <c r="RUB36" s="6"/>
      <c r="RUC36" s="6"/>
      <c r="RUD36" s="6"/>
      <c r="RUE36" s="6"/>
      <c r="RUF36" s="6"/>
      <c r="RUG36" s="6"/>
      <c r="RUH36" s="6"/>
      <c r="RUI36" s="6"/>
      <c r="RUJ36" s="6"/>
      <c r="RUK36" s="6"/>
      <c r="RUL36" s="6"/>
      <c r="RUM36" s="6"/>
      <c r="RUN36" s="6"/>
      <c r="RUO36" s="6"/>
      <c r="RUP36" s="6"/>
      <c r="RUQ36" s="6"/>
      <c r="RUR36" s="6"/>
      <c r="RUS36" s="6"/>
      <c r="RUT36" s="6"/>
      <c r="RUU36" s="6"/>
      <c r="RUV36" s="6"/>
      <c r="RUW36" s="6"/>
      <c r="RUX36" s="6"/>
      <c r="RUY36" s="6"/>
      <c r="RUZ36" s="6"/>
      <c r="RVA36" s="6"/>
      <c r="RVB36" s="6"/>
      <c r="RVC36" s="6"/>
      <c r="RVD36" s="6"/>
      <c r="RVE36" s="6"/>
      <c r="RVF36" s="6"/>
      <c r="RVG36" s="6"/>
      <c r="RVH36" s="6"/>
      <c r="RVI36" s="6"/>
      <c r="RVJ36" s="6"/>
      <c r="RVK36" s="6"/>
      <c r="RVL36" s="6"/>
      <c r="RVM36" s="6"/>
      <c r="RVN36" s="6"/>
      <c r="RVO36" s="6"/>
      <c r="RVP36" s="6"/>
      <c r="RVQ36" s="6"/>
      <c r="RVR36" s="6"/>
      <c r="RVS36" s="6"/>
      <c r="RVT36" s="6"/>
      <c r="RVU36" s="6"/>
      <c r="RVV36" s="6"/>
      <c r="RVW36" s="6"/>
      <c r="RVX36" s="6"/>
      <c r="RVY36" s="6"/>
      <c r="RVZ36" s="6"/>
      <c r="RWA36" s="6"/>
      <c r="RWB36" s="6"/>
      <c r="RWC36" s="6"/>
      <c r="RWD36" s="6"/>
      <c r="RWE36" s="6"/>
      <c r="RWF36" s="6"/>
      <c r="RWG36" s="6"/>
      <c r="RWH36" s="6"/>
      <c r="RWI36" s="6"/>
      <c r="RWJ36" s="6"/>
      <c r="RWK36" s="6"/>
      <c r="RWL36" s="6"/>
      <c r="RWM36" s="6"/>
      <c r="RWN36" s="6"/>
      <c r="RWO36" s="6"/>
      <c r="RWP36" s="6"/>
      <c r="RWQ36" s="6"/>
      <c r="RWR36" s="6"/>
      <c r="RWS36" s="6"/>
      <c r="RWT36" s="6"/>
      <c r="RWU36" s="6"/>
      <c r="RWV36" s="6"/>
      <c r="RWW36" s="6"/>
      <c r="RWX36" s="6"/>
      <c r="RWY36" s="6"/>
      <c r="RWZ36" s="6"/>
      <c r="RXA36" s="6"/>
      <c r="RXB36" s="6"/>
      <c r="RXC36" s="6"/>
      <c r="RXD36" s="6"/>
      <c r="RXE36" s="6"/>
      <c r="RXF36" s="6"/>
      <c r="RXG36" s="6"/>
      <c r="RXH36" s="6"/>
      <c r="RXI36" s="6"/>
      <c r="RXJ36" s="6"/>
      <c r="RXK36" s="6"/>
      <c r="RXL36" s="6"/>
      <c r="RXM36" s="6"/>
      <c r="RXN36" s="6"/>
      <c r="RXO36" s="6"/>
      <c r="RXP36" s="6"/>
      <c r="RXQ36" s="6"/>
      <c r="RXR36" s="6"/>
      <c r="RXS36" s="6"/>
      <c r="RXT36" s="6"/>
      <c r="RXU36" s="6"/>
      <c r="RXV36" s="6"/>
      <c r="RXW36" s="6"/>
      <c r="RXX36" s="6"/>
      <c r="RXY36" s="6"/>
      <c r="RXZ36" s="6"/>
      <c r="RYA36" s="6"/>
      <c r="RYB36" s="6"/>
      <c r="RYC36" s="6"/>
      <c r="RYD36" s="6"/>
      <c r="RYE36" s="6"/>
      <c r="RYF36" s="6"/>
      <c r="RYG36" s="6"/>
      <c r="RYH36" s="6"/>
      <c r="RYI36" s="6"/>
      <c r="RYJ36" s="6"/>
      <c r="RYK36" s="6"/>
      <c r="RYL36" s="6"/>
      <c r="RYM36" s="6"/>
      <c r="RYN36" s="6"/>
      <c r="RYO36" s="6"/>
      <c r="RYP36" s="6"/>
      <c r="RYQ36" s="6"/>
      <c r="RYR36" s="6"/>
      <c r="RYS36" s="6"/>
      <c r="RYT36" s="6"/>
      <c r="RYU36" s="6"/>
      <c r="RYV36" s="6"/>
      <c r="RYW36" s="6"/>
      <c r="RYX36" s="6"/>
      <c r="RYY36" s="6"/>
      <c r="RYZ36" s="6"/>
      <c r="RZA36" s="6"/>
      <c r="RZB36" s="6"/>
      <c r="RZC36" s="6"/>
      <c r="RZD36" s="6"/>
      <c r="RZE36" s="6"/>
      <c r="RZF36" s="6"/>
      <c r="RZG36" s="6"/>
      <c r="RZH36" s="6"/>
      <c r="RZI36" s="6"/>
      <c r="RZJ36" s="6"/>
      <c r="RZK36" s="6"/>
      <c r="RZL36" s="6"/>
      <c r="RZM36" s="6"/>
      <c r="RZN36" s="6"/>
      <c r="RZO36" s="6"/>
      <c r="RZP36" s="6"/>
      <c r="RZQ36" s="6"/>
      <c r="RZR36" s="6"/>
      <c r="RZS36" s="6"/>
      <c r="RZT36" s="6"/>
      <c r="RZU36" s="6"/>
      <c r="RZV36" s="6"/>
      <c r="RZW36" s="6"/>
      <c r="RZX36" s="6"/>
      <c r="RZY36" s="6"/>
      <c r="RZZ36" s="6"/>
      <c r="SAA36" s="6"/>
      <c r="SAB36" s="6"/>
      <c r="SAC36" s="6"/>
      <c r="SAD36" s="6"/>
      <c r="SAE36" s="6"/>
      <c r="SAF36" s="6"/>
      <c r="SAG36" s="6"/>
      <c r="SAH36" s="6"/>
      <c r="SAI36" s="6"/>
      <c r="SAJ36" s="6"/>
      <c r="SAK36" s="6"/>
      <c r="SAL36" s="6"/>
      <c r="SAM36" s="6"/>
      <c r="SAN36" s="6"/>
      <c r="SAO36" s="6"/>
      <c r="SAP36" s="6"/>
      <c r="SAQ36" s="6"/>
      <c r="SAR36" s="6"/>
      <c r="SAS36" s="6"/>
      <c r="SAT36" s="6"/>
      <c r="SAU36" s="6"/>
      <c r="SAV36" s="6"/>
      <c r="SAW36" s="6"/>
      <c r="SAX36" s="6"/>
      <c r="SAY36" s="6"/>
      <c r="SAZ36" s="6"/>
      <c r="SBA36" s="6"/>
      <c r="SBB36" s="6"/>
      <c r="SBC36" s="6"/>
      <c r="SBD36" s="6"/>
      <c r="SBE36" s="6"/>
      <c r="SBF36" s="6"/>
      <c r="SBG36" s="6"/>
      <c r="SBH36" s="6"/>
      <c r="SBI36" s="6"/>
      <c r="SBJ36" s="6"/>
      <c r="SBK36" s="6"/>
      <c r="SBL36" s="6"/>
      <c r="SBM36" s="6"/>
      <c r="SBN36" s="6"/>
      <c r="SBO36" s="6"/>
      <c r="SBP36" s="6"/>
      <c r="SBQ36" s="6"/>
      <c r="SBR36" s="6"/>
      <c r="SBS36" s="6"/>
      <c r="SBT36" s="6"/>
      <c r="SBU36" s="6"/>
      <c r="SBV36" s="6"/>
      <c r="SBW36" s="6"/>
      <c r="SBX36" s="6"/>
      <c r="SBY36" s="6"/>
      <c r="SBZ36" s="6"/>
      <c r="SCA36" s="6"/>
      <c r="SCB36" s="6"/>
      <c r="SCC36" s="6"/>
      <c r="SCD36" s="6"/>
      <c r="SCE36" s="6"/>
      <c r="SCF36" s="6"/>
      <c r="SCG36" s="6"/>
      <c r="SCH36" s="6"/>
      <c r="SCI36" s="6"/>
      <c r="SCJ36" s="6"/>
      <c r="SCK36" s="6"/>
      <c r="SCL36" s="6"/>
      <c r="SCM36" s="6"/>
      <c r="SCN36" s="6"/>
      <c r="SCO36" s="6"/>
      <c r="SCP36" s="6"/>
      <c r="SCQ36" s="6"/>
      <c r="SCR36" s="6"/>
      <c r="SCS36" s="6"/>
      <c r="SCT36" s="6"/>
      <c r="SCU36" s="6"/>
      <c r="SCV36" s="6"/>
      <c r="SCW36" s="6"/>
      <c r="SCX36" s="6"/>
      <c r="SCY36" s="6"/>
      <c r="SCZ36" s="6"/>
      <c r="SDA36" s="6"/>
      <c r="SDB36" s="6"/>
      <c r="SDC36" s="6"/>
      <c r="SDD36" s="6"/>
      <c r="SDE36" s="6"/>
      <c r="SDF36" s="6"/>
      <c r="SDG36" s="6"/>
      <c r="SDH36" s="6"/>
      <c r="SDI36" s="6"/>
      <c r="SDJ36" s="6"/>
      <c r="SDK36" s="6"/>
      <c r="SDL36" s="6"/>
      <c r="SDM36" s="6"/>
      <c r="SDN36" s="6"/>
      <c r="SDO36" s="6"/>
      <c r="SDP36" s="6"/>
      <c r="SDQ36" s="6"/>
      <c r="SDR36" s="6"/>
      <c r="SDS36" s="6"/>
      <c r="SDT36" s="6"/>
      <c r="SDU36" s="6"/>
      <c r="SDV36" s="6"/>
      <c r="SDW36" s="6"/>
      <c r="SDX36" s="6"/>
      <c r="SDY36" s="6"/>
      <c r="SDZ36" s="6"/>
      <c r="SEA36" s="6"/>
      <c r="SEB36" s="6"/>
      <c r="SEC36" s="6"/>
      <c r="SED36" s="6"/>
      <c r="SEE36" s="6"/>
      <c r="SEF36" s="6"/>
      <c r="SEG36" s="6"/>
      <c r="SEH36" s="6"/>
      <c r="SEI36" s="6"/>
      <c r="SEJ36" s="6"/>
      <c r="SEK36" s="6"/>
      <c r="SEL36" s="6"/>
      <c r="SEM36" s="6"/>
      <c r="SEN36" s="6"/>
      <c r="SEO36" s="6"/>
      <c r="SEP36" s="6"/>
      <c r="SEQ36" s="6"/>
      <c r="SER36" s="6"/>
      <c r="SES36" s="6"/>
      <c r="SET36" s="6"/>
      <c r="SEU36" s="6"/>
      <c r="SEV36" s="6"/>
      <c r="SEW36" s="6"/>
      <c r="SEX36" s="6"/>
      <c r="SEY36" s="6"/>
      <c r="SEZ36" s="6"/>
      <c r="SFA36" s="6"/>
      <c r="SFB36" s="6"/>
      <c r="SFC36" s="6"/>
      <c r="SFD36" s="6"/>
      <c r="SFE36" s="6"/>
      <c r="SFF36" s="6"/>
      <c r="SFG36" s="6"/>
      <c r="SFH36" s="6"/>
      <c r="SFI36" s="6"/>
      <c r="SFJ36" s="6"/>
      <c r="SFK36" s="6"/>
      <c r="SFL36" s="6"/>
      <c r="SFM36" s="6"/>
      <c r="SFN36" s="6"/>
      <c r="SFO36" s="6"/>
      <c r="SFP36" s="6"/>
      <c r="SFQ36" s="6"/>
      <c r="SFR36" s="6"/>
      <c r="SFS36" s="6"/>
      <c r="SFT36" s="6"/>
      <c r="SFU36" s="6"/>
      <c r="SFV36" s="6"/>
      <c r="SFW36" s="6"/>
      <c r="SFX36" s="6"/>
      <c r="SFY36" s="6"/>
      <c r="SFZ36" s="6"/>
      <c r="SGA36" s="6"/>
      <c r="SGB36" s="6"/>
      <c r="SGC36" s="6"/>
      <c r="SGD36" s="6"/>
      <c r="SGE36" s="6"/>
      <c r="SGF36" s="6"/>
      <c r="SGG36" s="6"/>
      <c r="SGH36" s="6"/>
      <c r="SGI36" s="6"/>
      <c r="SGJ36" s="6"/>
      <c r="SGK36" s="6"/>
      <c r="SGL36" s="6"/>
      <c r="SGM36" s="6"/>
      <c r="SGN36" s="6"/>
      <c r="SGO36" s="6"/>
      <c r="SGP36" s="6"/>
      <c r="SGQ36" s="6"/>
      <c r="SGR36" s="6"/>
      <c r="SGS36" s="6"/>
      <c r="SGT36" s="6"/>
      <c r="SGU36" s="6"/>
      <c r="SGV36" s="6"/>
      <c r="SGW36" s="6"/>
      <c r="SGX36" s="6"/>
      <c r="SGY36" s="6"/>
      <c r="SGZ36" s="6"/>
      <c r="SHA36" s="6"/>
      <c r="SHB36" s="6"/>
      <c r="SHC36" s="6"/>
      <c r="SHD36" s="6"/>
      <c r="SHE36" s="6"/>
      <c r="SHF36" s="6"/>
      <c r="SHG36" s="6"/>
      <c r="SHH36" s="6"/>
      <c r="SHI36" s="6"/>
      <c r="SHJ36" s="6"/>
      <c r="SHK36" s="6"/>
      <c r="SHL36" s="6"/>
      <c r="SHM36" s="6"/>
      <c r="SHN36" s="6"/>
      <c r="SHO36" s="6"/>
      <c r="SHP36" s="6"/>
      <c r="SHQ36" s="6"/>
      <c r="SHR36" s="6"/>
      <c r="SHS36" s="6"/>
      <c r="SHT36" s="6"/>
      <c r="SHU36" s="6"/>
      <c r="SHV36" s="6"/>
      <c r="SHW36" s="6"/>
      <c r="SHX36" s="6"/>
      <c r="SHY36" s="6"/>
      <c r="SHZ36" s="6"/>
      <c r="SIA36" s="6"/>
      <c r="SIB36" s="6"/>
      <c r="SIC36" s="6"/>
      <c r="SID36" s="6"/>
      <c r="SIE36" s="6"/>
      <c r="SIF36" s="6"/>
      <c r="SIG36" s="6"/>
      <c r="SIH36" s="6"/>
      <c r="SII36" s="6"/>
      <c r="SIJ36" s="6"/>
      <c r="SIK36" s="6"/>
      <c r="SIL36" s="6"/>
      <c r="SIM36" s="6"/>
      <c r="SIN36" s="6"/>
      <c r="SIO36" s="6"/>
      <c r="SIP36" s="6"/>
      <c r="SIQ36" s="6"/>
      <c r="SIR36" s="6"/>
      <c r="SIS36" s="6"/>
      <c r="SIT36" s="6"/>
      <c r="SIU36" s="6"/>
      <c r="SIV36" s="6"/>
      <c r="SIW36" s="6"/>
      <c r="SIX36" s="6"/>
      <c r="SIY36" s="6"/>
      <c r="SIZ36" s="6"/>
      <c r="SJA36" s="6"/>
      <c r="SJB36" s="6"/>
      <c r="SJC36" s="6"/>
      <c r="SJD36" s="6"/>
      <c r="SJE36" s="6"/>
      <c r="SJF36" s="6"/>
      <c r="SJG36" s="6"/>
      <c r="SJH36" s="6"/>
      <c r="SJI36" s="6"/>
      <c r="SJJ36" s="6"/>
      <c r="SJK36" s="6"/>
      <c r="SJL36" s="6"/>
      <c r="SJM36" s="6"/>
      <c r="SJN36" s="6"/>
      <c r="SJO36" s="6"/>
      <c r="SJP36" s="6"/>
      <c r="SJQ36" s="6"/>
      <c r="SJR36" s="6"/>
      <c r="SJS36" s="6"/>
      <c r="SJT36" s="6"/>
      <c r="SJU36" s="6"/>
      <c r="SJV36" s="6"/>
      <c r="SJW36" s="6"/>
      <c r="SJX36" s="6"/>
      <c r="SJY36" s="6"/>
      <c r="SJZ36" s="6"/>
      <c r="SKA36" s="6"/>
      <c r="SKB36" s="6"/>
      <c r="SKC36" s="6"/>
      <c r="SKD36" s="6"/>
      <c r="SKE36" s="6"/>
      <c r="SKF36" s="6"/>
      <c r="SKG36" s="6"/>
      <c r="SKH36" s="6"/>
      <c r="SKI36" s="6"/>
      <c r="SKJ36" s="6"/>
      <c r="SKK36" s="6"/>
      <c r="SKL36" s="6"/>
      <c r="SKM36" s="6"/>
      <c r="SKN36" s="6"/>
      <c r="SKO36" s="6"/>
      <c r="SKP36" s="6"/>
      <c r="SKQ36" s="6"/>
      <c r="SKR36" s="6"/>
      <c r="SKS36" s="6"/>
      <c r="SKT36" s="6"/>
      <c r="SKU36" s="6"/>
      <c r="SKV36" s="6"/>
      <c r="SKW36" s="6"/>
      <c r="SKX36" s="6"/>
      <c r="SKY36" s="6"/>
      <c r="SKZ36" s="6"/>
      <c r="SLA36" s="6"/>
      <c r="SLB36" s="6"/>
      <c r="SLC36" s="6"/>
      <c r="SLD36" s="6"/>
      <c r="SLE36" s="6"/>
      <c r="SLF36" s="6"/>
      <c r="SLG36" s="6"/>
      <c r="SLH36" s="6"/>
      <c r="SLI36" s="6"/>
      <c r="SLJ36" s="6"/>
      <c r="SLK36" s="6"/>
      <c r="SLL36" s="6"/>
      <c r="SLM36" s="6"/>
      <c r="SLN36" s="6"/>
      <c r="SLO36" s="6"/>
      <c r="SLP36" s="6"/>
      <c r="SLQ36" s="6"/>
      <c r="SLR36" s="6"/>
      <c r="SLS36" s="6"/>
      <c r="SLT36" s="6"/>
      <c r="SLU36" s="6"/>
      <c r="SLV36" s="6"/>
      <c r="SLW36" s="6"/>
      <c r="SLX36" s="6"/>
      <c r="SLY36" s="6"/>
      <c r="SLZ36" s="6"/>
      <c r="SMA36" s="6"/>
      <c r="SMB36" s="6"/>
      <c r="SMC36" s="6"/>
      <c r="SMD36" s="6"/>
      <c r="SME36" s="6"/>
      <c r="SMF36" s="6"/>
      <c r="SMG36" s="6"/>
      <c r="SMH36" s="6"/>
      <c r="SMI36" s="6"/>
      <c r="SMJ36" s="6"/>
      <c r="SMK36" s="6"/>
      <c r="SML36" s="6"/>
      <c r="SMM36" s="6"/>
      <c r="SMN36" s="6"/>
      <c r="SMO36" s="6"/>
      <c r="SMP36" s="6"/>
      <c r="SMQ36" s="6"/>
      <c r="SMR36" s="6"/>
      <c r="SMS36" s="6"/>
      <c r="SMT36" s="6"/>
      <c r="SMU36" s="6"/>
      <c r="SMV36" s="6"/>
      <c r="SMW36" s="6"/>
      <c r="SMX36" s="6"/>
      <c r="SMY36" s="6"/>
      <c r="SMZ36" s="6"/>
      <c r="SNA36" s="6"/>
      <c r="SNB36" s="6"/>
      <c r="SNC36" s="6"/>
      <c r="SND36" s="6"/>
      <c r="SNE36" s="6"/>
      <c r="SNF36" s="6"/>
      <c r="SNG36" s="6"/>
      <c r="SNH36" s="6"/>
      <c r="SNI36" s="6"/>
      <c r="SNJ36" s="6"/>
      <c r="SNK36" s="6"/>
      <c r="SNL36" s="6"/>
      <c r="SNM36" s="6"/>
      <c r="SNN36" s="6"/>
      <c r="SNO36" s="6"/>
      <c r="SNP36" s="6"/>
      <c r="SNQ36" s="6"/>
      <c r="SNR36" s="6"/>
      <c r="SNS36" s="6"/>
      <c r="SNT36" s="6"/>
      <c r="SNU36" s="6"/>
      <c r="SNV36" s="6"/>
      <c r="SNW36" s="6"/>
      <c r="SNX36" s="6"/>
      <c r="SNY36" s="6"/>
      <c r="SNZ36" s="6"/>
      <c r="SOA36" s="6"/>
      <c r="SOB36" s="6"/>
      <c r="SOC36" s="6"/>
      <c r="SOD36" s="6"/>
      <c r="SOE36" s="6"/>
      <c r="SOF36" s="6"/>
      <c r="SOG36" s="6"/>
      <c r="SOH36" s="6"/>
      <c r="SOI36" s="6"/>
      <c r="SOJ36" s="6"/>
      <c r="SOK36" s="6"/>
      <c r="SOL36" s="6"/>
      <c r="SOM36" s="6"/>
      <c r="SON36" s="6"/>
      <c r="SOO36" s="6"/>
      <c r="SOP36" s="6"/>
      <c r="SOQ36" s="6"/>
      <c r="SOR36" s="6"/>
      <c r="SOS36" s="6"/>
      <c r="SOT36" s="6"/>
      <c r="SOU36" s="6"/>
      <c r="SOV36" s="6"/>
      <c r="SOW36" s="6"/>
      <c r="SOX36" s="6"/>
      <c r="SOY36" s="6"/>
      <c r="SOZ36" s="6"/>
      <c r="SPA36" s="6"/>
      <c r="SPB36" s="6"/>
      <c r="SPC36" s="6"/>
      <c r="SPD36" s="6"/>
      <c r="SPE36" s="6"/>
      <c r="SPF36" s="6"/>
      <c r="SPG36" s="6"/>
      <c r="SPH36" s="6"/>
      <c r="SPI36" s="6"/>
      <c r="SPJ36" s="6"/>
      <c r="SPK36" s="6"/>
      <c r="SPL36" s="6"/>
      <c r="SPM36" s="6"/>
      <c r="SPN36" s="6"/>
      <c r="SPO36" s="6"/>
      <c r="SPP36" s="6"/>
      <c r="SPQ36" s="6"/>
      <c r="SPR36" s="6"/>
      <c r="SPS36" s="6"/>
      <c r="SPT36" s="6"/>
      <c r="SPU36" s="6"/>
      <c r="SPV36" s="6"/>
      <c r="SPW36" s="6"/>
      <c r="SPX36" s="6"/>
      <c r="SPY36" s="6"/>
      <c r="SPZ36" s="6"/>
      <c r="SQA36" s="6"/>
      <c r="SQB36" s="6"/>
      <c r="SQC36" s="6"/>
      <c r="SQD36" s="6"/>
      <c r="SQE36" s="6"/>
      <c r="SQF36" s="6"/>
      <c r="SQG36" s="6"/>
      <c r="SQH36" s="6"/>
      <c r="SQI36" s="6"/>
      <c r="SQJ36" s="6"/>
      <c r="SQK36" s="6"/>
      <c r="SQL36" s="6"/>
      <c r="SQM36" s="6"/>
      <c r="SQN36" s="6"/>
      <c r="SQO36" s="6"/>
      <c r="SQP36" s="6"/>
      <c r="SQQ36" s="6"/>
      <c r="SQR36" s="6"/>
      <c r="SQS36" s="6"/>
      <c r="SQT36" s="6"/>
      <c r="SQU36" s="6"/>
      <c r="SQV36" s="6"/>
      <c r="SQW36" s="6"/>
      <c r="SQX36" s="6"/>
      <c r="SQY36" s="6"/>
      <c r="SQZ36" s="6"/>
      <c r="SRA36" s="6"/>
      <c r="SRB36" s="6"/>
      <c r="SRC36" s="6"/>
      <c r="SRD36" s="6"/>
      <c r="SRE36" s="6"/>
      <c r="SRF36" s="6"/>
      <c r="SRG36" s="6"/>
      <c r="SRH36" s="6"/>
      <c r="SRI36" s="6"/>
      <c r="SRJ36" s="6"/>
      <c r="SRK36" s="6"/>
      <c r="SRL36" s="6"/>
      <c r="SRM36" s="6"/>
      <c r="SRN36" s="6"/>
      <c r="SRO36" s="6"/>
      <c r="SRP36" s="6"/>
      <c r="SRQ36" s="6"/>
      <c r="SRR36" s="6"/>
      <c r="SRS36" s="6"/>
      <c r="SRT36" s="6"/>
      <c r="SRU36" s="6"/>
      <c r="SRV36" s="6"/>
      <c r="SRW36" s="6"/>
      <c r="SRX36" s="6"/>
      <c r="SRY36" s="6"/>
      <c r="SRZ36" s="6"/>
      <c r="SSA36" s="6"/>
      <c r="SSB36" s="6"/>
      <c r="SSC36" s="6"/>
      <c r="SSD36" s="6"/>
      <c r="SSE36" s="6"/>
      <c r="SSF36" s="6"/>
      <c r="SSG36" s="6"/>
      <c r="SSH36" s="6"/>
      <c r="SSI36" s="6"/>
      <c r="SSJ36" s="6"/>
      <c r="SSK36" s="6"/>
      <c r="SSL36" s="6"/>
      <c r="SSM36" s="6"/>
      <c r="SSN36" s="6"/>
      <c r="SSO36" s="6"/>
      <c r="SSP36" s="6"/>
      <c r="SSQ36" s="6"/>
      <c r="SSR36" s="6"/>
      <c r="SSS36" s="6"/>
      <c r="SST36" s="6"/>
      <c r="SSU36" s="6"/>
      <c r="SSV36" s="6"/>
      <c r="SSW36" s="6"/>
      <c r="SSX36" s="6"/>
      <c r="SSY36" s="6"/>
      <c r="SSZ36" s="6"/>
      <c r="STA36" s="6"/>
      <c r="STB36" s="6"/>
      <c r="STC36" s="6"/>
      <c r="STD36" s="6"/>
      <c r="STE36" s="6"/>
      <c r="STF36" s="6"/>
      <c r="STG36" s="6"/>
      <c r="STH36" s="6"/>
      <c r="STI36" s="6"/>
      <c r="STJ36" s="6"/>
      <c r="STK36" s="6"/>
      <c r="STL36" s="6"/>
      <c r="STM36" s="6"/>
      <c r="STN36" s="6"/>
      <c r="STO36" s="6"/>
      <c r="STP36" s="6"/>
      <c r="STQ36" s="6"/>
      <c r="STR36" s="6"/>
      <c r="STS36" s="6"/>
      <c r="STT36" s="6"/>
      <c r="STU36" s="6"/>
      <c r="STV36" s="6"/>
      <c r="STW36" s="6"/>
      <c r="STX36" s="6"/>
      <c r="STY36" s="6"/>
      <c r="STZ36" s="6"/>
      <c r="SUA36" s="6"/>
      <c r="SUB36" s="6"/>
      <c r="SUC36" s="6"/>
      <c r="SUD36" s="6"/>
      <c r="SUE36" s="6"/>
      <c r="SUF36" s="6"/>
      <c r="SUG36" s="6"/>
      <c r="SUH36" s="6"/>
      <c r="SUI36" s="6"/>
      <c r="SUJ36" s="6"/>
      <c r="SUK36" s="6"/>
      <c r="SUL36" s="6"/>
      <c r="SUM36" s="6"/>
      <c r="SUN36" s="6"/>
      <c r="SUO36" s="6"/>
      <c r="SUP36" s="6"/>
      <c r="SUQ36" s="6"/>
      <c r="SUR36" s="6"/>
      <c r="SUS36" s="6"/>
      <c r="SUT36" s="6"/>
      <c r="SUU36" s="6"/>
      <c r="SUV36" s="6"/>
      <c r="SUW36" s="6"/>
      <c r="SUX36" s="6"/>
      <c r="SUY36" s="6"/>
      <c r="SUZ36" s="6"/>
      <c r="SVA36" s="6"/>
      <c r="SVB36" s="6"/>
      <c r="SVC36" s="6"/>
      <c r="SVD36" s="6"/>
      <c r="SVE36" s="6"/>
      <c r="SVF36" s="6"/>
      <c r="SVG36" s="6"/>
      <c r="SVH36" s="6"/>
      <c r="SVI36" s="6"/>
      <c r="SVJ36" s="6"/>
      <c r="SVK36" s="6"/>
      <c r="SVL36" s="6"/>
      <c r="SVM36" s="6"/>
      <c r="SVN36" s="6"/>
      <c r="SVO36" s="6"/>
      <c r="SVP36" s="6"/>
      <c r="SVQ36" s="6"/>
      <c r="SVR36" s="6"/>
      <c r="SVS36" s="6"/>
      <c r="SVT36" s="6"/>
      <c r="SVU36" s="6"/>
      <c r="SVV36" s="6"/>
      <c r="SVW36" s="6"/>
      <c r="SVX36" s="6"/>
      <c r="SVY36" s="6"/>
      <c r="SVZ36" s="6"/>
      <c r="SWA36" s="6"/>
      <c r="SWB36" s="6"/>
      <c r="SWC36" s="6"/>
      <c r="SWD36" s="6"/>
      <c r="SWE36" s="6"/>
      <c r="SWF36" s="6"/>
      <c r="SWG36" s="6"/>
      <c r="SWH36" s="6"/>
      <c r="SWI36" s="6"/>
      <c r="SWJ36" s="6"/>
      <c r="SWK36" s="6"/>
      <c r="SWL36" s="6"/>
      <c r="SWM36" s="6"/>
      <c r="SWN36" s="6"/>
      <c r="SWO36" s="6"/>
      <c r="SWP36" s="6"/>
      <c r="SWQ36" s="6"/>
      <c r="SWR36" s="6"/>
      <c r="SWS36" s="6"/>
      <c r="SWT36" s="6"/>
      <c r="SWU36" s="6"/>
      <c r="SWV36" s="6"/>
      <c r="SWW36" s="6"/>
      <c r="SWX36" s="6"/>
      <c r="SWY36" s="6"/>
      <c r="SWZ36" s="6"/>
      <c r="SXA36" s="6"/>
      <c r="SXB36" s="6"/>
      <c r="SXC36" s="6"/>
      <c r="SXD36" s="6"/>
      <c r="SXE36" s="6"/>
      <c r="SXF36" s="6"/>
      <c r="SXG36" s="6"/>
      <c r="SXH36" s="6"/>
      <c r="SXI36" s="6"/>
      <c r="SXJ36" s="6"/>
      <c r="SXK36" s="6"/>
      <c r="SXL36" s="6"/>
      <c r="SXM36" s="6"/>
      <c r="SXN36" s="6"/>
      <c r="SXO36" s="6"/>
      <c r="SXP36" s="6"/>
      <c r="SXQ36" s="6"/>
      <c r="SXR36" s="6"/>
      <c r="SXS36" s="6"/>
      <c r="SXT36" s="6"/>
      <c r="SXU36" s="6"/>
      <c r="SXV36" s="6"/>
      <c r="SXW36" s="6"/>
      <c r="SXX36" s="6"/>
      <c r="SXY36" s="6"/>
      <c r="SXZ36" s="6"/>
      <c r="SYA36" s="6"/>
      <c r="SYB36" s="6"/>
      <c r="SYC36" s="6"/>
      <c r="SYD36" s="6"/>
      <c r="SYE36" s="6"/>
      <c r="SYF36" s="6"/>
      <c r="SYG36" s="6"/>
      <c r="SYH36" s="6"/>
      <c r="SYI36" s="6"/>
      <c r="SYJ36" s="6"/>
      <c r="SYK36" s="6"/>
      <c r="SYL36" s="6"/>
      <c r="SYM36" s="6"/>
      <c r="SYN36" s="6"/>
      <c r="SYO36" s="6"/>
      <c r="SYP36" s="6"/>
      <c r="SYQ36" s="6"/>
      <c r="SYR36" s="6"/>
      <c r="SYS36" s="6"/>
      <c r="SYT36" s="6"/>
      <c r="SYU36" s="6"/>
      <c r="SYV36" s="6"/>
      <c r="SYW36" s="6"/>
      <c r="SYX36" s="6"/>
      <c r="SYY36" s="6"/>
      <c r="SYZ36" s="6"/>
      <c r="SZA36" s="6"/>
      <c r="SZB36" s="6"/>
      <c r="SZC36" s="6"/>
      <c r="SZD36" s="6"/>
      <c r="SZE36" s="6"/>
      <c r="SZF36" s="6"/>
      <c r="SZG36" s="6"/>
      <c r="SZH36" s="6"/>
      <c r="SZI36" s="6"/>
      <c r="SZJ36" s="6"/>
      <c r="SZK36" s="6"/>
      <c r="SZL36" s="6"/>
      <c r="SZM36" s="6"/>
      <c r="SZN36" s="6"/>
      <c r="SZO36" s="6"/>
      <c r="SZP36" s="6"/>
      <c r="SZQ36" s="6"/>
      <c r="SZR36" s="6"/>
      <c r="SZS36" s="6"/>
      <c r="SZT36" s="6"/>
      <c r="SZU36" s="6"/>
      <c r="SZV36" s="6"/>
      <c r="SZW36" s="6"/>
      <c r="SZX36" s="6"/>
      <c r="SZY36" s="6"/>
      <c r="SZZ36" s="6"/>
      <c r="TAA36" s="6"/>
      <c r="TAB36" s="6"/>
      <c r="TAC36" s="6"/>
      <c r="TAD36" s="6"/>
      <c r="TAE36" s="6"/>
      <c r="TAF36" s="6"/>
      <c r="TAG36" s="6"/>
      <c r="TAH36" s="6"/>
      <c r="TAI36" s="6"/>
      <c r="TAJ36" s="6"/>
      <c r="TAK36" s="6"/>
      <c r="TAL36" s="6"/>
      <c r="TAM36" s="6"/>
      <c r="TAN36" s="6"/>
      <c r="TAO36" s="6"/>
      <c r="TAP36" s="6"/>
      <c r="TAQ36" s="6"/>
      <c r="TAR36" s="6"/>
      <c r="TAS36" s="6"/>
      <c r="TAT36" s="6"/>
      <c r="TAU36" s="6"/>
      <c r="TAV36" s="6"/>
      <c r="TAW36" s="6"/>
      <c r="TAX36" s="6"/>
      <c r="TAY36" s="6"/>
      <c r="TAZ36" s="6"/>
      <c r="TBA36" s="6"/>
      <c r="TBB36" s="6"/>
      <c r="TBC36" s="6"/>
      <c r="TBD36" s="6"/>
      <c r="TBE36" s="6"/>
      <c r="TBF36" s="6"/>
      <c r="TBG36" s="6"/>
      <c r="TBH36" s="6"/>
      <c r="TBI36" s="6"/>
      <c r="TBJ36" s="6"/>
      <c r="TBK36" s="6"/>
      <c r="TBL36" s="6"/>
      <c r="TBM36" s="6"/>
      <c r="TBN36" s="6"/>
      <c r="TBO36" s="6"/>
      <c r="TBP36" s="6"/>
      <c r="TBQ36" s="6"/>
      <c r="TBR36" s="6"/>
      <c r="TBS36" s="6"/>
      <c r="TBT36" s="6"/>
      <c r="TBU36" s="6"/>
      <c r="TBV36" s="6"/>
      <c r="TBW36" s="6"/>
      <c r="TBX36" s="6"/>
      <c r="TBY36" s="6"/>
      <c r="TBZ36" s="6"/>
      <c r="TCA36" s="6"/>
      <c r="TCB36" s="6"/>
      <c r="TCC36" s="6"/>
      <c r="TCD36" s="6"/>
      <c r="TCE36" s="6"/>
      <c r="TCF36" s="6"/>
      <c r="TCG36" s="6"/>
      <c r="TCH36" s="6"/>
      <c r="TCI36" s="6"/>
      <c r="TCJ36" s="6"/>
      <c r="TCK36" s="6"/>
      <c r="TCL36" s="6"/>
      <c r="TCM36" s="6"/>
      <c r="TCN36" s="6"/>
      <c r="TCO36" s="6"/>
      <c r="TCP36" s="6"/>
      <c r="TCQ36" s="6"/>
      <c r="TCR36" s="6"/>
      <c r="TCS36" s="6"/>
      <c r="TCT36" s="6"/>
      <c r="TCU36" s="6"/>
      <c r="TCV36" s="6"/>
      <c r="TCW36" s="6"/>
      <c r="TCX36" s="6"/>
      <c r="TCY36" s="6"/>
      <c r="TCZ36" s="6"/>
      <c r="TDA36" s="6"/>
      <c r="TDB36" s="6"/>
      <c r="TDC36" s="6"/>
      <c r="TDD36" s="6"/>
      <c r="TDE36" s="6"/>
      <c r="TDF36" s="6"/>
      <c r="TDG36" s="6"/>
      <c r="TDH36" s="6"/>
      <c r="TDI36" s="6"/>
      <c r="TDJ36" s="6"/>
      <c r="TDK36" s="6"/>
      <c r="TDL36" s="6"/>
      <c r="TDM36" s="6"/>
      <c r="TDN36" s="6"/>
      <c r="TDO36" s="6"/>
      <c r="TDP36" s="6"/>
      <c r="TDQ36" s="6"/>
      <c r="TDR36" s="6"/>
      <c r="TDS36" s="6"/>
      <c r="TDT36" s="6"/>
      <c r="TDU36" s="6"/>
      <c r="TDV36" s="6"/>
      <c r="TDW36" s="6"/>
      <c r="TDX36" s="6"/>
      <c r="TDY36" s="6"/>
      <c r="TDZ36" s="6"/>
      <c r="TEA36" s="6"/>
      <c r="TEB36" s="6"/>
      <c r="TEC36" s="6"/>
      <c r="TED36" s="6"/>
      <c r="TEE36" s="6"/>
      <c r="TEF36" s="6"/>
      <c r="TEG36" s="6"/>
      <c r="TEH36" s="6"/>
      <c r="TEI36" s="6"/>
      <c r="TEJ36" s="6"/>
      <c r="TEK36" s="6"/>
      <c r="TEL36" s="6"/>
      <c r="TEM36" s="6"/>
      <c r="TEN36" s="6"/>
      <c r="TEO36" s="6"/>
      <c r="TEP36" s="6"/>
      <c r="TEQ36" s="6"/>
      <c r="TER36" s="6"/>
      <c r="TES36" s="6"/>
      <c r="TET36" s="6"/>
      <c r="TEU36" s="6"/>
      <c r="TEV36" s="6"/>
      <c r="TEW36" s="6"/>
      <c r="TEX36" s="6"/>
      <c r="TEY36" s="6"/>
      <c r="TEZ36" s="6"/>
      <c r="TFA36" s="6"/>
      <c r="TFB36" s="6"/>
      <c r="TFC36" s="6"/>
      <c r="TFD36" s="6"/>
      <c r="TFE36" s="6"/>
      <c r="TFF36" s="6"/>
      <c r="TFG36" s="6"/>
      <c r="TFH36" s="6"/>
      <c r="TFI36" s="6"/>
      <c r="TFJ36" s="6"/>
      <c r="TFK36" s="6"/>
      <c r="TFL36" s="6"/>
      <c r="TFM36" s="6"/>
      <c r="TFN36" s="6"/>
      <c r="TFO36" s="6"/>
      <c r="TFP36" s="6"/>
      <c r="TFQ36" s="6"/>
      <c r="TFR36" s="6"/>
      <c r="TFS36" s="6"/>
      <c r="TFT36" s="6"/>
      <c r="TFU36" s="6"/>
      <c r="TFV36" s="6"/>
      <c r="TFW36" s="6"/>
      <c r="TFX36" s="6"/>
      <c r="TFY36" s="6"/>
      <c r="TFZ36" s="6"/>
      <c r="TGA36" s="6"/>
      <c r="TGB36" s="6"/>
      <c r="TGC36" s="6"/>
      <c r="TGD36" s="6"/>
      <c r="TGE36" s="6"/>
      <c r="TGF36" s="6"/>
      <c r="TGG36" s="6"/>
      <c r="TGH36" s="6"/>
      <c r="TGI36" s="6"/>
      <c r="TGJ36" s="6"/>
      <c r="TGK36" s="6"/>
      <c r="TGL36" s="6"/>
      <c r="TGM36" s="6"/>
      <c r="TGN36" s="6"/>
      <c r="TGO36" s="6"/>
      <c r="TGP36" s="6"/>
      <c r="TGQ36" s="6"/>
      <c r="TGR36" s="6"/>
      <c r="TGS36" s="6"/>
      <c r="TGT36" s="6"/>
      <c r="TGU36" s="6"/>
      <c r="TGV36" s="6"/>
      <c r="TGW36" s="6"/>
      <c r="TGX36" s="6"/>
      <c r="TGY36" s="6"/>
      <c r="TGZ36" s="6"/>
      <c r="THA36" s="6"/>
      <c r="THB36" s="6"/>
      <c r="THC36" s="6"/>
      <c r="THD36" s="6"/>
      <c r="THE36" s="6"/>
      <c r="THF36" s="6"/>
      <c r="THG36" s="6"/>
      <c r="THH36" s="6"/>
      <c r="THI36" s="6"/>
      <c r="THJ36" s="6"/>
      <c r="THK36" s="6"/>
      <c r="THL36" s="6"/>
      <c r="THM36" s="6"/>
      <c r="THN36" s="6"/>
      <c r="THO36" s="6"/>
      <c r="THP36" s="6"/>
      <c r="THQ36" s="6"/>
      <c r="THR36" s="6"/>
      <c r="THS36" s="6"/>
      <c r="THT36" s="6"/>
      <c r="THU36" s="6"/>
      <c r="THV36" s="6"/>
      <c r="THW36" s="6"/>
      <c r="THX36" s="6"/>
      <c r="THY36" s="6"/>
      <c r="THZ36" s="6"/>
      <c r="TIA36" s="6"/>
      <c r="TIB36" s="6"/>
      <c r="TIC36" s="6"/>
      <c r="TID36" s="6"/>
      <c r="TIE36" s="6"/>
      <c r="TIF36" s="6"/>
      <c r="TIG36" s="6"/>
      <c r="TIH36" s="6"/>
      <c r="TII36" s="6"/>
      <c r="TIJ36" s="6"/>
      <c r="TIK36" s="6"/>
      <c r="TIL36" s="6"/>
      <c r="TIM36" s="6"/>
      <c r="TIN36" s="6"/>
      <c r="TIO36" s="6"/>
      <c r="TIP36" s="6"/>
      <c r="TIQ36" s="6"/>
      <c r="TIR36" s="6"/>
      <c r="TIS36" s="6"/>
      <c r="TIT36" s="6"/>
      <c r="TIU36" s="6"/>
      <c r="TIV36" s="6"/>
      <c r="TIW36" s="6"/>
      <c r="TIX36" s="6"/>
      <c r="TIY36" s="6"/>
      <c r="TIZ36" s="6"/>
      <c r="TJA36" s="6"/>
      <c r="TJB36" s="6"/>
      <c r="TJC36" s="6"/>
      <c r="TJD36" s="6"/>
      <c r="TJE36" s="6"/>
      <c r="TJF36" s="6"/>
      <c r="TJG36" s="6"/>
      <c r="TJH36" s="6"/>
      <c r="TJI36" s="6"/>
      <c r="TJJ36" s="6"/>
      <c r="TJK36" s="6"/>
      <c r="TJL36" s="6"/>
      <c r="TJM36" s="6"/>
      <c r="TJN36" s="6"/>
      <c r="TJO36" s="6"/>
      <c r="TJP36" s="6"/>
      <c r="TJQ36" s="6"/>
      <c r="TJR36" s="6"/>
      <c r="TJS36" s="6"/>
      <c r="TJT36" s="6"/>
      <c r="TJU36" s="6"/>
      <c r="TJV36" s="6"/>
      <c r="TJW36" s="6"/>
      <c r="TJX36" s="6"/>
      <c r="TJY36" s="6"/>
      <c r="TJZ36" s="6"/>
      <c r="TKA36" s="6"/>
      <c r="TKB36" s="6"/>
      <c r="TKC36" s="6"/>
      <c r="TKD36" s="6"/>
      <c r="TKE36" s="6"/>
      <c r="TKF36" s="6"/>
      <c r="TKG36" s="6"/>
      <c r="TKH36" s="6"/>
      <c r="TKI36" s="6"/>
      <c r="TKJ36" s="6"/>
      <c r="TKK36" s="6"/>
      <c r="TKL36" s="6"/>
      <c r="TKM36" s="6"/>
      <c r="TKN36" s="6"/>
      <c r="TKO36" s="6"/>
      <c r="TKP36" s="6"/>
      <c r="TKQ36" s="6"/>
      <c r="TKR36" s="6"/>
      <c r="TKS36" s="6"/>
      <c r="TKT36" s="6"/>
      <c r="TKU36" s="6"/>
      <c r="TKV36" s="6"/>
      <c r="TKW36" s="6"/>
      <c r="TKX36" s="6"/>
      <c r="TKY36" s="6"/>
      <c r="TKZ36" s="6"/>
      <c r="TLA36" s="6"/>
      <c r="TLB36" s="6"/>
      <c r="TLC36" s="6"/>
      <c r="TLD36" s="6"/>
      <c r="TLE36" s="6"/>
      <c r="TLF36" s="6"/>
      <c r="TLG36" s="6"/>
      <c r="TLH36" s="6"/>
      <c r="TLI36" s="6"/>
      <c r="TLJ36" s="6"/>
      <c r="TLK36" s="6"/>
      <c r="TLL36" s="6"/>
      <c r="TLM36" s="6"/>
      <c r="TLN36" s="6"/>
      <c r="TLO36" s="6"/>
      <c r="TLP36" s="6"/>
      <c r="TLQ36" s="6"/>
      <c r="TLR36" s="6"/>
      <c r="TLS36" s="6"/>
      <c r="TLT36" s="6"/>
      <c r="TLU36" s="6"/>
      <c r="TLV36" s="6"/>
      <c r="TLW36" s="6"/>
      <c r="TLX36" s="6"/>
      <c r="TLY36" s="6"/>
      <c r="TLZ36" s="6"/>
      <c r="TMA36" s="6"/>
      <c r="TMB36" s="6"/>
      <c r="TMC36" s="6"/>
      <c r="TMD36" s="6"/>
      <c r="TME36" s="6"/>
      <c r="TMF36" s="6"/>
      <c r="TMG36" s="6"/>
      <c r="TMH36" s="6"/>
      <c r="TMI36" s="6"/>
      <c r="TMJ36" s="6"/>
      <c r="TMK36" s="6"/>
      <c r="TML36" s="6"/>
      <c r="TMM36" s="6"/>
      <c r="TMN36" s="6"/>
      <c r="TMO36" s="6"/>
      <c r="TMP36" s="6"/>
      <c r="TMQ36" s="6"/>
      <c r="TMR36" s="6"/>
      <c r="TMS36" s="6"/>
      <c r="TMT36" s="6"/>
      <c r="TMU36" s="6"/>
      <c r="TMV36" s="6"/>
      <c r="TMW36" s="6"/>
      <c r="TMX36" s="6"/>
      <c r="TMY36" s="6"/>
      <c r="TMZ36" s="6"/>
      <c r="TNA36" s="6"/>
      <c r="TNB36" s="6"/>
      <c r="TNC36" s="6"/>
      <c r="TND36" s="6"/>
      <c r="TNE36" s="6"/>
      <c r="TNF36" s="6"/>
      <c r="TNG36" s="6"/>
      <c r="TNH36" s="6"/>
      <c r="TNI36" s="6"/>
      <c r="TNJ36" s="6"/>
      <c r="TNK36" s="6"/>
      <c r="TNL36" s="6"/>
      <c r="TNM36" s="6"/>
      <c r="TNN36" s="6"/>
      <c r="TNO36" s="6"/>
      <c r="TNP36" s="6"/>
      <c r="TNQ36" s="6"/>
      <c r="TNR36" s="6"/>
      <c r="TNS36" s="6"/>
      <c r="TNT36" s="6"/>
      <c r="TNU36" s="6"/>
      <c r="TNV36" s="6"/>
      <c r="TNW36" s="6"/>
      <c r="TNX36" s="6"/>
      <c r="TNY36" s="6"/>
      <c r="TNZ36" s="6"/>
      <c r="TOA36" s="6"/>
      <c r="TOB36" s="6"/>
      <c r="TOC36" s="6"/>
      <c r="TOD36" s="6"/>
      <c r="TOE36" s="6"/>
      <c r="TOF36" s="6"/>
      <c r="TOG36" s="6"/>
      <c r="TOH36" s="6"/>
      <c r="TOI36" s="6"/>
      <c r="TOJ36" s="6"/>
      <c r="TOK36" s="6"/>
      <c r="TOL36" s="6"/>
      <c r="TOM36" s="6"/>
      <c r="TON36" s="6"/>
      <c r="TOO36" s="6"/>
      <c r="TOP36" s="6"/>
      <c r="TOQ36" s="6"/>
      <c r="TOR36" s="6"/>
      <c r="TOS36" s="6"/>
      <c r="TOT36" s="6"/>
      <c r="TOU36" s="6"/>
      <c r="TOV36" s="6"/>
      <c r="TOW36" s="6"/>
      <c r="TOX36" s="6"/>
      <c r="TOY36" s="6"/>
      <c r="TOZ36" s="6"/>
      <c r="TPA36" s="6"/>
      <c r="TPB36" s="6"/>
      <c r="TPC36" s="6"/>
      <c r="TPD36" s="6"/>
      <c r="TPE36" s="6"/>
      <c r="TPF36" s="6"/>
      <c r="TPG36" s="6"/>
      <c r="TPH36" s="6"/>
      <c r="TPI36" s="6"/>
      <c r="TPJ36" s="6"/>
      <c r="TPK36" s="6"/>
      <c r="TPL36" s="6"/>
      <c r="TPM36" s="6"/>
      <c r="TPN36" s="6"/>
      <c r="TPO36" s="6"/>
      <c r="TPP36" s="6"/>
      <c r="TPQ36" s="6"/>
      <c r="TPR36" s="6"/>
      <c r="TPS36" s="6"/>
      <c r="TPT36" s="6"/>
      <c r="TPU36" s="6"/>
      <c r="TPV36" s="6"/>
      <c r="TPW36" s="6"/>
      <c r="TPX36" s="6"/>
      <c r="TPY36" s="6"/>
      <c r="TPZ36" s="6"/>
      <c r="TQA36" s="6"/>
      <c r="TQB36" s="6"/>
      <c r="TQC36" s="6"/>
      <c r="TQD36" s="6"/>
      <c r="TQE36" s="6"/>
      <c r="TQF36" s="6"/>
      <c r="TQG36" s="6"/>
      <c r="TQH36" s="6"/>
      <c r="TQI36" s="6"/>
      <c r="TQJ36" s="6"/>
      <c r="TQK36" s="6"/>
      <c r="TQL36" s="6"/>
      <c r="TQM36" s="6"/>
      <c r="TQN36" s="6"/>
      <c r="TQO36" s="6"/>
      <c r="TQP36" s="6"/>
      <c r="TQQ36" s="6"/>
      <c r="TQR36" s="6"/>
      <c r="TQS36" s="6"/>
      <c r="TQT36" s="6"/>
      <c r="TQU36" s="6"/>
      <c r="TQV36" s="6"/>
      <c r="TQW36" s="6"/>
      <c r="TQX36" s="6"/>
      <c r="TQY36" s="6"/>
      <c r="TQZ36" s="6"/>
      <c r="TRA36" s="6"/>
      <c r="TRB36" s="6"/>
      <c r="TRC36" s="6"/>
      <c r="TRD36" s="6"/>
      <c r="TRE36" s="6"/>
      <c r="TRF36" s="6"/>
      <c r="TRG36" s="6"/>
      <c r="TRH36" s="6"/>
      <c r="TRI36" s="6"/>
      <c r="TRJ36" s="6"/>
      <c r="TRK36" s="6"/>
      <c r="TRL36" s="6"/>
      <c r="TRM36" s="6"/>
      <c r="TRN36" s="6"/>
      <c r="TRO36" s="6"/>
      <c r="TRP36" s="6"/>
      <c r="TRQ36" s="6"/>
      <c r="TRR36" s="6"/>
      <c r="TRS36" s="6"/>
      <c r="TRT36" s="6"/>
      <c r="TRU36" s="6"/>
      <c r="TRV36" s="6"/>
      <c r="TRW36" s="6"/>
      <c r="TRX36" s="6"/>
      <c r="TRY36" s="6"/>
      <c r="TRZ36" s="6"/>
      <c r="TSA36" s="6"/>
      <c r="TSB36" s="6"/>
      <c r="TSC36" s="6"/>
      <c r="TSD36" s="6"/>
      <c r="TSE36" s="6"/>
      <c r="TSF36" s="6"/>
      <c r="TSG36" s="6"/>
      <c r="TSH36" s="6"/>
      <c r="TSI36" s="6"/>
      <c r="TSJ36" s="6"/>
      <c r="TSK36" s="6"/>
      <c r="TSL36" s="6"/>
      <c r="TSM36" s="6"/>
      <c r="TSN36" s="6"/>
      <c r="TSO36" s="6"/>
      <c r="TSP36" s="6"/>
      <c r="TSQ36" s="6"/>
      <c r="TSR36" s="6"/>
      <c r="TSS36" s="6"/>
      <c r="TST36" s="6"/>
      <c r="TSU36" s="6"/>
      <c r="TSV36" s="6"/>
      <c r="TSW36" s="6"/>
      <c r="TSX36" s="6"/>
      <c r="TSY36" s="6"/>
      <c r="TSZ36" s="6"/>
      <c r="TTA36" s="6"/>
      <c r="TTB36" s="6"/>
      <c r="TTC36" s="6"/>
      <c r="TTD36" s="6"/>
      <c r="TTE36" s="6"/>
      <c r="TTF36" s="6"/>
      <c r="TTG36" s="6"/>
      <c r="TTH36" s="6"/>
      <c r="TTI36" s="6"/>
      <c r="TTJ36" s="6"/>
      <c r="TTK36" s="6"/>
      <c r="TTL36" s="6"/>
      <c r="TTM36" s="6"/>
      <c r="TTN36" s="6"/>
      <c r="TTO36" s="6"/>
      <c r="TTP36" s="6"/>
      <c r="TTQ36" s="6"/>
      <c r="TTR36" s="6"/>
      <c r="TTS36" s="6"/>
      <c r="TTT36" s="6"/>
      <c r="TTU36" s="6"/>
      <c r="TTV36" s="6"/>
      <c r="TTW36" s="6"/>
      <c r="TTX36" s="6"/>
      <c r="TTY36" s="6"/>
      <c r="TTZ36" s="6"/>
      <c r="TUA36" s="6"/>
      <c r="TUB36" s="6"/>
      <c r="TUC36" s="6"/>
      <c r="TUD36" s="6"/>
      <c r="TUE36" s="6"/>
      <c r="TUF36" s="6"/>
      <c r="TUG36" s="6"/>
      <c r="TUH36" s="6"/>
      <c r="TUI36" s="6"/>
      <c r="TUJ36" s="6"/>
      <c r="TUK36" s="6"/>
      <c r="TUL36" s="6"/>
      <c r="TUM36" s="6"/>
      <c r="TUN36" s="6"/>
      <c r="TUO36" s="6"/>
      <c r="TUP36" s="6"/>
      <c r="TUQ36" s="6"/>
      <c r="TUR36" s="6"/>
      <c r="TUS36" s="6"/>
      <c r="TUT36" s="6"/>
      <c r="TUU36" s="6"/>
      <c r="TUV36" s="6"/>
      <c r="TUW36" s="6"/>
      <c r="TUX36" s="6"/>
      <c r="TUY36" s="6"/>
      <c r="TUZ36" s="6"/>
      <c r="TVA36" s="6"/>
      <c r="TVB36" s="6"/>
      <c r="TVC36" s="6"/>
      <c r="TVD36" s="6"/>
      <c r="TVE36" s="6"/>
      <c r="TVF36" s="6"/>
      <c r="TVG36" s="6"/>
      <c r="TVH36" s="6"/>
      <c r="TVI36" s="6"/>
      <c r="TVJ36" s="6"/>
      <c r="TVK36" s="6"/>
      <c r="TVL36" s="6"/>
      <c r="TVM36" s="6"/>
      <c r="TVN36" s="6"/>
      <c r="TVO36" s="6"/>
      <c r="TVP36" s="6"/>
      <c r="TVQ36" s="6"/>
      <c r="TVR36" s="6"/>
      <c r="TVS36" s="6"/>
      <c r="TVT36" s="6"/>
      <c r="TVU36" s="6"/>
      <c r="TVV36" s="6"/>
      <c r="TVW36" s="6"/>
      <c r="TVX36" s="6"/>
      <c r="TVY36" s="6"/>
      <c r="TVZ36" s="6"/>
      <c r="TWA36" s="6"/>
      <c r="TWB36" s="6"/>
      <c r="TWC36" s="6"/>
      <c r="TWD36" s="6"/>
      <c r="TWE36" s="6"/>
      <c r="TWF36" s="6"/>
      <c r="TWG36" s="6"/>
      <c r="TWH36" s="6"/>
      <c r="TWI36" s="6"/>
      <c r="TWJ36" s="6"/>
      <c r="TWK36" s="6"/>
      <c r="TWL36" s="6"/>
      <c r="TWM36" s="6"/>
      <c r="TWN36" s="6"/>
      <c r="TWO36" s="6"/>
      <c r="TWP36" s="6"/>
      <c r="TWQ36" s="6"/>
      <c r="TWR36" s="6"/>
      <c r="TWS36" s="6"/>
      <c r="TWT36" s="6"/>
      <c r="TWU36" s="6"/>
      <c r="TWV36" s="6"/>
      <c r="TWW36" s="6"/>
      <c r="TWX36" s="6"/>
      <c r="TWY36" s="6"/>
      <c r="TWZ36" s="6"/>
      <c r="TXA36" s="6"/>
      <c r="TXB36" s="6"/>
      <c r="TXC36" s="6"/>
      <c r="TXD36" s="6"/>
      <c r="TXE36" s="6"/>
      <c r="TXF36" s="6"/>
      <c r="TXG36" s="6"/>
      <c r="TXH36" s="6"/>
      <c r="TXI36" s="6"/>
      <c r="TXJ36" s="6"/>
      <c r="TXK36" s="6"/>
      <c r="TXL36" s="6"/>
      <c r="TXM36" s="6"/>
      <c r="TXN36" s="6"/>
      <c r="TXO36" s="6"/>
      <c r="TXP36" s="6"/>
      <c r="TXQ36" s="6"/>
      <c r="TXR36" s="6"/>
      <c r="TXS36" s="6"/>
      <c r="TXT36" s="6"/>
      <c r="TXU36" s="6"/>
      <c r="TXV36" s="6"/>
      <c r="TXW36" s="6"/>
      <c r="TXX36" s="6"/>
      <c r="TXY36" s="6"/>
      <c r="TXZ36" s="6"/>
      <c r="TYA36" s="6"/>
      <c r="TYB36" s="6"/>
      <c r="TYC36" s="6"/>
      <c r="TYD36" s="6"/>
      <c r="TYE36" s="6"/>
      <c r="TYF36" s="6"/>
      <c r="TYG36" s="6"/>
      <c r="TYH36" s="6"/>
      <c r="TYI36" s="6"/>
      <c r="TYJ36" s="6"/>
      <c r="TYK36" s="6"/>
      <c r="TYL36" s="6"/>
      <c r="TYM36" s="6"/>
      <c r="TYN36" s="6"/>
      <c r="TYO36" s="6"/>
      <c r="TYP36" s="6"/>
      <c r="TYQ36" s="6"/>
      <c r="TYR36" s="6"/>
      <c r="TYS36" s="6"/>
      <c r="TYT36" s="6"/>
      <c r="TYU36" s="6"/>
      <c r="TYV36" s="6"/>
      <c r="TYW36" s="6"/>
      <c r="TYX36" s="6"/>
      <c r="TYY36" s="6"/>
      <c r="TYZ36" s="6"/>
      <c r="TZA36" s="6"/>
      <c r="TZB36" s="6"/>
      <c r="TZC36" s="6"/>
      <c r="TZD36" s="6"/>
      <c r="TZE36" s="6"/>
      <c r="TZF36" s="6"/>
      <c r="TZG36" s="6"/>
      <c r="TZH36" s="6"/>
      <c r="TZI36" s="6"/>
      <c r="TZJ36" s="6"/>
      <c r="TZK36" s="6"/>
      <c r="TZL36" s="6"/>
      <c r="TZM36" s="6"/>
      <c r="TZN36" s="6"/>
      <c r="TZO36" s="6"/>
      <c r="TZP36" s="6"/>
      <c r="TZQ36" s="6"/>
      <c r="TZR36" s="6"/>
      <c r="TZS36" s="6"/>
      <c r="TZT36" s="6"/>
      <c r="TZU36" s="6"/>
      <c r="TZV36" s="6"/>
      <c r="TZW36" s="6"/>
      <c r="TZX36" s="6"/>
      <c r="TZY36" s="6"/>
      <c r="TZZ36" s="6"/>
      <c r="UAA36" s="6"/>
      <c r="UAB36" s="6"/>
      <c r="UAC36" s="6"/>
      <c r="UAD36" s="6"/>
      <c r="UAE36" s="6"/>
      <c r="UAF36" s="6"/>
      <c r="UAG36" s="6"/>
      <c r="UAH36" s="6"/>
      <c r="UAI36" s="6"/>
      <c r="UAJ36" s="6"/>
      <c r="UAK36" s="6"/>
      <c r="UAL36" s="6"/>
      <c r="UAM36" s="6"/>
      <c r="UAN36" s="6"/>
      <c r="UAO36" s="6"/>
      <c r="UAP36" s="6"/>
      <c r="UAQ36" s="6"/>
      <c r="UAR36" s="6"/>
      <c r="UAS36" s="6"/>
      <c r="UAT36" s="6"/>
      <c r="UAU36" s="6"/>
      <c r="UAV36" s="6"/>
      <c r="UAW36" s="6"/>
      <c r="UAX36" s="6"/>
      <c r="UAY36" s="6"/>
      <c r="UAZ36" s="6"/>
      <c r="UBA36" s="6"/>
      <c r="UBB36" s="6"/>
      <c r="UBC36" s="6"/>
      <c r="UBD36" s="6"/>
      <c r="UBE36" s="6"/>
      <c r="UBF36" s="6"/>
      <c r="UBG36" s="6"/>
      <c r="UBH36" s="6"/>
      <c r="UBI36" s="6"/>
      <c r="UBJ36" s="6"/>
      <c r="UBK36" s="6"/>
      <c r="UBL36" s="6"/>
      <c r="UBM36" s="6"/>
      <c r="UBN36" s="6"/>
      <c r="UBO36" s="6"/>
      <c r="UBP36" s="6"/>
      <c r="UBQ36" s="6"/>
      <c r="UBR36" s="6"/>
      <c r="UBS36" s="6"/>
      <c r="UBT36" s="6"/>
      <c r="UBU36" s="6"/>
      <c r="UBV36" s="6"/>
      <c r="UBW36" s="6"/>
      <c r="UBX36" s="6"/>
      <c r="UBY36" s="6"/>
      <c r="UBZ36" s="6"/>
      <c r="UCA36" s="6"/>
      <c r="UCB36" s="6"/>
      <c r="UCC36" s="6"/>
      <c r="UCD36" s="6"/>
      <c r="UCE36" s="6"/>
      <c r="UCF36" s="6"/>
      <c r="UCG36" s="6"/>
      <c r="UCH36" s="6"/>
      <c r="UCI36" s="6"/>
      <c r="UCJ36" s="6"/>
      <c r="UCK36" s="6"/>
      <c r="UCL36" s="6"/>
      <c r="UCM36" s="6"/>
      <c r="UCN36" s="6"/>
      <c r="UCO36" s="6"/>
      <c r="UCP36" s="6"/>
      <c r="UCQ36" s="6"/>
      <c r="UCR36" s="6"/>
      <c r="UCS36" s="6"/>
      <c r="UCT36" s="6"/>
      <c r="UCU36" s="6"/>
      <c r="UCV36" s="6"/>
      <c r="UCW36" s="6"/>
      <c r="UCX36" s="6"/>
      <c r="UCY36" s="6"/>
      <c r="UCZ36" s="6"/>
      <c r="UDA36" s="6"/>
      <c r="UDB36" s="6"/>
      <c r="UDC36" s="6"/>
      <c r="UDD36" s="6"/>
      <c r="UDE36" s="6"/>
      <c r="UDF36" s="6"/>
      <c r="UDG36" s="6"/>
      <c r="UDH36" s="6"/>
      <c r="UDI36" s="6"/>
      <c r="UDJ36" s="6"/>
      <c r="UDK36" s="6"/>
      <c r="UDL36" s="6"/>
      <c r="UDM36" s="6"/>
      <c r="UDN36" s="6"/>
      <c r="UDO36" s="6"/>
      <c r="UDP36" s="6"/>
      <c r="UDQ36" s="6"/>
      <c r="UDR36" s="6"/>
      <c r="UDS36" s="6"/>
      <c r="UDT36" s="6"/>
      <c r="UDU36" s="6"/>
      <c r="UDV36" s="6"/>
      <c r="UDW36" s="6"/>
      <c r="UDX36" s="6"/>
      <c r="UDY36" s="6"/>
      <c r="UDZ36" s="6"/>
      <c r="UEA36" s="6"/>
      <c r="UEB36" s="6"/>
      <c r="UEC36" s="6"/>
      <c r="UED36" s="6"/>
      <c r="UEE36" s="6"/>
      <c r="UEF36" s="6"/>
      <c r="UEG36" s="6"/>
      <c r="UEH36" s="6"/>
      <c r="UEI36" s="6"/>
      <c r="UEJ36" s="6"/>
      <c r="UEK36" s="6"/>
      <c r="UEL36" s="6"/>
      <c r="UEM36" s="6"/>
      <c r="UEN36" s="6"/>
      <c r="UEO36" s="6"/>
      <c r="UEP36" s="6"/>
      <c r="UEQ36" s="6"/>
      <c r="UER36" s="6"/>
      <c r="UES36" s="6"/>
      <c r="UET36" s="6"/>
      <c r="UEU36" s="6"/>
      <c r="UEV36" s="6"/>
      <c r="UEW36" s="6"/>
      <c r="UEX36" s="6"/>
      <c r="UEY36" s="6"/>
      <c r="UEZ36" s="6"/>
      <c r="UFA36" s="6"/>
      <c r="UFB36" s="6"/>
      <c r="UFC36" s="6"/>
      <c r="UFD36" s="6"/>
      <c r="UFE36" s="6"/>
      <c r="UFF36" s="6"/>
      <c r="UFG36" s="6"/>
      <c r="UFH36" s="6"/>
      <c r="UFI36" s="6"/>
      <c r="UFJ36" s="6"/>
      <c r="UFK36" s="6"/>
      <c r="UFL36" s="6"/>
      <c r="UFM36" s="6"/>
      <c r="UFN36" s="6"/>
      <c r="UFO36" s="6"/>
      <c r="UFP36" s="6"/>
      <c r="UFQ36" s="6"/>
      <c r="UFR36" s="6"/>
      <c r="UFS36" s="6"/>
      <c r="UFT36" s="6"/>
      <c r="UFU36" s="6"/>
      <c r="UFV36" s="6"/>
      <c r="UFW36" s="6"/>
      <c r="UFX36" s="6"/>
      <c r="UFY36" s="6"/>
      <c r="UFZ36" s="6"/>
      <c r="UGA36" s="6"/>
      <c r="UGB36" s="6"/>
      <c r="UGC36" s="6"/>
      <c r="UGD36" s="6"/>
      <c r="UGE36" s="6"/>
      <c r="UGF36" s="6"/>
      <c r="UGG36" s="6"/>
      <c r="UGH36" s="6"/>
      <c r="UGI36" s="6"/>
      <c r="UGJ36" s="6"/>
      <c r="UGK36" s="6"/>
      <c r="UGL36" s="6"/>
      <c r="UGM36" s="6"/>
      <c r="UGN36" s="6"/>
      <c r="UGO36" s="6"/>
      <c r="UGP36" s="6"/>
      <c r="UGQ36" s="6"/>
      <c r="UGR36" s="6"/>
      <c r="UGS36" s="6"/>
      <c r="UGT36" s="6"/>
      <c r="UGU36" s="6"/>
      <c r="UGV36" s="6"/>
      <c r="UGW36" s="6"/>
      <c r="UGX36" s="6"/>
      <c r="UGY36" s="6"/>
      <c r="UGZ36" s="6"/>
      <c r="UHA36" s="6"/>
      <c r="UHB36" s="6"/>
      <c r="UHC36" s="6"/>
      <c r="UHD36" s="6"/>
      <c r="UHE36" s="6"/>
      <c r="UHF36" s="6"/>
      <c r="UHG36" s="6"/>
      <c r="UHH36" s="6"/>
      <c r="UHI36" s="6"/>
      <c r="UHJ36" s="6"/>
      <c r="UHK36" s="6"/>
      <c r="UHL36" s="6"/>
      <c r="UHM36" s="6"/>
      <c r="UHN36" s="6"/>
      <c r="UHO36" s="6"/>
      <c r="UHP36" s="6"/>
      <c r="UHQ36" s="6"/>
      <c r="UHR36" s="6"/>
      <c r="UHS36" s="6"/>
      <c r="UHT36" s="6"/>
      <c r="UHU36" s="6"/>
      <c r="UHV36" s="6"/>
      <c r="UHW36" s="6"/>
      <c r="UHX36" s="6"/>
      <c r="UHY36" s="6"/>
      <c r="UHZ36" s="6"/>
      <c r="UIA36" s="6"/>
      <c r="UIB36" s="6"/>
      <c r="UIC36" s="6"/>
      <c r="UID36" s="6"/>
      <c r="UIE36" s="6"/>
      <c r="UIF36" s="6"/>
      <c r="UIG36" s="6"/>
      <c r="UIH36" s="6"/>
      <c r="UII36" s="6"/>
      <c r="UIJ36" s="6"/>
      <c r="UIK36" s="6"/>
      <c r="UIL36" s="6"/>
      <c r="UIM36" s="6"/>
      <c r="UIN36" s="6"/>
      <c r="UIO36" s="6"/>
      <c r="UIP36" s="6"/>
      <c r="UIQ36" s="6"/>
      <c r="UIR36" s="6"/>
      <c r="UIS36" s="6"/>
      <c r="UIT36" s="6"/>
      <c r="UIU36" s="6"/>
      <c r="UIV36" s="6"/>
      <c r="UIW36" s="6"/>
      <c r="UIX36" s="6"/>
      <c r="UIY36" s="6"/>
      <c r="UIZ36" s="6"/>
      <c r="UJA36" s="6"/>
      <c r="UJB36" s="6"/>
      <c r="UJC36" s="6"/>
      <c r="UJD36" s="6"/>
      <c r="UJE36" s="6"/>
      <c r="UJF36" s="6"/>
      <c r="UJG36" s="6"/>
      <c r="UJH36" s="6"/>
      <c r="UJI36" s="6"/>
      <c r="UJJ36" s="6"/>
      <c r="UJK36" s="6"/>
      <c r="UJL36" s="6"/>
      <c r="UJM36" s="6"/>
      <c r="UJN36" s="6"/>
      <c r="UJO36" s="6"/>
      <c r="UJP36" s="6"/>
      <c r="UJQ36" s="6"/>
      <c r="UJR36" s="6"/>
      <c r="UJS36" s="6"/>
      <c r="UJT36" s="6"/>
      <c r="UJU36" s="6"/>
      <c r="UJV36" s="6"/>
      <c r="UJW36" s="6"/>
      <c r="UJX36" s="6"/>
      <c r="UJY36" s="6"/>
      <c r="UJZ36" s="6"/>
      <c r="UKA36" s="6"/>
      <c r="UKB36" s="6"/>
      <c r="UKC36" s="6"/>
      <c r="UKD36" s="6"/>
      <c r="UKE36" s="6"/>
      <c r="UKF36" s="6"/>
      <c r="UKG36" s="6"/>
      <c r="UKH36" s="6"/>
      <c r="UKI36" s="6"/>
      <c r="UKJ36" s="6"/>
      <c r="UKK36" s="6"/>
      <c r="UKL36" s="6"/>
      <c r="UKM36" s="6"/>
      <c r="UKN36" s="6"/>
      <c r="UKO36" s="6"/>
      <c r="UKP36" s="6"/>
      <c r="UKQ36" s="6"/>
      <c r="UKR36" s="6"/>
      <c r="UKS36" s="6"/>
      <c r="UKT36" s="6"/>
      <c r="UKU36" s="6"/>
      <c r="UKV36" s="6"/>
      <c r="UKW36" s="6"/>
      <c r="UKX36" s="6"/>
      <c r="UKY36" s="6"/>
      <c r="UKZ36" s="6"/>
      <c r="ULA36" s="6"/>
      <c r="ULB36" s="6"/>
      <c r="ULC36" s="6"/>
      <c r="ULD36" s="6"/>
      <c r="ULE36" s="6"/>
      <c r="ULF36" s="6"/>
      <c r="ULG36" s="6"/>
      <c r="ULH36" s="6"/>
      <c r="ULI36" s="6"/>
      <c r="ULJ36" s="6"/>
      <c r="ULK36" s="6"/>
      <c r="ULL36" s="6"/>
      <c r="ULM36" s="6"/>
      <c r="ULN36" s="6"/>
      <c r="ULO36" s="6"/>
      <c r="ULP36" s="6"/>
      <c r="ULQ36" s="6"/>
      <c r="ULR36" s="6"/>
      <c r="ULS36" s="6"/>
      <c r="ULT36" s="6"/>
      <c r="ULU36" s="6"/>
      <c r="ULV36" s="6"/>
      <c r="ULW36" s="6"/>
      <c r="ULX36" s="6"/>
      <c r="ULY36" s="6"/>
      <c r="ULZ36" s="6"/>
      <c r="UMA36" s="6"/>
      <c r="UMB36" s="6"/>
      <c r="UMC36" s="6"/>
      <c r="UMD36" s="6"/>
      <c r="UME36" s="6"/>
      <c r="UMF36" s="6"/>
      <c r="UMG36" s="6"/>
      <c r="UMH36" s="6"/>
      <c r="UMI36" s="6"/>
      <c r="UMJ36" s="6"/>
      <c r="UMK36" s="6"/>
      <c r="UML36" s="6"/>
      <c r="UMM36" s="6"/>
      <c r="UMN36" s="6"/>
      <c r="UMO36" s="6"/>
      <c r="UMP36" s="6"/>
      <c r="UMQ36" s="6"/>
      <c r="UMR36" s="6"/>
      <c r="UMS36" s="6"/>
      <c r="UMT36" s="6"/>
      <c r="UMU36" s="6"/>
      <c r="UMV36" s="6"/>
      <c r="UMW36" s="6"/>
      <c r="UMX36" s="6"/>
      <c r="UMY36" s="6"/>
      <c r="UMZ36" s="6"/>
      <c r="UNA36" s="6"/>
      <c r="UNB36" s="6"/>
      <c r="UNC36" s="6"/>
      <c r="UND36" s="6"/>
      <c r="UNE36" s="6"/>
      <c r="UNF36" s="6"/>
      <c r="UNG36" s="6"/>
      <c r="UNH36" s="6"/>
      <c r="UNI36" s="6"/>
      <c r="UNJ36" s="6"/>
      <c r="UNK36" s="6"/>
      <c r="UNL36" s="6"/>
      <c r="UNM36" s="6"/>
      <c r="UNN36" s="6"/>
      <c r="UNO36" s="6"/>
      <c r="UNP36" s="6"/>
      <c r="UNQ36" s="6"/>
      <c r="UNR36" s="6"/>
      <c r="UNS36" s="6"/>
      <c r="UNT36" s="6"/>
      <c r="UNU36" s="6"/>
      <c r="UNV36" s="6"/>
      <c r="UNW36" s="6"/>
      <c r="UNX36" s="6"/>
      <c r="UNY36" s="6"/>
      <c r="UNZ36" s="6"/>
      <c r="UOA36" s="6"/>
      <c r="UOB36" s="6"/>
      <c r="UOC36" s="6"/>
      <c r="UOD36" s="6"/>
      <c r="UOE36" s="6"/>
      <c r="UOF36" s="6"/>
      <c r="UOG36" s="6"/>
      <c r="UOH36" s="6"/>
      <c r="UOI36" s="6"/>
      <c r="UOJ36" s="6"/>
      <c r="UOK36" s="6"/>
      <c r="UOL36" s="6"/>
      <c r="UOM36" s="6"/>
      <c r="UON36" s="6"/>
      <c r="UOO36" s="6"/>
      <c r="UOP36" s="6"/>
      <c r="UOQ36" s="6"/>
      <c r="UOR36" s="6"/>
      <c r="UOS36" s="6"/>
      <c r="UOT36" s="6"/>
      <c r="UOU36" s="6"/>
      <c r="UOV36" s="6"/>
      <c r="UOW36" s="6"/>
      <c r="UOX36" s="6"/>
      <c r="UOY36" s="6"/>
      <c r="UOZ36" s="6"/>
      <c r="UPA36" s="6"/>
      <c r="UPB36" s="6"/>
      <c r="UPC36" s="6"/>
      <c r="UPD36" s="6"/>
      <c r="UPE36" s="6"/>
      <c r="UPF36" s="6"/>
      <c r="UPG36" s="6"/>
      <c r="UPH36" s="6"/>
      <c r="UPI36" s="6"/>
      <c r="UPJ36" s="6"/>
      <c r="UPK36" s="6"/>
      <c r="UPL36" s="6"/>
      <c r="UPM36" s="6"/>
      <c r="UPN36" s="6"/>
      <c r="UPO36" s="6"/>
      <c r="UPP36" s="6"/>
      <c r="UPQ36" s="6"/>
      <c r="UPR36" s="6"/>
      <c r="UPS36" s="6"/>
      <c r="UPT36" s="6"/>
      <c r="UPU36" s="6"/>
      <c r="UPV36" s="6"/>
      <c r="UPW36" s="6"/>
      <c r="UPX36" s="6"/>
      <c r="UPY36" s="6"/>
      <c r="UPZ36" s="6"/>
      <c r="UQA36" s="6"/>
      <c r="UQB36" s="6"/>
      <c r="UQC36" s="6"/>
      <c r="UQD36" s="6"/>
      <c r="UQE36" s="6"/>
      <c r="UQF36" s="6"/>
      <c r="UQG36" s="6"/>
      <c r="UQH36" s="6"/>
      <c r="UQI36" s="6"/>
      <c r="UQJ36" s="6"/>
      <c r="UQK36" s="6"/>
      <c r="UQL36" s="6"/>
      <c r="UQM36" s="6"/>
      <c r="UQN36" s="6"/>
      <c r="UQO36" s="6"/>
      <c r="UQP36" s="6"/>
      <c r="UQQ36" s="6"/>
      <c r="UQR36" s="6"/>
      <c r="UQS36" s="6"/>
      <c r="UQT36" s="6"/>
      <c r="UQU36" s="6"/>
      <c r="UQV36" s="6"/>
      <c r="UQW36" s="6"/>
      <c r="UQX36" s="6"/>
      <c r="UQY36" s="6"/>
      <c r="UQZ36" s="6"/>
      <c r="URA36" s="6"/>
      <c r="URB36" s="6"/>
      <c r="URC36" s="6"/>
      <c r="URD36" s="6"/>
      <c r="URE36" s="6"/>
      <c r="URF36" s="6"/>
      <c r="URG36" s="6"/>
      <c r="URH36" s="6"/>
      <c r="URI36" s="6"/>
      <c r="URJ36" s="6"/>
      <c r="URK36" s="6"/>
      <c r="URL36" s="6"/>
      <c r="URM36" s="6"/>
      <c r="URN36" s="6"/>
      <c r="URO36" s="6"/>
      <c r="URP36" s="6"/>
      <c r="URQ36" s="6"/>
      <c r="URR36" s="6"/>
      <c r="URS36" s="6"/>
      <c r="URT36" s="6"/>
      <c r="URU36" s="6"/>
      <c r="URV36" s="6"/>
      <c r="URW36" s="6"/>
      <c r="URX36" s="6"/>
      <c r="URY36" s="6"/>
      <c r="URZ36" s="6"/>
      <c r="USA36" s="6"/>
      <c r="USB36" s="6"/>
      <c r="USC36" s="6"/>
      <c r="USD36" s="6"/>
      <c r="USE36" s="6"/>
      <c r="USF36" s="6"/>
      <c r="USG36" s="6"/>
      <c r="USH36" s="6"/>
      <c r="USI36" s="6"/>
      <c r="USJ36" s="6"/>
      <c r="USK36" s="6"/>
      <c r="USL36" s="6"/>
      <c r="USM36" s="6"/>
      <c r="USN36" s="6"/>
      <c r="USO36" s="6"/>
      <c r="USP36" s="6"/>
      <c r="USQ36" s="6"/>
      <c r="USR36" s="6"/>
      <c r="USS36" s="6"/>
      <c r="UST36" s="6"/>
      <c r="USU36" s="6"/>
      <c r="USV36" s="6"/>
      <c r="USW36" s="6"/>
      <c r="USX36" s="6"/>
      <c r="USY36" s="6"/>
      <c r="USZ36" s="6"/>
      <c r="UTA36" s="6"/>
      <c r="UTB36" s="6"/>
      <c r="UTC36" s="6"/>
      <c r="UTD36" s="6"/>
      <c r="UTE36" s="6"/>
      <c r="UTF36" s="6"/>
      <c r="UTG36" s="6"/>
      <c r="UTH36" s="6"/>
      <c r="UTI36" s="6"/>
      <c r="UTJ36" s="6"/>
      <c r="UTK36" s="6"/>
      <c r="UTL36" s="6"/>
      <c r="UTM36" s="6"/>
      <c r="UTN36" s="6"/>
      <c r="UTO36" s="6"/>
      <c r="UTP36" s="6"/>
      <c r="UTQ36" s="6"/>
      <c r="UTR36" s="6"/>
      <c r="UTS36" s="6"/>
      <c r="UTT36" s="6"/>
      <c r="UTU36" s="6"/>
      <c r="UTV36" s="6"/>
      <c r="UTW36" s="6"/>
      <c r="UTX36" s="6"/>
      <c r="UTY36" s="6"/>
      <c r="UTZ36" s="6"/>
      <c r="UUA36" s="6"/>
      <c r="UUB36" s="6"/>
      <c r="UUC36" s="6"/>
      <c r="UUD36" s="6"/>
      <c r="UUE36" s="6"/>
      <c r="UUF36" s="6"/>
      <c r="UUG36" s="6"/>
      <c r="UUH36" s="6"/>
      <c r="UUI36" s="6"/>
      <c r="UUJ36" s="6"/>
      <c r="UUK36" s="6"/>
      <c r="UUL36" s="6"/>
      <c r="UUM36" s="6"/>
      <c r="UUN36" s="6"/>
      <c r="UUO36" s="6"/>
      <c r="UUP36" s="6"/>
      <c r="UUQ36" s="6"/>
      <c r="UUR36" s="6"/>
      <c r="UUS36" s="6"/>
      <c r="UUT36" s="6"/>
      <c r="UUU36" s="6"/>
      <c r="UUV36" s="6"/>
      <c r="UUW36" s="6"/>
      <c r="UUX36" s="6"/>
      <c r="UUY36" s="6"/>
      <c r="UUZ36" s="6"/>
      <c r="UVA36" s="6"/>
      <c r="UVB36" s="6"/>
      <c r="UVC36" s="6"/>
      <c r="UVD36" s="6"/>
      <c r="UVE36" s="6"/>
      <c r="UVF36" s="6"/>
      <c r="UVG36" s="6"/>
      <c r="UVH36" s="6"/>
      <c r="UVI36" s="6"/>
      <c r="UVJ36" s="6"/>
      <c r="UVK36" s="6"/>
      <c r="UVL36" s="6"/>
      <c r="UVM36" s="6"/>
      <c r="UVN36" s="6"/>
      <c r="UVO36" s="6"/>
      <c r="UVP36" s="6"/>
      <c r="UVQ36" s="6"/>
      <c r="UVR36" s="6"/>
      <c r="UVS36" s="6"/>
      <c r="UVT36" s="6"/>
      <c r="UVU36" s="6"/>
      <c r="UVV36" s="6"/>
      <c r="UVW36" s="6"/>
      <c r="UVX36" s="6"/>
      <c r="UVY36" s="6"/>
      <c r="UVZ36" s="6"/>
      <c r="UWA36" s="6"/>
      <c r="UWB36" s="6"/>
      <c r="UWC36" s="6"/>
      <c r="UWD36" s="6"/>
      <c r="UWE36" s="6"/>
      <c r="UWF36" s="6"/>
      <c r="UWG36" s="6"/>
      <c r="UWH36" s="6"/>
      <c r="UWI36" s="6"/>
      <c r="UWJ36" s="6"/>
      <c r="UWK36" s="6"/>
      <c r="UWL36" s="6"/>
      <c r="UWM36" s="6"/>
      <c r="UWN36" s="6"/>
      <c r="UWO36" s="6"/>
      <c r="UWP36" s="6"/>
      <c r="UWQ36" s="6"/>
      <c r="UWR36" s="6"/>
      <c r="UWS36" s="6"/>
      <c r="UWT36" s="6"/>
      <c r="UWU36" s="6"/>
      <c r="UWV36" s="6"/>
      <c r="UWW36" s="6"/>
      <c r="UWX36" s="6"/>
      <c r="UWY36" s="6"/>
      <c r="UWZ36" s="6"/>
      <c r="UXA36" s="6"/>
      <c r="UXB36" s="6"/>
      <c r="UXC36" s="6"/>
      <c r="UXD36" s="6"/>
      <c r="UXE36" s="6"/>
      <c r="UXF36" s="6"/>
      <c r="UXG36" s="6"/>
      <c r="UXH36" s="6"/>
      <c r="UXI36" s="6"/>
      <c r="UXJ36" s="6"/>
      <c r="UXK36" s="6"/>
      <c r="UXL36" s="6"/>
      <c r="UXM36" s="6"/>
      <c r="UXN36" s="6"/>
      <c r="UXO36" s="6"/>
      <c r="UXP36" s="6"/>
      <c r="UXQ36" s="6"/>
      <c r="UXR36" s="6"/>
      <c r="UXS36" s="6"/>
      <c r="UXT36" s="6"/>
      <c r="UXU36" s="6"/>
      <c r="UXV36" s="6"/>
      <c r="UXW36" s="6"/>
      <c r="UXX36" s="6"/>
      <c r="UXY36" s="6"/>
      <c r="UXZ36" s="6"/>
      <c r="UYA36" s="6"/>
      <c r="UYB36" s="6"/>
      <c r="UYC36" s="6"/>
      <c r="UYD36" s="6"/>
      <c r="UYE36" s="6"/>
      <c r="UYF36" s="6"/>
      <c r="UYG36" s="6"/>
      <c r="UYH36" s="6"/>
      <c r="UYI36" s="6"/>
      <c r="UYJ36" s="6"/>
      <c r="UYK36" s="6"/>
      <c r="UYL36" s="6"/>
      <c r="UYM36" s="6"/>
      <c r="UYN36" s="6"/>
      <c r="UYO36" s="6"/>
      <c r="UYP36" s="6"/>
      <c r="UYQ36" s="6"/>
      <c r="UYR36" s="6"/>
      <c r="UYS36" s="6"/>
      <c r="UYT36" s="6"/>
      <c r="UYU36" s="6"/>
      <c r="UYV36" s="6"/>
      <c r="UYW36" s="6"/>
      <c r="UYX36" s="6"/>
      <c r="UYY36" s="6"/>
      <c r="UYZ36" s="6"/>
      <c r="UZA36" s="6"/>
      <c r="UZB36" s="6"/>
      <c r="UZC36" s="6"/>
      <c r="UZD36" s="6"/>
      <c r="UZE36" s="6"/>
      <c r="UZF36" s="6"/>
      <c r="UZG36" s="6"/>
      <c r="UZH36" s="6"/>
      <c r="UZI36" s="6"/>
      <c r="UZJ36" s="6"/>
      <c r="UZK36" s="6"/>
      <c r="UZL36" s="6"/>
      <c r="UZM36" s="6"/>
      <c r="UZN36" s="6"/>
      <c r="UZO36" s="6"/>
      <c r="UZP36" s="6"/>
      <c r="UZQ36" s="6"/>
      <c r="UZR36" s="6"/>
      <c r="UZS36" s="6"/>
      <c r="UZT36" s="6"/>
      <c r="UZU36" s="6"/>
      <c r="UZV36" s="6"/>
      <c r="UZW36" s="6"/>
      <c r="UZX36" s="6"/>
      <c r="UZY36" s="6"/>
      <c r="UZZ36" s="6"/>
      <c r="VAA36" s="6"/>
      <c r="VAB36" s="6"/>
      <c r="VAC36" s="6"/>
      <c r="VAD36" s="6"/>
      <c r="VAE36" s="6"/>
      <c r="VAF36" s="6"/>
      <c r="VAG36" s="6"/>
      <c r="VAH36" s="6"/>
      <c r="VAI36" s="6"/>
      <c r="VAJ36" s="6"/>
      <c r="VAK36" s="6"/>
      <c r="VAL36" s="6"/>
      <c r="VAM36" s="6"/>
      <c r="VAN36" s="6"/>
      <c r="VAO36" s="6"/>
      <c r="VAP36" s="6"/>
      <c r="VAQ36" s="6"/>
      <c r="VAR36" s="6"/>
      <c r="VAS36" s="6"/>
      <c r="VAT36" s="6"/>
      <c r="VAU36" s="6"/>
      <c r="VAV36" s="6"/>
      <c r="VAW36" s="6"/>
      <c r="VAX36" s="6"/>
      <c r="VAY36" s="6"/>
      <c r="VAZ36" s="6"/>
      <c r="VBA36" s="6"/>
      <c r="VBB36" s="6"/>
      <c r="VBC36" s="6"/>
      <c r="VBD36" s="6"/>
      <c r="VBE36" s="6"/>
      <c r="VBF36" s="6"/>
      <c r="VBG36" s="6"/>
      <c r="VBH36" s="6"/>
      <c r="VBI36" s="6"/>
      <c r="VBJ36" s="6"/>
      <c r="VBK36" s="6"/>
      <c r="VBL36" s="6"/>
      <c r="VBM36" s="6"/>
      <c r="VBN36" s="6"/>
      <c r="VBO36" s="6"/>
      <c r="VBP36" s="6"/>
      <c r="VBQ36" s="6"/>
      <c r="VBR36" s="6"/>
      <c r="VBS36" s="6"/>
      <c r="VBT36" s="6"/>
      <c r="VBU36" s="6"/>
      <c r="VBV36" s="6"/>
      <c r="VBW36" s="6"/>
      <c r="VBX36" s="6"/>
      <c r="VBY36" s="6"/>
      <c r="VBZ36" s="6"/>
      <c r="VCA36" s="6"/>
      <c r="VCB36" s="6"/>
      <c r="VCC36" s="6"/>
      <c r="VCD36" s="6"/>
      <c r="VCE36" s="6"/>
      <c r="VCF36" s="6"/>
      <c r="VCG36" s="6"/>
      <c r="VCH36" s="6"/>
      <c r="VCI36" s="6"/>
      <c r="VCJ36" s="6"/>
      <c r="VCK36" s="6"/>
      <c r="VCL36" s="6"/>
      <c r="VCM36" s="6"/>
      <c r="VCN36" s="6"/>
      <c r="VCO36" s="6"/>
      <c r="VCP36" s="6"/>
      <c r="VCQ36" s="6"/>
      <c r="VCR36" s="6"/>
      <c r="VCS36" s="6"/>
      <c r="VCT36" s="6"/>
      <c r="VCU36" s="6"/>
      <c r="VCV36" s="6"/>
      <c r="VCW36" s="6"/>
      <c r="VCX36" s="6"/>
      <c r="VCY36" s="6"/>
      <c r="VCZ36" s="6"/>
      <c r="VDA36" s="6"/>
      <c r="VDB36" s="6"/>
      <c r="VDC36" s="6"/>
      <c r="VDD36" s="6"/>
      <c r="VDE36" s="6"/>
      <c r="VDF36" s="6"/>
      <c r="VDG36" s="6"/>
      <c r="VDH36" s="6"/>
      <c r="VDI36" s="6"/>
      <c r="VDJ36" s="6"/>
      <c r="VDK36" s="6"/>
      <c r="VDL36" s="6"/>
      <c r="VDM36" s="6"/>
      <c r="VDN36" s="6"/>
      <c r="VDO36" s="6"/>
      <c r="VDP36" s="6"/>
      <c r="VDQ36" s="6"/>
      <c r="VDR36" s="6"/>
      <c r="VDS36" s="6"/>
      <c r="VDT36" s="6"/>
      <c r="VDU36" s="6"/>
      <c r="VDV36" s="6"/>
      <c r="VDW36" s="6"/>
      <c r="VDX36" s="6"/>
      <c r="VDY36" s="6"/>
      <c r="VDZ36" s="6"/>
      <c r="VEA36" s="6"/>
      <c r="VEB36" s="6"/>
      <c r="VEC36" s="6"/>
      <c r="VED36" s="6"/>
      <c r="VEE36" s="6"/>
      <c r="VEF36" s="6"/>
      <c r="VEG36" s="6"/>
      <c r="VEH36" s="6"/>
      <c r="VEI36" s="6"/>
      <c r="VEJ36" s="6"/>
      <c r="VEK36" s="6"/>
      <c r="VEL36" s="6"/>
      <c r="VEM36" s="6"/>
      <c r="VEN36" s="6"/>
      <c r="VEO36" s="6"/>
      <c r="VEP36" s="6"/>
      <c r="VEQ36" s="6"/>
      <c r="VER36" s="6"/>
      <c r="VES36" s="6"/>
      <c r="VET36" s="6"/>
      <c r="VEU36" s="6"/>
      <c r="VEV36" s="6"/>
      <c r="VEW36" s="6"/>
      <c r="VEX36" s="6"/>
      <c r="VEY36" s="6"/>
      <c r="VEZ36" s="6"/>
      <c r="VFA36" s="6"/>
      <c r="VFB36" s="6"/>
      <c r="VFC36" s="6"/>
      <c r="VFD36" s="6"/>
      <c r="VFE36" s="6"/>
      <c r="VFF36" s="6"/>
      <c r="VFG36" s="6"/>
      <c r="VFH36" s="6"/>
      <c r="VFI36" s="6"/>
      <c r="VFJ36" s="6"/>
      <c r="VFK36" s="6"/>
      <c r="VFL36" s="6"/>
      <c r="VFM36" s="6"/>
      <c r="VFN36" s="6"/>
      <c r="VFO36" s="6"/>
      <c r="VFP36" s="6"/>
      <c r="VFQ36" s="6"/>
      <c r="VFR36" s="6"/>
      <c r="VFS36" s="6"/>
      <c r="VFT36" s="6"/>
      <c r="VFU36" s="6"/>
      <c r="VFV36" s="6"/>
      <c r="VFW36" s="6"/>
      <c r="VFX36" s="6"/>
      <c r="VFY36" s="6"/>
      <c r="VFZ36" s="6"/>
      <c r="VGA36" s="6"/>
      <c r="VGB36" s="6"/>
      <c r="VGC36" s="6"/>
      <c r="VGD36" s="6"/>
      <c r="VGE36" s="6"/>
      <c r="VGF36" s="6"/>
      <c r="VGG36" s="6"/>
      <c r="VGH36" s="6"/>
      <c r="VGI36" s="6"/>
      <c r="VGJ36" s="6"/>
      <c r="VGK36" s="6"/>
      <c r="VGL36" s="6"/>
      <c r="VGM36" s="6"/>
      <c r="VGN36" s="6"/>
      <c r="VGO36" s="6"/>
      <c r="VGP36" s="6"/>
      <c r="VGQ36" s="6"/>
      <c r="VGR36" s="6"/>
      <c r="VGS36" s="6"/>
      <c r="VGT36" s="6"/>
      <c r="VGU36" s="6"/>
      <c r="VGV36" s="6"/>
      <c r="VGW36" s="6"/>
      <c r="VGX36" s="6"/>
      <c r="VGY36" s="6"/>
      <c r="VGZ36" s="6"/>
      <c r="VHA36" s="6"/>
      <c r="VHB36" s="6"/>
      <c r="VHC36" s="6"/>
      <c r="VHD36" s="6"/>
      <c r="VHE36" s="6"/>
      <c r="VHF36" s="6"/>
      <c r="VHG36" s="6"/>
      <c r="VHH36" s="6"/>
      <c r="VHI36" s="6"/>
      <c r="VHJ36" s="6"/>
      <c r="VHK36" s="6"/>
      <c r="VHL36" s="6"/>
    </row>
    <row r="37" spans="1:15092" s="1" customFormat="1" ht="13.8">
      <c r="B37" s="70"/>
      <c r="C37" s="197" t="s">
        <v>41</v>
      </c>
      <c r="D37" s="257">
        <f>SUM(D38:D39)</f>
        <v>1128336.1585714291</v>
      </c>
      <c r="E37" s="198" t="s">
        <v>9</v>
      </c>
      <c r="F37" s="64">
        <f>SUM(F38:F39)</f>
        <v>0</v>
      </c>
      <c r="G37" s="64">
        <f t="shared" ref="G37:O37" si="13">SUM(G38:G39)</f>
        <v>0</v>
      </c>
      <c r="H37" s="64">
        <f t="shared" si="13"/>
        <v>0</v>
      </c>
      <c r="I37" s="285">
        <f t="shared" si="13"/>
        <v>0</v>
      </c>
      <c r="J37" s="64">
        <f t="shared" si="13"/>
        <v>0</v>
      </c>
      <c r="K37" s="64">
        <f t="shared" si="13"/>
        <v>0</v>
      </c>
      <c r="L37" s="64">
        <f t="shared" si="13"/>
        <v>0</v>
      </c>
      <c r="M37" s="285">
        <f t="shared" si="13"/>
        <v>0</v>
      </c>
      <c r="N37" s="285">
        <f t="shared" si="13"/>
        <v>0</v>
      </c>
      <c r="O37" s="64">
        <f t="shared" si="13"/>
        <v>672000.00000008696</v>
      </c>
      <c r="P37" s="64">
        <v>0</v>
      </c>
      <c r="Q37" s="285">
        <v>0</v>
      </c>
      <c r="R37" s="285">
        <v>0</v>
      </c>
      <c r="S37" s="64">
        <v>0</v>
      </c>
      <c r="T37" s="285">
        <v>0</v>
      </c>
      <c r="U37" s="285">
        <v>0</v>
      </c>
      <c r="V37" s="64">
        <v>0</v>
      </c>
      <c r="W37" s="64">
        <v>0</v>
      </c>
      <c r="X37" s="64">
        <f>SUM(X38:X39)</f>
        <v>339799.99999997701</v>
      </c>
      <c r="Y37" s="64">
        <v>0</v>
      </c>
      <c r="Z37" s="285">
        <v>0</v>
      </c>
      <c r="AA37" s="64">
        <v>0</v>
      </c>
      <c r="AB37" s="64">
        <v>0</v>
      </c>
      <c r="AC37" s="64">
        <v>0</v>
      </c>
      <c r="AD37" s="64">
        <v>0</v>
      </c>
      <c r="AE37" s="285">
        <v>0</v>
      </c>
      <c r="AF37" s="285">
        <v>0</v>
      </c>
      <c r="AG37" s="64">
        <v>0</v>
      </c>
      <c r="AH37" s="64">
        <v>0</v>
      </c>
      <c r="AI37" s="64">
        <v>0</v>
      </c>
      <c r="AJ37" s="64">
        <v>0</v>
      </c>
      <c r="AK37" s="115"/>
      <c r="AL37" s="123">
        <f t="shared" si="12"/>
        <v>1011800.000000064</v>
      </c>
      <c r="AM37" s="224"/>
      <c r="AN37" s="116"/>
    </row>
    <row r="38" spans="1:15092" s="1" customFormat="1" ht="13.8">
      <c r="B38" s="70"/>
      <c r="C38" s="197" t="s">
        <v>42</v>
      </c>
      <c r="D38" s="257">
        <f>789.835311*1000</f>
        <v>789835.3110000001</v>
      </c>
      <c r="E38" s="198" t="s">
        <v>9</v>
      </c>
      <c r="F38" s="64">
        <v>0</v>
      </c>
      <c r="G38" s="64">
        <v>0</v>
      </c>
      <c r="H38" s="64">
        <v>0</v>
      </c>
      <c r="I38" s="285">
        <v>0</v>
      </c>
      <c r="J38" s="64">
        <v>0</v>
      </c>
      <c r="K38" s="64">
        <v>0</v>
      </c>
      <c r="L38" s="64">
        <v>0</v>
      </c>
      <c r="M38" s="285">
        <v>0</v>
      </c>
      <c r="N38" s="285">
        <v>0</v>
      </c>
      <c r="O38" s="64">
        <f>536.70000000007*1000</f>
        <v>536700.00000006997</v>
      </c>
      <c r="P38" s="64">
        <v>0</v>
      </c>
      <c r="Q38" s="285">
        <v>0</v>
      </c>
      <c r="R38" s="285">
        <v>0</v>
      </c>
      <c r="S38" s="64">
        <v>0</v>
      </c>
      <c r="T38" s="285">
        <v>0</v>
      </c>
      <c r="U38" s="285">
        <v>0</v>
      </c>
      <c r="V38" s="64">
        <v>0</v>
      </c>
      <c r="W38" s="64">
        <v>0</v>
      </c>
      <c r="X38" s="64">
        <f>259.599999999977*1000</f>
        <v>259599.99999997701</v>
      </c>
      <c r="Y38" s="64">
        <v>0</v>
      </c>
      <c r="Z38" s="285">
        <v>0</v>
      </c>
      <c r="AA38" s="64">
        <v>0</v>
      </c>
      <c r="AB38" s="64">
        <v>0</v>
      </c>
      <c r="AC38" s="64">
        <v>0</v>
      </c>
      <c r="AD38" s="64">
        <v>0</v>
      </c>
      <c r="AE38" s="285">
        <v>0</v>
      </c>
      <c r="AF38" s="285">
        <v>0</v>
      </c>
      <c r="AG38" s="64">
        <v>0</v>
      </c>
      <c r="AH38" s="64">
        <v>0</v>
      </c>
      <c r="AI38" s="64">
        <v>0</v>
      </c>
      <c r="AJ38" s="64">
        <v>0</v>
      </c>
      <c r="AK38" s="115"/>
      <c r="AL38" s="125">
        <f>SUM(F38:AJ38)</f>
        <v>796300.00000004703</v>
      </c>
      <c r="AM38" s="224"/>
      <c r="AN38" s="116"/>
      <c r="AP38" s="225">
        <f>AP33-AP34</f>
        <v>3763.9999999999345</v>
      </c>
    </row>
    <row r="39" spans="1:15092" s="1" customFormat="1" ht="13.8">
      <c r="B39" s="70"/>
      <c r="C39" s="61" t="s">
        <v>38</v>
      </c>
      <c r="D39" s="257">
        <f>338.500847571429*1000</f>
        <v>338500.84757142898</v>
      </c>
      <c r="E39" s="198" t="s">
        <v>9</v>
      </c>
      <c r="F39" s="64">
        <v>0</v>
      </c>
      <c r="G39" s="64">
        <v>0</v>
      </c>
      <c r="H39" s="64">
        <v>0</v>
      </c>
      <c r="I39" s="285">
        <v>0</v>
      </c>
      <c r="J39" s="64">
        <v>0</v>
      </c>
      <c r="K39" s="64">
        <v>0</v>
      </c>
      <c r="L39" s="64">
        <v>0</v>
      </c>
      <c r="M39" s="285">
        <v>0</v>
      </c>
      <c r="N39" s="285">
        <v>0</v>
      </c>
      <c r="O39" s="64">
        <f>135.300000000017*1000</f>
        <v>135300.000000017</v>
      </c>
      <c r="P39" s="64">
        <v>0</v>
      </c>
      <c r="Q39" s="285">
        <v>0</v>
      </c>
      <c r="R39" s="285">
        <v>0</v>
      </c>
      <c r="S39" s="64">
        <v>0</v>
      </c>
      <c r="T39" s="285">
        <v>0</v>
      </c>
      <c r="U39" s="285">
        <v>0</v>
      </c>
      <c r="V39" s="64">
        <v>0</v>
      </c>
      <c r="W39" s="64">
        <v>0</v>
      </c>
      <c r="X39" s="64">
        <v>80200</v>
      </c>
      <c r="Y39" s="64">
        <v>0</v>
      </c>
      <c r="Z39" s="285">
        <v>0</v>
      </c>
      <c r="AA39" s="64">
        <v>0</v>
      </c>
      <c r="AB39" s="64">
        <v>0</v>
      </c>
      <c r="AC39" s="64">
        <v>0</v>
      </c>
      <c r="AD39" s="64">
        <v>0</v>
      </c>
      <c r="AE39" s="285">
        <v>0</v>
      </c>
      <c r="AF39" s="285">
        <v>0</v>
      </c>
      <c r="AG39" s="64">
        <v>0</v>
      </c>
      <c r="AH39" s="64">
        <v>0</v>
      </c>
      <c r="AI39" s="64">
        <v>0</v>
      </c>
      <c r="AJ39" s="64">
        <v>0</v>
      </c>
      <c r="AK39" s="115"/>
      <c r="AL39" s="123">
        <f t="shared" si="12"/>
        <v>215500.000000017</v>
      </c>
      <c r="AM39" s="227"/>
      <c r="AN39" s="116"/>
      <c r="AP39" s="224">
        <f>31-26</f>
        <v>5</v>
      </c>
    </row>
    <row r="40" spans="1:15092">
      <c r="B40" s="70"/>
      <c r="C40" s="76" t="s">
        <v>43</v>
      </c>
      <c r="D40" s="258"/>
      <c r="E40" s="78"/>
      <c r="F40" s="59"/>
      <c r="G40" s="59"/>
      <c r="H40" s="59"/>
      <c r="I40" s="313"/>
      <c r="J40" s="59"/>
      <c r="K40" s="59"/>
      <c r="L40" s="59"/>
      <c r="M40" s="56"/>
      <c r="N40" s="56"/>
      <c r="O40" s="59"/>
      <c r="P40" s="59"/>
      <c r="Q40" s="56"/>
      <c r="R40" s="56"/>
      <c r="S40" s="59"/>
      <c r="T40" s="56"/>
      <c r="U40" s="56"/>
      <c r="V40" s="59"/>
      <c r="W40" s="59"/>
      <c r="X40" s="59"/>
      <c r="Y40" s="59"/>
      <c r="Z40" s="56"/>
      <c r="AA40" s="59"/>
      <c r="AB40" s="59"/>
      <c r="AC40" s="59"/>
      <c r="AD40" s="102"/>
      <c r="AE40" s="306"/>
      <c r="AF40" s="306"/>
      <c r="AG40" s="102"/>
      <c r="AH40" s="102"/>
      <c r="AI40" s="102"/>
      <c r="AJ40" s="102"/>
      <c r="AK40" s="115"/>
      <c r="AL40" s="121" t="s">
        <v>44</v>
      </c>
      <c r="AP40" s="225">
        <f>AP38/AP39</f>
        <v>752.79999999998688</v>
      </c>
    </row>
    <row r="41" spans="1:15092" s="3" customFormat="1">
      <c r="A41" s="6"/>
      <c r="B41" s="42"/>
      <c r="C41" s="79" t="s">
        <v>25</v>
      </c>
      <c r="D41" s="259"/>
      <c r="E41" s="80" t="s">
        <v>9</v>
      </c>
      <c r="F41" s="64"/>
      <c r="G41" s="64"/>
      <c r="H41" s="64"/>
      <c r="I41" s="285"/>
      <c r="J41" s="64"/>
      <c r="K41" s="64"/>
      <c r="L41" s="64"/>
      <c r="M41" s="285"/>
      <c r="N41" s="285"/>
      <c r="O41" s="64"/>
      <c r="P41" s="64"/>
      <c r="Q41" s="285"/>
      <c r="R41" s="285"/>
      <c r="S41" s="64"/>
      <c r="T41" s="285"/>
      <c r="U41" s="285">
        <f>1183.29999999999*1000</f>
        <v>1183299.99999999</v>
      </c>
      <c r="V41" s="64">
        <f>V23</f>
        <v>1560330</v>
      </c>
      <c r="W41" s="64"/>
      <c r="X41" s="64"/>
      <c r="Y41" s="64"/>
      <c r="Z41" s="285"/>
      <c r="AA41" s="64"/>
      <c r="AB41" s="64"/>
      <c r="AC41" s="64"/>
      <c r="AD41" s="103"/>
      <c r="AE41" s="307"/>
      <c r="AF41" s="307"/>
      <c r="AG41" s="103">
        <f>441.2*1000</f>
        <v>441200</v>
      </c>
      <c r="AH41" s="103">
        <f>AH23</f>
        <v>1457990.00000001</v>
      </c>
      <c r="AI41" s="103">
        <f>AI23</f>
        <v>1542159.99999999</v>
      </c>
      <c r="AJ41" s="103">
        <f>AJ23</f>
        <v>1382910</v>
      </c>
      <c r="AK41" s="122"/>
      <c r="AL41" s="123">
        <f>SUM(F41:AJ41)</f>
        <v>7567889.9999999898</v>
      </c>
      <c r="AM41" s="6"/>
      <c r="AN41" s="124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233"/>
      <c r="BL41" s="233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22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  <c r="AAS41" s="6"/>
      <c r="AAT41" s="6"/>
      <c r="AAU41" s="6"/>
      <c r="AAV41" s="6"/>
      <c r="AAW41" s="6"/>
      <c r="AAX41" s="6"/>
      <c r="AAY41" s="6"/>
      <c r="AAZ41" s="6"/>
      <c r="ABA41" s="6"/>
      <c r="ABB41" s="6"/>
      <c r="ABC41" s="6"/>
      <c r="ABD41" s="6"/>
      <c r="ABE41" s="6"/>
      <c r="ABF41" s="6"/>
      <c r="ABG41" s="6"/>
      <c r="ABH41" s="6"/>
      <c r="ABI41" s="6"/>
      <c r="ABJ41" s="6"/>
      <c r="ABK41" s="6"/>
      <c r="ABL41" s="6"/>
      <c r="ABM41" s="6"/>
      <c r="ABN41" s="6"/>
      <c r="ABO41" s="6"/>
      <c r="ABP41" s="6"/>
      <c r="ABQ41" s="6"/>
      <c r="ABR41" s="6"/>
      <c r="ABS41" s="6"/>
      <c r="ABT41" s="6"/>
      <c r="ABU41" s="6"/>
      <c r="ABV41" s="6"/>
      <c r="ABW41" s="6"/>
      <c r="ABX41" s="6"/>
      <c r="ABY41" s="6"/>
      <c r="ABZ41" s="6"/>
      <c r="ACA41" s="6"/>
      <c r="ACB41" s="6"/>
      <c r="ACC41" s="6"/>
      <c r="ACD41" s="6"/>
      <c r="ACE41" s="6"/>
      <c r="ACF41" s="6"/>
      <c r="ACG41" s="6"/>
      <c r="ACH41" s="6"/>
      <c r="ACI41" s="6"/>
      <c r="ACJ41" s="6"/>
      <c r="ACK41" s="6"/>
      <c r="ACL41" s="6"/>
      <c r="ACM41" s="6"/>
      <c r="ACN41" s="6"/>
      <c r="ACO41" s="6"/>
      <c r="ACP41" s="6"/>
      <c r="ACQ41" s="6"/>
      <c r="ACR41" s="6"/>
      <c r="ACS41" s="6"/>
      <c r="ACT41" s="6"/>
      <c r="ACU41" s="6"/>
      <c r="ACV41" s="6"/>
      <c r="ACW41" s="6"/>
      <c r="ACX41" s="6"/>
      <c r="ACY41" s="6"/>
      <c r="ACZ41" s="6"/>
      <c r="ADA41" s="6"/>
      <c r="ADB41" s="6"/>
      <c r="ADC41" s="6"/>
      <c r="ADD41" s="6"/>
      <c r="ADE41" s="6"/>
      <c r="ADF41" s="6"/>
      <c r="ADG41" s="6"/>
      <c r="ADH41" s="6"/>
      <c r="ADI41" s="6"/>
      <c r="ADJ41" s="6"/>
      <c r="ADK41" s="6"/>
      <c r="ADL41" s="6"/>
      <c r="ADM41" s="6"/>
      <c r="ADN41" s="6"/>
      <c r="ADO41" s="6"/>
      <c r="ADP41" s="6"/>
      <c r="ADQ41" s="6"/>
      <c r="ADR41" s="6"/>
      <c r="ADS41" s="6"/>
      <c r="ADT41" s="6"/>
      <c r="ADU41" s="6"/>
      <c r="ADV41" s="6"/>
      <c r="ADW41" s="6"/>
      <c r="ADX41" s="6"/>
      <c r="ADY41" s="6"/>
      <c r="ADZ41" s="6"/>
      <c r="AEA41" s="6"/>
      <c r="AEB41" s="6"/>
      <c r="AEC41" s="6"/>
      <c r="AED41" s="6"/>
      <c r="AEE41" s="6"/>
      <c r="AEF41" s="6"/>
      <c r="AEG41" s="6"/>
      <c r="AEH41" s="6"/>
      <c r="AEI41" s="6"/>
      <c r="AEJ41" s="6"/>
      <c r="AEK41" s="6"/>
      <c r="AEL41" s="6"/>
      <c r="AEM41" s="6"/>
      <c r="AEN41" s="6"/>
      <c r="AEO41" s="6"/>
      <c r="AEP41" s="6"/>
      <c r="AEQ41" s="6"/>
      <c r="AER41" s="6"/>
      <c r="AES41" s="6"/>
      <c r="AET41" s="6"/>
      <c r="AEU41" s="6"/>
      <c r="AEV41" s="6"/>
      <c r="AEW41" s="6"/>
      <c r="AEX41" s="6"/>
      <c r="AEY41" s="6"/>
      <c r="AEZ41" s="6"/>
      <c r="AFA41" s="6"/>
      <c r="AFB41" s="6"/>
      <c r="AFC41" s="6"/>
      <c r="AFD41" s="6"/>
      <c r="AFE41" s="6"/>
      <c r="AFF41" s="6"/>
      <c r="AFG41" s="6"/>
      <c r="AFH41" s="6"/>
      <c r="AFI41" s="6"/>
      <c r="AFJ41" s="6"/>
      <c r="AFK41" s="6"/>
      <c r="AFL41" s="6"/>
      <c r="AFM41" s="6"/>
      <c r="AFN41" s="6"/>
      <c r="AFO41" s="6"/>
      <c r="AFP41" s="6"/>
      <c r="AFQ41" s="6"/>
      <c r="AFR41" s="6"/>
      <c r="AFS41" s="6"/>
      <c r="AFT41" s="6"/>
      <c r="AFU41" s="6"/>
      <c r="AFV41" s="6"/>
      <c r="AFW41" s="6"/>
      <c r="AFX41" s="6"/>
      <c r="AFY41" s="6"/>
      <c r="AFZ41" s="6"/>
      <c r="AGA41" s="6"/>
      <c r="AGB41" s="6"/>
      <c r="AGC41" s="6"/>
      <c r="AGD41" s="6"/>
      <c r="AGE41" s="6"/>
      <c r="AGF41" s="6"/>
      <c r="AGG41" s="6"/>
      <c r="AGH41" s="6"/>
      <c r="AGI41" s="6"/>
      <c r="AGJ41" s="6"/>
      <c r="AGK41" s="6"/>
      <c r="AGL41" s="6"/>
      <c r="AGM41" s="6"/>
      <c r="AGN41" s="6"/>
      <c r="AGO41" s="6"/>
      <c r="AGP41" s="6"/>
      <c r="AGQ41" s="6"/>
      <c r="AGR41" s="6"/>
      <c r="AGS41" s="6"/>
      <c r="AGT41" s="6"/>
      <c r="AGU41" s="6"/>
      <c r="AGV41" s="6"/>
      <c r="AGW41" s="6"/>
      <c r="AGX41" s="6"/>
      <c r="AGY41" s="6"/>
      <c r="AGZ41" s="6"/>
      <c r="AHA41" s="6"/>
      <c r="AHB41" s="6"/>
      <c r="AHC41" s="6"/>
      <c r="AHD41" s="6"/>
      <c r="AHE41" s="6"/>
      <c r="AHF41" s="6"/>
      <c r="AHG41" s="6"/>
      <c r="AHH41" s="6"/>
      <c r="AHI41" s="6"/>
      <c r="AHJ41" s="6"/>
      <c r="AHK41" s="6"/>
      <c r="AHL41" s="6"/>
      <c r="AHM41" s="6"/>
      <c r="AHN41" s="6"/>
      <c r="AHO41" s="6"/>
      <c r="AHP41" s="6"/>
      <c r="AHQ41" s="6"/>
      <c r="AHR41" s="6"/>
      <c r="AHS41" s="6"/>
      <c r="AHT41" s="6"/>
      <c r="AHU41" s="6"/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6"/>
      <c r="AIG41" s="6"/>
      <c r="AIH41" s="6"/>
      <c r="AII41" s="6"/>
      <c r="AIJ41" s="6"/>
      <c r="AIK41" s="6"/>
      <c r="AIL41" s="6"/>
      <c r="AIM41" s="6"/>
      <c r="AIN41" s="6"/>
      <c r="AIO41" s="6"/>
      <c r="AIP41" s="6"/>
      <c r="AIQ41" s="6"/>
      <c r="AIR41" s="6"/>
      <c r="AIS41" s="6"/>
      <c r="AIT41" s="6"/>
      <c r="AIU41" s="6"/>
      <c r="AIV41" s="6"/>
      <c r="AIW41" s="6"/>
      <c r="AIX41" s="6"/>
      <c r="AIY41" s="6"/>
      <c r="AIZ41" s="6"/>
      <c r="AJA41" s="6"/>
      <c r="AJB41" s="6"/>
      <c r="AJC41" s="6"/>
      <c r="AJD41" s="6"/>
      <c r="AJE41" s="6"/>
      <c r="AJF41" s="6"/>
      <c r="AJG41" s="6"/>
      <c r="AJH41" s="6"/>
      <c r="AJI41" s="6"/>
      <c r="AJJ41" s="6"/>
      <c r="AJK41" s="6"/>
      <c r="AJL41" s="6"/>
      <c r="AJM41" s="6"/>
      <c r="AJN41" s="6"/>
      <c r="AJO41" s="6"/>
      <c r="AJP41" s="6"/>
      <c r="AJQ41" s="6"/>
      <c r="AJR41" s="6"/>
      <c r="AJS41" s="6"/>
      <c r="AJT41" s="6"/>
      <c r="AJU41" s="6"/>
      <c r="AJV41" s="6"/>
      <c r="AJW41" s="6"/>
      <c r="AJX41" s="6"/>
      <c r="AJY41" s="6"/>
      <c r="AJZ41" s="6"/>
      <c r="AKA41" s="6"/>
      <c r="AKB41" s="6"/>
      <c r="AKC41" s="6"/>
      <c r="AKD41" s="6"/>
      <c r="AKE41" s="6"/>
      <c r="AKF41" s="6"/>
      <c r="AKG41" s="6"/>
      <c r="AKH41" s="6"/>
      <c r="AKI41" s="6"/>
      <c r="AKJ41" s="6"/>
      <c r="AKK41" s="6"/>
      <c r="AKL41" s="6"/>
      <c r="AKM41" s="6"/>
      <c r="AKN41" s="6"/>
      <c r="AKO41" s="6"/>
      <c r="AKP41" s="6"/>
      <c r="AKQ41" s="6"/>
      <c r="AKR41" s="6"/>
      <c r="AKS41" s="6"/>
      <c r="AKT41" s="6"/>
      <c r="AKU41" s="6"/>
      <c r="AKV41" s="6"/>
      <c r="AKW41" s="6"/>
      <c r="AKX41" s="6"/>
      <c r="AKY41" s="6"/>
      <c r="AKZ41" s="6"/>
      <c r="ALA41" s="6"/>
      <c r="ALB41" s="6"/>
      <c r="ALC41" s="6"/>
      <c r="ALD41" s="6"/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6"/>
      <c r="ALP41" s="6"/>
      <c r="ALQ41" s="6"/>
      <c r="ALR41" s="6"/>
      <c r="ALS41" s="6"/>
      <c r="ALT41" s="6"/>
      <c r="ALU41" s="6"/>
      <c r="ALV41" s="6"/>
      <c r="ALW41" s="6"/>
      <c r="ALX41" s="6"/>
      <c r="ALY41" s="6"/>
      <c r="ALZ41" s="6"/>
      <c r="AMA41" s="6"/>
      <c r="AMB41" s="6"/>
      <c r="AMC41" s="6"/>
      <c r="AMD41" s="6"/>
      <c r="AME41" s="6"/>
      <c r="AMF41" s="6"/>
      <c r="AMG41" s="6"/>
      <c r="AMH41" s="6"/>
      <c r="AMI41" s="6"/>
      <c r="AMJ41" s="6"/>
      <c r="AMK41" s="6"/>
      <c r="AML41" s="6"/>
      <c r="AMM41" s="6"/>
      <c r="AMN41" s="6"/>
      <c r="AMO41" s="6"/>
      <c r="AMP41" s="6"/>
      <c r="AMQ41" s="6"/>
      <c r="AMR41" s="6"/>
      <c r="AMS41" s="6"/>
      <c r="AMT41" s="6"/>
      <c r="AMU41" s="6"/>
      <c r="AMV41" s="6"/>
      <c r="AMW41" s="6"/>
      <c r="AMX41" s="6"/>
      <c r="AMY41" s="6"/>
      <c r="AMZ41" s="6"/>
      <c r="ANA41" s="6"/>
      <c r="ANB41" s="6"/>
      <c r="ANC41" s="6"/>
      <c r="AND41" s="6"/>
      <c r="ANE41" s="6"/>
      <c r="ANF41" s="6"/>
      <c r="ANG41" s="6"/>
      <c r="ANH41" s="6"/>
      <c r="ANI41" s="6"/>
      <c r="ANJ41" s="6"/>
      <c r="ANK41" s="6"/>
      <c r="ANL41" s="6"/>
      <c r="ANM41" s="6"/>
      <c r="ANN41" s="6"/>
      <c r="ANO41" s="6"/>
      <c r="ANP41" s="6"/>
      <c r="ANQ41" s="6"/>
      <c r="ANR41" s="6"/>
      <c r="ANS41" s="6"/>
      <c r="ANT41" s="6"/>
      <c r="ANU41" s="6"/>
      <c r="ANV41" s="6"/>
      <c r="ANW41" s="6"/>
      <c r="ANX41" s="6"/>
      <c r="ANY41" s="6"/>
      <c r="ANZ41" s="6"/>
      <c r="AOA41" s="6"/>
      <c r="AOB41" s="6"/>
      <c r="AOC41" s="6"/>
      <c r="AOD41" s="6"/>
      <c r="AOE41" s="6"/>
      <c r="AOF41" s="6"/>
      <c r="AOG41" s="6"/>
      <c r="AOH41" s="6"/>
      <c r="AOI41" s="6"/>
      <c r="AOJ41" s="6"/>
      <c r="AOK41" s="6"/>
      <c r="AOL41" s="6"/>
      <c r="AOM41" s="6"/>
      <c r="AON41" s="6"/>
      <c r="AOO41" s="6"/>
      <c r="AOP41" s="6"/>
      <c r="AOQ41" s="6"/>
      <c r="AOR41" s="6"/>
      <c r="AOS41" s="6"/>
      <c r="AOT41" s="6"/>
      <c r="AOU41" s="6"/>
      <c r="AOV41" s="6"/>
      <c r="AOW41" s="6"/>
      <c r="AOX41" s="6"/>
      <c r="AOY41" s="6"/>
      <c r="AOZ41" s="6"/>
      <c r="APA41" s="6"/>
      <c r="APB41" s="6"/>
      <c r="APC41" s="6"/>
      <c r="APD41" s="6"/>
      <c r="APE41" s="6"/>
      <c r="APF41" s="6"/>
      <c r="APG41" s="6"/>
      <c r="APH41" s="6"/>
      <c r="API41" s="6"/>
      <c r="APJ41" s="6"/>
      <c r="APK41" s="6"/>
      <c r="APL41" s="6"/>
      <c r="APM41" s="6"/>
      <c r="APN41" s="6"/>
      <c r="APO41" s="6"/>
      <c r="APP41" s="6"/>
      <c r="APQ41" s="6"/>
      <c r="APR41" s="6"/>
      <c r="APS41" s="6"/>
      <c r="APT41" s="6"/>
      <c r="APU41" s="6"/>
      <c r="APV41" s="6"/>
      <c r="APW41" s="6"/>
      <c r="APX41" s="6"/>
      <c r="APY41" s="6"/>
      <c r="APZ41" s="6"/>
      <c r="AQA41" s="6"/>
      <c r="AQB41" s="6"/>
      <c r="AQC41" s="6"/>
      <c r="AQD41" s="6"/>
      <c r="AQE41" s="6"/>
      <c r="AQF41" s="6"/>
      <c r="AQG41" s="6"/>
      <c r="AQH41" s="6"/>
      <c r="AQI41" s="6"/>
      <c r="AQJ41" s="6"/>
      <c r="AQK41" s="6"/>
      <c r="AQL41" s="6"/>
      <c r="AQM41" s="6"/>
      <c r="AQN41" s="6"/>
      <c r="AQO41" s="6"/>
      <c r="AQP41" s="6"/>
      <c r="AQQ41" s="6"/>
      <c r="AQR41" s="6"/>
      <c r="AQS41" s="6"/>
      <c r="AQT41" s="6"/>
      <c r="AQU41" s="6"/>
      <c r="AQV41" s="6"/>
      <c r="AQW41" s="6"/>
      <c r="AQX41" s="6"/>
      <c r="AQY41" s="6"/>
      <c r="AQZ41" s="6"/>
      <c r="ARA41" s="6"/>
      <c r="ARB41" s="6"/>
      <c r="ARC41" s="6"/>
      <c r="ARD41" s="6"/>
      <c r="ARE41" s="6"/>
      <c r="ARF41" s="6"/>
      <c r="ARG41" s="6"/>
      <c r="ARH41" s="6"/>
      <c r="ARI41" s="6"/>
      <c r="ARJ41" s="6"/>
      <c r="ARK41" s="6"/>
      <c r="ARL41" s="6"/>
      <c r="ARM41" s="6"/>
      <c r="ARN41" s="6"/>
      <c r="ARO41" s="6"/>
      <c r="ARP41" s="6"/>
      <c r="ARQ41" s="6"/>
      <c r="ARR41" s="6"/>
      <c r="ARS41" s="6"/>
      <c r="ART41" s="6"/>
      <c r="ARU41" s="6"/>
      <c r="ARV41" s="6"/>
      <c r="ARW41" s="6"/>
      <c r="ARX41" s="6"/>
      <c r="ARY41" s="6"/>
      <c r="ARZ41" s="6"/>
      <c r="ASA41" s="6"/>
      <c r="ASB41" s="6"/>
      <c r="ASC41" s="6"/>
      <c r="ASD41" s="6"/>
      <c r="ASE41" s="6"/>
      <c r="ASF41" s="6"/>
      <c r="ASG41" s="6"/>
      <c r="ASH41" s="6"/>
      <c r="ASI41" s="6"/>
      <c r="ASJ41" s="6"/>
      <c r="ASK41" s="6"/>
      <c r="ASL41" s="6"/>
      <c r="ASM41" s="6"/>
      <c r="ASN41" s="6"/>
      <c r="ASO41" s="6"/>
      <c r="ASP41" s="6"/>
      <c r="ASQ41" s="6"/>
      <c r="ASR41" s="6"/>
      <c r="ASS41" s="6"/>
      <c r="AST41" s="6"/>
      <c r="ASU41" s="6"/>
      <c r="ASV41" s="6"/>
      <c r="ASW41" s="6"/>
      <c r="ASX41" s="6"/>
      <c r="ASY41" s="6"/>
      <c r="ASZ41" s="6"/>
      <c r="ATA41" s="6"/>
      <c r="ATB41" s="6"/>
      <c r="ATC41" s="6"/>
      <c r="ATD41" s="6"/>
      <c r="ATE41" s="6"/>
      <c r="ATF41" s="6"/>
      <c r="ATG41" s="6"/>
      <c r="ATH41" s="6"/>
      <c r="ATI41" s="6"/>
      <c r="ATJ41" s="6"/>
      <c r="ATK41" s="6"/>
      <c r="ATL41" s="6"/>
      <c r="ATM41" s="6"/>
      <c r="ATN41" s="6"/>
      <c r="ATO41" s="6"/>
      <c r="ATP41" s="6"/>
      <c r="ATQ41" s="6"/>
      <c r="ATR41" s="6"/>
      <c r="ATS41" s="6"/>
      <c r="ATT41" s="6"/>
      <c r="ATU41" s="6"/>
      <c r="ATV41" s="6"/>
      <c r="ATW41" s="6"/>
      <c r="ATX41" s="6"/>
      <c r="ATY41" s="6"/>
      <c r="ATZ41" s="6"/>
      <c r="AUA41" s="6"/>
      <c r="AUB41" s="6"/>
      <c r="AUC41" s="6"/>
      <c r="AUD41" s="6"/>
      <c r="AUE41" s="6"/>
      <c r="AUF41" s="6"/>
      <c r="AUG41" s="6"/>
      <c r="AUH41" s="6"/>
      <c r="AUI41" s="6"/>
      <c r="AUJ41" s="6"/>
      <c r="AUK41" s="6"/>
      <c r="AUL41" s="6"/>
      <c r="AUM41" s="6"/>
      <c r="AUN41" s="6"/>
      <c r="AUO41" s="6"/>
      <c r="AUP41" s="6"/>
      <c r="AUQ41" s="6"/>
      <c r="AUR41" s="6"/>
      <c r="AUS41" s="6"/>
      <c r="AUT41" s="6"/>
      <c r="AUU41" s="6"/>
      <c r="AUV41" s="6"/>
      <c r="AUW41" s="6"/>
      <c r="AUX41" s="6"/>
      <c r="AUY41" s="6"/>
      <c r="AUZ41" s="6"/>
      <c r="AVA41" s="6"/>
      <c r="AVB41" s="6"/>
      <c r="AVC41" s="6"/>
      <c r="AVD41" s="6"/>
      <c r="AVE41" s="6"/>
      <c r="AVF41" s="6"/>
      <c r="AVG41" s="6"/>
      <c r="AVH41" s="6"/>
      <c r="AVI41" s="6"/>
      <c r="AVJ41" s="6"/>
      <c r="AVK41" s="6"/>
      <c r="AVL41" s="6"/>
      <c r="AVM41" s="6"/>
      <c r="AVN41" s="6"/>
      <c r="AVO41" s="6"/>
      <c r="AVP41" s="6"/>
      <c r="AVQ41" s="6"/>
      <c r="AVR41" s="6"/>
      <c r="AVS41" s="6"/>
      <c r="AVT41" s="6"/>
      <c r="AVU41" s="6"/>
      <c r="AVV41" s="6"/>
      <c r="AVW41" s="6"/>
      <c r="AVX41" s="6"/>
      <c r="AVY41" s="6"/>
      <c r="AVZ41" s="6"/>
      <c r="AWA41" s="6"/>
      <c r="AWB41" s="6"/>
      <c r="AWC41" s="6"/>
      <c r="AWD41" s="6"/>
      <c r="AWE41" s="6"/>
      <c r="AWF41" s="6"/>
      <c r="AWG41" s="6"/>
      <c r="AWH41" s="6"/>
      <c r="AWI41" s="6"/>
      <c r="AWJ41" s="6"/>
      <c r="AWK41" s="6"/>
      <c r="AWL41" s="6"/>
      <c r="AWM41" s="6"/>
      <c r="AWN41" s="6"/>
      <c r="AWO41" s="6"/>
      <c r="AWP41" s="6"/>
      <c r="AWQ41" s="6"/>
      <c r="AWR41" s="6"/>
      <c r="AWS41" s="6"/>
      <c r="AWT41" s="6"/>
      <c r="AWU41" s="6"/>
      <c r="AWV41" s="6"/>
      <c r="AWW41" s="6"/>
      <c r="AWX41" s="6"/>
      <c r="AWY41" s="6"/>
      <c r="AWZ41" s="6"/>
      <c r="AXA41" s="6"/>
      <c r="AXB41" s="6"/>
      <c r="AXC41" s="6"/>
      <c r="AXD41" s="6"/>
      <c r="AXE41" s="6"/>
      <c r="AXF41" s="6"/>
      <c r="AXG41" s="6"/>
      <c r="AXH41" s="6"/>
      <c r="AXI41" s="6"/>
      <c r="AXJ41" s="6"/>
      <c r="AXK41" s="6"/>
      <c r="AXL41" s="6"/>
      <c r="AXM41" s="6"/>
      <c r="AXN41" s="6"/>
      <c r="AXO41" s="6"/>
      <c r="AXP41" s="6"/>
      <c r="AXQ41" s="6"/>
      <c r="AXR41" s="6"/>
      <c r="AXS41" s="6"/>
      <c r="AXT41" s="6"/>
      <c r="AXU41" s="6"/>
      <c r="AXV41" s="6"/>
      <c r="AXW41" s="6"/>
      <c r="AXX41" s="6"/>
      <c r="AXY41" s="6"/>
      <c r="AXZ41" s="6"/>
      <c r="AYA41" s="6"/>
      <c r="AYB41" s="6"/>
      <c r="AYC41" s="6"/>
      <c r="AYD41" s="6"/>
      <c r="AYE41" s="6"/>
      <c r="AYF41" s="6"/>
      <c r="AYG41" s="6"/>
      <c r="AYH41" s="6"/>
      <c r="AYI41" s="6"/>
      <c r="AYJ41" s="6"/>
      <c r="AYK41" s="6"/>
      <c r="AYL41" s="6"/>
      <c r="AYM41" s="6"/>
      <c r="AYN41" s="6"/>
      <c r="AYO41" s="6"/>
      <c r="AYP41" s="6"/>
      <c r="AYQ41" s="6"/>
      <c r="AYR41" s="6"/>
      <c r="AYS41" s="6"/>
      <c r="AYT41" s="6"/>
      <c r="AYU41" s="6"/>
      <c r="AYV41" s="6"/>
      <c r="AYW41" s="6"/>
      <c r="AYX41" s="6"/>
      <c r="AYY41" s="6"/>
      <c r="AYZ41" s="6"/>
      <c r="AZA41" s="6"/>
      <c r="AZB41" s="6"/>
      <c r="AZC41" s="6"/>
      <c r="AZD41" s="6"/>
      <c r="AZE41" s="6"/>
      <c r="AZF41" s="6"/>
      <c r="AZG41" s="6"/>
      <c r="AZH41" s="6"/>
      <c r="AZI41" s="6"/>
      <c r="AZJ41" s="6"/>
      <c r="AZK41" s="6"/>
      <c r="AZL41" s="6"/>
      <c r="AZM41" s="6"/>
      <c r="AZN41" s="6"/>
      <c r="AZO41" s="6"/>
      <c r="AZP41" s="6"/>
      <c r="AZQ41" s="6"/>
      <c r="AZR41" s="6"/>
      <c r="AZS41" s="6"/>
      <c r="AZT41" s="6"/>
      <c r="AZU41" s="6"/>
      <c r="AZV41" s="6"/>
      <c r="AZW41" s="6"/>
      <c r="AZX41" s="6"/>
      <c r="AZY41" s="6"/>
      <c r="AZZ41" s="6"/>
      <c r="BAA41" s="6"/>
      <c r="BAB41" s="6"/>
      <c r="BAC41" s="6"/>
      <c r="BAD41" s="6"/>
      <c r="BAE41" s="6"/>
      <c r="BAF41" s="6"/>
      <c r="BAG41" s="6"/>
      <c r="BAH41" s="6"/>
      <c r="BAI41" s="6"/>
      <c r="BAJ41" s="6"/>
      <c r="BAK41" s="6"/>
      <c r="BAL41" s="6"/>
      <c r="BAM41" s="6"/>
      <c r="BAN41" s="6"/>
      <c r="BAO41" s="6"/>
      <c r="BAP41" s="6"/>
      <c r="BAQ41" s="6"/>
      <c r="BAR41" s="6"/>
      <c r="BAS41" s="6"/>
      <c r="BAT41" s="6"/>
      <c r="BAU41" s="6"/>
      <c r="BAV41" s="6"/>
      <c r="BAW41" s="6"/>
      <c r="BAX41" s="6"/>
      <c r="BAY41" s="6"/>
      <c r="BAZ41" s="6"/>
      <c r="BBA41" s="6"/>
      <c r="BBB41" s="6"/>
      <c r="BBC41" s="6"/>
      <c r="BBD41" s="6"/>
      <c r="BBE41" s="6"/>
      <c r="BBF41" s="6"/>
      <c r="BBG41" s="6"/>
      <c r="BBH41" s="6"/>
      <c r="BBI41" s="6"/>
      <c r="BBJ41" s="6"/>
      <c r="BBK41" s="6"/>
      <c r="BBL41" s="6"/>
      <c r="BBM41" s="6"/>
      <c r="BBN41" s="6"/>
      <c r="BBO41" s="6"/>
      <c r="BBP41" s="6"/>
      <c r="BBQ41" s="6"/>
      <c r="BBR41" s="6"/>
      <c r="BBS41" s="6"/>
      <c r="BBT41" s="6"/>
      <c r="BBU41" s="6"/>
      <c r="BBV41" s="6"/>
      <c r="BBW41" s="6"/>
      <c r="BBX41" s="6"/>
      <c r="BBY41" s="6"/>
      <c r="BBZ41" s="6"/>
      <c r="BCA41" s="6"/>
      <c r="BCB41" s="6"/>
      <c r="BCC41" s="6"/>
      <c r="BCD41" s="6"/>
      <c r="BCE41" s="6"/>
      <c r="BCF41" s="6"/>
      <c r="BCG41" s="6"/>
      <c r="BCH41" s="6"/>
      <c r="BCI41" s="6"/>
      <c r="BCJ41" s="6"/>
      <c r="BCK41" s="6"/>
      <c r="BCL41" s="6"/>
      <c r="BCM41" s="6"/>
      <c r="BCN41" s="6"/>
      <c r="BCO41" s="6"/>
      <c r="BCP41" s="6"/>
      <c r="BCQ41" s="6"/>
      <c r="BCR41" s="6"/>
      <c r="BCS41" s="6"/>
      <c r="BCT41" s="6"/>
      <c r="BCU41" s="6"/>
      <c r="BCV41" s="6"/>
      <c r="BCW41" s="6"/>
      <c r="BCX41" s="6"/>
      <c r="BCY41" s="6"/>
      <c r="BCZ41" s="6"/>
      <c r="BDA41" s="6"/>
      <c r="BDB41" s="6"/>
      <c r="BDC41" s="6"/>
      <c r="BDD41" s="6"/>
      <c r="BDE41" s="6"/>
      <c r="BDF41" s="6"/>
      <c r="BDG41" s="6"/>
      <c r="BDH41" s="6"/>
      <c r="BDI41" s="6"/>
      <c r="BDJ41" s="6"/>
      <c r="BDK41" s="6"/>
      <c r="BDL41" s="6"/>
      <c r="BDM41" s="6"/>
      <c r="BDN41" s="6"/>
      <c r="BDO41" s="6"/>
      <c r="BDP41" s="6"/>
      <c r="BDQ41" s="6"/>
      <c r="BDR41" s="6"/>
      <c r="BDS41" s="6"/>
      <c r="BDT41" s="6"/>
      <c r="BDU41" s="6"/>
      <c r="BDV41" s="6"/>
      <c r="BDW41" s="6"/>
      <c r="BDX41" s="6"/>
      <c r="BDY41" s="6"/>
      <c r="BDZ41" s="6"/>
      <c r="BEA41" s="6"/>
      <c r="BEB41" s="6"/>
      <c r="BEC41" s="6"/>
      <c r="BED41" s="6"/>
      <c r="BEE41" s="6"/>
      <c r="BEF41" s="6"/>
      <c r="BEG41" s="6"/>
      <c r="BEH41" s="6"/>
      <c r="BEI41" s="6"/>
      <c r="BEJ41" s="6"/>
      <c r="BEK41" s="6"/>
      <c r="BEL41" s="6"/>
      <c r="BEM41" s="6"/>
      <c r="BEN41" s="6"/>
      <c r="BEO41" s="6"/>
      <c r="BEP41" s="6"/>
      <c r="BEQ41" s="6"/>
      <c r="BER41" s="6"/>
      <c r="BES41" s="6"/>
      <c r="BET41" s="6"/>
      <c r="BEU41" s="6"/>
      <c r="BEV41" s="6"/>
      <c r="BEW41" s="6"/>
      <c r="BEX41" s="6"/>
      <c r="BEY41" s="6"/>
      <c r="BEZ41" s="6"/>
      <c r="BFA41" s="6"/>
      <c r="BFB41" s="6"/>
      <c r="BFC41" s="6"/>
      <c r="BFD41" s="6"/>
      <c r="BFE41" s="6"/>
      <c r="BFF41" s="6"/>
      <c r="BFG41" s="6"/>
      <c r="BFH41" s="6"/>
      <c r="BFI41" s="6"/>
      <c r="BFJ41" s="6"/>
      <c r="BFK41" s="6"/>
      <c r="BFL41" s="6"/>
      <c r="BFM41" s="6"/>
      <c r="BFN41" s="6"/>
      <c r="BFO41" s="6"/>
      <c r="BFP41" s="6"/>
      <c r="BFQ41" s="6"/>
      <c r="BFR41" s="6"/>
      <c r="BFS41" s="6"/>
      <c r="BFT41" s="6"/>
      <c r="BFU41" s="6"/>
      <c r="BFV41" s="6"/>
      <c r="BFW41" s="6"/>
      <c r="BFX41" s="6"/>
      <c r="BFY41" s="6"/>
      <c r="BFZ41" s="6"/>
      <c r="BGA41" s="6"/>
      <c r="BGB41" s="6"/>
      <c r="BGC41" s="6"/>
      <c r="BGD41" s="6"/>
      <c r="BGE41" s="6"/>
      <c r="BGF41" s="6"/>
      <c r="BGG41" s="6"/>
      <c r="BGH41" s="6"/>
      <c r="BGI41" s="6"/>
      <c r="BGJ41" s="6"/>
      <c r="BGK41" s="6"/>
      <c r="BGL41" s="6"/>
      <c r="BGM41" s="6"/>
      <c r="BGN41" s="6"/>
      <c r="BGO41" s="6"/>
      <c r="BGP41" s="6"/>
      <c r="BGQ41" s="6"/>
      <c r="BGR41" s="6"/>
      <c r="BGS41" s="6"/>
      <c r="BGT41" s="6"/>
      <c r="BGU41" s="6"/>
      <c r="BGV41" s="6"/>
      <c r="BGW41" s="6"/>
      <c r="BGX41" s="6"/>
      <c r="BGY41" s="6"/>
      <c r="BGZ41" s="6"/>
      <c r="BHA41" s="6"/>
      <c r="BHB41" s="6"/>
      <c r="BHC41" s="6"/>
      <c r="BHD41" s="6"/>
      <c r="BHE41" s="6"/>
      <c r="BHF41" s="6"/>
      <c r="BHG41" s="6"/>
      <c r="BHH41" s="6"/>
      <c r="BHI41" s="6"/>
      <c r="BHJ41" s="6"/>
      <c r="BHK41" s="6"/>
      <c r="BHL41" s="6"/>
      <c r="BHM41" s="6"/>
      <c r="BHN41" s="6"/>
      <c r="BHO41" s="6"/>
      <c r="BHP41" s="6"/>
      <c r="BHQ41" s="6"/>
      <c r="BHR41" s="6"/>
      <c r="BHS41" s="6"/>
      <c r="BHT41" s="6"/>
      <c r="BHU41" s="6"/>
      <c r="BHV41" s="6"/>
      <c r="BHW41" s="6"/>
      <c r="BHX41" s="6"/>
      <c r="BHY41" s="6"/>
      <c r="BHZ41" s="6"/>
      <c r="BIA41" s="6"/>
      <c r="BIB41" s="6"/>
      <c r="BIC41" s="6"/>
      <c r="BID41" s="6"/>
      <c r="BIE41" s="6"/>
      <c r="BIF41" s="6"/>
      <c r="BIG41" s="6"/>
      <c r="BIH41" s="6"/>
      <c r="BII41" s="6"/>
      <c r="BIJ41" s="6"/>
      <c r="BIK41" s="6"/>
      <c r="BIL41" s="6"/>
      <c r="BIM41" s="6"/>
      <c r="BIN41" s="6"/>
      <c r="BIO41" s="6"/>
      <c r="BIP41" s="6"/>
      <c r="BIQ41" s="6"/>
      <c r="BIR41" s="6"/>
      <c r="BIS41" s="6"/>
      <c r="BIT41" s="6"/>
      <c r="BIU41" s="6"/>
      <c r="BIV41" s="6"/>
      <c r="BIW41" s="6"/>
      <c r="BIX41" s="6"/>
      <c r="BIY41" s="6"/>
      <c r="BIZ41" s="6"/>
      <c r="BJA41" s="6"/>
      <c r="BJB41" s="6"/>
      <c r="BJC41" s="6"/>
      <c r="BJD41" s="6"/>
      <c r="BJE41" s="6"/>
      <c r="BJF41" s="6"/>
      <c r="BJG41" s="6"/>
      <c r="BJH41" s="6"/>
      <c r="BJI41" s="6"/>
      <c r="BJJ41" s="6"/>
      <c r="BJK41" s="6"/>
      <c r="BJL41" s="6"/>
      <c r="BJM41" s="6"/>
      <c r="BJN41" s="6"/>
      <c r="BJO41" s="6"/>
      <c r="BJP41" s="6"/>
      <c r="BJQ41" s="6"/>
      <c r="BJR41" s="6"/>
      <c r="BJS41" s="6"/>
      <c r="BJT41" s="6"/>
      <c r="BJU41" s="6"/>
      <c r="BJV41" s="6"/>
      <c r="BJW41" s="6"/>
      <c r="BJX41" s="6"/>
      <c r="BJY41" s="6"/>
      <c r="BJZ41" s="6"/>
      <c r="BKA41" s="6"/>
      <c r="BKB41" s="6"/>
      <c r="BKC41" s="6"/>
      <c r="BKD41" s="6"/>
      <c r="BKE41" s="6"/>
      <c r="BKF41" s="6"/>
      <c r="BKG41" s="6"/>
      <c r="BKH41" s="6"/>
      <c r="BKI41" s="6"/>
      <c r="BKJ41" s="6"/>
      <c r="BKK41" s="6"/>
      <c r="BKL41" s="6"/>
      <c r="BKM41" s="6"/>
      <c r="BKN41" s="6"/>
      <c r="BKO41" s="6"/>
      <c r="BKP41" s="6"/>
      <c r="BKQ41" s="6"/>
      <c r="BKR41" s="6"/>
      <c r="BKS41" s="6"/>
      <c r="BKT41" s="6"/>
      <c r="BKU41" s="6"/>
      <c r="BKV41" s="6"/>
      <c r="BKW41" s="6"/>
      <c r="BKX41" s="6"/>
      <c r="BKY41" s="6"/>
      <c r="BKZ41" s="6"/>
      <c r="BLA41" s="6"/>
      <c r="BLB41" s="6"/>
      <c r="BLC41" s="6"/>
      <c r="BLD41" s="6"/>
      <c r="BLE41" s="6"/>
      <c r="BLF41" s="6"/>
      <c r="BLG41" s="6"/>
      <c r="BLH41" s="6"/>
      <c r="BLI41" s="6"/>
      <c r="BLJ41" s="6"/>
      <c r="BLK41" s="6"/>
      <c r="BLL41" s="6"/>
      <c r="BLM41" s="6"/>
      <c r="BLN41" s="6"/>
      <c r="BLO41" s="6"/>
      <c r="BLP41" s="6"/>
      <c r="BLQ41" s="6"/>
      <c r="BLR41" s="6"/>
      <c r="BLS41" s="6"/>
      <c r="BLT41" s="6"/>
      <c r="BLU41" s="6"/>
      <c r="BLV41" s="6"/>
      <c r="BLW41" s="6"/>
      <c r="BLX41" s="6"/>
      <c r="BLY41" s="6"/>
      <c r="BLZ41" s="6"/>
      <c r="BMA41" s="6"/>
      <c r="BMB41" s="6"/>
      <c r="BMC41" s="6"/>
      <c r="BMD41" s="6"/>
      <c r="BME41" s="6"/>
      <c r="BMF41" s="6"/>
      <c r="BMG41" s="6"/>
      <c r="BMH41" s="6"/>
      <c r="BMI41" s="6"/>
      <c r="BMJ41" s="6"/>
      <c r="BMK41" s="6"/>
      <c r="BML41" s="6"/>
      <c r="BMM41" s="6"/>
      <c r="BMN41" s="6"/>
      <c r="BMO41" s="6"/>
      <c r="BMP41" s="6"/>
      <c r="BMQ41" s="6"/>
      <c r="BMR41" s="6"/>
      <c r="BMS41" s="6"/>
      <c r="BMT41" s="6"/>
      <c r="BMU41" s="6"/>
      <c r="BMV41" s="6"/>
      <c r="BMW41" s="6"/>
      <c r="BMX41" s="6"/>
      <c r="BMY41" s="6"/>
      <c r="BMZ41" s="6"/>
      <c r="BNA41" s="6"/>
      <c r="BNB41" s="6"/>
      <c r="BNC41" s="6"/>
      <c r="BND41" s="6"/>
      <c r="BNE41" s="6"/>
      <c r="BNF41" s="6"/>
      <c r="BNG41" s="6"/>
      <c r="BNH41" s="6"/>
      <c r="BNI41" s="6"/>
      <c r="BNJ41" s="6"/>
      <c r="BNK41" s="6"/>
      <c r="BNL41" s="6"/>
      <c r="BNM41" s="6"/>
      <c r="BNN41" s="6"/>
      <c r="BNO41" s="6"/>
      <c r="BNP41" s="6"/>
      <c r="BNQ41" s="6"/>
      <c r="BNR41" s="6"/>
      <c r="BNS41" s="6"/>
      <c r="BNT41" s="6"/>
      <c r="BNU41" s="6"/>
      <c r="BNV41" s="6"/>
      <c r="BNW41" s="6"/>
      <c r="BNX41" s="6"/>
      <c r="BNY41" s="6"/>
      <c r="BNZ41" s="6"/>
      <c r="BOA41" s="6"/>
      <c r="BOB41" s="6"/>
      <c r="BOC41" s="6"/>
      <c r="BOD41" s="6"/>
      <c r="BOE41" s="6"/>
      <c r="BOF41" s="6"/>
      <c r="BOG41" s="6"/>
      <c r="BOH41" s="6"/>
      <c r="BOI41" s="6"/>
      <c r="BOJ41" s="6"/>
      <c r="BOK41" s="6"/>
      <c r="BOL41" s="6"/>
      <c r="BOM41" s="6"/>
      <c r="BON41" s="6"/>
      <c r="BOO41" s="6"/>
      <c r="BOP41" s="6"/>
      <c r="BOQ41" s="6"/>
      <c r="BOR41" s="6"/>
      <c r="BOS41" s="6"/>
      <c r="BOT41" s="6"/>
      <c r="BOU41" s="6"/>
      <c r="BOV41" s="6"/>
      <c r="BOW41" s="6"/>
      <c r="BOX41" s="6"/>
      <c r="BOY41" s="6"/>
      <c r="BOZ41" s="6"/>
      <c r="BPA41" s="6"/>
      <c r="BPB41" s="6"/>
      <c r="BPC41" s="6"/>
      <c r="BPD41" s="6"/>
      <c r="BPE41" s="6"/>
      <c r="BPF41" s="6"/>
      <c r="BPG41" s="6"/>
      <c r="BPH41" s="6"/>
      <c r="BPI41" s="6"/>
      <c r="BPJ41" s="6"/>
      <c r="BPK41" s="6"/>
      <c r="BPL41" s="6"/>
      <c r="BPM41" s="6"/>
      <c r="BPN41" s="6"/>
      <c r="BPO41" s="6"/>
      <c r="BPP41" s="6"/>
      <c r="BPQ41" s="6"/>
      <c r="BPR41" s="6"/>
      <c r="BPS41" s="6"/>
      <c r="BPT41" s="6"/>
      <c r="BPU41" s="6"/>
      <c r="BPV41" s="6"/>
      <c r="BPW41" s="6"/>
      <c r="BPX41" s="6"/>
      <c r="BPY41" s="6"/>
      <c r="BPZ41" s="6"/>
      <c r="BQA41" s="6"/>
      <c r="BQB41" s="6"/>
      <c r="BQC41" s="6"/>
      <c r="BQD41" s="6"/>
      <c r="BQE41" s="6"/>
      <c r="BQF41" s="6"/>
      <c r="BQG41" s="6"/>
      <c r="BQH41" s="6"/>
      <c r="BQI41" s="6"/>
      <c r="BQJ41" s="6"/>
      <c r="BQK41" s="6"/>
      <c r="BQL41" s="6"/>
      <c r="BQM41" s="6"/>
      <c r="BQN41" s="6"/>
      <c r="BQO41" s="6"/>
      <c r="BQP41" s="6"/>
      <c r="BQQ41" s="6"/>
      <c r="BQR41" s="6"/>
      <c r="BQS41" s="6"/>
      <c r="BQT41" s="6"/>
      <c r="BQU41" s="6"/>
      <c r="BQV41" s="6"/>
      <c r="BQW41" s="6"/>
      <c r="BQX41" s="6"/>
      <c r="BQY41" s="6"/>
      <c r="BQZ41" s="6"/>
      <c r="BRA41" s="6"/>
      <c r="BRB41" s="6"/>
      <c r="BRC41" s="6"/>
      <c r="BRD41" s="6"/>
      <c r="BRE41" s="6"/>
      <c r="BRF41" s="6"/>
      <c r="BRG41" s="6"/>
      <c r="BRH41" s="6"/>
      <c r="BRI41" s="6"/>
      <c r="BRJ41" s="6"/>
      <c r="BRK41" s="6"/>
      <c r="BRL41" s="6"/>
      <c r="BRM41" s="6"/>
      <c r="BRN41" s="6"/>
      <c r="BRO41" s="6"/>
      <c r="BRP41" s="6"/>
      <c r="BRQ41" s="6"/>
      <c r="BRR41" s="6"/>
      <c r="BRS41" s="6"/>
      <c r="BRT41" s="6"/>
      <c r="BRU41" s="6"/>
      <c r="BRV41" s="6"/>
      <c r="BRW41" s="6"/>
      <c r="BRX41" s="6"/>
      <c r="BRY41" s="6"/>
      <c r="BRZ41" s="6"/>
      <c r="BSA41" s="6"/>
      <c r="BSB41" s="6"/>
      <c r="BSC41" s="6"/>
      <c r="BSD41" s="6"/>
      <c r="BSE41" s="6"/>
      <c r="BSF41" s="6"/>
      <c r="BSG41" s="6"/>
      <c r="BSH41" s="6"/>
      <c r="BSI41" s="6"/>
      <c r="BSJ41" s="6"/>
      <c r="BSK41" s="6"/>
      <c r="BSL41" s="6"/>
      <c r="BSM41" s="6"/>
      <c r="BSN41" s="6"/>
      <c r="BSO41" s="6"/>
      <c r="BSP41" s="6"/>
      <c r="BSQ41" s="6"/>
      <c r="BSR41" s="6"/>
      <c r="BSS41" s="6"/>
      <c r="BST41" s="6"/>
      <c r="BSU41" s="6"/>
      <c r="BSV41" s="6"/>
      <c r="BSW41" s="6"/>
      <c r="BSX41" s="6"/>
      <c r="BSY41" s="6"/>
      <c r="BSZ41" s="6"/>
      <c r="BTA41" s="6"/>
      <c r="BTB41" s="6"/>
      <c r="BTC41" s="6"/>
      <c r="BTD41" s="6"/>
      <c r="BTE41" s="6"/>
      <c r="BTF41" s="6"/>
      <c r="BTG41" s="6"/>
      <c r="BTH41" s="6"/>
      <c r="BTI41" s="6"/>
      <c r="BTJ41" s="6"/>
      <c r="BTK41" s="6"/>
      <c r="BTL41" s="6"/>
      <c r="BTM41" s="6"/>
      <c r="BTN41" s="6"/>
      <c r="BTO41" s="6"/>
      <c r="BTP41" s="6"/>
      <c r="BTQ41" s="6"/>
      <c r="BTR41" s="6"/>
      <c r="BTS41" s="6"/>
      <c r="BTT41" s="6"/>
      <c r="BTU41" s="6"/>
      <c r="BTV41" s="6"/>
      <c r="BTW41" s="6"/>
      <c r="BTX41" s="6"/>
      <c r="BTY41" s="6"/>
      <c r="BTZ41" s="6"/>
      <c r="BUA41" s="6"/>
      <c r="BUB41" s="6"/>
      <c r="BUC41" s="6"/>
      <c r="BUD41" s="6"/>
      <c r="BUE41" s="6"/>
      <c r="BUF41" s="6"/>
      <c r="BUG41" s="6"/>
      <c r="BUH41" s="6"/>
      <c r="BUI41" s="6"/>
      <c r="BUJ41" s="6"/>
      <c r="BUK41" s="6"/>
      <c r="BUL41" s="6"/>
      <c r="BUM41" s="6"/>
      <c r="BUN41" s="6"/>
      <c r="BUO41" s="6"/>
      <c r="BUP41" s="6"/>
      <c r="BUQ41" s="6"/>
      <c r="BUR41" s="6"/>
      <c r="BUS41" s="6"/>
      <c r="BUT41" s="6"/>
      <c r="BUU41" s="6"/>
      <c r="BUV41" s="6"/>
      <c r="BUW41" s="6"/>
      <c r="BUX41" s="6"/>
      <c r="BUY41" s="6"/>
      <c r="BUZ41" s="6"/>
      <c r="BVA41" s="6"/>
      <c r="BVB41" s="6"/>
      <c r="BVC41" s="6"/>
      <c r="BVD41" s="6"/>
      <c r="BVE41" s="6"/>
      <c r="BVF41" s="6"/>
      <c r="BVG41" s="6"/>
      <c r="BVH41" s="6"/>
      <c r="BVI41" s="6"/>
      <c r="BVJ41" s="6"/>
      <c r="BVK41" s="6"/>
      <c r="BVL41" s="6"/>
      <c r="BVM41" s="6"/>
      <c r="BVN41" s="6"/>
      <c r="BVO41" s="6"/>
      <c r="BVP41" s="6"/>
      <c r="BVQ41" s="6"/>
      <c r="BVR41" s="6"/>
      <c r="BVS41" s="6"/>
      <c r="BVT41" s="6"/>
      <c r="BVU41" s="6"/>
      <c r="BVV41" s="6"/>
      <c r="BVW41" s="6"/>
      <c r="BVX41" s="6"/>
      <c r="BVY41" s="6"/>
      <c r="BVZ41" s="6"/>
      <c r="BWA41" s="6"/>
      <c r="BWB41" s="6"/>
      <c r="BWC41" s="6"/>
      <c r="BWD41" s="6"/>
      <c r="BWE41" s="6"/>
      <c r="BWF41" s="6"/>
      <c r="BWG41" s="6"/>
      <c r="BWH41" s="6"/>
      <c r="BWI41" s="6"/>
      <c r="BWJ41" s="6"/>
      <c r="BWK41" s="6"/>
      <c r="BWL41" s="6"/>
      <c r="BWM41" s="6"/>
      <c r="BWN41" s="6"/>
      <c r="BWO41" s="6"/>
      <c r="BWP41" s="6"/>
      <c r="BWQ41" s="6"/>
      <c r="BWR41" s="6"/>
      <c r="BWS41" s="6"/>
      <c r="BWT41" s="6"/>
      <c r="BWU41" s="6"/>
      <c r="BWV41" s="6"/>
      <c r="BWW41" s="6"/>
      <c r="BWX41" s="6"/>
      <c r="BWY41" s="6"/>
      <c r="BWZ41" s="6"/>
      <c r="BXA41" s="6"/>
      <c r="BXB41" s="6"/>
      <c r="BXC41" s="6"/>
      <c r="BXD41" s="6"/>
      <c r="BXE41" s="6"/>
      <c r="BXF41" s="6"/>
      <c r="BXG41" s="6"/>
      <c r="BXH41" s="6"/>
      <c r="BXI41" s="6"/>
      <c r="BXJ41" s="6"/>
      <c r="BXK41" s="6"/>
      <c r="BXL41" s="6"/>
      <c r="BXM41" s="6"/>
      <c r="BXN41" s="6"/>
      <c r="BXO41" s="6"/>
      <c r="BXP41" s="6"/>
      <c r="BXQ41" s="6"/>
      <c r="BXR41" s="6"/>
      <c r="BXS41" s="6"/>
      <c r="BXT41" s="6"/>
      <c r="BXU41" s="6"/>
      <c r="BXV41" s="6"/>
      <c r="BXW41" s="6"/>
      <c r="BXX41" s="6"/>
      <c r="BXY41" s="6"/>
      <c r="BXZ41" s="6"/>
      <c r="BYA41" s="6"/>
      <c r="BYB41" s="6"/>
      <c r="BYC41" s="6"/>
      <c r="BYD41" s="6"/>
      <c r="BYE41" s="6"/>
      <c r="BYF41" s="6"/>
      <c r="BYG41" s="6"/>
      <c r="BYH41" s="6"/>
      <c r="BYI41" s="6"/>
      <c r="BYJ41" s="6"/>
      <c r="BYK41" s="6"/>
      <c r="BYL41" s="6"/>
      <c r="BYM41" s="6"/>
      <c r="BYN41" s="6"/>
      <c r="BYO41" s="6"/>
      <c r="BYP41" s="6"/>
      <c r="BYQ41" s="6"/>
      <c r="BYR41" s="6"/>
      <c r="BYS41" s="6"/>
      <c r="BYT41" s="6"/>
      <c r="BYU41" s="6"/>
      <c r="BYV41" s="6"/>
      <c r="BYW41" s="6"/>
      <c r="BYX41" s="6"/>
      <c r="BYY41" s="6"/>
      <c r="BYZ41" s="6"/>
      <c r="BZA41" s="6"/>
      <c r="BZB41" s="6"/>
      <c r="BZC41" s="6"/>
      <c r="BZD41" s="6"/>
      <c r="BZE41" s="6"/>
      <c r="BZF41" s="6"/>
      <c r="BZG41" s="6"/>
      <c r="BZH41" s="6"/>
      <c r="BZI41" s="6"/>
      <c r="BZJ41" s="6"/>
      <c r="BZK41" s="6"/>
      <c r="BZL41" s="6"/>
      <c r="BZM41" s="6"/>
      <c r="BZN41" s="6"/>
      <c r="BZO41" s="6"/>
      <c r="BZP41" s="6"/>
      <c r="BZQ41" s="6"/>
      <c r="BZR41" s="6"/>
      <c r="BZS41" s="6"/>
      <c r="BZT41" s="6"/>
      <c r="BZU41" s="6"/>
      <c r="BZV41" s="6"/>
      <c r="BZW41" s="6"/>
      <c r="BZX41" s="6"/>
      <c r="BZY41" s="6"/>
      <c r="BZZ41" s="6"/>
      <c r="CAA41" s="6"/>
      <c r="CAB41" s="6"/>
      <c r="CAC41" s="6"/>
      <c r="CAD41" s="6"/>
      <c r="CAE41" s="6"/>
      <c r="CAF41" s="6"/>
      <c r="CAG41" s="6"/>
      <c r="CAH41" s="6"/>
      <c r="CAI41" s="6"/>
      <c r="CAJ41" s="6"/>
      <c r="CAK41" s="6"/>
      <c r="CAL41" s="6"/>
      <c r="CAM41" s="6"/>
      <c r="CAN41" s="6"/>
      <c r="CAO41" s="6"/>
      <c r="CAP41" s="6"/>
      <c r="CAQ41" s="6"/>
      <c r="CAR41" s="6"/>
      <c r="CAS41" s="6"/>
      <c r="CAT41" s="6"/>
      <c r="CAU41" s="6"/>
      <c r="CAV41" s="6"/>
      <c r="CAW41" s="6"/>
      <c r="CAX41" s="6"/>
      <c r="CAY41" s="6"/>
      <c r="CAZ41" s="6"/>
      <c r="CBA41" s="6"/>
      <c r="CBB41" s="6"/>
      <c r="CBC41" s="6"/>
      <c r="CBD41" s="6"/>
      <c r="CBE41" s="6"/>
      <c r="CBF41" s="6"/>
      <c r="CBG41" s="6"/>
      <c r="CBH41" s="6"/>
      <c r="CBI41" s="6"/>
      <c r="CBJ41" s="6"/>
      <c r="CBK41" s="6"/>
      <c r="CBL41" s="6"/>
      <c r="CBM41" s="6"/>
      <c r="CBN41" s="6"/>
      <c r="CBO41" s="6"/>
      <c r="CBP41" s="6"/>
      <c r="CBQ41" s="6"/>
      <c r="CBR41" s="6"/>
      <c r="CBS41" s="6"/>
      <c r="CBT41" s="6"/>
      <c r="CBU41" s="6"/>
      <c r="CBV41" s="6"/>
      <c r="CBW41" s="6"/>
      <c r="CBX41" s="6"/>
      <c r="CBY41" s="6"/>
      <c r="CBZ41" s="6"/>
      <c r="CCA41" s="6"/>
      <c r="CCB41" s="6"/>
      <c r="CCC41" s="6"/>
      <c r="CCD41" s="6"/>
      <c r="CCE41" s="6"/>
      <c r="CCF41" s="6"/>
      <c r="CCG41" s="6"/>
      <c r="CCH41" s="6"/>
      <c r="CCI41" s="6"/>
      <c r="CCJ41" s="6"/>
      <c r="CCK41" s="6"/>
      <c r="CCL41" s="6"/>
      <c r="CCM41" s="6"/>
      <c r="CCN41" s="6"/>
      <c r="CCO41" s="6"/>
      <c r="CCP41" s="6"/>
      <c r="CCQ41" s="6"/>
      <c r="CCR41" s="6"/>
      <c r="CCS41" s="6"/>
      <c r="CCT41" s="6"/>
      <c r="CCU41" s="6"/>
      <c r="CCV41" s="6"/>
      <c r="CCW41" s="6"/>
      <c r="CCX41" s="6"/>
      <c r="CCY41" s="6"/>
      <c r="CCZ41" s="6"/>
      <c r="CDA41" s="6"/>
      <c r="CDB41" s="6"/>
      <c r="CDC41" s="6"/>
      <c r="CDD41" s="6"/>
      <c r="CDE41" s="6"/>
      <c r="CDF41" s="6"/>
      <c r="CDG41" s="6"/>
      <c r="CDH41" s="6"/>
      <c r="CDI41" s="6"/>
      <c r="CDJ41" s="6"/>
      <c r="CDK41" s="6"/>
      <c r="CDL41" s="6"/>
      <c r="CDM41" s="6"/>
      <c r="CDN41" s="6"/>
      <c r="CDO41" s="6"/>
      <c r="CDP41" s="6"/>
      <c r="CDQ41" s="6"/>
      <c r="CDR41" s="6"/>
      <c r="CDS41" s="6"/>
      <c r="CDT41" s="6"/>
      <c r="CDU41" s="6"/>
      <c r="CDV41" s="6"/>
      <c r="CDW41" s="6"/>
      <c r="CDX41" s="6"/>
      <c r="CDY41" s="6"/>
      <c r="CDZ41" s="6"/>
      <c r="CEA41" s="6"/>
      <c r="CEB41" s="6"/>
      <c r="CEC41" s="6"/>
      <c r="CED41" s="6"/>
      <c r="CEE41" s="6"/>
      <c r="CEF41" s="6"/>
      <c r="CEG41" s="6"/>
      <c r="CEH41" s="6"/>
      <c r="CEI41" s="6"/>
      <c r="CEJ41" s="6"/>
      <c r="CEK41" s="6"/>
      <c r="CEL41" s="6"/>
      <c r="CEM41" s="6"/>
      <c r="CEN41" s="6"/>
      <c r="CEO41" s="6"/>
      <c r="CEP41" s="6"/>
      <c r="CEQ41" s="6"/>
      <c r="CER41" s="6"/>
      <c r="CES41" s="6"/>
      <c r="CET41" s="6"/>
      <c r="CEU41" s="6"/>
      <c r="CEV41" s="6"/>
      <c r="CEW41" s="6"/>
      <c r="CEX41" s="6"/>
      <c r="CEY41" s="6"/>
      <c r="CEZ41" s="6"/>
      <c r="CFA41" s="6"/>
      <c r="CFB41" s="6"/>
      <c r="CFC41" s="6"/>
      <c r="CFD41" s="6"/>
      <c r="CFE41" s="6"/>
      <c r="CFF41" s="6"/>
      <c r="CFG41" s="6"/>
      <c r="CFH41" s="6"/>
      <c r="CFI41" s="6"/>
      <c r="CFJ41" s="6"/>
      <c r="CFK41" s="6"/>
      <c r="CFL41" s="6"/>
      <c r="CFM41" s="6"/>
      <c r="CFN41" s="6"/>
      <c r="CFO41" s="6"/>
      <c r="CFP41" s="6"/>
      <c r="CFQ41" s="6"/>
      <c r="CFR41" s="6"/>
      <c r="CFS41" s="6"/>
      <c r="CFT41" s="6"/>
      <c r="CFU41" s="6"/>
      <c r="CFV41" s="6"/>
      <c r="CFW41" s="6"/>
      <c r="CFX41" s="6"/>
      <c r="CFY41" s="6"/>
      <c r="CFZ41" s="6"/>
      <c r="CGA41" s="6"/>
      <c r="CGB41" s="6"/>
      <c r="CGC41" s="6"/>
      <c r="CGD41" s="6"/>
      <c r="CGE41" s="6"/>
      <c r="CGF41" s="6"/>
      <c r="CGG41" s="6"/>
      <c r="CGH41" s="6"/>
      <c r="CGI41" s="6"/>
      <c r="CGJ41" s="6"/>
      <c r="CGK41" s="6"/>
      <c r="CGL41" s="6"/>
      <c r="CGM41" s="6"/>
      <c r="CGN41" s="6"/>
      <c r="CGO41" s="6"/>
      <c r="CGP41" s="6"/>
      <c r="CGQ41" s="6"/>
      <c r="CGR41" s="6"/>
      <c r="CGS41" s="6"/>
      <c r="CGT41" s="6"/>
      <c r="CGU41" s="6"/>
      <c r="CGV41" s="6"/>
      <c r="CGW41" s="6"/>
      <c r="CGX41" s="6"/>
      <c r="CGY41" s="6"/>
      <c r="CGZ41" s="6"/>
      <c r="CHA41" s="6"/>
      <c r="CHB41" s="6"/>
      <c r="CHC41" s="6"/>
      <c r="CHD41" s="6"/>
      <c r="CHE41" s="6"/>
      <c r="CHF41" s="6"/>
      <c r="CHG41" s="6"/>
      <c r="CHH41" s="6"/>
      <c r="CHI41" s="6"/>
      <c r="CHJ41" s="6"/>
      <c r="CHK41" s="6"/>
      <c r="CHL41" s="6"/>
      <c r="CHM41" s="6"/>
      <c r="CHN41" s="6"/>
      <c r="CHO41" s="6"/>
      <c r="CHP41" s="6"/>
      <c r="CHQ41" s="6"/>
      <c r="CHR41" s="6"/>
      <c r="CHS41" s="6"/>
      <c r="CHT41" s="6"/>
      <c r="CHU41" s="6"/>
      <c r="CHV41" s="6"/>
      <c r="CHW41" s="6"/>
      <c r="CHX41" s="6"/>
      <c r="CHY41" s="6"/>
      <c r="CHZ41" s="6"/>
      <c r="CIA41" s="6"/>
      <c r="CIB41" s="6"/>
      <c r="CIC41" s="6"/>
      <c r="CID41" s="6"/>
      <c r="CIE41" s="6"/>
      <c r="CIF41" s="6"/>
      <c r="CIG41" s="6"/>
      <c r="CIH41" s="6"/>
      <c r="CII41" s="6"/>
      <c r="CIJ41" s="6"/>
      <c r="CIK41" s="6"/>
      <c r="CIL41" s="6"/>
      <c r="CIM41" s="6"/>
      <c r="CIN41" s="6"/>
      <c r="CIO41" s="6"/>
      <c r="CIP41" s="6"/>
      <c r="CIQ41" s="6"/>
      <c r="CIR41" s="6"/>
      <c r="CIS41" s="6"/>
      <c r="CIT41" s="6"/>
      <c r="CIU41" s="6"/>
      <c r="CIV41" s="6"/>
      <c r="CIW41" s="6"/>
      <c r="CIX41" s="6"/>
      <c r="CIY41" s="6"/>
      <c r="CIZ41" s="6"/>
      <c r="CJA41" s="6"/>
      <c r="CJB41" s="6"/>
      <c r="CJC41" s="6"/>
      <c r="CJD41" s="6"/>
      <c r="CJE41" s="6"/>
      <c r="CJF41" s="6"/>
      <c r="CJG41" s="6"/>
      <c r="CJH41" s="6"/>
      <c r="CJI41" s="6"/>
      <c r="CJJ41" s="6"/>
      <c r="CJK41" s="6"/>
      <c r="CJL41" s="6"/>
      <c r="CJM41" s="6"/>
      <c r="CJN41" s="6"/>
      <c r="CJO41" s="6"/>
      <c r="CJP41" s="6"/>
      <c r="CJQ41" s="6"/>
      <c r="CJR41" s="6"/>
      <c r="CJS41" s="6"/>
      <c r="CJT41" s="6"/>
      <c r="CJU41" s="6"/>
      <c r="CJV41" s="6"/>
      <c r="CJW41" s="6"/>
      <c r="CJX41" s="6"/>
      <c r="CJY41" s="6"/>
      <c r="CJZ41" s="6"/>
      <c r="CKA41" s="6"/>
      <c r="CKB41" s="6"/>
      <c r="CKC41" s="6"/>
      <c r="CKD41" s="6"/>
      <c r="CKE41" s="6"/>
      <c r="CKF41" s="6"/>
      <c r="CKG41" s="6"/>
      <c r="CKH41" s="6"/>
      <c r="CKI41" s="6"/>
      <c r="CKJ41" s="6"/>
      <c r="CKK41" s="6"/>
      <c r="CKL41" s="6"/>
      <c r="CKM41" s="6"/>
      <c r="CKN41" s="6"/>
      <c r="CKO41" s="6"/>
      <c r="CKP41" s="6"/>
      <c r="CKQ41" s="6"/>
      <c r="CKR41" s="6"/>
      <c r="CKS41" s="6"/>
      <c r="CKT41" s="6"/>
      <c r="CKU41" s="6"/>
      <c r="CKV41" s="6"/>
      <c r="CKW41" s="6"/>
      <c r="CKX41" s="6"/>
      <c r="CKY41" s="6"/>
      <c r="CKZ41" s="6"/>
      <c r="CLA41" s="6"/>
      <c r="CLB41" s="6"/>
      <c r="CLC41" s="6"/>
      <c r="CLD41" s="6"/>
      <c r="CLE41" s="6"/>
      <c r="CLF41" s="6"/>
      <c r="CLG41" s="6"/>
      <c r="CLH41" s="6"/>
      <c r="CLI41" s="6"/>
      <c r="CLJ41" s="6"/>
      <c r="CLK41" s="6"/>
      <c r="CLL41" s="6"/>
      <c r="CLM41" s="6"/>
      <c r="CLN41" s="6"/>
      <c r="CLO41" s="6"/>
      <c r="CLP41" s="6"/>
      <c r="CLQ41" s="6"/>
      <c r="CLR41" s="6"/>
      <c r="CLS41" s="6"/>
      <c r="CLT41" s="6"/>
      <c r="CLU41" s="6"/>
      <c r="CLV41" s="6"/>
      <c r="CLW41" s="6"/>
      <c r="CLX41" s="6"/>
      <c r="CLY41" s="6"/>
      <c r="CLZ41" s="6"/>
      <c r="CMA41" s="6"/>
      <c r="CMB41" s="6"/>
      <c r="CMC41" s="6"/>
      <c r="CMD41" s="6"/>
      <c r="CME41" s="6"/>
      <c r="CMF41" s="6"/>
      <c r="CMG41" s="6"/>
      <c r="CMH41" s="6"/>
      <c r="CMI41" s="6"/>
      <c r="CMJ41" s="6"/>
      <c r="CMK41" s="6"/>
      <c r="CML41" s="6"/>
      <c r="CMM41" s="6"/>
      <c r="CMN41" s="6"/>
      <c r="CMO41" s="6"/>
      <c r="CMP41" s="6"/>
      <c r="CMQ41" s="6"/>
      <c r="CMR41" s="6"/>
      <c r="CMS41" s="6"/>
      <c r="CMT41" s="6"/>
      <c r="CMU41" s="6"/>
      <c r="CMV41" s="6"/>
      <c r="CMW41" s="6"/>
      <c r="CMX41" s="6"/>
      <c r="CMY41" s="6"/>
      <c r="CMZ41" s="6"/>
      <c r="CNA41" s="6"/>
      <c r="CNB41" s="6"/>
      <c r="CNC41" s="6"/>
      <c r="CND41" s="6"/>
      <c r="CNE41" s="6"/>
      <c r="CNF41" s="6"/>
      <c r="CNG41" s="6"/>
      <c r="CNH41" s="6"/>
      <c r="CNI41" s="6"/>
      <c r="CNJ41" s="6"/>
      <c r="CNK41" s="6"/>
      <c r="CNL41" s="6"/>
      <c r="CNM41" s="6"/>
      <c r="CNN41" s="6"/>
      <c r="CNO41" s="6"/>
      <c r="CNP41" s="6"/>
      <c r="CNQ41" s="6"/>
      <c r="CNR41" s="6"/>
      <c r="CNS41" s="6"/>
      <c r="CNT41" s="6"/>
      <c r="CNU41" s="6"/>
      <c r="CNV41" s="6"/>
      <c r="CNW41" s="6"/>
      <c r="CNX41" s="6"/>
      <c r="CNY41" s="6"/>
      <c r="CNZ41" s="6"/>
      <c r="COA41" s="6"/>
      <c r="COB41" s="6"/>
      <c r="COC41" s="6"/>
      <c r="COD41" s="6"/>
      <c r="COE41" s="6"/>
      <c r="COF41" s="6"/>
      <c r="COG41" s="6"/>
      <c r="COH41" s="6"/>
      <c r="COI41" s="6"/>
      <c r="COJ41" s="6"/>
      <c r="COK41" s="6"/>
      <c r="COL41" s="6"/>
      <c r="COM41" s="6"/>
      <c r="CON41" s="6"/>
      <c r="COO41" s="6"/>
      <c r="COP41" s="6"/>
      <c r="COQ41" s="6"/>
      <c r="COR41" s="6"/>
      <c r="COS41" s="6"/>
      <c r="COT41" s="6"/>
      <c r="COU41" s="6"/>
      <c r="COV41" s="6"/>
      <c r="COW41" s="6"/>
      <c r="COX41" s="6"/>
      <c r="COY41" s="6"/>
      <c r="COZ41" s="6"/>
      <c r="CPA41" s="6"/>
      <c r="CPB41" s="6"/>
      <c r="CPC41" s="6"/>
      <c r="CPD41" s="6"/>
      <c r="CPE41" s="6"/>
      <c r="CPF41" s="6"/>
      <c r="CPG41" s="6"/>
      <c r="CPH41" s="6"/>
      <c r="CPI41" s="6"/>
      <c r="CPJ41" s="6"/>
      <c r="CPK41" s="6"/>
      <c r="CPL41" s="6"/>
      <c r="CPM41" s="6"/>
      <c r="CPN41" s="6"/>
      <c r="CPO41" s="6"/>
      <c r="CPP41" s="6"/>
      <c r="CPQ41" s="6"/>
      <c r="CPR41" s="6"/>
      <c r="CPS41" s="6"/>
      <c r="CPT41" s="6"/>
      <c r="CPU41" s="6"/>
      <c r="CPV41" s="6"/>
      <c r="CPW41" s="6"/>
      <c r="CPX41" s="6"/>
      <c r="CPY41" s="6"/>
      <c r="CPZ41" s="6"/>
      <c r="CQA41" s="6"/>
      <c r="CQB41" s="6"/>
      <c r="CQC41" s="6"/>
      <c r="CQD41" s="6"/>
      <c r="CQE41" s="6"/>
      <c r="CQF41" s="6"/>
      <c r="CQG41" s="6"/>
      <c r="CQH41" s="6"/>
      <c r="CQI41" s="6"/>
      <c r="CQJ41" s="6"/>
      <c r="CQK41" s="6"/>
      <c r="CQL41" s="6"/>
      <c r="CQM41" s="6"/>
      <c r="CQN41" s="6"/>
      <c r="CQO41" s="6"/>
      <c r="CQP41" s="6"/>
      <c r="CQQ41" s="6"/>
      <c r="CQR41" s="6"/>
      <c r="CQS41" s="6"/>
      <c r="CQT41" s="6"/>
      <c r="CQU41" s="6"/>
      <c r="CQV41" s="6"/>
      <c r="CQW41" s="6"/>
      <c r="CQX41" s="6"/>
      <c r="CQY41" s="6"/>
      <c r="CQZ41" s="6"/>
      <c r="CRA41" s="6"/>
      <c r="CRB41" s="6"/>
      <c r="CRC41" s="6"/>
      <c r="CRD41" s="6"/>
      <c r="CRE41" s="6"/>
      <c r="CRF41" s="6"/>
      <c r="CRG41" s="6"/>
      <c r="CRH41" s="6"/>
      <c r="CRI41" s="6"/>
      <c r="CRJ41" s="6"/>
      <c r="CRK41" s="6"/>
      <c r="CRL41" s="6"/>
      <c r="CRM41" s="6"/>
      <c r="CRN41" s="6"/>
      <c r="CRO41" s="6"/>
      <c r="CRP41" s="6"/>
      <c r="CRQ41" s="6"/>
      <c r="CRR41" s="6"/>
      <c r="CRS41" s="6"/>
      <c r="CRT41" s="6"/>
      <c r="CRU41" s="6"/>
      <c r="CRV41" s="6"/>
      <c r="CRW41" s="6"/>
      <c r="CRX41" s="6"/>
      <c r="CRY41" s="6"/>
      <c r="CRZ41" s="6"/>
      <c r="CSA41" s="6"/>
      <c r="CSB41" s="6"/>
      <c r="CSC41" s="6"/>
      <c r="CSD41" s="6"/>
      <c r="CSE41" s="6"/>
      <c r="CSF41" s="6"/>
      <c r="CSG41" s="6"/>
      <c r="CSH41" s="6"/>
      <c r="CSI41" s="6"/>
      <c r="CSJ41" s="6"/>
      <c r="CSK41" s="6"/>
      <c r="CSL41" s="6"/>
      <c r="CSM41" s="6"/>
      <c r="CSN41" s="6"/>
      <c r="CSO41" s="6"/>
      <c r="CSP41" s="6"/>
      <c r="CSQ41" s="6"/>
      <c r="CSR41" s="6"/>
      <c r="CSS41" s="6"/>
      <c r="CST41" s="6"/>
      <c r="CSU41" s="6"/>
      <c r="CSV41" s="6"/>
      <c r="CSW41" s="6"/>
      <c r="CSX41" s="6"/>
      <c r="CSY41" s="6"/>
      <c r="CSZ41" s="6"/>
      <c r="CTA41" s="6"/>
      <c r="CTB41" s="6"/>
      <c r="CTC41" s="6"/>
      <c r="CTD41" s="6"/>
      <c r="CTE41" s="6"/>
      <c r="CTF41" s="6"/>
      <c r="CTG41" s="6"/>
      <c r="CTH41" s="6"/>
      <c r="CTI41" s="6"/>
      <c r="CTJ41" s="6"/>
      <c r="CTK41" s="6"/>
      <c r="CTL41" s="6"/>
      <c r="CTM41" s="6"/>
      <c r="CTN41" s="6"/>
      <c r="CTO41" s="6"/>
      <c r="CTP41" s="6"/>
      <c r="CTQ41" s="6"/>
      <c r="CTR41" s="6"/>
      <c r="CTS41" s="6"/>
      <c r="CTT41" s="6"/>
      <c r="CTU41" s="6"/>
      <c r="CTV41" s="6"/>
      <c r="CTW41" s="6"/>
      <c r="CTX41" s="6"/>
      <c r="CTY41" s="6"/>
      <c r="CTZ41" s="6"/>
      <c r="CUA41" s="6"/>
      <c r="CUB41" s="6"/>
      <c r="CUC41" s="6"/>
      <c r="CUD41" s="6"/>
      <c r="CUE41" s="6"/>
      <c r="CUF41" s="6"/>
      <c r="CUG41" s="6"/>
      <c r="CUH41" s="6"/>
      <c r="CUI41" s="6"/>
      <c r="CUJ41" s="6"/>
      <c r="CUK41" s="6"/>
      <c r="CUL41" s="6"/>
      <c r="CUM41" s="6"/>
      <c r="CUN41" s="6"/>
      <c r="CUO41" s="6"/>
      <c r="CUP41" s="6"/>
      <c r="CUQ41" s="6"/>
      <c r="CUR41" s="6"/>
      <c r="CUS41" s="6"/>
      <c r="CUT41" s="6"/>
      <c r="CUU41" s="6"/>
      <c r="CUV41" s="6"/>
      <c r="CUW41" s="6"/>
      <c r="CUX41" s="6"/>
      <c r="CUY41" s="6"/>
      <c r="CUZ41" s="6"/>
      <c r="CVA41" s="6"/>
      <c r="CVB41" s="6"/>
      <c r="CVC41" s="6"/>
      <c r="CVD41" s="6"/>
      <c r="CVE41" s="6"/>
      <c r="CVF41" s="6"/>
      <c r="CVG41" s="6"/>
      <c r="CVH41" s="6"/>
      <c r="CVI41" s="6"/>
      <c r="CVJ41" s="6"/>
      <c r="CVK41" s="6"/>
      <c r="CVL41" s="6"/>
      <c r="CVM41" s="6"/>
      <c r="CVN41" s="6"/>
      <c r="CVO41" s="6"/>
      <c r="CVP41" s="6"/>
      <c r="CVQ41" s="6"/>
      <c r="CVR41" s="6"/>
      <c r="CVS41" s="6"/>
      <c r="CVT41" s="6"/>
      <c r="CVU41" s="6"/>
      <c r="CVV41" s="6"/>
      <c r="CVW41" s="6"/>
      <c r="CVX41" s="6"/>
      <c r="CVY41" s="6"/>
      <c r="CVZ41" s="6"/>
      <c r="CWA41" s="6"/>
      <c r="CWB41" s="6"/>
      <c r="CWC41" s="6"/>
      <c r="CWD41" s="6"/>
      <c r="CWE41" s="6"/>
      <c r="CWF41" s="6"/>
      <c r="CWG41" s="6"/>
      <c r="CWH41" s="6"/>
      <c r="CWI41" s="6"/>
      <c r="CWJ41" s="6"/>
      <c r="CWK41" s="6"/>
      <c r="CWL41" s="6"/>
      <c r="CWM41" s="6"/>
      <c r="CWN41" s="6"/>
      <c r="CWO41" s="6"/>
      <c r="CWP41" s="6"/>
      <c r="CWQ41" s="6"/>
      <c r="CWR41" s="6"/>
      <c r="CWS41" s="6"/>
      <c r="CWT41" s="6"/>
      <c r="CWU41" s="6"/>
      <c r="CWV41" s="6"/>
      <c r="CWW41" s="6"/>
      <c r="CWX41" s="6"/>
      <c r="CWY41" s="6"/>
      <c r="CWZ41" s="6"/>
      <c r="CXA41" s="6"/>
      <c r="CXB41" s="6"/>
      <c r="CXC41" s="6"/>
      <c r="CXD41" s="6"/>
      <c r="CXE41" s="6"/>
      <c r="CXF41" s="6"/>
      <c r="CXG41" s="6"/>
      <c r="CXH41" s="6"/>
      <c r="CXI41" s="6"/>
      <c r="CXJ41" s="6"/>
      <c r="CXK41" s="6"/>
      <c r="CXL41" s="6"/>
      <c r="CXM41" s="6"/>
      <c r="CXN41" s="6"/>
      <c r="CXO41" s="6"/>
      <c r="CXP41" s="6"/>
      <c r="CXQ41" s="6"/>
      <c r="CXR41" s="6"/>
      <c r="CXS41" s="6"/>
      <c r="CXT41" s="6"/>
      <c r="CXU41" s="6"/>
      <c r="CXV41" s="6"/>
      <c r="CXW41" s="6"/>
      <c r="CXX41" s="6"/>
      <c r="CXY41" s="6"/>
      <c r="CXZ41" s="6"/>
      <c r="CYA41" s="6"/>
      <c r="CYB41" s="6"/>
      <c r="CYC41" s="6"/>
      <c r="CYD41" s="6"/>
      <c r="CYE41" s="6"/>
      <c r="CYF41" s="6"/>
      <c r="CYG41" s="6"/>
      <c r="CYH41" s="6"/>
      <c r="CYI41" s="6"/>
      <c r="CYJ41" s="6"/>
      <c r="CYK41" s="6"/>
      <c r="CYL41" s="6"/>
      <c r="CYM41" s="6"/>
      <c r="CYN41" s="6"/>
      <c r="CYO41" s="6"/>
      <c r="CYP41" s="6"/>
      <c r="CYQ41" s="6"/>
      <c r="CYR41" s="6"/>
      <c r="CYS41" s="6"/>
      <c r="CYT41" s="6"/>
      <c r="CYU41" s="6"/>
      <c r="CYV41" s="6"/>
      <c r="CYW41" s="6"/>
      <c r="CYX41" s="6"/>
      <c r="CYY41" s="6"/>
      <c r="CYZ41" s="6"/>
      <c r="CZA41" s="6"/>
      <c r="CZB41" s="6"/>
      <c r="CZC41" s="6"/>
      <c r="CZD41" s="6"/>
      <c r="CZE41" s="6"/>
      <c r="CZF41" s="6"/>
      <c r="CZG41" s="6"/>
      <c r="CZH41" s="6"/>
      <c r="CZI41" s="6"/>
      <c r="CZJ41" s="6"/>
      <c r="CZK41" s="6"/>
      <c r="CZL41" s="6"/>
      <c r="CZM41" s="6"/>
      <c r="CZN41" s="6"/>
      <c r="CZO41" s="6"/>
      <c r="CZP41" s="6"/>
      <c r="CZQ41" s="6"/>
      <c r="CZR41" s="6"/>
      <c r="CZS41" s="6"/>
      <c r="CZT41" s="6"/>
      <c r="CZU41" s="6"/>
      <c r="CZV41" s="6"/>
      <c r="CZW41" s="6"/>
      <c r="CZX41" s="6"/>
      <c r="CZY41" s="6"/>
      <c r="CZZ41" s="6"/>
      <c r="DAA41" s="6"/>
      <c r="DAB41" s="6"/>
      <c r="DAC41" s="6"/>
      <c r="DAD41" s="6"/>
      <c r="DAE41" s="6"/>
      <c r="DAF41" s="6"/>
      <c r="DAG41" s="6"/>
      <c r="DAH41" s="6"/>
      <c r="DAI41" s="6"/>
      <c r="DAJ41" s="6"/>
      <c r="DAK41" s="6"/>
      <c r="DAL41" s="6"/>
      <c r="DAM41" s="6"/>
      <c r="DAN41" s="6"/>
      <c r="DAO41" s="6"/>
      <c r="DAP41" s="6"/>
      <c r="DAQ41" s="6"/>
      <c r="DAR41" s="6"/>
      <c r="DAS41" s="6"/>
      <c r="DAT41" s="6"/>
      <c r="DAU41" s="6"/>
      <c r="DAV41" s="6"/>
      <c r="DAW41" s="6"/>
      <c r="DAX41" s="6"/>
      <c r="DAY41" s="6"/>
      <c r="DAZ41" s="6"/>
      <c r="DBA41" s="6"/>
      <c r="DBB41" s="6"/>
      <c r="DBC41" s="6"/>
      <c r="DBD41" s="6"/>
      <c r="DBE41" s="6"/>
      <c r="DBF41" s="6"/>
      <c r="DBG41" s="6"/>
      <c r="DBH41" s="6"/>
      <c r="DBI41" s="6"/>
      <c r="DBJ41" s="6"/>
      <c r="DBK41" s="6"/>
      <c r="DBL41" s="6"/>
      <c r="DBM41" s="6"/>
      <c r="DBN41" s="6"/>
      <c r="DBO41" s="6"/>
      <c r="DBP41" s="6"/>
      <c r="DBQ41" s="6"/>
      <c r="DBR41" s="6"/>
      <c r="DBS41" s="6"/>
      <c r="DBT41" s="6"/>
      <c r="DBU41" s="6"/>
      <c r="DBV41" s="6"/>
      <c r="DBW41" s="6"/>
      <c r="DBX41" s="6"/>
      <c r="DBY41" s="6"/>
      <c r="DBZ41" s="6"/>
      <c r="DCA41" s="6"/>
      <c r="DCB41" s="6"/>
      <c r="DCC41" s="6"/>
      <c r="DCD41" s="6"/>
      <c r="DCE41" s="6"/>
      <c r="DCF41" s="6"/>
      <c r="DCG41" s="6"/>
      <c r="DCH41" s="6"/>
      <c r="DCI41" s="6"/>
      <c r="DCJ41" s="6"/>
      <c r="DCK41" s="6"/>
      <c r="DCL41" s="6"/>
      <c r="DCM41" s="6"/>
      <c r="DCN41" s="6"/>
      <c r="DCO41" s="6"/>
      <c r="DCP41" s="6"/>
      <c r="DCQ41" s="6"/>
      <c r="DCR41" s="6"/>
      <c r="DCS41" s="6"/>
      <c r="DCT41" s="6"/>
      <c r="DCU41" s="6"/>
      <c r="DCV41" s="6"/>
      <c r="DCW41" s="6"/>
      <c r="DCX41" s="6"/>
      <c r="DCY41" s="6"/>
      <c r="DCZ41" s="6"/>
      <c r="DDA41" s="6"/>
      <c r="DDB41" s="6"/>
      <c r="DDC41" s="6"/>
      <c r="DDD41" s="6"/>
      <c r="DDE41" s="6"/>
      <c r="DDF41" s="6"/>
      <c r="DDG41" s="6"/>
      <c r="DDH41" s="6"/>
      <c r="DDI41" s="6"/>
      <c r="DDJ41" s="6"/>
      <c r="DDK41" s="6"/>
      <c r="DDL41" s="6"/>
      <c r="DDM41" s="6"/>
      <c r="DDN41" s="6"/>
      <c r="DDO41" s="6"/>
      <c r="DDP41" s="6"/>
      <c r="DDQ41" s="6"/>
      <c r="DDR41" s="6"/>
      <c r="DDS41" s="6"/>
      <c r="DDT41" s="6"/>
      <c r="DDU41" s="6"/>
      <c r="DDV41" s="6"/>
      <c r="DDW41" s="6"/>
      <c r="DDX41" s="6"/>
      <c r="DDY41" s="6"/>
      <c r="DDZ41" s="6"/>
      <c r="DEA41" s="6"/>
      <c r="DEB41" s="6"/>
      <c r="DEC41" s="6"/>
      <c r="DED41" s="6"/>
      <c r="DEE41" s="6"/>
      <c r="DEF41" s="6"/>
      <c r="DEG41" s="6"/>
      <c r="DEH41" s="6"/>
      <c r="DEI41" s="6"/>
      <c r="DEJ41" s="6"/>
      <c r="DEK41" s="6"/>
      <c r="DEL41" s="6"/>
      <c r="DEM41" s="6"/>
      <c r="DEN41" s="6"/>
      <c r="DEO41" s="6"/>
      <c r="DEP41" s="6"/>
      <c r="DEQ41" s="6"/>
      <c r="DER41" s="6"/>
      <c r="DES41" s="6"/>
      <c r="DET41" s="6"/>
      <c r="DEU41" s="6"/>
      <c r="DEV41" s="6"/>
      <c r="DEW41" s="6"/>
      <c r="DEX41" s="6"/>
      <c r="DEY41" s="6"/>
      <c r="DEZ41" s="6"/>
      <c r="DFA41" s="6"/>
      <c r="DFB41" s="6"/>
      <c r="DFC41" s="6"/>
      <c r="DFD41" s="6"/>
      <c r="DFE41" s="6"/>
      <c r="DFF41" s="6"/>
      <c r="DFG41" s="6"/>
      <c r="DFH41" s="6"/>
      <c r="DFI41" s="6"/>
      <c r="DFJ41" s="6"/>
      <c r="DFK41" s="6"/>
      <c r="DFL41" s="6"/>
      <c r="DFM41" s="6"/>
      <c r="DFN41" s="6"/>
      <c r="DFO41" s="6"/>
      <c r="DFP41" s="6"/>
      <c r="DFQ41" s="6"/>
      <c r="DFR41" s="6"/>
      <c r="DFS41" s="6"/>
      <c r="DFT41" s="6"/>
      <c r="DFU41" s="6"/>
      <c r="DFV41" s="6"/>
      <c r="DFW41" s="6"/>
      <c r="DFX41" s="6"/>
      <c r="DFY41" s="6"/>
      <c r="DFZ41" s="6"/>
      <c r="DGA41" s="6"/>
      <c r="DGB41" s="6"/>
      <c r="DGC41" s="6"/>
      <c r="DGD41" s="6"/>
      <c r="DGE41" s="6"/>
      <c r="DGF41" s="6"/>
      <c r="DGG41" s="6"/>
      <c r="DGH41" s="6"/>
      <c r="DGI41" s="6"/>
      <c r="DGJ41" s="6"/>
      <c r="DGK41" s="6"/>
      <c r="DGL41" s="6"/>
      <c r="DGM41" s="6"/>
      <c r="DGN41" s="6"/>
      <c r="DGO41" s="6"/>
      <c r="DGP41" s="6"/>
      <c r="DGQ41" s="6"/>
      <c r="DGR41" s="6"/>
      <c r="DGS41" s="6"/>
      <c r="DGT41" s="6"/>
      <c r="DGU41" s="6"/>
      <c r="DGV41" s="6"/>
      <c r="DGW41" s="6"/>
      <c r="DGX41" s="6"/>
      <c r="DGY41" s="6"/>
      <c r="DGZ41" s="6"/>
      <c r="DHA41" s="6"/>
      <c r="DHB41" s="6"/>
      <c r="DHC41" s="6"/>
      <c r="DHD41" s="6"/>
      <c r="DHE41" s="6"/>
      <c r="DHF41" s="6"/>
      <c r="DHG41" s="6"/>
      <c r="DHH41" s="6"/>
      <c r="DHI41" s="6"/>
      <c r="DHJ41" s="6"/>
      <c r="DHK41" s="6"/>
      <c r="DHL41" s="6"/>
      <c r="DHM41" s="6"/>
      <c r="DHN41" s="6"/>
      <c r="DHO41" s="6"/>
      <c r="DHP41" s="6"/>
      <c r="DHQ41" s="6"/>
      <c r="DHR41" s="6"/>
      <c r="DHS41" s="6"/>
      <c r="DHT41" s="6"/>
      <c r="DHU41" s="6"/>
      <c r="DHV41" s="6"/>
      <c r="DHW41" s="6"/>
      <c r="DHX41" s="6"/>
      <c r="DHY41" s="6"/>
      <c r="DHZ41" s="6"/>
      <c r="DIA41" s="6"/>
      <c r="DIB41" s="6"/>
      <c r="DIC41" s="6"/>
      <c r="DID41" s="6"/>
      <c r="DIE41" s="6"/>
      <c r="DIF41" s="6"/>
      <c r="DIG41" s="6"/>
      <c r="DIH41" s="6"/>
      <c r="DII41" s="6"/>
      <c r="DIJ41" s="6"/>
      <c r="DIK41" s="6"/>
      <c r="DIL41" s="6"/>
      <c r="DIM41" s="6"/>
      <c r="DIN41" s="6"/>
      <c r="DIO41" s="6"/>
      <c r="DIP41" s="6"/>
      <c r="DIQ41" s="6"/>
      <c r="DIR41" s="6"/>
      <c r="DIS41" s="6"/>
      <c r="DIT41" s="6"/>
      <c r="DIU41" s="6"/>
      <c r="DIV41" s="6"/>
      <c r="DIW41" s="6"/>
      <c r="DIX41" s="6"/>
      <c r="DIY41" s="6"/>
      <c r="DIZ41" s="6"/>
      <c r="DJA41" s="6"/>
      <c r="DJB41" s="6"/>
      <c r="DJC41" s="6"/>
      <c r="DJD41" s="6"/>
      <c r="DJE41" s="6"/>
      <c r="DJF41" s="6"/>
      <c r="DJG41" s="6"/>
      <c r="DJH41" s="6"/>
      <c r="DJI41" s="6"/>
      <c r="DJJ41" s="6"/>
      <c r="DJK41" s="6"/>
      <c r="DJL41" s="6"/>
      <c r="DJM41" s="6"/>
      <c r="DJN41" s="6"/>
      <c r="DJO41" s="6"/>
      <c r="DJP41" s="6"/>
      <c r="DJQ41" s="6"/>
      <c r="DJR41" s="6"/>
      <c r="DJS41" s="6"/>
      <c r="DJT41" s="6"/>
      <c r="DJU41" s="6"/>
      <c r="DJV41" s="6"/>
      <c r="DJW41" s="6"/>
      <c r="DJX41" s="6"/>
      <c r="DJY41" s="6"/>
      <c r="DJZ41" s="6"/>
      <c r="DKA41" s="6"/>
      <c r="DKB41" s="6"/>
      <c r="DKC41" s="6"/>
      <c r="DKD41" s="6"/>
      <c r="DKE41" s="6"/>
      <c r="DKF41" s="6"/>
      <c r="DKG41" s="6"/>
      <c r="DKH41" s="6"/>
      <c r="DKI41" s="6"/>
      <c r="DKJ41" s="6"/>
      <c r="DKK41" s="6"/>
      <c r="DKL41" s="6"/>
      <c r="DKM41" s="6"/>
      <c r="DKN41" s="6"/>
      <c r="DKO41" s="6"/>
      <c r="DKP41" s="6"/>
      <c r="DKQ41" s="6"/>
      <c r="DKR41" s="6"/>
      <c r="DKS41" s="6"/>
      <c r="DKT41" s="6"/>
      <c r="DKU41" s="6"/>
      <c r="DKV41" s="6"/>
      <c r="DKW41" s="6"/>
      <c r="DKX41" s="6"/>
      <c r="DKY41" s="6"/>
      <c r="DKZ41" s="6"/>
      <c r="DLA41" s="6"/>
      <c r="DLB41" s="6"/>
      <c r="DLC41" s="6"/>
      <c r="DLD41" s="6"/>
      <c r="DLE41" s="6"/>
      <c r="DLF41" s="6"/>
      <c r="DLG41" s="6"/>
      <c r="DLH41" s="6"/>
      <c r="DLI41" s="6"/>
      <c r="DLJ41" s="6"/>
      <c r="DLK41" s="6"/>
      <c r="DLL41" s="6"/>
      <c r="DLM41" s="6"/>
      <c r="DLN41" s="6"/>
      <c r="DLO41" s="6"/>
      <c r="DLP41" s="6"/>
      <c r="DLQ41" s="6"/>
      <c r="DLR41" s="6"/>
      <c r="DLS41" s="6"/>
      <c r="DLT41" s="6"/>
      <c r="DLU41" s="6"/>
      <c r="DLV41" s="6"/>
      <c r="DLW41" s="6"/>
      <c r="DLX41" s="6"/>
      <c r="DLY41" s="6"/>
      <c r="DLZ41" s="6"/>
      <c r="DMA41" s="6"/>
      <c r="DMB41" s="6"/>
      <c r="DMC41" s="6"/>
      <c r="DMD41" s="6"/>
      <c r="DME41" s="6"/>
      <c r="DMF41" s="6"/>
      <c r="DMG41" s="6"/>
      <c r="DMH41" s="6"/>
      <c r="DMI41" s="6"/>
      <c r="DMJ41" s="6"/>
      <c r="DMK41" s="6"/>
      <c r="DML41" s="6"/>
      <c r="DMM41" s="6"/>
      <c r="DMN41" s="6"/>
      <c r="DMO41" s="6"/>
      <c r="DMP41" s="6"/>
      <c r="DMQ41" s="6"/>
      <c r="DMR41" s="6"/>
      <c r="DMS41" s="6"/>
      <c r="DMT41" s="6"/>
      <c r="DMU41" s="6"/>
      <c r="DMV41" s="6"/>
      <c r="DMW41" s="6"/>
      <c r="DMX41" s="6"/>
      <c r="DMY41" s="6"/>
      <c r="DMZ41" s="6"/>
      <c r="DNA41" s="6"/>
      <c r="DNB41" s="6"/>
      <c r="DNC41" s="6"/>
      <c r="DND41" s="6"/>
      <c r="DNE41" s="6"/>
      <c r="DNF41" s="6"/>
      <c r="DNG41" s="6"/>
      <c r="DNH41" s="6"/>
      <c r="DNI41" s="6"/>
      <c r="DNJ41" s="6"/>
      <c r="DNK41" s="6"/>
      <c r="DNL41" s="6"/>
      <c r="DNM41" s="6"/>
      <c r="DNN41" s="6"/>
      <c r="DNO41" s="6"/>
      <c r="DNP41" s="6"/>
      <c r="DNQ41" s="6"/>
      <c r="DNR41" s="6"/>
      <c r="DNS41" s="6"/>
      <c r="DNT41" s="6"/>
      <c r="DNU41" s="6"/>
      <c r="DNV41" s="6"/>
      <c r="DNW41" s="6"/>
      <c r="DNX41" s="6"/>
      <c r="DNY41" s="6"/>
      <c r="DNZ41" s="6"/>
      <c r="DOA41" s="6"/>
      <c r="DOB41" s="6"/>
      <c r="DOC41" s="6"/>
      <c r="DOD41" s="6"/>
      <c r="DOE41" s="6"/>
      <c r="DOF41" s="6"/>
      <c r="DOG41" s="6"/>
      <c r="DOH41" s="6"/>
      <c r="DOI41" s="6"/>
      <c r="DOJ41" s="6"/>
      <c r="DOK41" s="6"/>
      <c r="DOL41" s="6"/>
      <c r="DOM41" s="6"/>
      <c r="DON41" s="6"/>
      <c r="DOO41" s="6"/>
      <c r="DOP41" s="6"/>
      <c r="DOQ41" s="6"/>
      <c r="DOR41" s="6"/>
      <c r="DOS41" s="6"/>
      <c r="DOT41" s="6"/>
      <c r="DOU41" s="6"/>
      <c r="DOV41" s="6"/>
      <c r="DOW41" s="6"/>
      <c r="DOX41" s="6"/>
      <c r="DOY41" s="6"/>
      <c r="DOZ41" s="6"/>
      <c r="DPA41" s="6"/>
      <c r="DPB41" s="6"/>
      <c r="DPC41" s="6"/>
      <c r="DPD41" s="6"/>
      <c r="DPE41" s="6"/>
      <c r="DPF41" s="6"/>
      <c r="DPG41" s="6"/>
      <c r="DPH41" s="6"/>
      <c r="DPI41" s="6"/>
      <c r="DPJ41" s="6"/>
      <c r="DPK41" s="6"/>
      <c r="DPL41" s="6"/>
      <c r="DPM41" s="6"/>
      <c r="DPN41" s="6"/>
      <c r="DPO41" s="6"/>
      <c r="DPP41" s="6"/>
      <c r="DPQ41" s="6"/>
      <c r="DPR41" s="6"/>
      <c r="DPS41" s="6"/>
      <c r="DPT41" s="6"/>
      <c r="DPU41" s="6"/>
      <c r="DPV41" s="6"/>
      <c r="DPW41" s="6"/>
      <c r="DPX41" s="6"/>
      <c r="DPY41" s="6"/>
      <c r="DPZ41" s="6"/>
      <c r="DQA41" s="6"/>
      <c r="DQB41" s="6"/>
      <c r="DQC41" s="6"/>
      <c r="DQD41" s="6"/>
      <c r="DQE41" s="6"/>
      <c r="DQF41" s="6"/>
      <c r="DQG41" s="6"/>
      <c r="DQH41" s="6"/>
      <c r="DQI41" s="6"/>
      <c r="DQJ41" s="6"/>
      <c r="DQK41" s="6"/>
      <c r="DQL41" s="6"/>
      <c r="DQM41" s="6"/>
      <c r="DQN41" s="6"/>
      <c r="DQO41" s="6"/>
      <c r="DQP41" s="6"/>
      <c r="DQQ41" s="6"/>
      <c r="DQR41" s="6"/>
      <c r="DQS41" s="6"/>
      <c r="DQT41" s="6"/>
      <c r="DQU41" s="6"/>
      <c r="DQV41" s="6"/>
      <c r="DQW41" s="6"/>
      <c r="DQX41" s="6"/>
      <c r="DQY41" s="6"/>
      <c r="DQZ41" s="6"/>
      <c r="DRA41" s="6"/>
      <c r="DRB41" s="6"/>
      <c r="DRC41" s="6"/>
      <c r="DRD41" s="6"/>
      <c r="DRE41" s="6"/>
      <c r="DRF41" s="6"/>
      <c r="DRG41" s="6"/>
      <c r="DRH41" s="6"/>
      <c r="DRI41" s="6"/>
      <c r="DRJ41" s="6"/>
      <c r="DRK41" s="6"/>
      <c r="DRL41" s="6"/>
      <c r="DRM41" s="6"/>
      <c r="DRN41" s="6"/>
      <c r="DRO41" s="6"/>
      <c r="DRP41" s="6"/>
      <c r="DRQ41" s="6"/>
      <c r="DRR41" s="6"/>
      <c r="DRS41" s="6"/>
      <c r="DRT41" s="6"/>
      <c r="DRU41" s="6"/>
      <c r="DRV41" s="6"/>
      <c r="DRW41" s="6"/>
      <c r="DRX41" s="6"/>
      <c r="DRY41" s="6"/>
      <c r="DRZ41" s="6"/>
      <c r="DSA41" s="6"/>
      <c r="DSB41" s="6"/>
      <c r="DSC41" s="6"/>
      <c r="DSD41" s="6"/>
      <c r="DSE41" s="6"/>
      <c r="DSF41" s="6"/>
      <c r="DSG41" s="6"/>
      <c r="DSH41" s="6"/>
      <c r="DSI41" s="6"/>
      <c r="DSJ41" s="6"/>
      <c r="DSK41" s="6"/>
      <c r="DSL41" s="6"/>
      <c r="DSM41" s="6"/>
      <c r="DSN41" s="6"/>
      <c r="DSO41" s="6"/>
      <c r="DSP41" s="6"/>
      <c r="DSQ41" s="6"/>
      <c r="DSR41" s="6"/>
      <c r="DSS41" s="6"/>
      <c r="DST41" s="6"/>
      <c r="DSU41" s="6"/>
      <c r="DSV41" s="6"/>
      <c r="DSW41" s="6"/>
      <c r="DSX41" s="6"/>
      <c r="DSY41" s="6"/>
      <c r="DSZ41" s="6"/>
      <c r="DTA41" s="6"/>
      <c r="DTB41" s="6"/>
      <c r="DTC41" s="6"/>
      <c r="DTD41" s="6"/>
      <c r="DTE41" s="6"/>
      <c r="DTF41" s="6"/>
      <c r="DTG41" s="6"/>
      <c r="DTH41" s="6"/>
      <c r="DTI41" s="6"/>
      <c r="DTJ41" s="6"/>
      <c r="DTK41" s="6"/>
      <c r="DTL41" s="6"/>
      <c r="DTM41" s="6"/>
      <c r="DTN41" s="6"/>
      <c r="DTO41" s="6"/>
      <c r="DTP41" s="6"/>
      <c r="DTQ41" s="6"/>
      <c r="DTR41" s="6"/>
      <c r="DTS41" s="6"/>
      <c r="DTT41" s="6"/>
      <c r="DTU41" s="6"/>
      <c r="DTV41" s="6"/>
      <c r="DTW41" s="6"/>
      <c r="DTX41" s="6"/>
      <c r="DTY41" s="6"/>
      <c r="DTZ41" s="6"/>
      <c r="DUA41" s="6"/>
      <c r="DUB41" s="6"/>
      <c r="DUC41" s="6"/>
      <c r="DUD41" s="6"/>
      <c r="DUE41" s="6"/>
      <c r="DUF41" s="6"/>
      <c r="DUG41" s="6"/>
      <c r="DUH41" s="6"/>
      <c r="DUI41" s="6"/>
      <c r="DUJ41" s="6"/>
      <c r="DUK41" s="6"/>
      <c r="DUL41" s="6"/>
      <c r="DUM41" s="6"/>
      <c r="DUN41" s="6"/>
      <c r="DUO41" s="6"/>
      <c r="DUP41" s="6"/>
      <c r="DUQ41" s="6"/>
      <c r="DUR41" s="6"/>
      <c r="DUS41" s="6"/>
      <c r="DUT41" s="6"/>
      <c r="DUU41" s="6"/>
      <c r="DUV41" s="6"/>
      <c r="DUW41" s="6"/>
      <c r="DUX41" s="6"/>
      <c r="DUY41" s="6"/>
      <c r="DUZ41" s="6"/>
      <c r="DVA41" s="6"/>
      <c r="DVB41" s="6"/>
      <c r="DVC41" s="6"/>
      <c r="DVD41" s="6"/>
      <c r="DVE41" s="6"/>
      <c r="DVF41" s="6"/>
      <c r="DVG41" s="6"/>
      <c r="DVH41" s="6"/>
      <c r="DVI41" s="6"/>
      <c r="DVJ41" s="6"/>
      <c r="DVK41" s="6"/>
      <c r="DVL41" s="6"/>
      <c r="DVM41" s="6"/>
      <c r="DVN41" s="6"/>
      <c r="DVO41" s="6"/>
      <c r="DVP41" s="6"/>
      <c r="DVQ41" s="6"/>
      <c r="DVR41" s="6"/>
      <c r="DVS41" s="6"/>
      <c r="DVT41" s="6"/>
      <c r="DVU41" s="6"/>
      <c r="DVV41" s="6"/>
      <c r="DVW41" s="6"/>
      <c r="DVX41" s="6"/>
      <c r="DVY41" s="6"/>
      <c r="DVZ41" s="6"/>
      <c r="DWA41" s="6"/>
      <c r="DWB41" s="6"/>
      <c r="DWC41" s="6"/>
      <c r="DWD41" s="6"/>
      <c r="DWE41" s="6"/>
      <c r="DWF41" s="6"/>
      <c r="DWG41" s="6"/>
      <c r="DWH41" s="6"/>
      <c r="DWI41" s="6"/>
      <c r="DWJ41" s="6"/>
      <c r="DWK41" s="6"/>
      <c r="DWL41" s="6"/>
      <c r="DWM41" s="6"/>
      <c r="DWN41" s="6"/>
      <c r="DWO41" s="6"/>
      <c r="DWP41" s="6"/>
      <c r="DWQ41" s="6"/>
      <c r="DWR41" s="6"/>
      <c r="DWS41" s="6"/>
      <c r="DWT41" s="6"/>
      <c r="DWU41" s="6"/>
      <c r="DWV41" s="6"/>
      <c r="DWW41" s="6"/>
      <c r="DWX41" s="6"/>
      <c r="DWY41" s="6"/>
      <c r="DWZ41" s="6"/>
      <c r="DXA41" s="6"/>
      <c r="DXB41" s="6"/>
      <c r="DXC41" s="6"/>
      <c r="DXD41" s="6"/>
      <c r="DXE41" s="6"/>
      <c r="DXF41" s="6"/>
      <c r="DXG41" s="6"/>
      <c r="DXH41" s="6"/>
      <c r="DXI41" s="6"/>
      <c r="DXJ41" s="6"/>
      <c r="DXK41" s="6"/>
      <c r="DXL41" s="6"/>
      <c r="DXM41" s="6"/>
      <c r="DXN41" s="6"/>
      <c r="DXO41" s="6"/>
      <c r="DXP41" s="6"/>
      <c r="DXQ41" s="6"/>
      <c r="DXR41" s="6"/>
      <c r="DXS41" s="6"/>
      <c r="DXT41" s="6"/>
      <c r="DXU41" s="6"/>
      <c r="DXV41" s="6"/>
      <c r="DXW41" s="6"/>
      <c r="DXX41" s="6"/>
      <c r="DXY41" s="6"/>
      <c r="DXZ41" s="6"/>
      <c r="DYA41" s="6"/>
      <c r="DYB41" s="6"/>
      <c r="DYC41" s="6"/>
      <c r="DYD41" s="6"/>
      <c r="DYE41" s="6"/>
      <c r="DYF41" s="6"/>
      <c r="DYG41" s="6"/>
      <c r="DYH41" s="6"/>
      <c r="DYI41" s="6"/>
      <c r="DYJ41" s="6"/>
      <c r="DYK41" s="6"/>
      <c r="DYL41" s="6"/>
      <c r="DYM41" s="6"/>
      <c r="DYN41" s="6"/>
      <c r="DYO41" s="6"/>
      <c r="DYP41" s="6"/>
      <c r="DYQ41" s="6"/>
      <c r="DYR41" s="6"/>
      <c r="DYS41" s="6"/>
      <c r="DYT41" s="6"/>
      <c r="DYU41" s="6"/>
      <c r="DYV41" s="6"/>
      <c r="DYW41" s="6"/>
      <c r="DYX41" s="6"/>
      <c r="DYY41" s="6"/>
      <c r="DYZ41" s="6"/>
      <c r="DZA41" s="6"/>
      <c r="DZB41" s="6"/>
      <c r="DZC41" s="6"/>
      <c r="DZD41" s="6"/>
      <c r="DZE41" s="6"/>
      <c r="DZF41" s="6"/>
      <c r="DZG41" s="6"/>
      <c r="DZH41" s="6"/>
      <c r="DZI41" s="6"/>
      <c r="DZJ41" s="6"/>
      <c r="DZK41" s="6"/>
      <c r="DZL41" s="6"/>
      <c r="DZM41" s="6"/>
      <c r="DZN41" s="6"/>
      <c r="DZO41" s="6"/>
      <c r="DZP41" s="6"/>
      <c r="DZQ41" s="6"/>
      <c r="DZR41" s="6"/>
      <c r="DZS41" s="6"/>
      <c r="DZT41" s="6"/>
      <c r="DZU41" s="6"/>
      <c r="DZV41" s="6"/>
      <c r="DZW41" s="6"/>
      <c r="DZX41" s="6"/>
      <c r="DZY41" s="6"/>
      <c r="DZZ41" s="6"/>
      <c r="EAA41" s="6"/>
      <c r="EAB41" s="6"/>
      <c r="EAC41" s="6"/>
      <c r="EAD41" s="6"/>
      <c r="EAE41" s="6"/>
      <c r="EAF41" s="6"/>
      <c r="EAG41" s="6"/>
      <c r="EAH41" s="6"/>
      <c r="EAI41" s="6"/>
      <c r="EAJ41" s="6"/>
      <c r="EAK41" s="6"/>
      <c r="EAL41" s="6"/>
      <c r="EAM41" s="6"/>
      <c r="EAN41" s="6"/>
      <c r="EAO41" s="6"/>
      <c r="EAP41" s="6"/>
      <c r="EAQ41" s="6"/>
      <c r="EAR41" s="6"/>
      <c r="EAS41" s="6"/>
      <c r="EAT41" s="6"/>
      <c r="EAU41" s="6"/>
      <c r="EAV41" s="6"/>
      <c r="EAW41" s="6"/>
      <c r="EAX41" s="6"/>
      <c r="EAY41" s="6"/>
      <c r="EAZ41" s="6"/>
      <c r="EBA41" s="6"/>
      <c r="EBB41" s="6"/>
      <c r="EBC41" s="6"/>
      <c r="EBD41" s="6"/>
      <c r="EBE41" s="6"/>
      <c r="EBF41" s="6"/>
      <c r="EBG41" s="6"/>
      <c r="EBH41" s="6"/>
      <c r="EBI41" s="6"/>
      <c r="EBJ41" s="6"/>
      <c r="EBK41" s="6"/>
      <c r="EBL41" s="6"/>
      <c r="EBM41" s="6"/>
      <c r="EBN41" s="6"/>
      <c r="EBO41" s="6"/>
      <c r="EBP41" s="6"/>
      <c r="EBQ41" s="6"/>
      <c r="EBR41" s="6"/>
      <c r="EBS41" s="6"/>
      <c r="EBT41" s="6"/>
      <c r="EBU41" s="6"/>
      <c r="EBV41" s="6"/>
      <c r="EBW41" s="6"/>
      <c r="EBX41" s="6"/>
      <c r="EBY41" s="6"/>
      <c r="EBZ41" s="6"/>
      <c r="ECA41" s="6"/>
      <c r="ECB41" s="6"/>
      <c r="ECC41" s="6"/>
      <c r="ECD41" s="6"/>
      <c r="ECE41" s="6"/>
      <c r="ECF41" s="6"/>
      <c r="ECG41" s="6"/>
      <c r="ECH41" s="6"/>
      <c r="ECI41" s="6"/>
      <c r="ECJ41" s="6"/>
      <c r="ECK41" s="6"/>
      <c r="ECL41" s="6"/>
      <c r="ECM41" s="6"/>
      <c r="ECN41" s="6"/>
      <c r="ECO41" s="6"/>
      <c r="ECP41" s="6"/>
      <c r="ECQ41" s="6"/>
      <c r="ECR41" s="6"/>
      <c r="ECS41" s="6"/>
      <c r="ECT41" s="6"/>
      <c r="ECU41" s="6"/>
      <c r="ECV41" s="6"/>
      <c r="ECW41" s="6"/>
      <c r="ECX41" s="6"/>
      <c r="ECY41" s="6"/>
      <c r="ECZ41" s="6"/>
      <c r="EDA41" s="6"/>
      <c r="EDB41" s="6"/>
      <c r="EDC41" s="6"/>
      <c r="EDD41" s="6"/>
      <c r="EDE41" s="6"/>
      <c r="EDF41" s="6"/>
      <c r="EDG41" s="6"/>
      <c r="EDH41" s="6"/>
      <c r="EDI41" s="6"/>
      <c r="EDJ41" s="6"/>
      <c r="EDK41" s="6"/>
      <c r="EDL41" s="6"/>
      <c r="EDM41" s="6"/>
      <c r="EDN41" s="6"/>
      <c r="EDO41" s="6"/>
      <c r="EDP41" s="6"/>
      <c r="EDQ41" s="6"/>
      <c r="EDR41" s="6"/>
      <c r="EDS41" s="6"/>
      <c r="EDT41" s="6"/>
      <c r="EDU41" s="6"/>
      <c r="EDV41" s="6"/>
      <c r="EDW41" s="6"/>
      <c r="EDX41" s="6"/>
      <c r="EDY41" s="6"/>
      <c r="EDZ41" s="6"/>
      <c r="EEA41" s="6"/>
      <c r="EEB41" s="6"/>
      <c r="EEC41" s="6"/>
      <c r="EED41" s="6"/>
      <c r="EEE41" s="6"/>
      <c r="EEF41" s="6"/>
      <c r="EEG41" s="6"/>
      <c r="EEH41" s="6"/>
      <c r="EEI41" s="6"/>
      <c r="EEJ41" s="6"/>
      <c r="EEK41" s="6"/>
      <c r="EEL41" s="6"/>
      <c r="EEM41" s="6"/>
      <c r="EEN41" s="6"/>
      <c r="EEO41" s="6"/>
      <c r="EEP41" s="6"/>
      <c r="EEQ41" s="6"/>
      <c r="EER41" s="6"/>
      <c r="EES41" s="6"/>
      <c r="EET41" s="6"/>
      <c r="EEU41" s="6"/>
      <c r="EEV41" s="6"/>
      <c r="EEW41" s="6"/>
      <c r="EEX41" s="6"/>
      <c r="EEY41" s="6"/>
      <c r="EEZ41" s="6"/>
      <c r="EFA41" s="6"/>
      <c r="EFB41" s="6"/>
      <c r="EFC41" s="6"/>
      <c r="EFD41" s="6"/>
      <c r="EFE41" s="6"/>
      <c r="EFF41" s="6"/>
      <c r="EFG41" s="6"/>
      <c r="EFH41" s="6"/>
      <c r="EFI41" s="6"/>
      <c r="EFJ41" s="6"/>
      <c r="EFK41" s="6"/>
      <c r="EFL41" s="6"/>
      <c r="EFM41" s="6"/>
      <c r="EFN41" s="6"/>
      <c r="EFO41" s="6"/>
      <c r="EFP41" s="6"/>
      <c r="EFQ41" s="6"/>
      <c r="EFR41" s="6"/>
      <c r="EFS41" s="6"/>
      <c r="EFT41" s="6"/>
      <c r="EFU41" s="6"/>
      <c r="EFV41" s="6"/>
      <c r="EFW41" s="6"/>
      <c r="EFX41" s="6"/>
      <c r="EFY41" s="6"/>
      <c r="EFZ41" s="6"/>
      <c r="EGA41" s="6"/>
      <c r="EGB41" s="6"/>
      <c r="EGC41" s="6"/>
      <c r="EGD41" s="6"/>
      <c r="EGE41" s="6"/>
      <c r="EGF41" s="6"/>
      <c r="EGG41" s="6"/>
      <c r="EGH41" s="6"/>
      <c r="EGI41" s="6"/>
      <c r="EGJ41" s="6"/>
      <c r="EGK41" s="6"/>
      <c r="EGL41" s="6"/>
      <c r="EGM41" s="6"/>
      <c r="EGN41" s="6"/>
      <c r="EGO41" s="6"/>
      <c r="EGP41" s="6"/>
      <c r="EGQ41" s="6"/>
      <c r="EGR41" s="6"/>
      <c r="EGS41" s="6"/>
      <c r="EGT41" s="6"/>
      <c r="EGU41" s="6"/>
      <c r="EGV41" s="6"/>
      <c r="EGW41" s="6"/>
      <c r="EGX41" s="6"/>
      <c r="EGY41" s="6"/>
      <c r="EGZ41" s="6"/>
      <c r="EHA41" s="6"/>
      <c r="EHB41" s="6"/>
      <c r="EHC41" s="6"/>
      <c r="EHD41" s="6"/>
      <c r="EHE41" s="6"/>
      <c r="EHF41" s="6"/>
      <c r="EHG41" s="6"/>
      <c r="EHH41" s="6"/>
      <c r="EHI41" s="6"/>
      <c r="EHJ41" s="6"/>
      <c r="EHK41" s="6"/>
      <c r="EHL41" s="6"/>
      <c r="EHM41" s="6"/>
      <c r="EHN41" s="6"/>
      <c r="EHO41" s="6"/>
      <c r="EHP41" s="6"/>
      <c r="EHQ41" s="6"/>
      <c r="EHR41" s="6"/>
      <c r="EHS41" s="6"/>
      <c r="EHT41" s="6"/>
      <c r="EHU41" s="6"/>
      <c r="EHV41" s="6"/>
      <c r="EHW41" s="6"/>
      <c r="EHX41" s="6"/>
      <c r="EHY41" s="6"/>
      <c r="EHZ41" s="6"/>
      <c r="EIA41" s="6"/>
      <c r="EIB41" s="6"/>
      <c r="EIC41" s="6"/>
      <c r="EID41" s="6"/>
      <c r="EIE41" s="6"/>
      <c r="EIF41" s="6"/>
      <c r="EIG41" s="6"/>
      <c r="EIH41" s="6"/>
      <c r="EII41" s="6"/>
      <c r="EIJ41" s="6"/>
      <c r="EIK41" s="6"/>
      <c r="EIL41" s="6"/>
      <c r="EIM41" s="6"/>
      <c r="EIN41" s="6"/>
      <c r="EIO41" s="6"/>
      <c r="EIP41" s="6"/>
      <c r="EIQ41" s="6"/>
      <c r="EIR41" s="6"/>
      <c r="EIS41" s="6"/>
      <c r="EIT41" s="6"/>
      <c r="EIU41" s="6"/>
      <c r="EIV41" s="6"/>
      <c r="EIW41" s="6"/>
      <c r="EIX41" s="6"/>
      <c r="EIY41" s="6"/>
      <c r="EIZ41" s="6"/>
      <c r="EJA41" s="6"/>
      <c r="EJB41" s="6"/>
      <c r="EJC41" s="6"/>
      <c r="EJD41" s="6"/>
      <c r="EJE41" s="6"/>
      <c r="EJF41" s="6"/>
      <c r="EJG41" s="6"/>
      <c r="EJH41" s="6"/>
      <c r="EJI41" s="6"/>
      <c r="EJJ41" s="6"/>
      <c r="EJK41" s="6"/>
      <c r="EJL41" s="6"/>
      <c r="EJM41" s="6"/>
      <c r="EJN41" s="6"/>
      <c r="EJO41" s="6"/>
      <c r="EJP41" s="6"/>
      <c r="EJQ41" s="6"/>
      <c r="EJR41" s="6"/>
      <c r="EJS41" s="6"/>
      <c r="EJT41" s="6"/>
      <c r="EJU41" s="6"/>
      <c r="EJV41" s="6"/>
      <c r="EJW41" s="6"/>
      <c r="EJX41" s="6"/>
      <c r="EJY41" s="6"/>
      <c r="EJZ41" s="6"/>
      <c r="EKA41" s="6"/>
      <c r="EKB41" s="6"/>
      <c r="EKC41" s="6"/>
      <c r="EKD41" s="6"/>
      <c r="EKE41" s="6"/>
      <c r="EKF41" s="6"/>
      <c r="EKG41" s="6"/>
      <c r="EKH41" s="6"/>
      <c r="EKI41" s="6"/>
      <c r="EKJ41" s="6"/>
      <c r="EKK41" s="6"/>
      <c r="EKL41" s="6"/>
      <c r="EKM41" s="6"/>
      <c r="EKN41" s="6"/>
      <c r="EKO41" s="6"/>
      <c r="EKP41" s="6"/>
      <c r="EKQ41" s="6"/>
      <c r="EKR41" s="6"/>
      <c r="EKS41" s="6"/>
      <c r="EKT41" s="6"/>
      <c r="EKU41" s="6"/>
      <c r="EKV41" s="6"/>
      <c r="EKW41" s="6"/>
      <c r="EKX41" s="6"/>
      <c r="EKY41" s="6"/>
      <c r="EKZ41" s="6"/>
      <c r="ELA41" s="6"/>
      <c r="ELB41" s="6"/>
      <c r="ELC41" s="6"/>
      <c r="ELD41" s="6"/>
      <c r="ELE41" s="6"/>
      <c r="ELF41" s="6"/>
      <c r="ELG41" s="6"/>
      <c r="ELH41" s="6"/>
      <c r="ELI41" s="6"/>
      <c r="ELJ41" s="6"/>
      <c r="ELK41" s="6"/>
      <c r="ELL41" s="6"/>
      <c r="ELM41" s="6"/>
      <c r="ELN41" s="6"/>
      <c r="ELO41" s="6"/>
      <c r="ELP41" s="6"/>
      <c r="ELQ41" s="6"/>
      <c r="ELR41" s="6"/>
      <c r="ELS41" s="6"/>
      <c r="ELT41" s="6"/>
      <c r="ELU41" s="6"/>
      <c r="ELV41" s="6"/>
      <c r="ELW41" s="6"/>
      <c r="ELX41" s="6"/>
      <c r="ELY41" s="6"/>
      <c r="ELZ41" s="6"/>
      <c r="EMA41" s="6"/>
      <c r="EMB41" s="6"/>
      <c r="EMC41" s="6"/>
      <c r="EMD41" s="6"/>
      <c r="EME41" s="6"/>
      <c r="EMF41" s="6"/>
      <c r="EMG41" s="6"/>
      <c r="EMH41" s="6"/>
      <c r="EMI41" s="6"/>
      <c r="EMJ41" s="6"/>
      <c r="EMK41" s="6"/>
      <c r="EML41" s="6"/>
      <c r="EMM41" s="6"/>
      <c r="EMN41" s="6"/>
      <c r="EMO41" s="6"/>
      <c r="EMP41" s="6"/>
      <c r="EMQ41" s="6"/>
      <c r="EMR41" s="6"/>
      <c r="EMS41" s="6"/>
      <c r="EMT41" s="6"/>
      <c r="EMU41" s="6"/>
      <c r="EMV41" s="6"/>
      <c r="EMW41" s="6"/>
      <c r="EMX41" s="6"/>
      <c r="EMY41" s="6"/>
      <c r="EMZ41" s="6"/>
      <c r="ENA41" s="6"/>
      <c r="ENB41" s="6"/>
      <c r="ENC41" s="6"/>
      <c r="END41" s="6"/>
      <c r="ENE41" s="6"/>
      <c r="ENF41" s="6"/>
      <c r="ENG41" s="6"/>
      <c r="ENH41" s="6"/>
      <c r="ENI41" s="6"/>
      <c r="ENJ41" s="6"/>
      <c r="ENK41" s="6"/>
      <c r="ENL41" s="6"/>
      <c r="ENM41" s="6"/>
      <c r="ENN41" s="6"/>
      <c r="ENO41" s="6"/>
      <c r="ENP41" s="6"/>
      <c r="ENQ41" s="6"/>
      <c r="ENR41" s="6"/>
      <c r="ENS41" s="6"/>
      <c r="ENT41" s="6"/>
      <c r="ENU41" s="6"/>
      <c r="ENV41" s="6"/>
      <c r="ENW41" s="6"/>
      <c r="ENX41" s="6"/>
      <c r="ENY41" s="6"/>
      <c r="ENZ41" s="6"/>
      <c r="EOA41" s="6"/>
      <c r="EOB41" s="6"/>
      <c r="EOC41" s="6"/>
      <c r="EOD41" s="6"/>
      <c r="EOE41" s="6"/>
      <c r="EOF41" s="6"/>
      <c r="EOG41" s="6"/>
      <c r="EOH41" s="6"/>
      <c r="EOI41" s="6"/>
      <c r="EOJ41" s="6"/>
      <c r="EOK41" s="6"/>
      <c r="EOL41" s="6"/>
      <c r="EOM41" s="6"/>
      <c r="EON41" s="6"/>
      <c r="EOO41" s="6"/>
      <c r="EOP41" s="6"/>
      <c r="EOQ41" s="6"/>
      <c r="EOR41" s="6"/>
      <c r="EOS41" s="6"/>
      <c r="EOT41" s="6"/>
      <c r="EOU41" s="6"/>
      <c r="EOV41" s="6"/>
      <c r="EOW41" s="6"/>
      <c r="EOX41" s="6"/>
      <c r="EOY41" s="6"/>
      <c r="EOZ41" s="6"/>
      <c r="EPA41" s="6"/>
      <c r="EPB41" s="6"/>
      <c r="EPC41" s="6"/>
      <c r="EPD41" s="6"/>
      <c r="EPE41" s="6"/>
      <c r="EPF41" s="6"/>
      <c r="EPG41" s="6"/>
      <c r="EPH41" s="6"/>
      <c r="EPI41" s="6"/>
      <c r="EPJ41" s="6"/>
      <c r="EPK41" s="6"/>
      <c r="EPL41" s="6"/>
      <c r="EPM41" s="6"/>
      <c r="EPN41" s="6"/>
      <c r="EPO41" s="6"/>
      <c r="EPP41" s="6"/>
      <c r="EPQ41" s="6"/>
      <c r="EPR41" s="6"/>
      <c r="EPS41" s="6"/>
      <c r="EPT41" s="6"/>
      <c r="EPU41" s="6"/>
      <c r="EPV41" s="6"/>
      <c r="EPW41" s="6"/>
      <c r="EPX41" s="6"/>
      <c r="EPY41" s="6"/>
      <c r="EPZ41" s="6"/>
      <c r="EQA41" s="6"/>
      <c r="EQB41" s="6"/>
      <c r="EQC41" s="6"/>
      <c r="EQD41" s="6"/>
      <c r="EQE41" s="6"/>
      <c r="EQF41" s="6"/>
      <c r="EQG41" s="6"/>
      <c r="EQH41" s="6"/>
      <c r="EQI41" s="6"/>
      <c r="EQJ41" s="6"/>
      <c r="EQK41" s="6"/>
      <c r="EQL41" s="6"/>
      <c r="EQM41" s="6"/>
      <c r="EQN41" s="6"/>
      <c r="EQO41" s="6"/>
      <c r="EQP41" s="6"/>
      <c r="EQQ41" s="6"/>
      <c r="EQR41" s="6"/>
      <c r="EQS41" s="6"/>
      <c r="EQT41" s="6"/>
      <c r="EQU41" s="6"/>
      <c r="EQV41" s="6"/>
      <c r="EQW41" s="6"/>
      <c r="EQX41" s="6"/>
      <c r="EQY41" s="6"/>
      <c r="EQZ41" s="6"/>
      <c r="ERA41" s="6"/>
      <c r="ERB41" s="6"/>
      <c r="ERC41" s="6"/>
      <c r="ERD41" s="6"/>
      <c r="ERE41" s="6"/>
      <c r="ERF41" s="6"/>
      <c r="ERG41" s="6"/>
      <c r="ERH41" s="6"/>
      <c r="ERI41" s="6"/>
      <c r="ERJ41" s="6"/>
      <c r="ERK41" s="6"/>
      <c r="ERL41" s="6"/>
      <c r="ERM41" s="6"/>
      <c r="ERN41" s="6"/>
      <c r="ERO41" s="6"/>
      <c r="ERP41" s="6"/>
      <c r="ERQ41" s="6"/>
      <c r="ERR41" s="6"/>
      <c r="ERS41" s="6"/>
      <c r="ERT41" s="6"/>
      <c r="ERU41" s="6"/>
      <c r="ERV41" s="6"/>
      <c r="ERW41" s="6"/>
      <c r="ERX41" s="6"/>
      <c r="ERY41" s="6"/>
      <c r="ERZ41" s="6"/>
      <c r="ESA41" s="6"/>
      <c r="ESB41" s="6"/>
      <c r="ESC41" s="6"/>
      <c r="ESD41" s="6"/>
      <c r="ESE41" s="6"/>
      <c r="ESF41" s="6"/>
      <c r="ESG41" s="6"/>
      <c r="ESH41" s="6"/>
      <c r="ESI41" s="6"/>
      <c r="ESJ41" s="6"/>
      <c r="ESK41" s="6"/>
      <c r="ESL41" s="6"/>
      <c r="ESM41" s="6"/>
      <c r="ESN41" s="6"/>
      <c r="ESO41" s="6"/>
      <c r="ESP41" s="6"/>
      <c r="ESQ41" s="6"/>
      <c r="ESR41" s="6"/>
      <c r="ESS41" s="6"/>
      <c r="EST41" s="6"/>
      <c r="ESU41" s="6"/>
      <c r="ESV41" s="6"/>
      <c r="ESW41" s="6"/>
      <c r="ESX41" s="6"/>
      <c r="ESY41" s="6"/>
      <c r="ESZ41" s="6"/>
      <c r="ETA41" s="6"/>
      <c r="ETB41" s="6"/>
      <c r="ETC41" s="6"/>
      <c r="ETD41" s="6"/>
      <c r="ETE41" s="6"/>
      <c r="ETF41" s="6"/>
      <c r="ETG41" s="6"/>
      <c r="ETH41" s="6"/>
      <c r="ETI41" s="6"/>
      <c r="ETJ41" s="6"/>
      <c r="ETK41" s="6"/>
      <c r="ETL41" s="6"/>
      <c r="ETM41" s="6"/>
      <c r="ETN41" s="6"/>
      <c r="ETO41" s="6"/>
      <c r="ETP41" s="6"/>
      <c r="ETQ41" s="6"/>
      <c r="ETR41" s="6"/>
      <c r="ETS41" s="6"/>
      <c r="ETT41" s="6"/>
      <c r="ETU41" s="6"/>
      <c r="ETV41" s="6"/>
      <c r="ETW41" s="6"/>
      <c r="ETX41" s="6"/>
      <c r="ETY41" s="6"/>
      <c r="ETZ41" s="6"/>
      <c r="EUA41" s="6"/>
      <c r="EUB41" s="6"/>
      <c r="EUC41" s="6"/>
      <c r="EUD41" s="6"/>
      <c r="EUE41" s="6"/>
      <c r="EUF41" s="6"/>
      <c r="EUG41" s="6"/>
      <c r="EUH41" s="6"/>
      <c r="EUI41" s="6"/>
      <c r="EUJ41" s="6"/>
      <c r="EUK41" s="6"/>
      <c r="EUL41" s="6"/>
      <c r="EUM41" s="6"/>
      <c r="EUN41" s="6"/>
      <c r="EUO41" s="6"/>
      <c r="EUP41" s="6"/>
      <c r="EUQ41" s="6"/>
      <c r="EUR41" s="6"/>
      <c r="EUS41" s="6"/>
      <c r="EUT41" s="6"/>
      <c r="EUU41" s="6"/>
      <c r="EUV41" s="6"/>
      <c r="EUW41" s="6"/>
      <c r="EUX41" s="6"/>
      <c r="EUY41" s="6"/>
      <c r="EUZ41" s="6"/>
      <c r="EVA41" s="6"/>
      <c r="EVB41" s="6"/>
      <c r="EVC41" s="6"/>
      <c r="EVD41" s="6"/>
      <c r="EVE41" s="6"/>
      <c r="EVF41" s="6"/>
      <c r="EVG41" s="6"/>
      <c r="EVH41" s="6"/>
      <c r="EVI41" s="6"/>
      <c r="EVJ41" s="6"/>
      <c r="EVK41" s="6"/>
      <c r="EVL41" s="6"/>
      <c r="EVM41" s="6"/>
      <c r="EVN41" s="6"/>
      <c r="EVO41" s="6"/>
      <c r="EVP41" s="6"/>
      <c r="EVQ41" s="6"/>
      <c r="EVR41" s="6"/>
      <c r="EVS41" s="6"/>
      <c r="EVT41" s="6"/>
      <c r="EVU41" s="6"/>
      <c r="EVV41" s="6"/>
      <c r="EVW41" s="6"/>
      <c r="EVX41" s="6"/>
      <c r="EVY41" s="6"/>
      <c r="EVZ41" s="6"/>
      <c r="EWA41" s="6"/>
      <c r="EWB41" s="6"/>
      <c r="EWC41" s="6"/>
      <c r="EWD41" s="6"/>
      <c r="EWE41" s="6"/>
      <c r="EWF41" s="6"/>
      <c r="EWG41" s="6"/>
      <c r="EWH41" s="6"/>
      <c r="EWI41" s="6"/>
      <c r="EWJ41" s="6"/>
      <c r="EWK41" s="6"/>
      <c r="EWL41" s="6"/>
      <c r="EWM41" s="6"/>
      <c r="EWN41" s="6"/>
      <c r="EWO41" s="6"/>
      <c r="EWP41" s="6"/>
      <c r="EWQ41" s="6"/>
      <c r="EWR41" s="6"/>
      <c r="EWS41" s="6"/>
      <c r="EWT41" s="6"/>
      <c r="EWU41" s="6"/>
      <c r="EWV41" s="6"/>
      <c r="EWW41" s="6"/>
      <c r="EWX41" s="6"/>
      <c r="EWY41" s="6"/>
      <c r="EWZ41" s="6"/>
      <c r="EXA41" s="6"/>
      <c r="EXB41" s="6"/>
      <c r="EXC41" s="6"/>
      <c r="EXD41" s="6"/>
      <c r="EXE41" s="6"/>
      <c r="EXF41" s="6"/>
      <c r="EXG41" s="6"/>
      <c r="EXH41" s="6"/>
      <c r="EXI41" s="6"/>
      <c r="EXJ41" s="6"/>
      <c r="EXK41" s="6"/>
      <c r="EXL41" s="6"/>
      <c r="EXM41" s="6"/>
      <c r="EXN41" s="6"/>
      <c r="EXO41" s="6"/>
      <c r="EXP41" s="6"/>
      <c r="EXQ41" s="6"/>
      <c r="EXR41" s="6"/>
      <c r="EXS41" s="6"/>
      <c r="EXT41" s="6"/>
      <c r="EXU41" s="6"/>
      <c r="EXV41" s="6"/>
      <c r="EXW41" s="6"/>
      <c r="EXX41" s="6"/>
      <c r="EXY41" s="6"/>
      <c r="EXZ41" s="6"/>
      <c r="EYA41" s="6"/>
      <c r="EYB41" s="6"/>
      <c r="EYC41" s="6"/>
      <c r="EYD41" s="6"/>
      <c r="EYE41" s="6"/>
      <c r="EYF41" s="6"/>
      <c r="EYG41" s="6"/>
      <c r="EYH41" s="6"/>
      <c r="EYI41" s="6"/>
      <c r="EYJ41" s="6"/>
      <c r="EYK41" s="6"/>
      <c r="EYL41" s="6"/>
      <c r="EYM41" s="6"/>
      <c r="EYN41" s="6"/>
      <c r="EYO41" s="6"/>
      <c r="EYP41" s="6"/>
      <c r="EYQ41" s="6"/>
      <c r="EYR41" s="6"/>
      <c r="EYS41" s="6"/>
      <c r="EYT41" s="6"/>
      <c r="EYU41" s="6"/>
      <c r="EYV41" s="6"/>
      <c r="EYW41" s="6"/>
      <c r="EYX41" s="6"/>
      <c r="EYY41" s="6"/>
      <c r="EYZ41" s="6"/>
      <c r="EZA41" s="6"/>
      <c r="EZB41" s="6"/>
      <c r="EZC41" s="6"/>
      <c r="EZD41" s="6"/>
      <c r="EZE41" s="6"/>
      <c r="EZF41" s="6"/>
      <c r="EZG41" s="6"/>
      <c r="EZH41" s="6"/>
      <c r="EZI41" s="6"/>
      <c r="EZJ41" s="6"/>
      <c r="EZK41" s="6"/>
      <c r="EZL41" s="6"/>
      <c r="EZM41" s="6"/>
      <c r="EZN41" s="6"/>
      <c r="EZO41" s="6"/>
      <c r="EZP41" s="6"/>
      <c r="EZQ41" s="6"/>
      <c r="EZR41" s="6"/>
      <c r="EZS41" s="6"/>
      <c r="EZT41" s="6"/>
      <c r="EZU41" s="6"/>
      <c r="EZV41" s="6"/>
      <c r="EZW41" s="6"/>
      <c r="EZX41" s="6"/>
      <c r="EZY41" s="6"/>
      <c r="EZZ41" s="6"/>
      <c r="FAA41" s="6"/>
      <c r="FAB41" s="6"/>
      <c r="FAC41" s="6"/>
      <c r="FAD41" s="6"/>
      <c r="FAE41" s="6"/>
      <c r="FAF41" s="6"/>
      <c r="FAG41" s="6"/>
      <c r="FAH41" s="6"/>
      <c r="FAI41" s="6"/>
      <c r="FAJ41" s="6"/>
      <c r="FAK41" s="6"/>
      <c r="FAL41" s="6"/>
      <c r="FAM41" s="6"/>
      <c r="FAN41" s="6"/>
      <c r="FAO41" s="6"/>
      <c r="FAP41" s="6"/>
      <c r="FAQ41" s="6"/>
      <c r="FAR41" s="6"/>
      <c r="FAS41" s="6"/>
      <c r="FAT41" s="6"/>
      <c r="FAU41" s="6"/>
      <c r="FAV41" s="6"/>
      <c r="FAW41" s="6"/>
      <c r="FAX41" s="6"/>
      <c r="FAY41" s="6"/>
      <c r="FAZ41" s="6"/>
      <c r="FBA41" s="6"/>
      <c r="FBB41" s="6"/>
      <c r="FBC41" s="6"/>
      <c r="FBD41" s="6"/>
      <c r="FBE41" s="6"/>
      <c r="FBF41" s="6"/>
      <c r="FBG41" s="6"/>
      <c r="FBH41" s="6"/>
      <c r="FBI41" s="6"/>
      <c r="FBJ41" s="6"/>
      <c r="FBK41" s="6"/>
      <c r="FBL41" s="6"/>
      <c r="FBM41" s="6"/>
      <c r="FBN41" s="6"/>
      <c r="FBO41" s="6"/>
      <c r="FBP41" s="6"/>
      <c r="FBQ41" s="6"/>
      <c r="FBR41" s="6"/>
      <c r="FBS41" s="6"/>
      <c r="FBT41" s="6"/>
      <c r="FBU41" s="6"/>
      <c r="FBV41" s="6"/>
      <c r="FBW41" s="6"/>
      <c r="FBX41" s="6"/>
      <c r="FBY41" s="6"/>
      <c r="FBZ41" s="6"/>
      <c r="FCA41" s="6"/>
      <c r="FCB41" s="6"/>
      <c r="FCC41" s="6"/>
      <c r="FCD41" s="6"/>
      <c r="FCE41" s="6"/>
      <c r="FCF41" s="6"/>
      <c r="FCG41" s="6"/>
      <c r="FCH41" s="6"/>
      <c r="FCI41" s="6"/>
      <c r="FCJ41" s="6"/>
      <c r="FCK41" s="6"/>
      <c r="FCL41" s="6"/>
      <c r="FCM41" s="6"/>
      <c r="FCN41" s="6"/>
      <c r="FCO41" s="6"/>
      <c r="FCP41" s="6"/>
      <c r="FCQ41" s="6"/>
      <c r="FCR41" s="6"/>
      <c r="FCS41" s="6"/>
      <c r="FCT41" s="6"/>
      <c r="FCU41" s="6"/>
      <c r="FCV41" s="6"/>
      <c r="FCW41" s="6"/>
      <c r="FCX41" s="6"/>
      <c r="FCY41" s="6"/>
      <c r="FCZ41" s="6"/>
      <c r="FDA41" s="6"/>
      <c r="FDB41" s="6"/>
      <c r="FDC41" s="6"/>
      <c r="FDD41" s="6"/>
      <c r="FDE41" s="6"/>
      <c r="FDF41" s="6"/>
      <c r="FDG41" s="6"/>
      <c r="FDH41" s="6"/>
      <c r="FDI41" s="6"/>
      <c r="FDJ41" s="6"/>
      <c r="FDK41" s="6"/>
      <c r="FDL41" s="6"/>
      <c r="FDM41" s="6"/>
      <c r="FDN41" s="6"/>
      <c r="FDO41" s="6"/>
      <c r="FDP41" s="6"/>
      <c r="FDQ41" s="6"/>
      <c r="FDR41" s="6"/>
      <c r="FDS41" s="6"/>
      <c r="FDT41" s="6"/>
      <c r="FDU41" s="6"/>
      <c r="FDV41" s="6"/>
      <c r="FDW41" s="6"/>
      <c r="FDX41" s="6"/>
      <c r="FDY41" s="6"/>
      <c r="FDZ41" s="6"/>
      <c r="FEA41" s="6"/>
      <c r="FEB41" s="6"/>
      <c r="FEC41" s="6"/>
      <c r="FED41" s="6"/>
      <c r="FEE41" s="6"/>
      <c r="FEF41" s="6"/>
      <c r="FEG41" s="6"/>
      <c r="FEH41" s="6"/>
      <c r="FEI41" s="6"/>
      <c r="FEJ41" s="6"/>
      <c r="FEK41" s="6"/>
      <c r="FEL41" s="6"/>
      <c r="FEM41" s="6"/>
      <c r="FEN41" s="6"/>
      <c r="FEO41" s="6"/>
      <c r="FEP41" s="6"/>
      <c r="FEQ41" s="6"/>
      <c r="FER41" s="6"/>
      <c r="FES41" s="6"/>
      <c r="FET41" s="6"/>
      <c r="FEU41" s="6"/>
      <c r="FEV41" s="6"/>
      <c r="FEW41" s="6"/>
      <c r="FEX41" s="6"/>
      <c r="FEY41" s="6"/>
      <c r="FEZ41" s="6"/>
      <c r="FFA41" s="6"/>
      <c r="FFB41" s="6"/>
      <c r="FFC41" s="6"/>
      <c r="FFD41" s="6"/>
      <c r="FFE41" s="6"/>
      <c r="FFF41" s="6"/>
      <c r="FFG41" s="6"/>
      <c r="FFH41" s="6"/>
      <c r="FFI41" s="6"/>
      <c r="FFJ41" s="6"/>
      <c r="FFK41" s="6"/>
      <c r="FFL41" s="6"/>
      <c r="FFM41" s="6"/>
      <c r="FFN41" s="6"/>
      <c r="FFO41" s="6"/>
      <c r="FFP41" s="6"/>
      <c r="FFQ41" s="6"/>
      <c r="FFR41" s="6"/>
      <c r="FFS41" s="6"/>
      <c r="FFT41" s="6"/>
      <c r="FFU41" s="6"/>
      <c r="FFV41" s="6"/>
      <c r="FFW41" s="6"/>
      <c r="FFX41" s="6"/>
      <c r="FFY41" s="6"/>
      <c r="FFZ41" s="6"/>
      <c r="FGA41" s="6"/>
      <c r="FGB41" s="6"/>
      <c r="FGC41" s="6"/>
      <c r="FGD41" s="6"/>
      <c r="FGE41" s="6"/>
      <c r="FGF41" s="6"/>
      <c r="FGG41" s="6"/>
      <c r="FGH41" s="6"/>
      <c r="FGI41" s="6"/>
      <c r="FGJ41" s="6"/>
      <c r="FGK41" s="6"/>
      <c r="FGL41" s="6"/>
      <c r="FGM41" s="6"/>
      <c r="FGN41" s="6"/>
      <c r="FGO41" s="6"/>
      <c r="FGP41" s="6"/>
      <c r="FGQ41" s="6"/>
      <c r="FGR41" s="6"/>
      <c r="FGS41" s="6"/>
      <c r="FGT41" s="6"/>
      <c r="FGU41" s="6"/>
      <c r="FGV41" s="6"/>
      <c r="FGW41" s="6"/>
      <c r="FGX41" s="6"/>
      <c r="FGY41" s="6"/>
      <c r="FGZ41" s="6"/>
      <c r="FHA41" s="6"/>
      <c r="FHB41" s="6"/>
      <c r="FHC41" s="6"/>
      <c r="FHD41" s="6"/>
      <c r="FHE41" s="6"/>
      <c r="FHF41" s="6"/>
      <c r="FHG41" s="6"/>
      <c r="FHH41" s="6"/>
      <c r="FHI41" s="6"/>
      <c r="FHJ41" s="6"/>
      <c r="FHK41" s="6"/>
      <c r="FHL41" s="6"/>
      <c r="FHM41" s="6"/>
      <c r="FHN41" s="6"/>
      <c r="FHO41" s="6"/>
      <c r="FHP41" s="6"/>
      <c r="FHQ41" s="6"/>
      <c r="FHR41" s="6"/>
      <c r="FHS41" s="6"/>
      <c r="FHT41" s="6"/>
      <c r="FHU41" s="6"/>
      <c r="FHV41" s="6"/>
      <c r="FHW41" s="6"/>
      <c r="FHX41" s="6"/>
      <c r="FHY41" s="6"/>
      <c r="FHZ41" s="6"/>
      <c r="FIA41" s="6"/>
      <c r="FIB41" s="6"/>
      <c r="FIC41" s="6"/>
      <c r="FID41" s="6"/>
      <c r="FIE41" s="6"/>
      <c r="FIF41" s="6"/>
      <c r="FIG41" s="6"/>
      <c r="FIH41" s="6"/>
      <c r="FII41" s="6"/>
      <c r="FIJ41" s="6"/>
      <c r="FIK41" s="6"/>
      <c r="FIL41" s="6"/>
      <c r="FIM41" s="6"/>
      <c r="FIN41" s="6"/>
      <c r="FIO41" s="6"/>
      <c r="FIP41" s="6"/>
      <c r="FIQ41" s="6"/>
      <c r="FIR41" s="6"/>
      <c r="FIS41" s="6"/>
      <c r="FIT41" s="6"/>
      <c r="FIU41" s="6"/>
      <c r="FIV41" s="6"/>
      <c r="FIW41" s="6"/>
      <c r="FIX41" s="6"/>
      <c r="FIY41" s="6"/>
      <c r="FIZ41" s="6"/>
      <c r="FJA41" s="6"/>
      <c r="FJB41" s="6"/>
      <c r="FJC41" s="6"/>
      <c r="FJD41" s="6"/>
      <c r="FJE41" s="6"/>
      <c r="FJF41" s="6"/>
      <c r="FJG41" s="6"/>
      <c r="FJH41" s="6"/>
      <c r="FJI41" s="6"/>
      <c r="FJJ41" s="6"/>
      <c r="FJK41" s="6"/>
      <c r="FJL41" s="6"/>
      <c r="FJM41" s="6"/>
      <c r="FJN41" s="6"/>
      <c r="FJO41" s="6"/>
      <c r="FJP41" s="6"/>
      <c r="FJQ41" s="6"/>
      <c r="FJR41" s="6"/>
      <c r="FJS41" s="6"/>
      <c r="FJT41" s="6"/>
      <c r="FJU41" s="6"/>
      <c r="FJV41" s="6"/>
      <c r="FJW41" s="6"/>
      <c r="FJX41" s="6"/>
      <c r="FJY41" s="6"/>
      <c r="FJZ41" s="6"/>
      <c r="FKA41" s="6"/>
      <c r="FKB41" s="6"/>
      <c r="FKC41" s="6"/>
      <c r="FKD41" s="6"/>
      <c r="FKE41" s="6"/>
      <c r="FKF41" s="6"/>
      <c r="FKG41" s="6"/>
      <c r="FKH41" s="6"/>
      <c r="FKI41" s="6"/>
      <c r="FKJ41" s="6"/>
      <c r="FKK41" s="6"/>
      <c r="FKL41" s="6"/>
      <c r="FKM41" s="6"/>
      <c r="FKN41" s="6"/>
      <c r="FKO41" s="6"/>
      <c r="FKP41" s="6"/>
      <c r="FKQ41" s="6"/>
      <c r="FKR41" s="6"/>
      <c r="FKS41" s="6"/>
      <c r="FKT41" s="6"/>
      <c r="FKU41" s="6"/>
      <c r="FKV41" s="6"/>
      <c r="FKW41" s="6"/>
      <c r="FKX41" s="6"/>
      <c r="FKY41" s="6"/>
      <c r="FKZ41" s="6"/>
      <c r="FLA41" s="6"/>
      <c r="FLB41" s="6"/>
      <c r="FLC41" s="6"/>
      <c r="FLD41" s="6"/>
      <c r="FLE41" s="6"/>
      <c r="FLF41" s="6"/>
      <c r="FLG41" s="6"/>
      <c r="FLH41" s="6"/>
      <c r="FLI41" s="6"/>
      <c r="FLJ41" s="6"/>
      <c r="FLK41" s="6"/>
      <c r="FLL41" s="6"/>
      <c r="FLM41" s="6"/>
      <c r="FLN41" s="6"/>
      <c r="FLO41" s="6"/>
      <c r="FLP41" s="6"/>
      <c r="FLQ41" s="6"/>
      <c r="FLR41" s="6"/>
      <c r="FLS41" s="6"/>
      <c r="FLT41" s="6"/>
      <c r="FLU41" s="6"/>
      <c r="FLV41" s="6"/>
      <c r="FLW41" s="6"/>
      <c r="FLX41" s="6"/>
      <c r="FLY41" s="6"/>
      <c r="FLZ41" s="6"/>
      <c r="FMA41" s="6"/>
      <c r="FMB41" s="6"/>
      <c r="FMC41" s="6"/>
      <c r="FMD41" s="6"/>
      <c r="FME41" s="6"/>
      <c r="FMF41" s="6"/>
      <c r="FMG41" s="6"/>
      <c r="FMH41" s="6"/>
      <c r="FMI41" s="6"/>
      <c r="FMJ41" s="6"/>
      <c r="FMK41" s="6"/>
      <c r="FML41" s="6"/>
      <c r="FMM41" s="6"/>
      <c r="FMN41" s="6"/>
      <c r="FMO41" s="6"/>
      <c r="FMP41" s="6"/>
      <c r="FMQ41" s="6"/>
      <c r="FMR41" s="6"/>
      <c r="FMS41" s="6"/>
      <c r="FMT41" s="6"/>
      <c r="FMU41" s="6"/>
      <c r="FMV41" s="6"/>
      <c r="FMW41" s="6"/>
      <c r="FMX41" s="6"/>
      <c r="FMY41" s="6"/>
      <c r="FMZ41" s="6"/>
      <c r="FNA41" s="6"/>
      <c r="FNB41" s="6"/>
      <c r="FNC41" s="6"/>
      <c r="FND41" s="6"/>
      <c r="FNE41" s="6"/>
      <c r="FNF41" s="6"/>
      <c r="FNG41" s="6"/>
      <c r="FNH41" s="6"/>
      <c r="FNI41" s="6"/>
      <c r="FNJ41" s="6"/>
      <c r="FNK41" s="6"/>
      <c r="FNL41" s="6"/>
      <c r="FNM41" s="6"/>
      <c r="FNN41" s="6"/>
      <c r="FNO41" s="6"/>
      <c r="FNP41" s="6"/>
      <c r="FNQ41" s="6"/>
      <c r="FNR41" s="6"/>
      <c r="FNS41" s="6"/>
      <c r="FNT41" s="6"/>
      <c r="FNU41" s="6"/>
      <c r="FNV41" s="6"/>
      <c r="FNW41" s="6"/>
      <c r="FNX41" s="6"/>
      <c r="FNY41" s="6"/>
      <c r="FNZ41" s="6"/>
      <c r="FOA41" s="6"/>
      <c r="FOB41" s="6"/>
      <c r="FOC41" s="6"/>
      <c r="FOD41" s="6"/>
      <c r="FOE41" s="6"/>
      <c r="FOF41" s="6"/>
      <c r="FOG41" s="6"/>
      <c r="FOH41" s="6"/>
      <c r="FOI41" s="6"/>
      <c r="FOJ41" s="6"/>
      <c r="FOK41" s="6"/>
      <c r="FOL41" s="6"/>
      <c r="FOM41" s="6"/>
      <c r="FON41" s="6"/>
      <c r="FOO41" s="6"/>
      <c r="FOP41" s="6"/>
      <c r="FOQ41" s="6"/>
      <c r="FOR41" s="6"/>
      <c r="FOS41" s="6"/>
      <c r="FOT41" s="6"/>
      <c r="FOU41" s="6"/>
      <c r="FOV41" s="6"/>
      <c r="FOW41" s="6"/>
      <c r="FOX41" s="6"/>
      <c r="FOY41" s="6"/>
      <c r="FOZ41" s="6"/>
      <c r="FPA41" s="6"/>
      <c r="FPB41" s="6"/>
      <c r="FPC41" s="6"/>
      <c r="FPD41" s="6"/>
      <c r="FPE41" s="6"/>
      <c r="FPF41" s="6"/>
      <c r="FPG41" s="6"/>
      <c r="FPH41" s="6"/>
      <c r="FPI41" s="6"/>
      <c r="FPJ41" s="6"/>
      <c r="FPK41" s="6"/>
      <c r="FPL41" s="6"/>
      <c r="FPM41" s="6"/>
      <c r="FPN41" s="6"/>
      <c r="FPO41" s="6"/>
      <c r="FPP41" s="6"/>
      <c r="FPQ41" s="6"/>
      <c r="FPR41" s="6"/>
      <c r="FPS41" s="6"/>
      <c r="FPT41" s="6"/>
      <c r="FPU41" s="6"/>
      <c r="FPV41" s="6"/>
      <c r="FPW41" s="6"/>
      <c r="FPX41" s="6"/>
      <c r="FPY41" s="6"/>
      <c r="FPZ41" s="6"/>
      <c r="FQA41" s="6"/>
      <c r="FQB41" s="6"/>
      <c r="FQC41" s="6"/>
      <c r="FQD41" s="6"/>
      <c r="FQE41" s="6"/>
      <c r="FQF41" s="6"/>
      <c r="FQG41" s="6"/>
      <c r="FQH41" s="6"/>
      <c r="FQI41" s="6"/>
      <c r="FQJ41" s="6"/>
      <c r="FQK41" s="6"/>
      <c r="FQL41" s="6"/>
      <c r="FQM41" s="6"/>
      <c r="FQN41" s="6"/>
      <c r="FQO41" s="6"/>
      <c r="FQP41" s="6"/>
      <c r="FQQ41" s="6"/>
      <c r="FQR41" s="6"/>
      <c r="FQS41" s="6"/>
      <c r="FQT41" s="6"/>
      <c r="FQU41" s="6"/>
      <c r="FQV41" s="6"/>
      <c r="FQW41" s="6"/>
      <c r="FQX41" s="6"/>
      <c r="FQY41" s="6"/>
      <c r="FQZ41" s="6"/>
      <c r="FRA41" s="6"/>
      <c r="FRB41" s="6"/>
      <c r="FRC41" s="6"/>
      <c r="FRD41" s="6"/>
      <c r="FRE41" s="6"/>
      <c r="FRF41" s="6"/>
      <c r="FRG41" s="6"/>
      <c r="FRH41" s="6"/>
      <c r="FRI41" s="6"/>
      <c r="FRJ41" s="6"/>
      <c r="FRK41" s="6"/>
      <c r="FRL41" s="6"/>
      <c r="FRM41" s="6"/>
      <c r="FRN41" s="6"/>
      <c r="FRO41" s="6"/>
      <c r="FRP41" s="6"/>
      <c r="FRQ41" s="6"/>
      <c r="FRR41" s="6"/>
      <c r="FRS41" s="6"/>
      <c r="FRT41" s="6"/>
      <c r="FRU41" s="6"/>
      <c r="FRV41" s="6"/>
      <c r="FRW41" s="6"/>
      <c r="FRX41" s="6"/>
      <c r="FRY41" s="6"/>
      <c r="FRZ41" s="6"/>
      <c r="FSA41" s="6"/>
      <c r="FSB41" s="6"/>
      <c r="FSC41" s="6"/>
      <c r="FSD41" s="6"/>
      <c r="FSE41" s="6"/>
      <c r="FSF41" s="6"/>
      <c r="FSG41" s="6"/>
      <c r="FSH41" s="6"/>
      <c r="FSI41" s="6"/>
      <c r="FSJ41" s="6"/>
      <c r="FSK41" s="6"/>
      <c r="FSL41" s="6"/>
      <c r="FSM41" s="6"/>
      <c r="FSN41" s="6"/>
      <c r="FSO41" s="6"/>
      <c r="FSP41" s="6"/>
      <c r="FSQ41" s="6"/>
      <c r="FSR41" s="6"/>
      <c r="FSS41" s="6"/>
      <c r="FST41" s="6"/>
      <c r="FSU41" s="6"/>
      <c r="FSV41" s="6"/>
      <c r="FSW41" s="6"/>
      <c r="FSX41" s="6"/>
      <c r="FSY41" s="6"/>
      <c r="FSZ41" s="6"/>
      <c r="FTA41" s="6"/>
      <c r="FTB41" s="6"/>
      <c r="FTC41" s="6"/>
      <c r="FTD41" s="6"/>
      <c r="FTE41" s="6"/>
      <c r="FTF41" s="6"/>
      <c r="FTG41" s="6"/>
      <c r="FTH41" s="6"/>
      <c r="FTI41" s="6"/>
      <c r="FTJ41" s="6"/>
      <c r="FTK41" s="6"/>
      <c r="FTL41" s="6"/>
      <c r="FTM41" s="6"/>
      <c r="FTN41" s="6"/>
      <c r="FTO41" s="6"/>
      <c r="FTP41" s="6"/>
      <c r="FTQ41" s="6"/>
      <c r="FTR41" s="6"/>
      <c r="FTS41" s="6"/>
      <c r="FTT41" s="6"/>
      <c r="FTU41" s="6"/>
      <c r="FTV41" s="6"/>
      <c r="FTW41" s="6"/>
      <c r="FTX41" s="6"/>
      <c r="FTY41" s="6"/>
      <c r="FTZ41" s="6"/>
      <c r="FUA41" s="6"/>
      <c r="FUB41" s="6"/>
      <c r="FUC41" s="6"/>
      <c r="FUD41" s="6"/>
      <c r="FUE41" s="6"/>
      <c r="FUF41" s="6"/>
      <c r="FUG41" s="6"/>
      <c r="FUH41" s="6"/>
      <c r="FUI41" s="6"/>
      <c r="FUJ41" s="6"/>
      <c r="FUK41" s="6"/>
      <c r="FUL41" s="6"/>
      <c r="FUM41" s="6"/>
      <c r="FUN41" s="6"/>
      <c r="FUO41" s="6"/>
      <c r="FUP41" s="6"/>
      <c r="FUQ41" s="6"/>
      <c r="FUR41" s="6"/>
      <c r="FUS41" s="6"/>
      <c r="FUT41" s="6"/>
      <c r="FUU41" s="6"/>
      <c r="FUV41" s="6"/>
      <c r="FUW41" s="6"/>
      <c r="FUX41" s="6"/>
      <c r="FUY41" s="6"/>
      <c r="FUZ41" s="6"/>
      <c r="FVA41" s="6"/>
      <c r="FVB41" s="6"/>
      <c r="FVC41" s="6"/>
      <c r="FVD41" s="6"/>
      <c r="FVE41" s="6"/>
      <c r="FVF41" s="6"/>
      <c r="FVG41" s="6"/>
      <c r="FVH41" s="6"/>
      <c r="FVI41" s="6"/>
      <c r="FVJ41" s="6"/>
      <c r="FVK41" s="6"/>
      <c r="FVL41" s="6"/>
      <c r="FVM41" s="6"/>
      <c r="FVN41" s="6"/>
      <c r="FVO41" s="6"/>
      <c r="FVP41" s="6"/>
      <c r="FVQ41" s="6"/>
      <c r="FVR41" s="6"/>
      <c r="FVS41" s="6"/>
      <c r="FVT41" s="6"/>
      <c r="FVU41" s="6"/>
      <c r="FVV41" s="6"/>
      <c r="FVW41" s="6"/>
      <c r="FVX41" s="6"/>
      <c r="FVY41" s="6"/>
      <c r="FVZ41" s="6"/>
      <c r="FWA41" s="6"/>
      <c r="FWB41" s="6"/>
      <c r="FWC41" s="6"/>
      <c r="FWD41" s="6"/>
      <c r="FWE41" s="6"/>
      <c r="FWF41" s="6"/>
      <c r="FWG41" s="6"/>
      <c r="FWH41" s="6"/>
      <c r="FWI41" s="6"/>
      <c r="FWJ41" s="6"/>
      <c r="FWK41" s="6"/>
      <c r="FWL41" s="6"/>
      <c r="FWM41" s="6"/>
      <c r="FWN41" s="6"/>
      <c r="FWO41" s="6"/>
      <c r="FWP41" s="6"/>
      <c r="FWQ41" s="6"/>
      <c r="FWR41" s="6"/>
      <c r="FWS41" s="6"/>
      <c r="FWT41" s="6"/>
      <c r="FWU41" s="6"/>
      <c r="FWV41" s="6"/>
      <c r="FWW41" s="6"/>
      <c r="FWX41" s="6"/>
      <c r="FWY41" s="6"/>
      <c r="FWZ41" s="6"/>
      <c r="FXA41" s="6"/>
      <c r="FXB41" s="6"/>
      <c r="FXC41" s="6"/>
      <c r="FXD41" s="6"/>
      <c r="FXE41" s="6"/>
      <c r="FXF41" s="6"/>
      <c r="FXG41" s="6"/>
      <c r="FXH41" s="6"/>
      <c r="FXI41" s="6"/>
      <c r="FXJ41" s="6"/>
      <c r="FXK41" s="6"/>
      <c r="FXL41" s="6"/>
      <c r="FXM41" s="6"/>
      <c r="FXN41" s="6"/>
      <c r="FXO41" s="6"/>
      <c r="FXP41" s="6"/>
      <c r="FXQ41" s="6"/>
      <c r="FXR41" s="6"/>
      <c r="FXS41" s="6"/>
      <c r="FXT41" s="6"/>
      <c r="FXU41" s="6"/>
      <c r="FXV41" s="6"/>
      <c r="FXW41" s="6"/>
      <c r="FXX41" s="6"/>
      <c r="FXY41" s="6"/>
      <c r="FXZ41" s="6"/>
      <c r="FYA41" s="6"/>
      <c r="FYB41" s="6"/>
      <c r="FYC41" s="6"/>
      <c r="FYD41" s="6"/>
      <c r="FYE41" s="6"/>
      <c r="FYF41" s="6"/>
      <c r="FYG41" s="6"/>
      <c r="FYH41" s="6"/>
      <c r="FYI41" s="6"/>
      <c r="FYJ41" s="6"/>
      <c r="FYK41" s="6"/>
      <c r="FYL41" s="6"/>
      <c r="FYM41" s="6"/>
      <c r="FYN41" s="6"/>
      <c r="FYO41" s="6"/>
      <c r="FYP41" s="6"/>
      <c r="FYQ41" s="6"/>
      <c r="FYR41" s="6"/>
      <c r="FYS41" s="6"/>
      <c r="FYT41" s="6"/>
      <c r="FYU41" s="6"/>
      <c r="FYV41" s="6"/>
      <c r="FYW41" s="6"/>
      <c r="FYX41" s="6"/>
      <c r="FYY41" s="6"/>
      <c r="FYZ41" s="6"/>
      <c r="FZA41" s="6"/>
      <c r="FZB41" s="6"/>
      <c r="FZC41" s="6"/>
      <c r="FZD41" s="6"/>
      <c r="FZE41" s="6"/>
      <c r="FZF41" s="6"/>
      <c r="FZG41" s="6"/>
      <c r="FZH41" s="6"/>
      <c r="FZI41" s="6"/>
      <c r="FZJ41" s="6"/>
      <c r="FZK41" s="6"/>
      <c r="FZL41" s="6"/>
      <c r="FZM41" s="6"/>
      <c r="FZN41" s="6"/>
      <c r="FZO41" s="6"/>
      <c r="FZP41" s="6"/>
      <c r="FZQ41" s="6"/>
      <c r="FZR41" s="6"/>
      <c r="FZS41" s="6"/>
      <c r="FZT41" s="6"/>
      <c r="FZU41" s="6"/>
      <c r="FZV41" s="6"/>
      <c r="FZW41" s="6"/>
      <c r="FZX41" s="6"/>
      <c r="FZY41" s="6"/>
      <c r="FZZ41" s="6"/>
      <c r="GAA41" s="6"/>
      <c r="GAB41" s="6"/>
      <c r="GAC41" s="6"/>
      <c r="GAD41" s="6"/>
      <c r="GAE41" s="6"/>
      <c r="GAF41" s="6"/>
      <c r="GAG41" s="6"/>
      <c r="GAH41" s="6"/>
      <c r="GAI41" s="6"/>
      <c r="GAJ41" s="6"/>
      <c r="GAK41" s="6"/>
      <c r="GAL41" s="6"/>
      <c r="GAM41" s="6"/>
      <c r="GAN41" s="6"/>
      <c r="GAO41" s="6"/>
      <c r="GAP41" s="6"/>
      <c r="GAQ41" s="6"/>
      <c r="GAR41" s="6"/>
      <c r="GAS41" s="6"/>
      <c r="GAT41" s="6"/>
      <c r="GAU41" s="6"/>
      <c r="GAV41" s="6"/>
      <c r="GAW41" s="6"/>
      <c r="GAX41" s="6"/>
      <c r="GAY41" s="6"/>
      <c r="GAZ41" s="6"/>
      <c r="GBA41" s="6"/>
      <c r="GBB41" s="6"/>
      <c r="GBC41" s="6"/>
      <c r="GBD41" s="6"/>
      <c r="GBE41" s="6"/>
      <c r="GBF41" s="6"/>
      <c r="GBG41" s="6"/>
      <c r="GBH41" s="6"/>
      <c r="GBI41" s="6"/>
      <c r="GBJ41" s="6"/>
      <c r="GBK41" s="6"/>
      <c r="GBL41" s="6"/>
      <c r="GBM41" s="6"/>
      <c r="GBN41" s="6"/>
      <c r="GBO41" s="6"/>
      <c r="GBP41" s="6"/>
      <c r="GBQ41" s="6"/>
      <c r="GBR41" s="6"/>
      <c r="GBS41" s="6"/>
      <c r="GBT41" s="6"/>
      <c r="GBU41" s="6"/>
      <c r="GBV41" s="6"/>
      <c r="GBW41" s="6"/>
      <c r="GBX41" s="6"/>
      <c r="GBY41" s="6"/>
      <c r="GBZ41" s="6"/>
      <c r="GCA41" s="6"/>
      <c r="GCB41" s="6"/>
      <c r="GCC41" s="6"/>
      <c r="GCD41" s="6"/>
      <c r="GCE41" s="6"/>
      <c r="GCF41" s="6"/>
      <c r="GCG41" s="6"/>
      <c r="GCH41" s="6"/>
      <c r="GCI41" s="6"/>
      <c r="GCJ41" s="6"/>
      <c r="GCK41" s="6"/>
      <c r="GCL41" s="6"/>
      <c r="GCM41" s="6"/>
      <c r="GCN41" s="6"/>
      <c r="GCO41" s="6"/>
      <c r="GCP41" s="6"/>
      <c r="GCQ41" s="6"/>
      <c r="GCR41" s="6"/>
      <c r="GCS41" s="6"/>
      <c r="GCT41" s="6"/>
      <c r="GCU41" s="6"/>
      <c r="GCV41" s="6"/>
      <c r="GCW41" s="6"/>
      <c r="GCX41" s="6"/>
      <c r="GCY41" s="6"/>
      <c r="GCZ41" s="6"/>
      <c r="GDA41" s="6"/>
      <c r="GDB41" s="6"/>
      <c r="GDC41" s="6"/>
      <c r="GDD41" s="6"/>
      <c r="GDE41" s="6"/>
      <c r="GDF41" s="6"/>
      <c r="GDG41" s="6"/>
      <c r="GDH41" s="6"/>
      <c r="GDI41" s="6"/>
      <c r="GDJ41" s="6"/>
      <c r="GDK41" s="6"/>
      <c r="GDL41" s="6"/>
      <c r="GDM41" s="6"/>
      <c r="GDN41" s="6"/>
      <c r="GDO41" s="6"/>
      <c r="GDP41" s="6"/>
      <c r="GDQ41" s="6"/>
      <c r="GDR41" s="6"/>
      <c r="GDS41" s="6"/>
      <c r="GDT41" s="6"/>
      <c r="GDU41" s="6"/>
      <c r="GDV41" s="6"/>
      <c r="GDW41" s="6"/>
      <c r="GDX41" s="6"/>
      <c r="GDY41" s="6"/>
      <c r="GDZ41" s="6"/>
      <c r="GEA41" s="6"/>
      <c r="GEB41" s="6"/>
      <c r="GEC41" s="6"/>
      <c r="GED41" s="6"/>
      <c r="GEE41" s="6"/>
      <c r="GEF41" s="6"/>
      <c r="GEG41" s="6"/>
      <c r="GEH41" s="6"/>
      <c r="GEI41" s="6"/>
      <c r="GEJ41" s="6"/>
      <c r="GEK41" s="6"/>
      <c r="GEL41" s="6"/>
      <c r="GEM41" s="6"/>
      <c r="GEN41" s="6"/>
      <c r="GEO41" s="6"/>
      <c r="GEP41" s="6"/>
      <c r="GEQ41" s="6"/>
      <c r="GER41" s="6"/>
      <c r="GES41" s="6"/>
      <c r="GET41" s="6"/>
      <c r="GEU41" s="6"/>
      <c r="GEV41" s="6"/>
      <c r="GEW41" s="6"/>
      <c r="GEX41" s="6"/>
      <c r="GEY41" s="6"/>
      <c r="GEZ41" s="6"/>
      <c r="GFA41" s="6"/>
      <c r="GFB41" s="6"/>
      <c r="GFC41" s="6"/>
      <c r="GFD41" s="6"/>
      <c r="GFE41" s="6"/>
      <c r="GFF41" s="6"/>
      <c r="GFG41" s="6"/>
      <c r="GFH41" s="6"/>
      <c r="GFI41" s="6"/>
      <c r="GFJ41" s="6"/>
      <c r="GFK41" s="6"/>
      <c r="GFL41" s="6"/>
      <c r="GFM41" s="6"/>
      <c r="GFN41" s="6"/>
      <c r="GFO41" s="6"/>
      <c r="GFP41" s="6"/>
      <c r="GFQ41" s="6"/>
      <c r="GFR41" s="6"/>
      <c r="GFS41" s="6"/>
      <c r="GFT41" s="6"/>
      <c r="GFU41" s="6"/>
      <c r="GFV41" s="6"/>
      <c r="GFW41" s="6"/>
      <c r="GFX41" s="6"/>
      <c r="GFY41" s="6"/>
      <c r="GFZ41" s="6"/>
      <c r="GGA41" s="6"/>
      <c r="GGB41" s="6"/>
      <c r="GGC41" s="6"/>
      <c r="GGD41" s="6"/>
      <c r="GGE41" s="6"/>
      <c r="GGF41" s="6"/>
      <c r="GGG41" s="6"/>
      <c r="GGH41" s="6"/>
      <c r="GGI41" s="6"/>
      <c r="GGJ41" s="6"/>
      <c r="GGK41" s="6"/>
      <c r="GGL41" s="6"/>
      <c r="GGM41" s="6"/>
      <c r="GGN41" s="6"/>
      <c r="GGO41" s="6"/>
      <c r="GGP41" s="6"/>
      <c r="GGQ41" s="6"/>
      <c r="GGR41" s="6"/>
      <c r="GGS41" s="6"/>
      <c r="GGT41" s="6"/>
      <c r="GGU41" s="6"/>
      <c r="GGV41" s="6"/>
      <c r="GGW41" s="6"/>
      <c r="GGX41" s="6"/>
      <c r="GGY41" s="6"/>
      <c r="GGZ41" s="6"/>
      <c r="GHA41" s="6"/>
      <c r="GHB41" s="6"/>
      <c r="GHC41" s="6"/>
      <c r="GHD41" s="6"/>
      <c r="GHE41" s="6"/>
      <c r="GHF41" s="6"/>
      <c r="GHG41" s="6"/>
      <c r="GHH41" s="6"/>
      <c r="GHI41" s="6"/>
      <c r="GHJ41" s="6"/>
      <c r="GHK41" s="6"/>
      <c r="GHL41" s="6"/>
      <c r="GHM41" s="6"/>
      <c r="GHN41" s="6"/>
      <c r="GHO41" s="6"/>
      <c r="GHP41" s="6"/>
      <c r="GHQ41" s="6"/>
      <c r="GHR41" s="6"/>
      <c r="GHS41" s="6"/>
      <c r="GHT41" s="6"/>
      <c r="GHU41" s="6"/>
      <c r="GHV41" s="6"/>
      <c r="GHW41" s="6"/>
      <c r="GHX41" s="6"/>
      <c r="GHY41" s="6"/>
      <c r="GHZ41" s="6"/>
      <c r="GIA41" s="6"/>
      <c r="GIB41" s="6"/>
      <c r="GIC41" s="6"/>
      <c r="GID41" s="6"/>
      <c r="GIE41" s="6"/>
      <c r="GIF41" s="6"/>
      <c r="GIG41" s="6"/>
      <c r="GIH41" s="6"/>
      <c r="GII41" s="6"/>
      <c r="GIJ41" s="6"/>
      <c r="GIK41" s="6"/>
      <c r="GIL41" s="6"/>
      <c r="GIM41" s="6"/>
      <c r="GIN41" s="6"/>
      <c r="GIO41" s="6"/>
      <c r="GIP41" s="6"/>
      <c r="GIQ41" s="6"/>
      <c r="GIR41" s="6"/>
      <c r="GIS41" s="6"/>
      <c r="GIT41" s="6"/>
      <c r="GIU41" s="6"/>
      <c r="GIV41" s="6"/>
      <c r="GIW41" s="6"/>
      <c r="GIX41" s="6"/>
      <c r="GIY41" s="6"/>
      <c r="GIZ41" s="6"/>
      <c r="GJA41" s="6"/>
      <c r="GJB41" s="6"/>
      <c r="GJC41" s="6"/>
      <c r="GJD41" s="6"/>
      <c r="GJE41" s="6"/>
      <c r="GJF41" s="6"/>
      <c r="GJG41" s="6"/>
      <c r="GJH41" s="6"/>
      <c r="GJI41" s="6"/>
      <c r="GJJ41" s="6"/>
      <c r="GJK41" s="6"/>
      <c r="GJL41" s="6"/>
      <c r="GJM41" s="6"/>
      <c r="GJN41" s="6"/>
      <c r="GJO41" s="6"/>
      <c r="GJP41" s="6"/>
      <c r="GJQ41" s="6"/>
      <c r="GJR41" s="6"/>
      <c r="GJS41" s="6"/>
      <c r="GJT41" s="6"/>
      <c r="GJU41" s="6"/>
      <c r="GJV41" s="6"/>
      <c r="GJW41" s="6"/>
      <c r="GJX41" s="6"/>
      <c r="GJY41" s="6"/>
      <c r="GJZ41" s="6"/>
      <c r="GKA41" s="6"/>
      <c r="GKB41" s="6"/>
      <c r="GKC41" s="6"/>
      <c r="GKD41" s="6"/>
      <c r="GKE41" s="6"/>
      <c r="GKF41" s="6"/>
      <c r="GKG41" s="6"/>
      <c r="GKH41" s="6"/>
      <c r="GKI41" s="6"/>
      <c r="GKJ41" s="6"/>
      <c r="GKK41" s="6"/>
      <c r="GKL41" s="6"/>
      <c r="GKM41" s="6"/>
      <c r="GKN41" s="6"/>
      <c r="GKO41" s="6"/>
      <c r="GKP41" s="6"/>
      <c r="GKQ41" s="6"/>
      <c r="GKR41" s="6"/>
      <c r="GKS41" s="6"/>
      <c r="GKT41" s="6"/>
      <c r="GKU41" s="6"/>
      <c r="GKV41" s="6"/>
      <c r="GKW41" s="6"/>
      <c r="GKX41" s="6"/>
      <c r="GKY41" s="6"/>
      <c r="GKZ41" s="6"/>
      <c r="GLA41" s="6"/>
      <c r="GLB41" s="6"/>
      <c r="GLC41" s="6"/>
      <c r="GLD41" s="6"/>
      <c r="GLE41" s="6"/>
      <c r="GLF41" s="6"/>
      <c r="GLG41" s="6"/>
      <c r="GLH41" s="6"/>
      <c r="GLI41" s="6"/>
      <c r="GLJ41" s="6"/>
      <c r="GLK41" s="6"/>
      <c r="GLL41" s="6"/>
      <c r="GLM41" s="6"/>
      <c r="GLN41" s="6"/>
      <c r="GLO41" s="6"/>
      <c r="GLP41" s="6"/>
      <c r="GLQ41" s="6"/>
      <c r="GLR41" s="6"/>
      <c r="GLS41" s="6"/>
      <c r="GLT41" s="6"/>
      <c r="GLU41" s="6"/>
      <c r="GLV41" s="6"/>
      <c r="GLW41" s="6"/>
      <c r="GLX41" s="6"/>
      <c r="GLY41" s="6"/>
      <c r="GLZ41" s="6"/>
      <c r="GMA41" s="6"/>
      <c r="GMB41" s="6"/>
      <c r="GMC41" s="6"/>
      <c r="GMD41" s="6"/>
      <c r="GME41" s="6"/>
      <c r="GMF41" s="6"/>
      <c r="GMG41" s="6"/>
      <c r="GMH41" s="6"/>
      <c r="GMI41" s="6"/>
      <c r="GMJ41" s="6"/>
      <c r="GMK41" s="6"/>
      <c r="GML41" s="6"/>
      <c r="GMM41" s="6"/>
      <c r="GMN41" s="6"/>
      <c r="GMO41" s="6"/>
      <c r="GMP41" s="6"/>
      <c r="GMQ41" s="6"/>
      <c r="GMR41" s="6"/>
      <c r="GMS41" s="6"/>
      <c r="GMT41" s="6"/>
      <c r="GMU41" s="6"/>
      <c r="GMV41" s="6"/>
      <c r="GMW41" s="6"/>
      <c r="GMX41" s="6"/>
      <c r="GMY41" s="6"/>
      <c r="GMZ41" s="6"/>
      <c r="GNA41" s="6"/>
      <c r="GNB41" s="6"/>
      <c r="GNC41" s="6"/>
      <c r="GND41" s="6"/>
      <c r="GNE41" s="6"/>
      <c r="GNF41" s="6"/>
      <c r="GNG41" s="6"/>
      <c r="GNH41" s="6"/>
      <c r="GNI41" s="6"/>
      <c r="GNJ41" s="6"/>
      <c r="GNK41" s="6"/>
      <c r="GNL41" s="6"/>
      <c r="GNM41" s="6"/>
      <c r="GNN41" s="6"/>
      <c r="GNO41" s="6"/>
      <c r="GNP41" s="6"/>
      <c r="GNQ41" s="6"/>
      <c r="GNR41" s="6"/>
      <c r="GNS41" s="6"/>
      <c r="GNT41" s="6"/>
      <c r="GNU41" s="6"/>
      <c r="GNV41" s="6"/>
      <c r="GNW41" s="6"/>
      <c r="GNX41" s="6"/>
      <c r="GNY41" s="6"/>
      <c r="GNZ41" s="6"/>
      <c r="GOA41" s="6"/>
      <c r="GOB41" s="6"/>
      <c r="GOC41" s="6"/>
      <c r="GOD41" s="6"/>
      <c r="GOE41" s="6"/>
      <c r="GOF41" s="6"/>
      <c r="GOG41" s="6"/>
      <c r="GOH41" s="6"/>
      <c r="GOI41" s="6"/>
      <c r="GOJ41" s="6"/>
      <c r="GOK41" s="6"/>
      <c r="GOL41" s="6"/>
      <c r="GOM41" s="6"/>
      <c r="GON41" s="6"/>
      <c r="GOO41" s="6"/>
      <c r="GOP41" s="6"/>
      <c r="GOQ41" s="6"/>
      <c r="GOR41" s="6"/>
      <c r="GOS41" s="6"/>
      <c r="GOT41" s="6"/>
      <c r="GOU41" s="6"/>
      <c r="GOV41" s="6"/>
      <c r="GOW41" s="6"/>
      <c r="GOX41" s="6"/>
      <c r="GOY41" s="6"/>
      <c r="GOZ41" s="6"/>
      <c r="GPA41" s="6"/>
      <c r="GPB41" s="6"/>
      <c r="GPC41" s="6"/>
      <c r="GPD41" s="6"/>
      <c r="GPE41" s="6"/>
      <c r="GPF41" s="6"/>
      <c r="GPG41" s="6"/>
      <c r="GPH41" s="6"/>
      <c r="GPI41" s="6"/>
      <c r="GPJ41" s="6"/>
      <c r="GPK41" s="6"/>
      <c r="GPL41" s="6"/>
      <c r="GPM41" s="6"/>
      <c r="GPN41" s="6"/>
      <c r="GPO41" s="6"/>
      <c r="GPP41" s="6"/>
      <c r="GPQ41" s="6"/>
      <c r="GPR41" s="6"/>
      <c r="GPS41" s="6"/>
      <c r="GPT41" s="6"/>
      <c r="GPU41" s="6"/>
      <c r="GPV41" s="6"/>
      <c r="GPW41" s="6"/>
      <c r="GPX41" s="6"/>
      <c r="GPY41" s="6"/>
      <c r="GPZ41" s="6"/>
      <c r="GQA41" s="6"/>
      <c r="GQB41" s="6"/>
      <c r="GQC41" s="6"/>
      <c r="GQD41" s="6"/>
      <c r="GQE41" s="6"/>
      <c r="GQF41" s="6"/>
      <c r="GQG41" s="6"/>
      <c r="GQH41" s="6"/>
      <c r="GQI41" s="6"/>
      <c r="GQJ41" s="6"/>
      <c r="GQK41" s="6"/>
      <c r="GQL41" s="6"/>
      <c r="GQM41" s="6"/>
      <c r="GQN41" s="6"/>
      <c r="GQO41" s="6"/>
      <c r="GQP41" s="6"/>
      <c r="GQQ41" s="6"/>
      <c r="GQR41" s="6"/>
      <c r="GQS41" s="6"/>
      <c r="GQT41" s="6"/>
      <c r="GQU41" s="6"/>
      <c r="GQV41" s="6"/>
      <c r="GQW41" s="6"/>
      <c r="GQX41" s="6"/>
      <c r="GQY41" s="6"/>
      <c r="GQZ41" s="6"/>
      <c r="GRA41" s="6"/>
      <c r="GRB41" s="6"/>
      <c r="GRC41" s="6"/>
      <c r="GRD41" s="6"/>
      <c r="GRE41" s="6"/>
      <c r="GRF41" s="6"/>
      <c r="GRG41" s="6"/>
      <c r="GRH41" s="6"/>
      <c r="GRI41" s="6"/>
      <c r="GRJ41" s="6"/>
      <c r="GRK41" s="6"/>
      <c r="GRL41" s="6"/>
      <c r="GRM41" s="6"/>
      <c r="GRN41" s="6"/>
      <c r="GRO41" s="6"/>
      <c r="GRP41" s="6"/>
      <c r="GRQ41" s="6"/>
      <c r="GRR41" s="6"/>
      <c r="GRS41" s="6"/>
      <c r="GRT41" s="6"/>
      <c r="GRU41" s="6"/>
      <c r="GRV41" s="6"/>
      <c r="GRW41" s="6"/>
      <c r="GRX41" s="6"/>
      <c r="GRY41" s="6"/>
      <c r="GRZ41" s="6"/>
      <c r="GSA41" s="6"/>
      <c r="GSB41" s="6"/>
      <c r="GSC41" s="6"/>
      <c r="GSD41" s="6"/>
      <c r="GSE41" s="6"/>
      <c r="GSF41" s="6"/>
      <c r="GSG41" s="6"/>
      <c r="GSH41" s="6"/>
      <c r="GSI41" s="6"/>
      <c r="GSJ41" s="6"/>
      <c r="GSK41" s="6"/>
      <c r="GSL41" s="6"/>
      <c r="GSM41" s="6"/>
      <c r="GSN41" s="6"/>
      <c r="GSO41" s="6"/>
      <c r="GSP41" s="6"/>
      <c r="GSQ41" s="6"/>
      <c r="GSR41" s="6"/>
      <c r="GSS41" s="6"/>
      <c r="GST41" s="6"/>
      <c r="GSU41" s="6"/>
      <c r="GSV41" s="6"/>
      <c r="GSW41" s="6"/>
      <c r="GSX41" s="6"/>
      <c r="GSY41" s="6"/>
      <c r="GSZ41" s="6"/>
      <c r="GTA41" s="6"/>
      <c r="GTB41" s="6"/>
      <c r="GTC41" s="6"/>
      <c r="GTD41" s="6"/>
      <c r="GTE41" s="6"/>
      <c r="GTF41" s="6"/>
      <c r="GTG41" s="6"/>
      <c r="GTH41" s="6"/>
      <c r="GTI41" s="6"/>
      <c r="GTJ41" s="6"/>
      <c r="GTK41" s="6"/>
      <c r="GTL41" s="6"/>
      <c r="GTM41" s="6"/>
      <c r="GTN41" s="6"/>
      <c r="GTO41" s="6"/>
      <c r="GTP41" s="6"/>
      <c r="GTQ41" s="6"/>
      <c r="GTR41" s="6"/>
      <c r="GTS41" s="6"/>
      <c r="GTT41" s="6"/>
      <c r="GTU41" s="6"/>
      <c r="GTV41" s="6"/>
      <c r="GTW41" s="6"/>
      <c r="GTX41" s="6"/>
      <c r="GTY41" s="6"/>
      <c r="GTZ41" s="6"/>
      <c r="GUA41" s="6"/>
      <c r="GUB41" s="6"/>
      <c r="GUC41" s="6"/>
      <c r="GUD41" s="6"/>
      <c r="GUE41" s="6"/>
      <c r="GUF41" s="6"/>
      <c r="GUG41" s="6"/>
      <c r="GUH41" s="6"/>
      <c r="GUI41" s="6"/>
      <c r="GUJ41" s="6"/>
      <c r="GUK41" s="6"/>
      <c r="GUL41" s="6"/>
      <c r="GUM41" s="6"/>
      <c r="GUN41" s="6"/>
      <c r="GUO41" s="6"/>
      <c r="GUP41" s="6"/>
      <c r="GUQ41" s="6"/>
      <c r="GUR41" s="6"/>
      <c r="GUS41" s="6"/>
      <c r="GUT41" s="6"/>
      <c r="GUU41" s="6"/>
      <c r="GUV41" s="6"/>
      <c r="GUW41" s="6"/>
      <c r="GUX41" s="6"/>
      <c r="GUY41" s="6"/>
      <c r="GUZ41" s="6"/>
      <c r="GVA41" s="6"/>
      <c r="GVB41" s="6"/>
      <c r="GVC41" s="6"/>
      <c r="GVD41" s="6"/>
      <c r="GVE41" s="6"/>
      <c r="GVF41" s="6"/>
      <c r="GVG41" s="6"/>
      <c r="GVH41" s="6"/>
      <c r="GVI41" s="6"/>
      <c r="GVJ41" s="6"/>
      <c r="GVK41" s="6"/>
      <c r="GVL41" s="6"/>
      <c r="GVM41" s="6"/>
      <c r="GVN41" s="6"/>
      <c r="GVO41" s="6"/>
      <c r="GVP41" s="6"/>
      <c r="GVQ41" s="6"/>
      <c r="GVR41" s="6"/>
      <c r="GVS41" s="6"/>
      <c r="GVT41" s="6"/>
      <c r="GVU41" s="6"/>
      <c r="GVV41" s="6"/>
      <c r="GVW41" s="6"/>
      <c r="GVX41" s="6"/>
      <c r="GVY41" s="6"/>
      <c r="GVZ41" s="6"/>
      <c r="GWA41" s="6"/>
      <c r="GWB41" s="6"/>
      <c r="GWC41" s="6"/>
      <c r="GWD41" s="6"/>
      <c r="GWE41" s="6"/>
      <c r="GWF41" s="6"/>
      <c r="GWG41" s="6"/>
      <c r="GWH41" s="6"/>
      <c r="GWI41" s="6"/>
      <c r="GWJ41" s="6"/>
      <c r="GWK41" s="6"/>
      <c r="GWL41" s="6"/>
      <c r="GWM41" s="6"/>
      <c r="GWN41" s="6"/>
      <c r="GWO41" s="6"/>
      <c r="GWP41" s="6"/>
      <c r="GWQ41" s="6"/>
      <c r="GWR41" s="6"/>
      <c r="GWS41" s="6"/>
      <c r="GWT41" s="6"/>
      <c r="GWU41" s="6"/>
      <c r="GWV41" s="6"/>
      <c r="GWW41" s="6"/>
      <c r="GWX41" s="6"/>
      <c r="GWY41" s="6"/>
      <c r="GWZ41" s="6"/>
      <c r="GXA41" s="6"/>
      <c r="GXB41" s="6"/>
      <c r="GXC41" s="6"/>
      <c r="GXD41" s="6"/>
      <c r="GXE41" s="6"/>
      <c r="GXF41" s="6"/>
      <c r="GXG41" s="6"/>
      <c r="GXH41" s="6"/>
      <c r="GXI41" s="6"/>
      <c r="GXJ41" s="6"/>
      <c r="GXK41" s="6"/>
      <c r="GXL41" s="6"/>
      <c r="GXM41" s="6"/>
      <c r="GXN41" s="6"/>
      <c r="GXO41" s="6"/>
      <c r="GXP41" s="6"/>
      <c r="GXQ41" s="6"/>
      <c r="GXR41" s="6"/>
      <c r="GXS41" s="6"/>
      <c r="GXT41" s="6"/>
      <c r="GXU41" s="6"/>
      <c r="GXV41" s="6"/>
      <c r="GXW41" s="6"/>
      <c r="GXX41" s="6"/>
      <c r="GXY41" s="6"/>
      <c r="GXZ41" s="6"/>
      <c r="GYA41" s="6"/>
      <c r="GYB41" s="6"/>
      <c r="GYC41" s="6"/>
      <c r="GYD41" s="6"/>
      <c r="GYE41" s="6"/>
      <c r="GYF41" s="6"/>
      <c r="GYG41" s="6"/>
      <c r="GYH41" s="6"/>
      <c r="GYI41" s="6"/>
      <c r="GYJ41" s="6"/>
      <c r="GYK41" s="6"/>
      <c r="GYL41" s="6"/>
      <c r="GYM41" s="6"/>
      <c r="GYN41" s="6"/>
      <c r="GYO41" s="6"/>
      <c r="GYP41" s="6"/>
      <c r="GYQ41" s="6"/>
      <c r="GYR41" s="6"/>
      <c r="GYS41" s="6"/>
      <c r="GYT41" s="6"/>
      <c r="GYU41" s="6"/>
      <c r="GYV41" s="6"/>
      <c r="GYW41" s="6"/>
      <c r="GYX41" s="6"/>
      <c r="GYY41" s="6"/>
      <c r="GYZ41" s="6"/>
      <c r="GZA41" s="6"/>
      <c r="GZB41" s="6"/>
      <c r="GZC41" s="6"/>
      <c r="GZD41" s="6"/>
      <c r="GZE41" s="6"/>
      <c r="GZF41" s="6"/>
      <c r="GZG41" s="6"/>
      <c r="GZH41" s="6"/>
      <c r="GZI41" s="6"/>
      <c r="GZJ41" s="6"/>
      <c r="GZK41" s="6"/>
      <c r="GZL41" s="6"/>
      <c r="GZM41" s="6"/>
      <c r="GZN41" s="6"/>
      <c r="GZO41" s="6"/>
      <c r="GZP41" s="6"/>
      <c r="GZQ41" s="6"/>
      <c r="GZR41" s="6"/>
      <c r="GZS41" s="6"/>
      <c r="GZT41" s="6"/>
      <c r="GZU41" s="6"/>
      <c r="GZV41" s="6"/>
      <c r="GZW41" s="6"/>
      <c r="GZX41" s="6"/>
      <c r="GZY41" s="6"/>
      <c r="GZZ41" s="6"/>
      <c r="HAA41" s="6"/>
      <c r="HAB41" s="6"/>
      <c r="HAC41" s="6"/>
      <c r="HAD41" s="6"/>
      <c r="HAE41" s="6"/>
      <c r="HAF41" s="6"/>
      <c r="HAG41" s="6"/>
      <c r="HAH41" s="6"/>
      <c r="HAI41" s="6"/>
      <c r="HAJ41" s="6"/>
      <c r="HAK41" s="6"/>
      <c r="HAL41" s="6"/>
      <c r="HAM41" s="6"/>
      <c r="HAN41" s="6"/>
      <c r="HAO41" s="6"/>
      <c r="HAP41" s="6"/>
      <c r="HAQ41" s="6"/>
      <c r="HAR41" s="6"/>
      <c r="HAS41" s="6"/>
      <c r="HAT41" s="6"/>
      <c r="HAU41" s="6"/>
      <c r="HAV41" s="6"/>
      <c r="HAW41" s="6"/>
      <c r="HAX41" s="6"/>
      <c r="HAY41" s="6"/>
      <c r="HAZ41" s="6"/>
      <c r="HBA41" s="6"/>
      <c r="HBB41" s="6"/>
      <c r="HBC41" s="6"/>
      <c r="HBD41" s="6"/>
      <c r="HBE41" s="6"/>
      <c r="HBF41" s="6"/>
      <c r="HBG41" s="6"/>
      <c r="HBH41" s="6"/>
      <c r="HBI41" s="6"/>
      <c r="HBJ41" s="6"/>
      <c r="HBK41" s="6"/>
      <c r="HBL41" s="6"/>
      <c r="HBM41" s="6"/>
      <c r="HBN41" s="6"/>
      <c r="HBO41" s="6"/>
      <c r="HBP41" s="6"/>
      <c r="HBQ41" s="6"/>
      <c r="HBR41" s="6"/>
      <c r="HBS41" s="6"/>
      <c r="HBT41" s="6"/>
      <c r="HBU41" s="6"/>
      <c r="HBV41" s="6"/>
      <c r="HBW41" s="6"/>
      <c r="HBX41" s="6"/>
      <c r="HBY41" s="6"/>
      <c r="HBZ41" s="6"/>
      <c r="HCA41" s="6"/>
      <c r="HCB41" s="6"/>
      <c r="HCC41" s="6"/>
      <c r="HCD41" s="6"/>
      <c r="HCE41" s="6"/>
      <c r="HCF41" s="6"/>
      <c r="HCG41" s="6"/>
      <c r="HCH41" s="6"/>
      <c r="HCI41" s="6"/>
      <c r="HCJ41" s="6"/>
      <c r="HCK41" s="6"/>
      <c r="HCL41" s="6"/>
      <c r="HCM41" s="6"/>
      <c r="HCN41" s="6"/>
      <c r="HCO41" s="6"/>
      <c r="HCP41" s="6"/>
      <c r="HCQ41" s="6"/>
      <c r="HCR41" s="6"/>
      <c r="HCS41" s="6"/>
      <c r="HCT41" s="6"/>
      <c r="HCU41" s="6"/>
      <c r="HCV41" s="6"/>
      <c r="HCW41" s="6"/>
      <c r="HCX41" s="6"/>
      <c r="HCY41" s="6"/>
      <c r="HCZ41" s="6"/>
      <c r="HDA41" s="6"/>
      <c r="HDB41" s="6"/>
      <c r="HDC41" s="6"/>
      <c r="HDD41" s="6"/>
      <c r="HDE41" s="6"/>
      <c r="HDF41" s="6"/>
      <c r="HDG41" s="6"/>
      <c r="HDH41" s="6"/>
      <c r="HDI41" s="6"/>
      <c r="HDJ41" s="6"/>
      <c r="HDK41" s="6"/>
      <c r="HDL41" s="6"/>
      <c r="HDM41" s="6"/>
      <c r="HDN41" s="6"/>
      <c r="HDO41" s="6"/>
      <c r="HDP41" s="6"/>
      <c r="HDQ41" s="6"/>
      <c r="HDR41" s="6"/>
      <c r="HDS41" s="6"/>
      <c r="HDT41" s="6"/>
      <c r="HDU41" s="6"/>
      <c r="HDV41" s="6"/>
      <c r="HDW41" s="6"/>
      <c r="HDX41" s="6"/>
      <c r="HDY41" s="6"/>
      <c r="HDZ41" s="6"/>
      <c r="HEA41" s="6"/>
      <c r="HEB41" s="6"/>
      <c r="HEC41" s="6"/>
      <c r="HED41" s="6"/>
      <c r="HEE41" s="6"/>
      <c r="HEF41" s="6"/>
      <c r="HEG41" s="6"/>
      <c r="HEH41" s="6"/>
      <c r="HEI41" s="6"/>
      <c r="HEJ41" s="6"/>
      <c r="HEK41" s="6"/>
      <c r="HEL41" s="6"/>
      <c r="HEM41" s="6"/>
      <c r="HEN41" s="6"/>
      <c r="HEO41" s="6"/>
      <c r="HEP41" s="6"/>
      <c r="HEQ41" s="6"/>
      <c r="HER41" s="6"/>
      <c r="HES41" s="6"/>
      <c r="HET41" s="6"/>
      <c r="HEU41" s="6"/>
      <c r="HEV41" s="6"/>
      <c r="HEW41" s="6"/>
      <c r="HEX41" s="6"/>
      <c r="HEY41" s="6"/>
      <c r="HEZ41" s="6"/>
      <c r="HFA41" s="6"/>
      <c r="HFB41" s="6"/>
      <c r="HFC41" s="6"/>
      <c r="HFD41" s="6"/>
      <c r="HFE41" s="6"/>
      <c r="HFF41" s="6"/>
      <c r="HFG41" s="6"/>
      <c r="HFH41" s="6"/>
      <c r="HFI41" s="6"/>
      <c r="HFJ41" s="6"/>
      <c r="HFK41" s="6"/>
      <c r="HFL41" s="6"/>
      <c r="HFM41" s="6"/>
      <c r="HFN41" s="6"/>
      <c r="HFO41" s="6"/>
      <c r="HFP41" s="6"/>
      <c r="HFQ41" s="6"/>
      <c r="HFR41" s="6"/>
      <c r="HFS41" s="6"/>
      <c r="HFT41" s="6"/>
      <c r="HFU41" s="6"/>
      <c r="HFV41" s="6"/>
      <c r="HFW41" s="6"/>
      <c r="HFX41" s="6"/>
      <c r="HFY41" s="6"/>
      <c r="HFZ41" s="6"/>
      <c r="HGA41" s="6"/>
      <c r="HGB41" s="6"/>
      <c r="HGC41" s="6"/>
      <c r="HGD41" s="6"/>
      <c r="HGE41" s="6"/>
      <c r="HGF41" s="6"/>
      <c r="HGG41" s="6"/>
      <c r="HGH41" s="6"/>
      <c r="HGI41" s="6"/>
      <c r="HGJ41" s="6"/>
      <c r="HGK41" s="6"/>
      <c r="HGL41" s="6"/>
      <c r="HGM41" s="6"/>
      <c r="HGN41" s="6"/>
      <c r="HGO41" s="6"/>
      <c r="HGP41" s="6"/>
      <c r="HGQ41" s="6"/>
      <c r="HGR41" s="6"/>
      <c r="HGS41" s="6"/>
      <c r="HGT41" s="6"/>
      <c r="HGU41" s="6"/>
      <c r="HGV41" s="6"/>
      <c r="HGW41" s="6"/>
      <c r="HGX41" s="6"/>
      <c r="HGY41" s="6"/>
      <c r="HGZ41" s="6"/>
      <c r="HHA41" s="6"/>
      <c r="HHB41" s="6"/>
      <c r="HHC41" s="6"/>
      <c r="HHD41" s="6"/>
      <c r="HHE41" s="6"/>
      <c r="HHF41" s="6"/>
      <c r="HHG41" s="6"/>
      <c r="HHH41" s="6"/>
      <c r="HHI41" s="6"/>
      <c r="HHJ41" s="6"/>
      <c r="HHK41" s="6"/>
      <c r="HHL41" s="6"/>
      <c r="HHM41" s="6"/>
      <c r="HHN41" s="6"/>
      <c r="HHO41" s="6"/>
      <c r="HHP41" s="6"/>
      <c r="HHQ41" s="6"/>
      <c r="HHR41" s="6"/>
      <c r="HHS41" s="6"/>
      <c r="HHT41" s="6"/>
      <c r="HHU41" s="6"/>
      <c r="HHV41" s="6"/>
      <c r="HHW41" s="6"/>
      <c r="HHX41" s="6"/>
      <c r="HHY41" s="6"/>
      <c r="HHZ41" s="6"/>
      <c r="HIA41" s="6"/>
      <c r="HIB41" s="6"/>
      <c r="HIC41" s="6"/>
      <c r="HID41" s="6"/>
      <c r="HIE41" s="6"/>
      <c r="HIF41" s="6"/>
      <c r="HIG41" s="6"/>
      <c r="HIH41" s="6"/>
      <c r="HII41" s="6"/>
      <c r="HIJ41" s="6"/>
      <c r="HIK41" s="6"/>
      <c r="HIL41" s="6"/>
      <c r="HIM41" s="6"/>
      <c r="HIN41" s="6"/>
      <c r="HIO41" s="6"/>
      <c r="HIP41" s="6"/>
      <c r="HIQ41" s="6"/>
      <c r="HIR41" s="6"/>
      <c r="HIS41" s="6"/>
      <c r="HIT41" s="6"/>
      <c r="HIU41" s="6"/>
      <c r="HIV41" s="6"/>
      <c r="HIW41" s="6"/>
      <c r="HIX41" s="6"/>
      <c r="HIY41" s="6"/>
      <c r="HIZ41" s="6"/>
      <c r="HJA41" s="6"/>
      <c r="HJB41" s="6"/>
      <c r="HJC41" s="6"/>
      <c r="HJD41" s="6"/>
      <c r="HJE41" s="6"/>
      <c r="HJF41" s="6"/>
      <c r="HJG41" s="6"/>
      <c r="HJH41" s="6"/>
      <c r="HJI41" s="6"/>
      <c r="HJJ41" s="6"/>
      <c r="HJK41" s="6"/>
      <c r="HJL41" s="6"/>
      <c r="HJM41" s="6"/>
      <c r="HJN41" s="6"/>
      <c r="HJO41" s="6"/>
      <c r="HJP41" s="6"/>
      <c r="HJQ41" s="6"/>
      <c r="HJR41" s="6"/>
      <c r="HJS41" s="6"/>
      <c r="HJT41" s="6"/>
      <c r="HJU41" s="6"/>
      <c r="HJV41" s="6"/>
      <c r="HJW41" s="6"/>
      <c r="HJX41" s="6"/>
      <c r="HJY41" s="6"/>
      <c r="HJZ41" s="6"/>
      <c r="HKA41" s="6"/>
      <c r="HKB41" s="6"/>
      <c r="HKC41" s="6"/>
      <c r="HKD41" s="6"/>
      <c r="HKE41" s="6"/>
      <c r="HKF41" s="6"/>
      <c r="HKG41" s="6"/>
      <c r="HKH41" s="6"/>
      <c r="HKI41" s="6"/>
      <c r="HKJ41" s="6"/>
      <c r="HKK41" s="6"/>
      <c r="HKL41" s="6"/>
      <c r="HKM41" s="6"/>
      <c r="HKN41" s="6"/>
      <c r="HKO41" s="6"/>
      <c r="HKP41" s="6"/>
      <c r="HKQ41" s="6"/>
      <c r="HKR41" s="6"/>
      <c r="HKS41" s="6"/>
      <c r="HKT41" s="6"/>
      <c r="HKU41" s="6"/>
      <c r="HKV41" s="6"/>
      <c r="HKW41" s="6"/>
      <c r="HKX41" s="6"/>
      <c r="HKY41" s="6"/>
      <c r="HKZ41" s="6"/>
      <c r="HLA41" s="6"/>
      <c r="HLB41" s="6"/>
      <c r="HLC41" s="6"/>
      <c r="HLD41" s="6"/>
      <c r="HLE41" s="6"/>
      <c r="HLF41" s="6"/>
      <c r="HLG41" s="6"/>
      <c r="HLH41" s="6"/>
      <c r="HLI41" s="6"/>
      <c r="HLJ41" s="6"/>
      <c r="HLK41" s="6"/>
      <c r="HLL41" s="6"/>
      <c r="HLM41" s="6"/>
      <c r="HLN41" s="6"/>
      <c r="HLO41" s="6"/>
      <c r="HLP41" s="6"/>
      <c r="HLQ41" s="6"/>
      <c r="HLR41" s="6"/>
      <c r="HLS41" s="6"/>
      <c r="HLT41" s="6"/>
      <c r="HLU41" s="6"/>
      <c r="HLV41" s="6"/>
      <c r="HLW41" s="6"/>
      <c r="HLX41" s="6"/>
      <c r="HLY41" s="6"/>
      <c r="HLZ41" s="6"/>
      <c r="HMA41" s="6"/>
      <c r="HMB41" s="6"/>
      <c r="HMC41" s="6"/>
      <c r="HMD41" s="6"/>
      <c r="HME41" s="6"/>
      <c r="HMF41" s="6"/>
      <c r="HMG41" s="6"/>
      <c r="HMH41" s="6"/>
      <c r="HMI41" s="6"/>
      <c r="HMJ41" s="6"/>
      <c r="HMK41" s="6"/>
      <c r="HML41" s="6"/>
      <c r="HMM41" s="6"/>
      <c r="HMN41" s="6"/>
      <c r="HMO41" s="6"/>
      <c r="HMP41" s="6"/>
      <c r="HMQ41" s="6"/>
      <c r="HMR41" s="6"/>
      <c r="HMS41" s="6"/>
      <c r="HMT41" s="6"/>
      <c r="HMU41" s="6"/>
      <c r="HMV41" s="6"/>
      <c r="HMW41" s="6"/>
      <c r="HMX41" s="6"/>
      <c r="HMY41" s="6"/>
      <c r="HMZ41" s="6"/>
      <c r="HNA41" s="6"/>
      <c r="HNB41" s="6"/>
      <c r="HNC41" s="6"/>
      <c r="HND41" s="6"/>
      <c r="HNE41" s="6"/>
      <c r="HNF41" s="6"/>
      <c r="HNG41" s="6"/>
      <c r="HNH41" s="6"/>
      <c r="HNI41" s="6"/>
      <c r="HNJ41" s="6"/>
      <c r="HNK41" s="6"/>
      <c r="HNL41" s="6"/>
      <c r="HNM41" s="6"/>
      <c r="HNN41" s="6"/>
      <c r="HNO41" s="6"/>
      <c r="HNP41" s="6"/>
      <c r="HNQ41" s="6"/>
      <c r="HNR41" s="6"/>
      <c r="HNS41" s="6"/>
      <c r="HNT41" s="6"/>
      <c r="HNU41" s="6"/>
      <c r="HNV41" s="6"/>
      <c r="HNW41" s="6"/>
      <c r="HNX41" s="6"/>
      <c r="HNY41" s="6"/>
      <c r="HNZ41" s="6"/>
      <c r="HOA41" s="6"/>
      <c r="HOB41" s="6"/>
      <c r="HOC41" s="6"/>
      <c r="HOD41" s="6"/>
      <c r="HOE41" s="6"/>
      <c r="HOF41" s="6"/>
      <c r="HOG41" s="6"/>
      <c r="HOH41" s="6"/>
      <c r="HOI41" s="6"/>
      <c r="HOJ41" s="6"/>
      <c r="HOK41" s="6"/>
      <c r="HOL41" s="6"/>
      <c r="HOM41" s="6"/>
      <c r="HON41" s="6"/>
      <c r="HOO41" s="6"/>
      <c r="HOP41" s="6"/>
      <c r="HOQ41" s="6"/>
      <c r="HOR41" s="6"/>
      <c r="HOS41" s="6"/>
      <c r="HOT41" s="6"/>
      <c r="HOU41" s="6"/>
      <c r="HOV41" s="6"/>
      <c r="HOW41" s="6"/>
      <c r="HOX41" s="6"/>
      <c r="HOY41" s="6"/>
      <c r="HOZ41" s="6"/>
      <c r="HPA41" s="6"/>
      <c r="HPB41" s="6"/>
      <c r="HPC41" s="6"/>
      <c r="HPD41" s="6"/>
      <c r="HPE41" s="6"/>
      <c r="HPF41" s="6"/>
      <c r="HPG41" s="6"/>
      <c r="HPH41" s="6"/>
      <c r="HPI41" s="6"/>
      <c r="HPJ41" s="6"/>
      <c r="HPK41" s="6"/>
      <c r="HPL41" s="6"/>
      <c r="HPM41" s="6"/>
      <c r="HPN41" s="6"/>
      <c r="HPO41" s="6"/>
      <c r="HPP41" s="6"/>
      <c r="HPQ41" s="6"/>
      <c r="HPR41" s="6"/>
      <c r="HPS41" s="6"/>
      <c r="HPT41" s="6"/>
      <c r="HPU41" s="6"/>
      <c r="HPV41" s="6"/>
      <c r="HPW41" s="6"/>
      <c r="HPX41" s="6"/>
      <c r="HPY41" s="6"/>
      <c r="HPZ41" s="6"/>
      <c r="HQA41" s="6"/>
      <c r="HQB41" s="6"/>
      <c r="HQC41" s="6"/>
      <c r="HQD41" s="6"/>
      <c r="HQE41" s="6"/>
      <c r="HQF41" s="6"/>
      <c r="HQG41" s="6"/>
      <c r="HQH41" s="6"/>
      <c r="HQI41" s="6"/>
      <c r="HQJ41" s="6"/>
      <c r="HQK41" s="6"/>
      <c r="HQL41" s="6"/>
      <c r="HQM41" s="6"/>
      <c r="HQN41" s="6"/>
      <c r="HQO41" s="6"/>
      <c r="HQP41" s="6"/>
      <c r="HQQ41" s="6"/>
      <c r="HQR41" s="6"/>
      <c r="HQS41" s="6"/>
      <c r="HQT41" s="6"/>
      <c r="HQU41" s="6"/>
      <c r="HQV41" s="6"/>
      <c r="HQW41" s="6"/>
      <c r="HQX41" s="6"/>
      <c r="HQY41" s="6"/>
      <c r="HQZ41" s="6"/>
      <c r="HRA41" s="6"/>
      <c r="HRB41" s="6"/>
      <c r="HRC41" s="6"/>
      <c r="HRD41" s="6"/>
      <c r="HRE41" s="6"/>
      <c r="HRF41" s="6"/>
      <c r="HRG41" s="6"/>
      <c r="HRH41" s="6"/>
      <c r="HRI41" s="6"/>
      <c r="HRJ41" s="6"/>
      <c r="HRK41" s="6"/>
      <c r="HRL41" s="6"/>
      <c r="HRM41" s="6"/>
      <c r="HRN41" s="6"/>
      <c r="HRO41" s="6"/>
      <c r="HRP41" s="6"/>
      <c r="HRQ41" s="6"/>
      <c r="HRR41" s="6"/>
      <c r="HRS41" s="6"/>
      <c r="HRT41" s="6"/>
      <c r="HRU41" s="6"/>
      <c r="HRV41" s="6"/>
      <c r="HRW41" s="6"/>
      <c r="HRX41" s="6"/>
      <c r="HRY41" s="6"/>
      <c r="HRZ41" s="6"/>
      <c r="HSA41" s="6"/>
      <c r="HSB41" s="6"/>
      <c r="HSC41" s="6"/>
      <c r="HSD41" s="6"/>
      <c r="HSE41" s="6"/>
      <c r="HSF41" s="6"/>
      <c r="HSG41" s="6"/>
      <c r="HSH41" s="6"/>
      <c r="HSI41" s="6"/>
      <c r="HSJ41" s="6"/>
      <c r="HSK41" s="6"/>
      <c r="HSL41" s="6"/>
      <c r="HSM41" s="6"/>
      <c r="HSN41" s="6"/>
      <c r="HSO41" s="6"/>
      <c r="HSP41" s="6"/>
      <c r="HSQ41" s="6"/>
      <c r="HSR41" s="6"/>
      <c r="HSS41" s="6"/>
      <c r="HST41" s="6"/>
      <c r="HSU41" s="6"/>
      <c r="HSV41" s="6"/>
      <c r="HSW41" s="6"/>
      <c r="HSX41" s="6"/>
      <c r="HSY41" s="6"/>
      <c r="HSZ41" s="6"/>
      <c r="HTA41" s="6"/>
      <c r="HTB41" s="6"/>
      <c r="HTC41" s="6"/>
      <c r="HTD41" s="6"/>
      <c r="HTE41" s="6"/>
      <c r="HTF41" s="6"/>
      <c r="HTG41" s="6"/>
      <c r="HTH41" s="6"/>
      <c r="HTI41" s="6"/>
      <c r="HTJ41" s="6"/>
      <c r="HTK41" s="6"/>
      <c r="HTL41" s="6"/>
      <c r="HTM41" s="6"/>
      <c r="HTN41" s="6"/>
      <c r="HTO41" s="6"/>
      <c r="HTP41" s="6"/>
      <c r="HTQ41" s="6"/>
      <c r="HTR41" s="6"/>
      <c r="HTS41" s="6"/>
      <c r="HTT41" s="6"/>
      <c r="HTU41" s="6"/>
      <c r="HTV41" s="6"/>
      <c r="HTW41" s="6"/>
      <c r="HTX41" s="6"/>
      <c r="HTY41" s="6"/>
      <c r="HTZ41" s="6"/>
      <c r="HUA41" s="6"/>
      <c r="HUB41" s="6"/>
      <c r="HUC41" s="6"/>
      <c r="HUD41" s="6"/>
      <c r="HUE41" s="6"/>
      <c r="HUF41" s="6"/>
      <c r="HUG41" s="6"/>
      <c r="HUH41" s="6"/>
      <c r="HUI41" s="6"/>
      <c r="HUJ41" s="6"/>
      <c r="HUK41" s="6"/>
      <c r="HUL41" s="6"/>
      <c r="HUM41" s="6"/>
      <c r="HUN41" s="6"/>
      <c r="HUO41" s="6"/>
      <c r="HUP41" s="6"/>
      <c r="HUQ41" s="6"/>
      <c r="HUR41" s="6"/>
      <c r="HUS41" s="6"/>
      <c r="HUT41" s="6"/>
      <c r="HUU41" s="6"/>
      <c r="HUV41" s="6"/>
      <c r="HUW41" s="6"/>
      <c r="HUX41" s="6"/>
      <c r="HUY41" s="6"/>
      <c r="HUZ41" s="6"/>
      <c r="HVA41" s="6"/>
      <c r="HVB41" s="6"/>
      <c r="HVC41" s="6"/>
      <c r="HVD41" s="6"/>
      <c r="HVE41" s="6"/>
      <c r="HVF41" s="6"/>
      <c r="HVG41" s="6"/>
      <c r="HVH41" s="6"/>
      <c r="HVI41" s="6"/>
      <c r="HVJ41" s="6"/>
      <c r="HVK41" s="6"/>
      <c r="HVL41" s="6"/>
      <c r="HVM41" s="6"/>
      <c r="HVN41" s="6"/>
      <c r="HVO41" s="6"/>
      <c r="HVP41" s="6"/>
      <c r="HVQ41" s="6"/>
      <c r="HVR41" s="6"/>
      <c r="HVS41" s="6"/>
      <c r="HVT41" s="6"/>
      <c r="HVU41" s="6"/>
      <c r="HVV41" s="6"/>
      <c r="HVW41" s="6"/>
      <c r="HVX41" s="6"/>
      <c r="HVY41" s="6"/>
      <c r="HVZ41" s="6"/>
      <c r="HWA41" s="6"/>
      <c r="HWB41" s="6"/>
      <c r="HWC41" s="6"/>
      <c r="HWD41" s="6"/>
      <c r="HWE41" s="6"/>
      <c r="HWF41" s="6"/>
      <c r="HWG41" s="6"/>
      <c r="HWH41" s="6"/>
      <c r="HWI41" s="6"/>
      <c r="HWJ41" s="6"/>
      <c r="HWK41" s="6"/>
      <c r="HWL41" s="6"/>
      <c r="HWM41" s="6"/>
      <c r="HWN41" s="6"/>
      <c r="HWO41" s="6"/>
      <c r="HWP41" s="6"/>
      <c r="HWQ41" s="6"/>
      <c r="HWR41" s="6"/>
      <c r="HWS41" s="6"/>
      <c r="HWT41" s="6"/>
      <c r="HWU41" s="6"/>
      <c r="HWV41" s="6"/>
      <c r="HWW41" s="6"/>
      <c r="HWX41" s="6"/>
      <c r="HWY41" s="6"/>
      <c r="HWZ41" s="6"/>
      <c r="HXA41" s="6"/>
      <c r="HXB41" s="6"/>
      <c r="HXC41" s="6"/>
      <c r="HXD41" s="6"/>
      <c r="HXE41" s="6"/>
      <c r="HXF41" s="6"/>
      <c r="HXG41" s="6"/>
      <c r="HXH41" s="6"/>
      <c r="HXI41" s="6"/>
      <c r="HXJ41" s="6"/>
      <c r="HXK41" s="6"/>
      <c r="HXL41" s="6"/>
      <c r="HXM41" s="6"/>
      <c r="HXN41" s="6"/>
      <c r="HXO41" s="6"/>
      <c r="HXP41" s="6"/>
      <c r="HXQ41" s="6"/>
      <c r="HXR41" s="6"/>
      <c r="HXS41" s="6"/>
      <c r="HXT41" s="6"/>
      <c r="HXU41" s="6"/>
      <c r="HXV41" s="6"/>
      <c r="HXW41" s="6"/>
      <c r="HXX41" s="6"/>
      <c r="HXY41" s="6"/>
      <c r="HXZ41" s="6"/>
      <c r="HYA41" s="6"/>
      <c r="HYB41" s="6"/>
      <c r="HYC41" s="6"/>
      <c r="HYD41" s="6"/>
      <c r="HYE41" s="6"/>
      <c r="HYF41" s="6"/>
      <c r="HYG41" s="6"/>
      <c r="HYH41" s="6"/>
      <c r="HYI41" s="6"/>
      <c r="HYJ41" s="6"/>
      <c r="HYK41" s="6"/>
      <c r="HYL41" s="6"/>
      <c r="HYM41" s="6"/>
      <c r="HYN41" s="6"/>
      <c r="HYO41" s="6"/>
      <c r="HYP41" s="6"/>
      <c r="HYQ41" s="6"/>
      <c r="HYR41" s="6"/>
      <c r="HYS41" s="6"/>
      <c r="HYT41" s="6"/>
      <c r="HYU41" s="6"/>
      <c r="HYV41" s="6"/>
      <c r="HYW41" s="6"/>
      <c r="HYX41" s="6"/>
      <c r="HYY41" s="6"/>
      <c r="HYZ41" s="6"/>
      <c r="HZA41" s="6"/>
      <c r="HZB41" s="6"/>
      <c r="HZC41" s="6"/>
      <c r="HZD41" s="6"/>
      <c r="HZE41" s="6"/>
      <c r="HZF41" s="6"/>
      <c r="HZG41" s="6"/>
      <c r="HZH41" s="6"/>
      <c r="HZI41" s="6"/>
      <c r="HZJ41" s="6"/>
      <c r="HZK41" s="6"/>
      <c r="HZL41" s="6"/>
      <c r="HZM41" s="6"/>
      <c r="HZN41" s="6"/>
      <c r="HZO41" s="6"/>
      <c r="HZP41" s="6"/>
      <c r="HZQ41" s="6"/>
      <c r="HZR41" s="6"/>
      <c r="HZS41" s="6"/>
      <c r="HZT41" s="6"/>
      <c r="HZU41" s="6"/>
      <c r="HZV41" s="6"/>
      <c r="HZW41" s="6"/>
      <c r="HZX41" s="6"/>
      <c r="HZY41" s="6"/>
      <c r="HZZ41" s="6"/>
      <c r="IAA41" s="6"/>
      <c r="IAB41" s="6"/>
      <c r="IAC41" s="6"/>
      <c r="IAD41" s="6"/>
      <c r="IAE41" s="6"/>
      <c r="IAF41" s="6"/>
      <c r="IAG41" s="6"/>
      <c r="IAH41" s="6"/>
      <c r="IAI41" s="6"/>
      <c r="IAJ41" s="6"/>
      <c r="IAK41" s="6"/>
      <c r="IAL41" s="6"/>
      <c r="IAM41" s="6"/>
      <c r="IAN41" s="6"/>
      <c r="IAO41" s="6"/>
      <c r="IAP41" s="6"/>
      <c r="IAQ41" s="6"/>
      <c r="IAR41" s="6"/>
      <c r="IAS41" s="6"/>
      <c r="IAT41" s="6"/>
      <c r="IAU41" s="6"/>
      <c r="IAV41" s="6"/>
      <c r="IAW41" s="6"/>
      <c r="IAX41" s="6"/>
      <c r="IAY41" s="6"/>
      <c r="IAZ41" s="6"/>
      <c r="IBA41" s="6"/>
      <c r="IBB41" s="6"/>
      <c r="IBC41" s="6"/>
      <c r="IBD41" s="6"/>
      <c r="IBE41" s="6"/>
      <c r="IBF41" s="6"/>
      <c r="IBG41" s="6"/>
      <c r="IBH41" s="6"/>
      <c r="IBI41" s="6"/>
      <c r="IBJ41" s="6"/>
      <c r="IBK41" s="6"/>
      <c r="IBL41" s="6"/>
      <c r="IBM41" s="6"/>
      <c r="IBN41" s="6"/>
      <c r="IBO41" s="6"/>
      <c r="IBP41" s="6"/>
      <c r="IBQ41" s="6"/>
      <c r="IBR41" s="6"/>
      <c r="IBS41" s="6"/>
      <c r="IBT41" s="6"/>
      <c r="IBU41" s="6"/>
      <c r="IBV41" s="6"/>
      <c r="IBW41" s="6"/>
      <c r="IBX41" s="6"/>
      <c r="IBY41" s="6"/>
      <c r="IBZ41" s="6"/>
      <c r="ICA41" s="6"/>
      <c r="ICB41" s="6"/>
      <c r="ICC41" s="6"/>
      <c r="ICD41" s="6"/>
      <c r="ICE41" s="6"/>
      <c r="ICF41" s="6"/>
      <c r="ICG41" s="6"/>
      <c r="ICH41" s="6"/>
      <c r="ICI41" s="6"/>
      <c r="ICJ41" s="6"/>
      <c r="ICK41" s="6"/>
      <c r="ICL41" s="6"/>
      <c r="ICM41" s="6"/>
      <c r="ICN41" s="6"/>
      <c r="ICO41" s="6"/>
      <c r="ICP41" s="6"/>
      <c r="ICQ41" s="6"/>
      <c r="ICR41" s="6"/>
      <c r="ICS41" s="6"/>
      <c r="ICT41" s="6"/>
      <c r="ICU41" s="6"/>
      <c r="ICV41" s="6"/>
      <c r="ICW41" s="6"/>
      <c r="ICX41" s="6"/>
      <c r="ICY41" s="6"/>
      <c r="ICZ41" s="6"/>
      <c r="IDA41" s="6"/>
      <c r="IDB41" s="6"/>
      <c r="IDC41" s="6"/>
      <c r="IDD41" s="6"/>
      <c r="IDE41" s="6"/>
      <c r="IDF41" s="6"/>
      <c r="IDG41" s="6"/>
      <c r="IDH41" s="6"/>
      <c r="IDI41" s="6"/>
      <c r="IDJ41" s="6"/>
      <c r="IDK41" s="6"/>
      <c r="IDL41" s="6"/>
      <c r="IDM41" s="6"/>
      <c r="IDN41" s="6"/>
      <c r="IDO41" s="6"/>
      <c r="IDP41" s="6"/>
      <c r="IDQ41" s="6"/>
      <c r="IDR41" s="6"/>
      <c r="IDS41" s="6"/>
      <c r="IDT41" s="6"/>
      <c r="IDU41" s="6"/>
      <c r="IDV41" s="6"/>
      <c r="IDW41" s="6"/>
      <c r="IDX41" s="6"/>
      <c r="IDY41" s="6"/>
      <c r="IDZ41" s="6"/>
      <c r="IEA41" s="6"/>
      <c r="IEB41" s="6"/>
      <c r="IEC41" s="6"/>
      <c r="IED41" s="6"/>
      <c r="IEE41" s="6"/>
      <c r="IEF41" s="6"/>
      <c r="IEG41" s="6"/>
      <c r="IEH41" s="6"/>
      <c r="IEI41" s="6"/>
      <c r="IEJ41" s="6"/>
      <c r="IEK41" s="6"/>
      <c r="IEL41" s="6"/>
      <c r="IEM41" s="6"/>
      <c r="IEN41" s="6"/>
      <c r="IEO41" s="6"/>
      <c r="IEP41" s="6"/>
      <c r="IEQ41" s="6"/>
      <c r="IER41" s="6"/>
      <c r="IES41" s="6"/>
      <c r="IET41" s="6"/>
      <c r="IEU41" s="6"/>
      <c r="IEV41" s="6"/>
      <c r="IEW41" s="6"/>
      <c r="IEX41" s="6"/>
      <c r="IEY41" s="6"/>
      <c r="IEZ41" s="6"/>
      <c r="IFA41" s="6"/>
      <c r="IFB41" s="6"/>
      <c r="IFC41" s="6"/>
      <c r="IFD41" s="6"/>
      <c r="IFE41" s="6"/>
      <c r="IFF41" s="6"/>
      <c r="IFG41" s="6"/>
      <c r="IFH41" s="6"/>
      <c r="IFI41" s="6"/>
      <c r="IFJ41" s="6"/>
      <c r="IFK41" s="6"/>
      <c r="IFL41" s="6"/>
      <c r="IFM41" s="6"/>
      <c r="IFN41" s="6"/>
      <c r="IFO41" s="6"/>
      <c r="IFP41" s="6"/>
      <c r="IFQ41" s="6"/>
      <c r="IFR41" s="6"/>
      <c r="IFS41" s="6"/>
      <c r="IFT41" s="6"/>
      <c r="IFU41" s="6"/>
      <c r="IFV41" s="6"/>
      <c r="IFW41" s="6"/>
      <c r="IFX41" s="6"/>
      <c r="IFY41" s="6"/>
      <c r="IFZ41" s="6"/>
      <c r="IGA41" s="6"/>
      <c r="IGB41" s="6"/>
      <c r="IGC41" s="6"/>
      <c r="IGD41" s="6"/>
      <c r="IGE41" s="6"/>
      <c r="IGF41" s="6"/>
      <c r="IGG41" s="6"/>
      <c r="IGH41" s="6"/>
      <c r="IGI41" s="6"/>
      <c r="IGJ41" s="6"/>
      <c r="IGK41" s="6"/>
      <c r="IGL41" s="6"/>
      <c r="IGM41" s="6"/>
      <c r="IGN41" s="6"/>
      <c r="IGO41" s="6"/>
      <c r="IGP41" s="6"/>
      <c r="IGQ41" s="6"/>
      <c r="IGR41" s="6"/>
      <c r="IGS41" s="6"/>
      <c r="IGT41" s="6"/>
      <c r="IGU41" s="6"/>
      <c r="IGV41" s="6"/>
      <c r="IGW41" s="6"/>
      <c r="IGX41" s="6"/>
      <c r="IGY41" s="6"/>
      <c r="IGZ41" s="6"/>
      <c r="IHA41" s="6"/>
      <c r="IHB41" s="6"/>
      <c r="IHC41" s="6"/>
      <c r="IHD41" s="6"/>
      <c r="IHE41" s="6"/>
      <c r="IHF41" s="6"/>
      <c r="IHG41" s="6"/>
      <c r="IHH41" s="6"/>
      <c r="IHI41" s="6"/>
      <c r="IHJ41" s="6"/>
      <c r="IHK41" s="6"/>
      <c r="IHL41" s="6"/>
      <c r="IHM41" s="6"/>
      <c r="IHN41" s="6"/>
      <c r="IHO41" s="6"/>
      <c r="IHP41" s="6"/>
      <c r="IHQ41" s="6"/>
      <c r="IHR41" s="6"/>
      <c r="IHS41" s="6"/>
      <c r="IHT41" s="6"/>
      <c r="IHU41" s="6"/>
      <c r="IHV41" s="6"/>
      <c r="IHW41" s="6"/>
      <c r="IHX41" s="6"/>
      <c r="IHY41" s="6"/>
      <c r="IHZ41" s="6"/>
      <c r="IIA41" s="6"/>
      <c r="IIB41" s="6"/>
      <c r="IIC41" s="6"/>
      <c r="IID41" s="6"/>
      <c r="IIE41" s="6"/>
      <c r="IIF41" s="6"/>
      <c r="IIG41" s="6"/>
      <c r="IIH41" s="6"/>
      <c r="III41" s="6"/>
      <c r="IIJ41" s="6"/>
      <c r="IIK41" s="6"/>
      <c r="IIL41" s="6"/>
      <c r="IIM41" s="6"/>
      <c r="IIN41" s="6"/>
      <c r="IIO41" s="6"/>
      <c r="IIP41" s="6"/>
      <c r="IIQ41" s="6"/>
      <c r="IIR41" s="6"/>
      <c r="IIS41" s="6"/>
      <c r="IIT41" s="6"/>
      <c r="IIU41" s="6"/>
      <c r="IIV41" s="6"/>
      <c r="IIW41" s="6"/>
      <c r="IIX41" s="6"/>
      <c r="IIY41" s="6"/>
      <c r="IIZ41" s="6"/>
      <c r="IJA41" s="6"/>
      <c r="IJB41" s="6"/>
      <c r="IJC41" s="6"/>
      <c r="IJD41" s="6"/>
      <c r="IJE41" s="6"/>
      <c r="IJF41" s="6"/>
      <c r="IJG41" s="6"/>
      <c r="IJH41" s="6"/>
      <c r="IJI41" s="6"/>
      <c r="IJJ41" s="6"/>
      <c r="IJK41" s="6"/>
      <c r="IJL41" s="6"/>
      <c r="IJM41" s="6"/>
      <c r="IJN41" s="6"/>
      <c r="IJO41" s="6"/>
      <c r="IJP41" s="6"/>
      <c r="IJQ41" s="6"/>
      <c r="IJR41" s="6"/>
      <c r="IJS41" s="6"/>
      <c r="IJT41" s="6"/>
      <c r="IJU41" s="6"/>
      <c r="IJV41" s="6"/>
      <c r="IJW41" s="6"/>
      <c r="IJX41" s="6"/>
      <c r="IJY41" s="6"/>
      <c r="IJZ41" s="6"/>
      <c r="IKA41" s="6"/>
      <c r="IKB41" s="6"/>
      <c r="IKC41" s="6"/>
      <c r="IKD41" s="6"/>
      <c r="IKE41" s="6"/>
      <c r="IKF41" s="6"/>
      <c r="IKG41" s="6"/>
      <c r="IKH41" s="6"/>
      <c r="IKI41" s="6"/>
      <c r="IKJ41" s="6"/>
      <c r="IKK41" s="6"/>
      <c r="IKL41" s="6"/>
      <c r="IKM41" s="6"/>
      <c r="IKN41" s="6"/>
      <c r="IKO41" s="6"/>
      <c r="IKP41" s="6"/>
      <c r="IKQ41" s="6"/>
      <c r="IKR41" s="6"/>
      <c r="IKS41" s="6"/>
      <c r="IKT41" s="6"/>
      <c r="IKU41" s="6"/>
      <c r="IKV41" s="6"/>
      <c r="IKW41" s="6"/>
      <c r="IKX41" s="6"/>
      <c r="IKY41" s="6"/>
      <c r="IKZ41" s="6"/>
      <c r="ILA41" s="6"/>
      <c r="ILB41" s="6"/>
      <c r="ILC41" s="6"/>
      <c r="ILD41" s="6"/>
      <c r="ILE41" s="6"/>
      <c r="ILF41" s="6"/>
      <c r="ILG41" s="6"/>
      <c r="ILH41" s="6"/>
      <c r="ILI41" s="6"/>
      <c r="ILJ41" s="6"/>
      <c r="ILK41" s="6"/>
      <c r="ILL41" s="6"/>
      <c r="ILM41" s="6"/>
      <c r="ILN41" s="6"/>
      <c r="ILO41" s="6"/>
      <c r="ILP41" s="6"/>
      <c r="ILQ41" s="6"/>
      <c r="ILR41" s="6"/>
      <c r="ILS41" s="6"/>
      <c r="ILT41" s="6"/>
      <c r="ILU41" s="6"/>
      <c r="ILV41" s="6"/>
      <c r="ILW41" s="6"/>
      <c r="ILX41" s="6"/>
      <c r="ILY41" s="6"/>
      <c r="ILZ41" s="6"/>
      <c r="IMA41" s="6"/>
      <c r="IMB41" s="6"/>
      <c r="IMC41" s="6"/>
      <c r="IMD41" s="6"/>
      <c r="IME41" s="6"/>
      <c r="IMF41" s="6"/>
      <c r="IMG41" s="6"/>
      <c r="IMH41" s="6"/>
      <c r="IMI41" s="6"/>
      <c r="IMJ41" s="6"/>
      <c r="IMK41" s="6"/>
      <c r="IML41" s="6"/>
      <c r="IMM41" s="6"/>
      <c r="IMN41" s="6"/>
      <c r="IMO41" s="6"/>
      <c r="IMP41" s="6"/>
      <c r="IMQ41" s="6"/>
      <c r="IMR41" s="6"/>
      <c r="IMS41" s="6"/>
      <c r="IMT41" s="6"/>
      <c r="IMU41" s="6"/>
      <c r="IMV41" s="6"/>
      <c r="IMW41" s="6"/>
      <c r="IMX41" s="6"/>
      <c r="IMY41" s="6"/>
      <c r="IMZ41" s="6"/>
      <c r="INA41" s="6"/>
      <c r="INB41" s="6"/>
      <c r="INC41" s="6"/>
      <c r="IND41" s="6"/>
      <c r="INE41" s="6"/>
      <c r="INF41" s="6"/>
      <c r="ING41" s="6"/>
      <c r="INH41" s="6"/>
      <c r="INI41" s="6"/>
      <c r="INJ41" s="6"/>
      <c r="INK41" s="6"/>
      <c r="INL41" s="6"/>
      <c r="INM41" s="6"/>
      <c r="INN41" s="6"/>
      <c r="INO41" s="6"/>
      <c r="INP41" s="6"/>
      <c r="INQ41" s="6"/>
      <c r="INR41" s="6"/>
      <c r="INS41" s="6"/>
      <c r="INT41" s="6"/>
      <c r="INU41" s="6"/>
      <c r="INV41" s="6"/>
      <c r="INW41" s="6"/>
      <c r="INX41" s="6"/>
      <c r="INY41" s="6"/>
      <c r="INZ41" s="6"/>
      <c r="IOA41" s="6"/>
      <c r="IOB41" s="6"/>
      <c r="IOC41" s="6"/>
      <c r="IOD41" s="6"/>
      <c r="IOE41" s="6"/>
      <c r="IOF41" s="6"/>
      <c r="IOG41" s="6"/>
      <c r="IOH41" s="6"/>
      <c r="IOI41" s="6"/>
      <c r="IOJ41" s="6"/>
      <c r="IOK41" s="6"/>
      <c r="IOL41" s="6"/>
      <c r="IOM41" s="6"/>
      <c r="ION41" s="6"/>
      <c r="IOO41" s="6"/>
      <c r="IOP41" s="6"/>
      <c r="IOQ41" s="6"/>
      <c r="IOR41" s="6"/>
      <c r="IOS41" s="6"/>
      <c r="IOT41" s="6"/>
      <c r="IOU41" s="6"/>
      <c r="IOV41" s="6"/>
      <c r="IOW41" s="6"/>
      <c r="IOX41" s="6"/>
      <c r="IOY41" s="6"/>
      <c r="IOZ41" s="6"/>
      <c r="IPA41" s="6"/>
      <c r="IPB41" s="6"/>
      <c r="IPC41" s="6"/>
      <c r="IPD41" s="6"/>
      <c r="IPE41" s="6"/>
      <c r="IPF41" s="6"/>
      <c r="IPG41" s="6"/>
      <c r="IPH41" s="6"/>
      <c r="IPI41" s="6"/>
      <c r="IPJ41" s="6"/>
      <c r="IPK41" s="6"/>
      <c r="IPL41" s="6"/>
      <c r="IPM41" s="6"/>
      <c r="IPN41" s="6"/>
      <c r="IPO41" s="6"/>
      <c r="IPP41" s="6"/>
      <c r="IPQ41" s="6"/>
      <c r="IPR41" s="6"/>
      <c r="IPS41" s="6"/>
      <c r="IPT41" s="6"/>
      <c r="IPU41" s="6"/>
      <c r="IPV41" s="6"/>
      <c r="IPW41" s="6"/>
      <c r="IPX41" s="6"/>
      <c r="IPY41" s="6"/>
      <c r="IPZ41" s="6"/>
      <c r="IQA41" s="6"/>
      <c r="IQB41" s="6"/>
      <c r="IQC41" s="6"/>
      <c r="IQD41" s="6"/>
      <c r="IQE41" s="6"/>
      <c r="IQF41" s="6"/>
      <c r="IQG41" s="6"/>
      <c r="IQH41" s="6"/>
      <c r="IQI41" s="6"/>
      <c r="IQJ41" s="6"/>
      <c r="IQK41" s="6"/>
      <c r="IQL41" s="6"/>
      <c r="IQM41" s="6"/>
      <c r="IQN41" s="6"/>
      <c r="IQO41" s="6"/>
      <c r="IQP41" s="6"/>
      <c r="IQQ41" s="6"/>
      <c r="IQR41" s="6"/>
      <c r="IQS41" s="6"/>
      <c r="IQT41" s="6"/>
      <c r="IQU41" s="6"/>
      <c r="IQV41" s="6"/>
      <c r="IQW41" s="6"/>
      <c r="IQX41" s="6"/>
      <c r="IQY41" s="6"/>
      <c r="IQZ41" s="6"/>
      <c r="IRA41" s="6"/>
      <c r="IRB41" s="6"/>
      <c r="IRC41" s="6"/>
      <c r="IRD41" s="6"/>
      <c r="IRE41" s="6"/>
      <c r="IRF41" s="6"/>
      <c r="IRG41" s="6"/>
      <c r="IRH41" s="6"/>
      <c r="IRI41" s="6"/>
      <c r="IRJ41" s="6"/>
      <c r="IRK41" s="6"/>
      <c r="IRL41" s="6"/>
      <c r="IRM41" s="6"/>
      <c r="IRN41" s="6"/>
      <c r="IRO41" s="6"/>
      <c r="IRP41" s="6"/>
      <c r="IRQ41" s="6"/>
      <c r="IRR41" s="6"/>
      <c r="IRS41" s="6"/>
      <c r="IRT41" s="6"/>
      <c r="IRU41" s="6"/>
      <c r="IRV41" s="6"/>
      <c r="IRW41" s="6"/>
      <c r="IRX41" s="6"/>
      <c r="IRY41" s="6"/>
      <c r="IRZ41" s="6"/>
      <c r="ISA41" s="6"/>
      <c r="ISB41" s="6"/>
      <c r="ISC41" s="6"/>
      <c r="ISD41" s="6"/>
      <c r="ISE41" s="6"/>
      <c r="ISF41" s="6"/>
      <c r="ISG41" s="6"/>
      <c r="ISH41" s="6"/>
      <c r="ISI41" s="6"/>
      <c r="ISJ41" s="6"/>
      <c r="ISK41" s="6"/>
      <c r="ISL41" s="6"/>
      <c r="ISM41" s="6"/>
      <c r="ISN41" s="6"/>
      <c r="ISO41" s="6"/>
      <c r="ISP41" s="6"/>
      <c r="ISQ41" s="6"/>
      <c r="ISR41" s="6"/>
      <c r="ISS41" s="6"/>
      <c r="IST41" s="6"/>
      <c r="ISU41" s="6"/>
      <c r="ISV41" s="6"/>
      <c r="ISW41" s="6"/>
      <c r="ISX41" s="6"/>
      <c r="ISY41" s="6"/>
      <c r="ISZ41" s="6"/>
      <c r="ITA41" s="6"/>
      <c r="ITB41" s="6"/>
      <c r="ITC41" s="6"/>
      <c r="ITD41" s="6"/>
      <c r="ITE41" s="6"/>
      <c r="ITF41" s="6"/>
      <c r="ITG41" s="6"/>
      <c r="ITH41" s="6"/>
      <c r="ITI41" s="6"/>
      <c r="ITJ41" s="6"/>
      <c r="ITK41" s="6"/>
      <c r="ITL41" s="6"/>
      <c r="ITM41" s="6"/>
      <c r="ITN41" s="6"/>
      <c r="ITO41" s="6"/>
      <c r="ITP41" s="6"/>
      <c r="ITQ41" s="6"/>
      <c r="ITR41" s="6"/>
      <c r="ITS41" s="6"/>
      <c r="ITT41" s="6"/>
      <c r="ITU41" s="6"/>
      <c r="ITV41" s="6"/>
      <c r="ITW41" s="6"/>
      <c r="ITX41" s="6"/>
      <c r="ITY41" s="6"/>
      <c r="ITZ41" s="6"/>
      <c r="IUA41" s="6"/>
      <c r="IUB41" s="6"/>
      <c r="IUC41" s="6"/>
      <c r="IUD41" s="6"/>
      <c r="IUE41" s="6"/>
      <c r="IUF41" s="6"/>
      <c r="IUG41" s="6"/>
      <c r="IUH41" s="6"/>
      <c r="IUI41" s="6"/>
      <c r="IUJ41" s="6"/>
      <c r="IUK41" s="6"/>
      <c r="IUL41" s="6"/>
      <c r="IUM41" s="6"/>
      <c r="IUN41" s="6"/>
      <c r="IUO41" s="6"/>
      <c r="IUP41" s="6"/>
      <c r="IUQ41" s="6"/>
      <c r="IUR41" s="6"/>
      <c r="IUS41" s="6"/>
      <c r="IUT41" s="6"/>
      <c r="IUU41" s="6"/>
      <c r="IUV41" s="6"/>
      <c r="IUW41" s="6"/>
      <c r="IUX41" s="6"/>
      <c r="IUY41" s="6"/>
      <c r="IUZ41" s="6"/>
      <c r="IVA41" s="6"/>
      <c r="IVB41" s="6"/>
      <c r="IVC41" s="6"/>
      <c r="IVD41" s="6"/>
      <c r="IVE41" s="6"/>
      <c r="IVF41" s="6"/>
      <c r="IVG41" s="6"/>
      <c r="IVH41" s="6"/>
      <c r="IVI41" s="6"/>
      <c r="IVJ41" s="6"/>
      <c r="IVK41" s="6"/>
      <c r="IVL41" s="6"/>
      <c r="IVM41" s="6"/>
      <c r="IVN41" s="6"/>
      <c r="IVO41" s="6"/>
      <c r="IVP41" s="6"/>
      <c r="IVQ41" s="6"/>
      <c r="IVR41" s="6"/>
      <c r="IVS41" s="6"/>
      <c r="IVT41" s="6"/>
      <c r="IVU41" s="6"/>
      <c r="IVV41" s="6"/>
      <c r="IVW41" s="6"/>
      <c r="IVX41" s="6"/>
      <c r="IVY41" s="6"/>
      <c r="IVZ41" s="6"/>
      <c r="IWA41" s="6"/>
      <c r="IWB41" s="6"/>
      <c r="IWC41" s="6"/>
      <c r="IWD41" s="6"/>
      <c r="IWE41" s="6"/>
      <c r="IWF41" s="6"/>
      <c r="IWG41" s="6"/>
      <c r="IWH41" s="6"/>
      <c r="IWI41" s="6"/>
      <c r="IWJ41" s="6"/>
      <c r="IWK41" s="6"/>
      <c r="IWL41" s="6"/>
      <c r="IWM41" s="6"/>
      <c r="IWN41" s="6"/>
      <c r="IWO41" s="6"/>
      <c r="IWP41" s="6"/>
      <c r="IWQ41" s="6"/>
      <c r="IWR41" s="6"/>
      <c r="IWS41" s="6"/>
      <c r="IWT41" s="6"/>
      <c r="IWU41" s="6"/>
      <c r="IWV41" s="6"/>
      <c r="IWW41" s="6"/>
      <c r="IWX41" s="6"/>
      <c r="IWY41" s="6"/>
      <c r="IWZ41" s="6"/>
      <c r="IXA41" s="6"/>
      <c r="IXB41" s="6"/>
      <c r="IXC41" s="6"/>
      <c r="IXD41" s="6"/>
      <c r="IXE41" s="6"/>
      <c r="IXF41" s="6"/>
      <c r="IXG41" s="6"/>
      <c r="IXH41" s="6"/>
      <c r="IXI41" s="6"/>
      <c r="IXJ41" s="6"/>
      <c r="IXK41" s="6"/>
      <c r="IXL41" s="6"/>
      <c r="IXM41" s="6"/>
      <c r="IXN41" s="6"/>
      <c r="IXO41" s="6"/>
      <c r="IXP41" s="6"/>
      <c r="IXQ41" s="6"/>
      <c r="IXR41" s="6"/>
      <c r="IXS41" s="6"/>
      <c r="IXT41" s="6"/>
      <c r="IXU41" s="6"/>
      <c r="IXV41" s="6"/>
      <c r="IXW41" s="6"/>
      <c r="IXX41" s="6"/>
      <c r="IXY41" s="6"/>
      <c r="IXZ41" s="6"/>
      <c r="IYA41" s="6"/>
      <c r="IYB41" s="6"/>
      <c r="IYC41" s="6"/>
      <c r="IYD41" s="6"/>
      <c r="IYE41" s="6"/>
      <c r="IYF41" s="6"/>
      <c r="IYG41" s="6"/>
      <c r="IYH41" s="6"/>
      <c r="IYI41" s="6"/>
      <c r="IYJ41" s="6"/>
      <c r="IYK41" s="6"/>
      <c r="IYL41" s="6"/>
      <c r="IYM41" s="6"/>
      <c r="IYN41" s="6"/>
      <c r="IYO41" s="6"/>
      <c r="IYP41" s="6"/>
      <c r="IYQ41" s="6"/>
      <c r="IYR41" s="6"/>
      <c r="IYS41" s="6"/>
      <c r="IYT41" s="6"/>
      <c r="IYU41" s="6"/>
      <c r="IYV41" s="6"/>
      <c r="IYW41" s="6"/>
      <c r="IYX41" s="6"/>
      <c r="IYY41" s="6"/>
      <c r="IYZ41" s="6"/>
      <c r="IZA41" s="6"/>
      <c r="IZB41" s="6"/>
      <c r="IZC41" s="6"/>
      <c r="IZD41" s="6"/>
      <c r="IZE41" s="6"/>
      <c r="IZF41" s="6"/>
      <c r="IZG41" s="6"/>
      <c r="IZH41" s="6"/>
      <c r="IZI41" s="6"/>
      <c r="IZJ41" s="6"/>
      <c r="IZK41" s="6"/>
      <c r="IZL41" s="6"/>
      <c r="IZM41" s="6"/>
      <c r="IZN41" s="6"/>
      <c r="IZO41" s="6"/>
      <c r="IZP41" s="6"/>
      <c r="IZQ41" s="6"/>
      <c r="IZR41" s="6"/>
      <c r="IZS41" s="6"/>
      <c r="IZT41" s="6"/>
      <c r="IZU41" s="6"/>
      <c r="IZV41" s="6"/>
      <c r="IZW41" s="6"/>
      <c r="IZX41" s="6"/>
      <c r="IZY41" s="6"/>
      <c r="IZZ41" s="6"/>
      <c r="JAA41" s="6"/>
      <c r="JAB41" s="6"/>
      <c r="JAC41" s="6"/>
      <c r="JAD41" s="6"/>
      <c r="JAE41" s="6"/>
      <c r="JAF41" s="6"/>
      <c r="JAG41" s="6"/>
      <c r="JAH41" s="6"/>
      <c r="JAI41" s="6"/>
      <c r="JAJ41" s="6"/>
      <c r="JAK41" s="6"/>
      <c r="JAL41" s="6"/>
      <c r="JAM41" s="6"/>
      <c r="JAN41" s="6"/>
      <c r="JAO41" s="6"/>
      <c r="JAP41" s="6"/>
      <c r="JAQ41" s="6"/>
      <c r="JAR41" s="6"/>
      <c r="JAS41" s="6"/>
      <c r="JAT41" s="6"/>
      <c r="JAU41" s="6"/>
      <c r="JAV41" s="6"/>
      <c r="JAW41" s="6"/>
      <c r="JAX41" s="6"/>
      <c r="JAY41" s="6"/>
      <c r="JAZ41" s="6"/>
      <c r="JBA41" s="6"/>
      <c r="JBB41" s="6"/>
      <c r="JBC41" s="6"/>
      <c r="JBD41" s="6"/>
      <c r="JBE41" s="6"/>
      <c r="JBF41" s="6"/>
      <c r="JBG41" s="6"/>
      <c r="JBH41" s="6"/>
      <c r="JBI41" s="6"/>
      <c r="JBJ41" s="6"/>
      <c r="JBK41" s="6"/>
      <c r="JBL41" s="6"/>
      <c r="JBM41" s="6"/>
      <c r="JBN41" s="6"/>
      <c r="JBO41" s="6"/>
      <c r="JBP41" s="6"/>
      <c r="JBQ41" s="6"/>
      <c r="JBR41" s="6"/>
      <c r="JBS41" s="6"/>
      <c r="JBT41" s="6"/>
      <c r="JBU41" s="6"/>
      <c r="JBV41" s="6"/>
      <c r="JBW41" s="6"/>
      <c r="JBX41" s="6"/>
      <c r="JBY41" s="6"/>
      <c r="JBZ41" s="6"/>
      <c r="JCA41" s="6"/>
      <c r="JCB41" s="6"/>
      <c r="JCC41" s="6"/>
      <c r="JCD41" s="6"/>
      <c r="JCE41" s="6"/>
      <c r="JCF41" s="6"/>
      <c r="JCG41" s="6"/>
      <c r="JCH41" s="6"/>
      <c r="JCI41" s="6"/>
      <c r="JCJ41" s="6"/>
      <c r="JCK41" s="6"/>
      <c r="JCL41" s="6"/>
      <c r="JCM41" s="6"/>
      <c r="JCN41" s="6"/>
      <c r="JCO41" s="6"/>
      <c r="JCP41" s="6"/>
      <c r="JCQ41" s="6"/>
      <c r="JCR41" s="6"/>
      <c r="JCS41" s="6"/>
      <c r="JCT41" s="6"/>
      <c r="JCU41" s="6"/>
      <c r="JCV41" s="6"/>
      <c r="JCW41" s="6"/>
      <c r="JCX41" s="6"/>
      <c r="JCY41" s="6"/>
      <c r="JCZ41" s="6"/>
      <c r="JDA41" s="6"/>
      <c r="JDB41" s="6"/>
      <c r="JDC41" s="6"/>
      <c r="JDD41" s="6"/>
      <c r="JDE41" s="6"/>
      <c r="JDF41" s="6"/>
      <c r="JDG41" s="6"/>
      <c r="JDH41" s="6"/>
      <c r="JDI41" s="6"/>
      <c r="JDJ41" s="6"/>
      <c r="JDK41" s="6"/>
      <c r="JDL41" s="6"/>
      <c r="JDM41" s="6"/>
      <c r="JDN41" s="6"/>
      <c r="JDO41" s="6"/>
      <c r="JDP41" s="6"/>
      <c r="JDQ41" s="6"/>
      <c r="JDR41" s="6"/>
      <c r="JDS41" s="6"/>
      <c r="JDT41" s="6"/>
      <c r="JDU41" s="6"/>
      <c r="JDV41" s="6"/>
      <c r="JDW41" s="6"/>
      <c r="JDX41" s="6"/>
      <c r="JDY41" s="6"/>
      <c r="JDZ41" s="6"/>
      <c r="JEA41" s="6"/>
      <c r="JEB41" s="6"/>
      <c r="JEC41" s="6"/>
      <c r="JED41" s="6"/>
      <c r="JEE41" s="6"/>
      <c r="JEF41" s="6"/>
      <c r="JEG41" s="6"/>
      <c r="JEH41" s="6"/>
      <c r="JEI41" s="6"/>
      <c r="JEJ41" s="6"/>
      <c r="JEK41" s="6"/>
      <c r="JEL41" s="6"/>
      <c r="JEM41" s="6"/>
      <c r="JEN41" s="6"/>
      <c r="JEO41" s="6"/>
      <c r="JEP41" s="6"/>
      <c r="JEQ41" s="6"/>
      <c r="JER41" s="6"/>
      <c r="JES41" s="6"/>
      <c r="JET41" s="6"/>
      <c r="JEU41" s="6"/>
      <c r="JEV41" s="6"/>
      <c r="JEW41" s="6"/>
      <c r="JEX41" s="6"/>
      <c r="JEY41" s="6"/>
      <c r="JEZ41" s="6"/>
      <c r="JFA41" s="6"/>
      <c r="JFB41" s="6"/>
      <c r="JFC41" s="6"/>
      <c r="JFD41" s="6"/>
      <c r="JFE41" s="6"/>
      <c r="JFF41" s="6"/>
      <c r="JFG41" s="6"/>
      <c r="JFH41" s="6"/>
      <c r="JFI41" s="6"/>
      <c r="JFJ41" s="6"/>
      <c r="JFK41" s="6"/>
      <c r="JFL41" s="6"/>
      <c r="JFM41" s="6"/>
      <c r="JFN41" s="6"/>
      <c r="JFO41" s="6"/>
      <c r="JFP41" s="6"/>
      <c r="JFQ41" s="6"/>
      <c r="JFR41" s="6"/>
      <c r="JFS41" s="6"/>
      <c r="JFT41" s="6"/>
      <c r="JFU41" s="6"/>
      <c r="JFV41" s="6"/>
      <c r="JFW41" s="6"/>
      <c r="JFX41" s="6"/>
      <c r="JFY41" s="6"/>
      <c r="JFZ41" s="6"/>
      <c r="JGA41" s="6"/>
      <c r="JGB41" s="6"/>
      <c r="JGC41" s="6"/>
      <c r="JGD41" s="6"/>
      <c r="JGE41" s="6"/>
      <c r="JGF41" s="6"/>
      <c r="JGG41" s="6"/>
      <c r="JGH41" s="6"/>
      <c r="JGI41" s="6"/>
      <c r="JGJ41" s="6"/>
      <c r="JGK41" s="6"/>
      <c r="JGL41" s="6"/>
      <c r="JGM41" s="6"/>
      <c r="JGN41" s="6"/>
      <c r="JGO41" s="6"/>
      <c r="JGP41" s="6"/>
      <c r="JGQ41" s="6"/>
      <c r="JGR41" s="6"/>
      <c r="JGS41" s="6"/>
      <c r="JGT41" s="6"/>
      <c r="JGU41" s="6"/>
      <c r="JGV41" s="6"/>
      <c r="JGW41" s="6"/>
      <c r="JGX41" s="6"/>
      <c r="JGY41" s="6"/>
      <c r="JGZ41" s="6"/>
      <c r="JHA41" s="6"/>
      <c r="JHB41" s="6"/>
      <c r="JHC41" s="6"/>
      <c r="JHD41" s="6"/>
      <c r="JHE41" s="6"/>
      <c r="JHF41" s="6"/>
      <c r="JHG41" s="6"/>
      <c r="JHH41" s="6"/>
      <c r="JHI41" s="6"/>
      <c r="JHJ41" s="6"/>
      <c r="JHK41" s="6"/>
      <c r="JHL41" s="6"/>
      <c r="JHM41" s="6"/>
      <c r="JHN41" s="6"/>
      <c r="JHO41" s="6"/>
      <c r="JHP41" s="6"/>
      <c r="JHQ41" s="6"/>
      <c r="JHR41" s="6"/>
      <c r="JHS41" s="6"/>
      <c r="JHT41" s="6"/>
      <c r="JHU41" s="6"/>
      <c r="JHV41" s="6"/>
      <c r="JHW41" s="6"/>
      <c r="JHX41" s="6"/>
      <c r="JHY41" s="6"/>
      <c r="JHZ41" s="6"/>
      <c r="JIA41" s="6"/>
      <c r="JIB41" s="6"/>
      <c r="JIC41" s="6"/>
      <c r="JID41" s="6"/>
      <c r="JIE41" s="6"/>
      <c r="JIF41" s="6"/>
      <c r="JIG41" s="6"/>
      <c r="JIH41" s="6"/>
      <c r="JII41" s="6"/>
      <c r="JIJ41" s="6"/>
      <c r="JIK41" s="6"/>
      <c r="JIL41" s="6"/>
      <c r="JIM41" s="6"/>
      <c r="JIN41" s="6"/>
      <c r="JIO41" s="6"/>
      <c r="JIP41" s="6"/>
      <c r="JIQ41" s="6"/>
      <c r="JIR41" s="6"/>
      <c r="JIS41" s="6"/>
      <c r="JIT41" s="6"/>
      <c r="JIU41" s="6"/>
      <c r="JIV41" s="6"/>
      <c r="JIW41" s="6"/>
      <c r="JIX41" s="6"/>
      <c r="JIY41" s="6"/>
      <c r="JIZ41" s="6"/>
      <c r="JJA41" s="6"/>
      <c r="JJB41" s="6"/>
      <c r="JJC41" s="6"/>
      <c r="JJD41" s="6"/>
      <c r="JJE41" s="6"/>
      <c r="JJF41" s="6"/>
      <c r="JJG41" s="6"/>
      <c r="JJH41" s="6"/>
      <c r="JJI41" s="6"/>
      <c r="JJJ41" s="6"/>
      <c r="JJK41" s="6"/>
      <c r="JJL41" s="6"/>
      <c r="JJM41" s="6"/>
      <c r="JJN41" s="6"/>
      <c r="JJO41" s="6"/>
      <c r="JJP41" s="6"/>
      <c r="JJQ41" s="6"/>
      <c r="JJR41" s="6"/>
      <c r="JJS41" s="6"/>
      <c r="JJT41" s="6"/>
      <c r="JJU41" s="6"/>
      <c r="JJV41" s="6"/>
      <c r="JJW41" s="6"/>
      <c r="JJX41" s="6"/>
      <c r="JJY41" s="6"/>
      <c r="JJZ41" s="6"/>
      <c r="JKA41" s="6"/>
      <c r="JKB41" s="6"/>
      <c r="JKC41" s="6"/>
      <c r="JKD41" s="6"/>
      <c r="JKE41" s="6"/>
      <c r="JKF41" s="6"/>
      <c r="JKG41" s="6"/>
      <c r="JKH41" s="6"/>
      <c r="JKI41" s="6"/>
      <c r="JKJ41" s="6"/>
      <c r="JKK41" s="6"/>
      <c r="JKL41" s="6"/>
      <c r="JKM41" s="6"/>
      <c r="JKN41" s="6"/>
      <c r="JKO41" s="6"/>
      <c r="JKP41" s="6"/>
      <c r="JKQ41" s="6"/>
      <c r="JKR41" s="6"/>
      <c r="JKS41" s="6"/>
      <c r="JKT41" s="6"/>
      <c r="JKU41" s="6"/>
      <c r="JKV41" s="6"/>
      <c r="JKW41" s="6"/>
      <c r="JKX41" s="6"/>
      <c r="JKY41" s="6"/>
      <c r="JKZ41" s="6"/>
      <c r="JLA41" s="6"/>
      <c r="JLB41" s="6"/>
      <c r="JLC41" s="6"/>
      <c r="JLD41" s="6"/>
      <c r="JLE41" s="6"/>
      <c r="JLF41" s="6"/>
      <c r="JLG41" s="6"/>
      <c r="JLH41" s="6"/>
      <c r="JLI41" s="6"/>
      <c r="JLJ41" s="6"/>
      <c r="JLK41" s="6"/>
      <c r="JLL41" s="6"/>
      <c r="JLM41" s="6"/>
      <c r="JLN41" s="6"/>
      <c r="JLO41" s="6"/>
      <c r="JLP41" s="6"/>
      <c r="JLQ41" s="6"/>
      <c r="JLR41" s="6"/>
      <c r="JLS41" s="6"/>
      <c r="JLT41" s="6"/>
      <c r="JLU41" s="6"/>
      <c r="JLV41" s="6"/>
      <c r="JLW41" s="6"/>
      <c r="JLX41" s="6"/>
      <c r="JLY41" s="6"/>
      <c r="JLZ41" s="6"/>
      <c r="JMA41" s="6"/>
      <c r="JMB41" s="6"/>
      <c r="JMC41" s="6"/>
      <c r="JMD41" s="6"/>
      <c r="JME41" s="6"/>
      <c r="JMF41" s="6"/>
      <c r="JMG41" s="6"/>
      <c r="JMH41" s="6"/>
      <c r="JMI41" s="6"/>
      <c r="JMJ41" s="6"/>
      <c r="JMK41" s="6"/>
      <c r="JML41" s="6"/>
      <c r="JMM41" s="6"/>
      <c r="JMN41" s="6"/>
      <c r="JMO41" s="6"/>
      <c r="JMP41" s="6"/>
      <c r="JMQ41" s="6"/>
      <c r="JMR41" s="6"/>
      <c r="JMS41" s="6"/>
      <c r="JMT41" s="6"/>
      <c r="JMU41" s="6"/>
      <c r="JMV41" s="6"/>
      <c r="JMW41" s="6"/>
      <c r="JMX41" s="6"/>
      <c r="JMY41" s="6"/>
      <c r="JMZ41" s="6"/>
      <c r="JNA41" s="6"/>
      <c r="JNB41" s="6"/>
      <c r="JNC41" s="6"/>
      <c r="JND41" s="6"/>
      <c r="JNE41" s="6"/>
      <c r="JNF41" s="6"/>
      <c r="JNG41" s="6"/>
      <c r="JNH41" s="6"/>
      <c r="JNI41" s="6"/>
      <c r="JNJ41" s="6"/>
      <c r="JNK41" s="6"/>
      <c r="JNL41" s="6"/>
      <c r="JNM41" s="6"/>
      <c r="JNN41" s="6"/>
      <c r="JNO41" s="6"/>
      <c r="JNP41" s="6"/>
      <c r="JNQ41" s="6"/>
      <c r="JNR41" s="6"/>
      <c r="JNS41" s="6"/>
      <c r="JNT41" s="6"/>
      <c r="JNU41" s="6"/>
      <c r="JNV41" s="6"/>
      <c r="JNW41" s="6"/>
      <c r="JNX41" s="6"/>
      <c r="JNY41" s="6"/>
      <c r="JNZ41" s="6"/>
      <c r="JOA41" s="6"/>
      <c r="JOB41" s="6"/>
      <c r="JOC41" s="6"/>
      <c r="JOD41" s="6"/>
      <c r="JOE41" s="6"/>
      <c r="JOF41" s="6"/>
      <c r="JOG41" s="6"/>
      <c r="JOH41" s="6"/>
      <c r="JOI41" s="6"/>
      <c r="JOJ41" s="6"/>
      <c r="JOK41" s="6"/>
      <c r="JOL41" s="6"/>
      <c r="JOM41" s="6"/>
      <c r="JON41" s="6"/>
      <c r="JOO41" s="6"/>
      <c r="JOP41" s="6"/>
      <c r="JOQ41" s="6"/>
      <c r="JOR41" s="6"/>
      <c r="JOS41" s="6"/>
      <c r="JOT41" s="6"/>
      <c r="JOU41" s="6"/>
      <c r="JOV41" s="6"/>
      <c r="JOW41" s="6"/>
      <c r="JOX41" s="6"/>
      <c r="JOY41" s="6"/>
      <c r="JOZ41" s="6"/>
      <c r="JPA41" s="6"/>
      <c r="JPB41" s="6"/>
      <c r="JPC41" s="6"/>
      <c r="JPD41" s="6"/>
      <c r="JPE41" s="6"/>
      <c r="JPF41" s="6"/>
      <c r="JPG41" s="6"/>
      <c r="JPH41" s="6"/>
      <c r="JPI41" s="6"/>
      <c r="JPJ41" s="6"/>
      <c r="JPK41" s="6"/>
      <c r="JPL41" s="6"/>
      <c r="JPM41" s="6"/>
      <c r="JPN41" s="6"/>
      <c r="JPO41" s="6"/>
      <c r="JPP41" s="6"/>
      <c r="JPQ41" s="6"/>
      <c r="JPR41" s="6"/>
      <c r="JPS41" s="6"/>
      <c r="JPT41" s="6"/>
      <c r="JPU41" s="6"/>
      <c r="JPV41" s="6"/>
      <c r="JPW41" s="6"/>
      <c r="JPX41" s="6"/>
      <c r="JPY41" s="6"/>
      <c r="JPZ41" s="6"/>
      <c r="JQA41" s="6"/>
      <c r="JQB41" s="6"/>
      <c r="JQC41" s="6"/>
      <c r="JQD41" s="6"/>
      <c r="JQE41" s="6"/>
      <c r="JQF41" s="6"/>
      <c r="JQG41" s="6"/>
      <c r="JQH41" s="6"/>
      <c r="JQI41" s="6"/>
      <c r="JQJ41" s="6"/>
      <c r="JQK41" s="6"/>
      <c r="JQL41" s="6"/>
      <c r="JQM41" s="6"/>
      <c r="JQN41" s="6"/>
      <c r="JQO41" s="6"/>
      <c r="JQP41" s="6"/>
      <c r="JQQ41" s="6"/>
      <c r="JQR41" s="6"/>
      <c r="JQS41" s="6"/>
      <c r="JQT41" s="6"/>
      <c r="JQU41" s="6"/>
      <c r="JQV41" s="6"/>
      <c r="JQW41" s="6"/>
      <c r="JQX41" s="6"/>
      <c r="JQY41" s="6"/>
      <c r="JQZ41" s="6"/>
      <c r="JRA41" s="6"/>
      <c r="JRB41" s="6"/>
      <c r="JRC41" s="6"/>
      <c r="JRD41" s="6"/>
      <c r="JRE41" s="6"/>
      <c r="JRF41" s="6"/>
      <c r="JRG41" s="6"/>
      <c r="JRH41" s="6"/>
      <c r="JRI41" s="6"/>
      <c r="JRJ41" s="6"/>
      <c r="JRK41" s="6"/>
      <c r="JRL41" s="6"/>
      <c r="JRM41" s="6"/>
      <c r="JRN41" s="6"/>
      <c r="JRO41" s="6"/>
      <c r="JRP41" s="6"/>
      <c r="JRQ41" s="6"/>
      <c r="JRR41" s="6"/>
      <c r="JRS41" s="6"/>
      <c r="JRT41" s="6"/>
      <c r="JRU41" s="6"/>
      <c r="JRV41" s="6"/>
      <c r="JRW41" s="6"/>
      <c r="JRX41" s="6"/>
      <c r="JRY41" s="6"/>
      <c r="JRZ41" s="6"/>
      <c r="JSA41" s="6"/>
      <c r="JSB41" s="6"/>
      <c r="JSC41" s="6"/>
      <c r="JSD41" s="6"/>
      <c r="JSE41" s="6"/>
      <c r="JSF41" s="6"/>
      <c r="JSG41" s="6"/>
      <c r="JSH41" s="6"/>
      <c r="JSI41" s="6"/>
      <c r="JSJ41" s="6"/>
      <c r="JSK41" s="6"/>
      <c r="JSL41" s="6"/>
      <c r="JSM41" s="6"/>
      <c r="JSN41" s="6"/>
      <c r="JSO41" s="6"/>
      <c r="JSP41" s="6"/>
      <c r="JSQ41" s="6"/>
      <c r="JSR41" s="6"/>
      <c r="JSS41" s="6"/>
      <c r="JST41" s="6"/>
      <c r="JSU41" s="6"/>
      <c r="JSV41" s="6"/>
      <c r="JSW41" s="6"/>
      <c r="JSX41" s="6"/>
      <c r="JSY41" s="6"/>
      <c r="JSZ41" s="6"/>
      <c r="JTA41" s="6"/>
      <c r="JTB41" s="6"/>
      <c r="JTC41" s="6"/>
      <c r="JTD41" s="6"/>
      <c r="JTE41" s="6"/>
      <c r="JTF41" s="6"/>
      <c r="JTG41" s="6"/>
      <c r="JTH41" s="6"/>
      <c r="JTI41" s="6"/>
      <c r="JTJ41" s="6"/>
      <c r="JTK41" s="6"/>
      <c r="JTL41" s="6"/>
      <c r="JTM41" s="6"/>
      <c r="JTN41" s="6"/>
      <c r="JTO41" s="6"/>
      <c r="JTP41" s="6"/>
      <c r="JTQ41" s="6"/>
      <c r="JTR41" s="6"/>
      <c r="JTS41" s="6"/>
      <c r="JTT41" s="6"/>
      <c r="JTU41" s="6"/>
      <c r="JTV41" s="6"/>
      <c r="JTW41" s="6"/>
      <c r="JTX41" s="6"/>
      <c r="JTY41" s="6"/>
      <c r="JTZ41" s="6"/>
      <c r="JUA41" s="6"/>
      <c r="JUB41" s="6"/>
      <c r="JUC41" s="6"/>
      <c r="JUD41" s="6"/>
      <c r="JUE41" s="6"/>
      <c r="JUF41" s="6"/>
      <c r="JUG41" s="6"/>
      <c r="JUH41" s="6"/>
      <c r="JUI41" s="6"/>
      <c r="JUJ41" s="6"/>
      <c r="JUK41" s="6"/>
      <c r="JUL41" s="6"/>
      <c r="JUM41" s="6"/>
      <c r="JUN41" s="6"/>
      <c r="JUO41" s="6"/>
      <c r="JUP41" s="6"/>
      <c r="JUQ41" s="6"/>
      <c r="JUR41" s="6"/>
      <c r="JUS41" s="6"/>
      <c r="JUT41" s="6"/>
      <c r="JUU41" s="6"/>
      <c r="JUV41" s="6"/>
      <c r="JUW41" s="6"/>
      <c r="JUX41" s="6"/>
      <c r="JUY41" s="6"/>
      <c r="JUZ41" s="6"/>
      <c r="JVA41" s="6"/>
      <c r="JVB41" s="6"/>
      <c r="JVC41" s="6"/>
      <c r="JVD41" s="6"/>
      <c r="JVE41" s="6"/>
      <c r="JVF41" s="6"/>
      <c r="JVG41" s="6"/>
      <c r="JVH41" s="6"/>
      <c r="JVI41" s="6"/>
      <c r="JVJ41" s="6"/>
      <c r="JVK41" s="6"/>
      <c r="JVL41" s="6"/>
      <c r="JVM41" s="6"/>
      <c r="JVN41" s="6"/>
      <c r="JVO41" s="6"/>
      <c r="JVP41" s="6"/>
      <c r="JVQ41" s="6"/>
      <c r="JVR41" s="6"/>
      <c r="JVS41" s="6"/>
      <c r="JVT41" s="6"/>
      <c r="JVU41" s="6"/>
      <c r="JVV41" s="6"/>
      <c r="JVW41" s="6"/>
      <c r="JVX41" s="6"/>
      <c r="JVY41" s="6"/>
      <c r="JVZ41" s="6"/>
      <c r="JWA41" s="6"/>
      <c r="JWB41" s="6"/>
      <c r="JWC41" s="6"/>
      <c r="JWD41" s="6"/>
      <c r="JWE41" s="6"/>
      <c r="JWF41" s="6"/>
      <c r="JWG41" s="6"/>
      <c r="JWH41" s="6"/>
      <c r="JWI41" s="6"/>
      <c r="JWJ41" s="6"/>
      <c r="JWK41" s="6"/>
      <c r="JWL41" s="6"/>
      <c r="JWM41" s="6"/>
      <c r="JWN41" s="6"/>
      <c r="JWO41" s="6"/>
      <c r="JWP41" s="6"/>
      <c r="JWQ41" s="6"/>
      <c r="JWR41" s="6"/>
      <c r="JWS41" s="6"/>
      <c r="JWT41" s="6"/>
      <c r="JWU41" s="6"/>
      <c r="JWV41" s="6"/>
      <c r="JWW41" s="6"/>
      <c r="JWX41" s="6"/>
      <c r="JWY41" s="6"/>
      <c r="JWZ41" s="6"/>
      <c r="JXA41" s="6"/>
      <c r="JXB41" s="6"/>
      <c r="JXC41" s="6"/>
      <c r="JXD41" s="6"/>
      <c r="JXE41" s="6"/>
      <c r="JXF41" s="6"/>
      <c r="JXG41" s="6"/>
      <c r="JXH41" s="6"/>
      <c r="JXI41" s="6"/>
      <c r="JXJ41" s="6"/>
      <c r="JXK41" s="6"/>
      <c r="JXL41" s="6"/>
      <c r="JXM41" s="6"/>
      <c r="JXN41" s="6"/>
      <c r="JXO41" s="6"/>
      <c r="JXP41" s="6"/>
      <c r="JXQ41" s="6"/>
      <c r="JXR41" s="6"/>
      <c r="JXS41" s="6"/>
      <c r="JXT41" s="6"/>
      <c r="JXU41" s="6"/>
      <c r="JXV41" s="6"/>
      <c r="JXW41" s="6"/>
      <c r="JXX41" s="6"/>
      <c r="JXY41" s="6"/>
      <c r="JXZ41" s="6"/>
      <c r="JYA41" s="6"/>
      <c r="JYB41" s="6"/>
      <c r="JYC41" s="6"/>
      <c r="JYD41" s="6"/>
      <c r="JYE41" s="6"/>
      <c r="JYF41" s="6"/>
      <c r="JYG41" s="6"/>
      <c r="JYH41" s="6"/>
      <c r="JYI41" s="6"/>
      <c r="JYJ41" s="6"/>
      <c r="JYK41" s="6"/>
      <c r="JYL41" s="6"/>
      <c r="JYM41" s="6"/>
      <c r="JYN41" s="6"/>
      <c r="JYO41" s="6"/>
      <c r="JYP41" s="6"/>
      <c r="JYQ41" s="6"/>
      <c r="JYR41" s="6"/>
      <c r="JYS41" s="6"/>
      <c r="JYT41" s="6"/>
      <c r="JYU41" s="6"/>
      <c r="JYV41" s="6"/>
      <c r="JYW41" s="6"/>
      <c r="JYX41" s="6"/>
      <c r="JYY41" s="6"/>
      <c r="JYZ41" s="6"/>
      <c r="JZA41" s="6"/>
      <c r="JZB41" s="6"/>
      <c r="JZC41" s="6"/>
      <c r="JZD41" s="6"/>
      <c r="JZE41" s="6"/>
      <c r="JZF41" s="6"/>
      <c r="JZG41" s="6"/>
      <c r="JZH41" s="6"/>
      <c r="JZI41" s="6"/>
      <c r="JZJ41" s="6"/>
      <c r="JZK41" s="6"/>
      <c r="JZL41" s="6"/>
      <c r="JZM41" s="6"/>
      <c r="JZN41" s="6"/>
      <c r="JZO41" s="6"/>
      <c r="JZP41" s="6"/>
      <c r="JZQ41" s="6"/>
      <c r="JZR41" s="6"/>
      <c r="JZS41" s="6"/>
      <c r="JZT41" s="6"/>
      <c r="JZU41" s="6"/>
      <c r="JZV41" s="6"/>
      <c r="JZW41" s="6"/>
      <c r="JZX41" s="6"/>
      <c r="JZY41" s="6"/>
      <c r="JZZ41" s="6"/>
      <c r="KAA41" s="6"/>
      <c r="KAB41" s="6"/>
      <c r="KAC41" s="6"/>
      <c r="KAD41" s="6"/>
      <c r="KAE41" s="6"/>
      <c r="KAF41" s="6"/>
      <c r="KAG41" s="6"/>
      <c r="KAH41" s="6"/>
      <c r="KAI41" s="6"/>
      <c r="KAJ41" s="6"/>
      <c r="KAK41" s="6"/>
      <c r="KAL41" s="6"/>
      <c r="KAM41" s="6"/>
      <c r="KAN41" s="6"/>
      <c r="KAO41" s="6"/>
      <c r="KAP41" s="6"/>
      <c r="KAQ41" s="6"/>
      <c r="KAR41" s="6"/>
      <c r="KAS41" s="6"/>
      <c r="KAT41" s="6"/>
      <c r="KAU41" s="6"/>
      <c r="KAV41" s="6"/>
      <c r="KAW41" s="6"/>
      <c r="KAX41" s="6"/>
      <c r="KAY41" s="6"/>
      <c r="KAZ41" s="6"/>
      <c r="KBA41" s="6"/>
      <c r="KBB41" s="6"/>
      <c r="KBC41" s="6"/>
      <c r="KBD41" s="6"/>
      <c r="KBE41" s="6"/>
      <c r="KBF41" s="6"/>
      <c r="KBG41" s="6"/>
      <c r="KBH41" s="6"/>
      <c r="KBI41" s="6"/>
      <c r="KBJ41" s="6"/>
      <c r="KBK41" s="6"/>
      <c r="KBL41" s="6"/>
      <c r="KBM41" s="6"/>
      <c r="KBN41" s="6"/>
      <c r="KBO41" s="6"/>
      <c r="KBP41" s="6"/>
      <c r="KBQ41" s="6"/>
      <c r="KBR41" s="6"/>
      <c r="KBS41" s="6"/>
      <c r="KBT41" s="6"/>
      <c r="KBU41" s="6"/>
      <c r="KBV41" s="6"/>
      <c r="KBW41" s="6"/>
      <c r="KBX41" s="6"/>
      <c r="KBY41" s="6"/>
      <c r="KBZ41" s="6"/>
      <c r="KCA41" s="6"/>
      <c r="KCB41" s="6"/>
      <c r="KCC41" s="6"/>
      <c r="KCD41" s="6"/>
      <c r="KCE41" s="6"/>
      <c r="KCF41" s="6"/>
      <c r="KCG41" s="6"/>
      <c r="KCH41" s="6"/>
      <c r="KCI41" s="6"/>
      <c r="KCJ41" s="6"/>
      <c r="KCK41" s="6"/>
      <c r="KCL41" s="6"/>
      <c r="KCM41" s="6"/>
      <c r="KCN41" s="6"/>
      <c r="KCO41" s="6"/>
      <c r="KCP41" s="6"/>
      <c r="KCQ41" s="6"/>
      <c r="KCR41" s="6"/>
      <c r="KCS41" s="6"/>
      <c r="KCT41" s="6"/>
      <c r="KCU41" s="6"/>
      <c r="KCV41" s="6"/>
      <c r="KCW41" s="6"/>
      <c r="KCX41" s="6"/>
      <c r="KCY41" s="6"/>
      <c r="KCZ41" s="6"/>
      <c r="KDA41" s="6"/>
      <c r="KDB41" s="6"/>
      <c r="KDC41" s="6"/>
      <c r="KDD41" s="6"/>
      <c r="KDE41" s="6"/>
      <c r="KDF41" s="6"/>
      <c r="KDG41" s="6"/>
      <c r="KDH41" s="6"/>
      <c r="KDI41" s="6"/>
      <c r="KDJ41" s="6"/>
      <c r="KDK41" s="6"/>
      <c r="KDL41" s="6"/>
      <c r="KDM41" s="6"/>
      <c r="KDN41" s="6"/>
      <c r="KDO41" s="6"/>
      <c r="KDP41" s="6"/>
      <c r="KDQ41" s="6"/>
      <c r="KDR41" s="6"/>
      <c r="KDS41" s="6"/>
      <c r="KDT41" s="6"/>
      <c r="KDU41" s="6"/>
      <c r="KDV41" s="6"/>
      <c r="KDW41" s="6"/>
      <c r="KDX41" s="6"/>
      <c r="KDY41" s="6"/>
      <c r="KDZ41" s="6"/>
      <c r="KEA41" s="6"/>
      <c r="KEB41" s="6"/>
      <c r="KEC41" s="6"/>
      <c r="KED41" s="6"/>
      <c r="KEE41" s="6"/>
      <c r="KEF41" s="6"/>
      <c r="KEG41" s="6"/>
      <c r="KEH41" s="6"/>
      <c r="KEI41" s="6"/>
      <c r="KEJ41" s="6"/>
      <c r="KEK41" s="6"/>
      <c r="KEL41" s="6"/>
      <c r="KEM41" s="6"/>
      <c r="KEN41" s="6"/>
      <c r="KEO41" s="6"/>
      <c r="KEP41" s="6"/>
      <c r="KEQ41" s="6"/>
      <c r="KER41" s="6"/>
      <c r="KES41" s="6"/>
      <c r="KET41" s="6"/>
      <c r="KEU41" s="6"/>
      <c r="KEV41" s="6"/>
      <c r="KEW41" s="6"/>
      <c r="KEX41" s="6"/>
      <c r="KEY41" s="6"/>
      <c r="KEZ41" s="6"/>
      <c r="KFA41" s="6"/>
      <c r="KFB41" s="6"/>
      <c r="KFC41" s="6"/>
      <c r="KFD41" s="6"/>
      <c r="KFE41" s="6"/>
      <c r="KFF41" s="6"/>
      <c r="KFG41" s="6"/>
      <c r="KFH41" s="6"/>
      <c r="KFI41" s="6"/>
      <c r="KFJ41" s="6"/>
      <c r="KFK41" s="6"/>
      <c r="KFL41" s="6"/>
      <c r="KFM41" s="6"/>
      <c r="KFN41" s="6"/>
      <c r="KFO41" s="6"/>
      <c r="KFP41" s="6"/>
      <c r="KFQ41" s="6"/>
      <c r="KFR41" s="6"/>
      <c r="KFS41" s="6"/>
      <c r="KFT41" s="6"/>
      <c r="KFU41" s="6"/>
      <c r="KFV41" s="6"/>
      <c r="KFW41" s="6"/>
      <c r="KFX41" s="6"/>
      <c r="KFY41" s="6"/>
      <c r="KFZ41" s="6"/>
      <c r="KGA41" s="6"/>
      <c r="KGB41" s="6"/>
      <c r="KGC41" s="6"/>
      <c r="KGD41" s="6"/>
      <c r="KGE41" s="6"/>
      <c r="KGF41" s="6"/>
      <c r="KGG41" s="6"/>
      <c r="KGH41" s="6"/>
      <c r="KGI41" s="6"/>
      <c r="KGJ41" s="6"/>
      <c r="KGK41" s="6"/>
      <c r="KGL41" s="6"/>
      <c r="KGM41" s="6"/>
      <c r="KGN41" s="6"/>
      <c r="KGO41" s="6"/>
      <c r="KGP41" s="6"/>
      <c r="KGQ41" s="6"/>
      <c r="KGR41" s="6"/>
      <c r="KGS41" s="6"/>
      <c r="KGT41" s="6"/>
      <c r="KGU41" s="6"/>
      <c r="KGV41" s="6"/>
      <c r="KGW41" s="6"/>
      <c r="KGX41" s="6"/>
      <c r="KGY41" s="6"/>
      <c r="KGZ41" s="6"/>
      <c r="KHA41" s="6"/>
      <c r="KHB41" s="6"/>
      <c r="KHC41" s="6"/>
      <c r="KHD41" s="6"/>
      <c r="KHE41" s="6"/>
      <c r="KHF41" s="6"/>
      <c r="KHG41" s="6"/>
      <c r="KHH41" s="6"/>
      <c r="KHI41" s="6"/>
      <c r="KHJ41" s="6"/>
      <c r="KHK41" s="6"/>
      <c r="KHL41" s="6"/>
      <c r="KHM41" s="6"/>
      <c r="KHN41" s="6"/>
      <c r="KHO41" s="6"/>
      <c r="KHP41" s="6"/>
      <c r="KHQ41" s="6"/>
      <c r="KHR41" s="6"/>
      <c r="KHS41" s="6"/>
      <c r="KHT41" s="6"/>
      <c r="KHU41" s="6"/>
      <c r="KHV41" s="6"/>
      <c r="KHW41" s="6"/>
      <c r="KHX41" s="6"/>
      <c r="KHY41" s="6"/>
      <c r="KHZ41" s="6"/>
      <c r="KIA41" s="6"/>
      <c r="KIB41" s="6"/>
      <c r="KIC41" s="6"/>
      <c r="KID41" s="6"/>
      <c r="KIE41" s="6"/>
      <c r="KIF41" s="6"/>
      <c r="KIG41" s="6"/>
      <c r="KIH41" s="6"/>
      <c r="KII41" s="6"/>
      <c r="KIJ41" s="6"/>
      <c r="KIK41" s="6"/>
      <c r="KIL41" s="6"/>
      <c r="KIM41" s="6"/>
      <c r="KIN41" s="6"/>
      <c r="KIO41" s="6"/>
      <c r="KIP41" s="6"/>
      <c r="KIQ41" s="6"/>
      <c r="KIR41" s="6"/>
      <c r="KIS41" s="6"/>
      <c r="KIT41" s="6"/>
      <c r="KIU41" s="6"/>
      <c r="KIV41" s="6"/>
      <c r="KIW41" s="6"/>
      <c r="KIX41" s="6"/>
      <c r="KIY41" s="6"/>
      <c r="KIZ41" s="6"/>
      <c r="KJA41" s="6"/>
      <c r="KJB41" s="6"/>
      <c r="KJC41" s="6"/>
      <c r="KJD41" s="6"/>
      <c r="KJE41" s="6"/>
      <c r="KJF41" s="6"/>
      <c r="KJG41" s="6"/>
      <c r="KJH41" s="6"/>
      <c r="KJI41" s="6"/>
      <c r="KJJ41" s="6"/>
      <c r="KJK41" s="6"/>
      <c r="KJL41" s="6"/>
      <c r="KJM41" s="6"/>
      <c r="KJN41" s="6"/>
      <c r="KJO41" s="6"/>
      <c r="KJP41" s="6"/>
      <c r="KJQ41" s="6"/>
      <c r="KJR41" s="6"/>
      <c r="KJS41" s="6"/>
      <c r="KJT41" s="6"/>
      <c r="KJU41" s="6"/>
      <c r="KJV41" s="6"/>
      <c r="KJW41" s="6"/>
      <c r="KJX41" s="6"/>
      <c r="KJY41" s="6"/>
      <c r="KJZ41" s="6"/>
      <c r="KKA41" s="6"/>
      <c r="KKB41" s="6"/>
      <c r="KKC41" s="6"/>
      <c r="KKD41" s="6"/>
      <c r="KKE41" s="6"/>
      <c r="KKF41" s="6"/>
      <c r="KKG41" s="6"/>
      <c r="KKH41" s="6"/>
      <c r="KKI41" s="6"/>
      <c r="KKJ41" s="6"/>
      <c r="KKK41" s="6"/>
      <c r="KKL41" s="6"/>
      <c r="KKM41" s="6"/>
      <c r="KKN41" s="6"/>
      <c r="KKO41" s="6"/>
      <c r="KKP41" s="6"/>
      <c r="KKQ41" s="6"/>
      <c r="KKR41" s="6"/>
      <c r="KKS41" s="6"/>
      <c r="KKT41" s="6"/>
      <c r="KKU41" s="6"/>
      <c r="KKV41" s="6"/>
      <c r="KKW41" s="6"/>
      <c r="KKX41" s="6"/>
      <c r="KKY41" s="6"/>
      <c r="KKZ41" s="6"/>
      <c r="KLA41" s="6"/>
      <c r="KLB41" s="6"/>
      <c r="KLC41" s="6"/>
      <c r="KLD41" s="6"/>
      <c r="KLE41" s="6"/>
      <c r="KLF41" s="6"/>
      <c r="KLG41" s="6"/>
      <c r="KLH41" s="6"/>
      <c r="KLI41" s="6"/>
      <c r="KLJ41" s="6"/>
      <c r="KLK41" s="6"/>
      <c r="KLL41" s="6"/>
      <c r="KLM41" s="6"/>
      <c r="KLN41" s="6"/>
      <c r="KLO41" s="6"/>
      <c r="KLP41" s="6"/>
      <c r="KLQ41" s="6"/>
      <c r="KLR41" s="6"/>
      <c r="KLS41" s="6"/>
      <c r="KLT41" s="6"/>
      <c r="KLU41" s="6"/>
      <c r="KLV41" s="6"/>
      <c r="KLW41" s="6"/>
      <c r="KLX41" s="6"/>
      <c r="KLY41" s="6"/>
      <c r="KLZ41" s="6"/>
      <c r="KMA41" s="6"/>
      <c r="KMB41" s="6"/>
      <c r="KMC41" s="6"/>
      <c r="KMD41" s="6"/>
      <c r="KME41" s="6"/>
      <c r="KMF41" s="6"/>
      <c r="KMG41" s="6"/>
      <c r="KMH41" s="6"/>
      <c r="KMI41" s="6"/>
      <c r="KMJ41" s="6"/>
      <c r="KMK41" s="6"/>
      <c r="KML41" s="6"/>
      <c r="KMM41" s="6"/>
      <c r="KMN41" s="6"/>
      <c r="KMO41" s="6"/>
      <c r="KMP41" s="6"/>
      <c r="KMQ41" s="6"/>
      <c r="KMR41" s="6"/>
      <c r="KMS41" s="6"/>
      <c r="KMT41" s="6"/>
      <c r="KMU41" s="6"/>
      <c r="KMV41" s="6"/>
      <c r="KMW41" s="6"/>
      <c r="KMX41" s="6"/>
      <c r="KMY41" s="6"/>
      <c r="KMZ41" s="6"/>
      <c r="KNA41" s="6"/>
      <c r="KNB41" s="6"/>
      <c r="KNC41" s="6"/>
      <c r="KND41" s="6"/>
      <c r="KNE41" s="6"/>
      <c r="KNF41" s="6"/>
      <c r="KNG41" s="6"/>
      <c r="KNH41" s="6"/>
      <c r="KNI41" s="6"/>
      <c r="KNJ41" s="6"/>
      <c r="KNK41" s="6"/>
      <c r="KNL41" s="6"/>
      <c r="KNM41" s="6"/>
      <c r="KNN41" s="6"/>
      <c r="KNO41" s="6"/>
      <c r="KNP41" s="6"/>
      <c r="KNQ41" s="6"/>
      <c r="KNR41" s="6"/>
      <c r="KNS41" s="6"/>
      <c r="KNT41" s="6"/>
      <c r="KNU41" s="6"/>
      <c r="KNV41" s="6"/>
      <c r="KNW41" s="6"/>
      <c r="KNX41" s="6"/>
      <c r="KNY41" s="6"/>
      <c r="KNZ41" s="6"/>
      <c r="KOA41" s="6"/>
      <c r="KOB41" s="6"/>
      <c r="KOC41" s="6"/>
      <c r="KOD41" s="6"/>
      <c r="KOE41" s="6"/>
      <c r="KOF41" s="6"/>
      <c r="KOG41" s="6"/>
      <c r="KOH41" s="6"/>
      <c r="KOI41" s="6"/>
      <c r="KOJ41" s="6"/>
      <c r="KOK41" s="6"/>
      <c r="KOL41" s="6"/>
      <c r="KOM41" s="6"/>
      <c r="KON41" s="6"/>
      <c r="KOO41" s="6"/>
      <c r="KOP41" s="6"/>
      <c r="KOQ41" s="6"/>
      <c r="KOR41" s="6"/>
      <c r="KOS41" s="6"/>
      <c r="KOT41" s="6"/>
      <c r="KOU41" s="6"/>
      <c r="KOV41" s="6"/>
      <c r="KOW41" s="6"/>
      <c r="KOX41" s="6"/>
      <c r="KOY41" s="6"/>
      <c r="KOZ41" s="6"/>
      <c r="KPA41" s="6"/>
      <c r="KPB41" s="6"/>
      <c r="KPC41" s="6"/>
      <c r="KPD41" s="6"/>
      <c r="KPE41" s="6"/>
      <c r="KPF41" s="6"/>
      <c r="KPG41" s="6"/>
      <c r="KPH41" s="6"/>
      <c r="KPI41" s="6"/>
      <c r="KPJ41" s="6"/>
      <c r="KPK41" s="6"/>
      <c r="KPL41" s="6"/>
      <c r="KPM41" s="6"/>
      <c r="KPN41" s="6"/>
      <c r="KPO41" s="6"/>
      <c r="KPP41" s="6"/>
      <c r="KPQ41" s="6"/>
      <c r="KPR41" s="6"/>
      <c r="KPS41" s="6"/>
      <c r="KPT41" s="6"/>
      <c r="KPU41" s="6"/>
      <c r="KPV41" s="6"/>
      <c r="KPW41" s="6"/>
      <c r="KPX41" s="6"/>
      <c r="KPY41" s="6"/>
      <c r="KPZ41" s="6"/>
      <c r="KQA41" s="6"/>
      <c r="KQB41" s="6"/>
      <c r="KQC41" s="6"/>
      <c r="KQD41" s="6"/>
      <c r="KQE41" s="6"/>
      <c r="KQF41" s="6"/>
      <c r="KQG41" s="6"/>
      <c r="KQH41" s="6"/>
      <c r="KQI41" s="6"/>
      <c r="KQJ41" s="6"/>
      <c r="KQK41" s="6"/>
      <c r="KQL41" s="6"/>
      <c r="KQM41" s="6"/>
      <c r="KQN41" s="6"/>
      <c r="KQO41" s="6"/>
      <c r="KQP41" s="6"/>
      <c r="KQQ41" s="6"/>
      <c r="KQR41" s="6"/>
      <c r="KQS41" s="6"/>
      <c r="KQT41" s="6"/>
      <c r="KQU41" s="6"/>
      <c r="KQV41" s="6"/>
      <c r="KQW41" s="6"/>
      <c r="KQX41" s="6"/>
      <c r="KQY41" s="6"/>
      <c r="KQZ41" s="6"/>
      <c r="KRA41" s="6"/>
      <c r="KRB41" s="6"/>
      <c r="KRC41" s="6"/>
      <c r="KRD41" s="6"/>
      <c r="KRE41" s="6"/>
      <c r="KRF41" s="6"/>
      <c r="KRG41" s="6"/>
      <c r="KRH41" s="6"/>
      <c r="KRI41" s="6"/>
      <c r="KRJ41" s="6"/>
      <c r="KRK41" s="6"/>
      <c r="KRL41" s="6"/>
      <c r="KRM41" s="6"/>
      <c r="KRN41" s="6"/>
      <c r="KRO41" s="6"/>
      <c r="KRP41" s="6"/>
      <c r="KRQ41" s="6"/>
      <c r="KRR41" s="6"/>
      <c r="KRS41" s="6"/>
      <c r="KRT41" s="6"/>
      <c r="KRU41" s="6"/>
      <c r="KRV41" s="6"/>
      <c r="KRW41" s="6"/>
      <c r="KRX41" s="6"/>
      <c r="KRY41" s="6"/>
      <c r="KRZ41" s="6"/>
      <c r="KSA41" s="6"/>
      <c r="KSB41" s="6"/>
      <c r="KSC41" s="6"/>
      <c r="KSD41" s="6"/>
      <c r="KSE41" s="6"/>
      <c r="KSF41" s="6"/>
      <c r="KSG41" s="6"/>
      <c r="KSH41" s="6"/>
      <c r="KSI41" s="6"/>
      <c r="KSJ41" s="6"/>
      <c r="KSK41" s="6"/>
      <c r="KSL41" s="6"/>
      <c r="KSM41" s="6"/>
      <c r="KSN41" s="6"/>
      <c r="KSO41" s="6"/>
      <c r="KSP41" s="6"/>
      <c r="KSQ41" s="6"/>
      <c r="KSR41" s="6"/>
      <c r="KSS41" s="6"/>
      <c r="KST41" s="6"/>
      <c r="KSU41" s="6"/>
      <c r="KSV41" s="6"/>
      <c r="KSW41" s="6"/>
      <c r="KSX41" s="6"/>
      <c r="KSY41" s="6"/>
      <c r="KSZ41" s="6"/>
      <c r="KTA41" s="6"/>
      <c r="KTB41" s="6"/>
      <c r="KTC41" s="6"/>
      <c r="KTD41" s="6"/>
      <c r="KTE41" s="6"/>
      <c r="KTF41" s="6"/>
      <c r="KTG41" s="6"/>
      <c r="KTH41" s="6"/>
      <c r="KTI41" s="6"/>
      <c r="KTJ41" s="6"/>
      <c r="KTK41" s="6"/>
      <c r="KTL41" s="6"/>
      <c r="KTM41" s="6"/>
      <c r="KTN41" s="6"/>
      <c r="KTO41" s="6"/>
      <c r="KTP41" s="6"/>
      <c r="KTQ41" s="6"/>
      <c r="KTR41" s="6"/>
      <c r="KTS41" s="6"/>
      <c r="KTT41" s="6"/>
      <c r="KTU41" s="6"/>
      <c r="KTV41" s="6"/>
      <c r="KTW41" s="6"/>
      <c r="KTX41" s="6"/>
      <c r="KTY41" s="6"/>
      <c r="KTZ41" s="6"/>
      <c r="KUA41" s="6"/>
      <c r="KUB41" s="6"/>
      <c r="KUC41" s="6"/>
      <c r="KUD41" s="6"/>
      <c r="KUE41" s="6"/>
      <c r="KUF41" s="6"/>
      <c r="KUG41" s="6"/>
      <c r="KUH41" s="6"/>
      <c r="KUI41" s="6"/>
      <c r="KUJ41" s="6"/>
      <c r="KUK41" s="6"/>
      <c r="KUL41" s="6"/>
      <c r="KUM41" s="6"/>
      <c r="KUN41" s="6"/>
      <c r="KUO41" s="6"/>
      <c r="KUP41" s="6"/>
      <c r="KUQ41" s="6"/>
      <c r="KUR41" s="6"/>
      <c r="KUS41" s="6"/>
      <c r="KUT41" s="6"/>
      <c r="KUU41" s="6"/>
      <c r="KUV41" s="6"/>
      <c r="KUW41" s="6"/>
      <c r="KUX41" s="6"/>
      <c r="KUY41" s="6"/>
      <c r="KUZ41" s="6"/>
      <c r="KVA41" s="6"/>
      <c r="KVB41" s="6"/>
      <c r="KVC41" s="6"/>
      <c r="KVD41" s="6"/>
      <c r="KVE41" s="6"/>
      <c r="KVF41" s="6"/>
      <c r="KVG41" s="6"/>
      <c r="KVH41" s="6"/>
      <c r="KVI41" s="6"/>
      <c r="KVJ41" s="6"/>
      <c r="KVK41" s="6"/>
      <c r="KVL41" s="6"/>
      <c r="KVM41" s="6"/>
      <c r="KVN41" s="6"/>
      <c r="KVO41" s="6"/>
      <c r="KVP41" s="6"/>
      <c r="KVQ41" s="6"/>
      <c r="KVR41" s="6"/>
      <c r="KVS41" s="6"/>
      <c r="KVT41" s="6"/>
      <c r="KVU41" s="6"/>
      <c r="KVV41" s="6"/>
      <c r="KVW41" s="6"/>
      <c r="KVX41" s="6"/>
      <c r="KVY41" s="6"/>
      <c r="KVZ41" s="6"/>
      <c r="KWA41" s="6"/>
      <c r="KWB41" s="6"/>
      <c r="KWC41" s="6"/>
      <c r="KWD41" s="6"/>
      <c r="KWE41" s="6"/>
      <c r="KWF41" s="6"/>
      <c r="KWG41" s="6"/>
      <c r="KWH41" s="6"/>
      <c r="KWI41" s="6"/>
      <c r="KWJ41" s="6"/>
      <c r="KWK41" s="6"/>
      <c r="KWL41" s="6"/>
      <c r="KWM41" s="6"/>
      <c r="KWN41" s="6"/>
      <c r="KWO41" s="6"/>
      <c r="KWP41" s="6"/>
      <c r="KWQ41" s="6"/>
      <c r="KWR41" s="6"/>
      <c r="KWS41" s="6"/>
      <c r="KWT41" s="6"/>
      <c r="KWU41" s="6"/>
      <c r="KWV41" s="6"/>
      <c r="KWW41" s="6"/>
      <c r="KWX41" s="6"/>
      <c r="KWY41" s="6"/>
      <c r="KWZ41" s="6"/>
      <c r="KXA41" s="6"/>
      <c r="KXB41" s="6"/>
      <c r="KXC41" s="6"/>
      <c r="KXD41" s="6"/>
      <c r="KXE41" s="6"/>
      <c r="KXF41" s="6"/>
      <c r="KXG41" s="6"/>
      <c r="KXH41" s="6"/>
      <c r="KXI41" s="6"/>
      <c r="KXJ41" s="6"/>
      <c r="KXK41" s="6"/>
      <c r="KXL41" s="6"/>
      <c r="KXM41" s="6"/>
      <c r="KXN41" s="6"/>
      <c r="KXO41" s="6"/>
      <c r="KXP41" s="6"/>
      <c r="KXQ41" s="6"/>
      <c r="KXR41" s="6"/>
      <c r="KXS41" s="6"/>
      <c r="KXT41" s="6"/>
      <c r="KXU41" s="6"/>
      <c r="KXV41" s="6"/>
      <c r="KXW41" s="6"/>
      <c r="KXX41" s="6"/>
      <c r="KXY41" s="6"/>
      <c r="KXZ41" s="6"/>
      <c r="KYA41" s="6"/>
      <c r="KYB41" s="6"/>
      <c r="KYC41" s="6"/>
      <c r="KYD41" s="6"/>
      <c r="KYE41" s="6"/>
      <c r="KYF41" s="6"/>
      <c r="KYG41" s="6"/>
      <c r="KYH41" s="6"/>
      <c r="KYI41" s="6"/>
      <c r="KYJ41" s="6"/>
      <c r="KYK41" s="6"/>
      <c r="KYL41" s="6"/>
      <c r="KYM41" s="6"/>
      <c r="KYN41" s="6"/>
      <c r="KYO41" s="6"/>
      <c r="KYP41" s="6"/>
      <c r="KYQ41" s="6"/>
      <c r="KYR41" s="6"/>
      <c r="KYS41" s="6"/>
      <c r="KYT41" s="6"/>
      <c r="KYU41" s="6"/>
      <c r="KYV41" s="6"/>
      <c r="KYW41" s="6"/>
      <c r="KYX41" s="6"/>
      <c r="KYY41" s="6"/>
      <c r="KYZ41" s="6"/>
      <c r="KZA41" s="6"/>
      <c r="KZB41" s="6"/>
      <c r="KZC41" s="6"/>
      <c r="KZD41" s="6"/>
      <c r="KZE41" s="6"/>
      <c r="KZF41" s="6"/>
      <c r="KZG41" s="6"/>
      <c r="KZH41" s="6"/>
      <c r="KZI41" s="6"/>
      <c r="KZJ41" s="6"/>
      <c r="KZK41" s="6"/>
      <c r="KZL41" s="6"/>
      <c r="KZM41" s="6"/>
      <c r="KZN41" s="6"/>
      <c r="KZO41" s="6"/>
      <c r="KZP41" s="6"/>
      <c r="KZQ41" s="6"/>
      <c r="KZR41" s="6"/>
      <c r="KZS41" s="6"/>
      <c r="KZT41" s="6"/>
      <c r="KZU41" s="6"/>
      <c r="KZV41" s="6"/>
      <c r="KZW41" s="6"/>
      <c r="KZX41" s="6"/>
      <c r="KZY41" s="6"/>
      <c r="KZZ41" s="6"/>
      <c r="LAA41" s="6"/>
      <c r="LAB41" s="6"/>
      <c r="LAC41" s="6"/>
      <c r="LAD41" s="6"/>
      <c r="LAE41" s="6"/>
      <c r="LAF41" s="6"/>
      <c r="LAG41" s="6"/>
      <c r="LAH41" s="6"/>
      <c r="LAI41" s="6"/>
      <c r="LAJ41" s="6"/>
      <c r="LAK41" s="6"/>
      <c r="LAL41" s="6"/>
      <c r="LAM41" s="6"/>
      <c r="LAN41" s="6"/>
      <c r="LAO41" s="6"/>
      <c r="LAP41" s="6"/>
      <c r="LAQ41" s="6"/>
      <c r="LAR41" s="6"/>
      <c r="LAS41" s="6"/>
      <c r="LAT41" s="6"/>
      <c r="LAU41" s="6"/>
      <c r="LAV41" s="6"/>
      <c r="LAW41" s="6"/>
      <c r="LAX41" s="6"/>
      <c r="LAY41" s="6"/>
      <c r="LAZ41" s="6"/>
      <c r="LBA41" s="6"/>
      <c r="LBB41" s="6"/>
      <c r="LBC41" s="6"/>
      <c r="LBD41" s="6"/>
      <c r="LBE41" s="6"/>
      <c r="LBF41" s="6"/>
      <c r="LBG41" s="6"/>
      <c r="LBH41" s="6"/>
      <c r="LBI41" s="6"/>
      <c r="LBJ41" s="6"/>
      <c r="LBK41" s="6"/>
      <c r="LBL41" s="6"/>
      <c r="LBM41" s="6"/>
      <c r="LBN41" s="6"/>
      <c r="LBO41" s="6"/>
      <c r="LBP41" s="6"/>
      <c r="LBQ41" s="6"/>
      <c r="LBR41" s="6"/>
      <c r="LBS41" s="6"/>
      <c r="LBT41" s="6"/>
      <c r="LBU41" s="6"/>
      <c r="LBV41" s="6"/>
      <c r="LBW41" s="6"/>
      <c r="LBX41" s="6"/>
      <c r="LBY41" s="6"/>
      <c r="LBZ41" s="6"/>
      <c r="LCA41" s="6"/>
      <c r="LCB41" s="6"/>
      <c r="LCC41" s="6"/>
      <c r="LCD41" s="6"/>
      <c r="LCE41" s="6"/>
      <c r="LCF41" s="6"/>
      <c r="LCG41" s="6"/>
      <c r="LCH41" s="6"/>
      <c r="LCI41" s="6"/>
      <c r="LCJ41" s="6"/>
      <c r="LCK41" s="6"/>
      <c r="LCL41" s="6"/>
      <c r="LCM41" s="6"/>
      <c r="LCN41" s="6"/>
      <c r="LCO41" s="6"/>
      <c r="LCP41" s="6"/>
      <c r="LCQ41" s="6"/>
      <c r="LCR41" s="6"/>
      <c r="LCS41" s="6"/>
      <c r="LCT41" s="6"/>
      <c r="LCU41" s="6"/>
      <c r="LCV41" s="6"/>
      <c r="LCW41" s="6"/>
      <c r="LCX41" s="6"/>
      <c r="LCY41" s="6"/>
      <c r="LCZ41" s="6"/>
      <c r="LDA41" s="6"/>
      <c r="LDB41" s="6"/>
      <c r="LDC41" s="6"/>
      <c r="LDD41" s="6"/>
      <c r="LDE41" s="6"/>
      <c r="LDF41" s="6"/>
      <c r="LDG41" s="6"/>
      <c r="LDH41" s="6"/>
      <c r="LDI41" s="6"/>
      <c r="LDJ41" s="6"/>
      <c r="LDK41" s="6"/>
      <c r="LDL41" s="6"/>
      <c r="LDM41" s="6"/>
      <c r="LDN41" s="6"/>
      <c r="LDO41" s="6"/>
      <c r="LDP41" s="6"/>
      <c r="LDQ41" s="6"/>
      <c r="LDR41" s="6"/>
      <c r="LDS41" s="6"/>
      <c r="LDT41" s="6"/>
      <c r="LDU41" s="6"/>
      <c r="LDV41" s="6"/>
      <c r="LDW41" s="6"/>
      <c r="LDX41" s="6"/>
      <c r="LDY41" s="6"/>
      <c r="LDZ41" s="6"/>
      <c r="LEA41" s="6"/>
      <c r="LEB41" s="6"/>
      <c r="LEC41" s="6"/>
      <c r="LED41" s="6"/>
      <c r="LEE41" s="6"/>
      <c r="LEF41" s="6"/>
      <c r="LEG41" s="6"/>
      <c r="LEH41" s="6"/>
      <c r="LEI41" s="6"/>
      <c r="LEJ41" s="6"/>
      <c r="LEK41" s="6"/>
      <c r="LEL41" s="6"/>
      <c r="LEM41" s="6"/>
      <c r="LEN41" s="6"/>
      <c r="LEO41" s="6"/>
      <c r="LEP41" s="6"/>
      <c r="LEQ41" s="6"/>
      <c r="LER41" s="6"/>
      <c r="LES41" s="6"/>
      <c r="LET41" s="6"/>
      <c r="LEU41" s="6"/>
      <c r="LEV41" s="6"/>
      <c r="LEW41" s="6"/>
      <c r="LEX41" s="6"/>
      <c r="LEY41" s="6"/>
      <c r="LEZ41" s="6"/>
      <c r="LFA41" s="6"/>
      <c r="LFB41" s="6"/>
      <c r="LFC41" s="6"/>
      <c r="LFD41" s="6"/>
      <c r="LFE41" s="6"/>
      <c r="LFF41" s="6"/>
      <c r="LFG41" s="6"/>
      <c r="LFH41" s="6"/>
      <c r="LFI41" s="6"/>
      <c r="LFJ41" s="6"/>
      <c r="LFK41" s="6"/>
      <c r="LFL41" s="6"/>
      <c r="LFM41" s="6"/>
      <c r="LFN41" s="6"/>
      <c r="LFO41" s="6"/>
      <c r="LFP41" s="6"/>
      <c r="LFQ41" s="6"/>
      <c r="LFR41" s="6"/>
      <c r="LFS41" s="6"/>
      <c r="LFT41" s="6"/>
      <c r="LFU41" s="6"/>
      <c r="LFV41" s="6"/>
      <c r="LFW41" s="6"/>
      <c r="LFX41" s="6"/>
      <c r="LFY41" s="6"/>
      <c r="LFZ41" s="6"/>
      <c r="LGA41" s="6"/>
      <c r="LGB41" s="6"/>
      <c r="LGC41" s="6"/>
      <c r="LGD41" s="6"/>
      <c r="LGE41" s="6"/>
      <c r="LGF41" s="6"/>
      <c r="LGG41" s="6"/>
      <c r="LGH41" s="6"/>
      <c r="LGI41" s="6"/>
      <c r="LGJ41" s="6"/>
      <c r="LGK41" s="6"/>
      <c r="LGL41" s="6"/>
      <c r="LGM41" s="6"/>
      <c r="LGN41" s="6"/>
      <c r="LGO41" s="6"/>
      <c r="LGP41" s="6"/>
      <c r="LGQ41" s="6"/>
      <c r="LGR41" s="6"/>
      <c r="LGS41" s="6"/>
      <c r="LGT41" s="6"/>
      <c r="LGU41" s="6"/>
      <c r="LGV41" s="6"/>
      <c r="LGW41" s="6"/>
      <c r="LGX41" s="6"/>
      <c r="LGY41" s="6"/>
      <c r="LGZ41" s="6"/>
      <c r="LHA41" s="6"/>
      <c r="LHB41" s="6"/>
      <c r="LHC41" s="6"/>
      <c r="LHD41" s="6"/>
      <c r="LHE41" s="6"/>
      <c r="LHF41" s="6"/>
      <c r="LHG41" s="6"/>
      <c r="LHH41" s="6"/>
      <c r="LHI41" s="6"/>
      <c r="LHJ41" s="6"/>
      <c r="LHK41" s="6"/>
      <c r="LHL41" s="6"/>
      <c r="LHM41" s="6"/>
      <c r="LHN41" s="6"/>
      <c r="LHO41" s="6"/>
      <c r="LHP41" s="6"/>
      <c r="LHQ41" s="6"/>
      <c r="LHR41" s="6"/>
      <c r="LHS41" s="6"/>
      <c r="LHT41" s="6"/>
      <c r="LHU41" s="6"/>
      <c r="LHV41" s="6"/>
      <c r="LHW41" s="6"/>
      <c r="LHX41" s="6"/>
      <c r="LHY41" s="6"/>
      <c r="LHZ41" s="6"/>
      <c r="LIA41" s="6"/>
      <c r="LIB41" s="6"/>
      <c r="LIC41" s="6"/>
      <c r="LID41" s="6"/>
      <c r="LIE41" s="6"/>
      <c r="LIF41" s="6"/>
      <c r="LIG41" s="6"/>
      <c r="LIH41" s="6"/>
      <c r="LII41" s="6"/>
      <c r="LIJ41" s="6"/>
      <c r="LIK41" s="6"/>
      <c r="LIL41" s="6"/>
      <c r="LIM41" s="6"/>
      <c r="LIN41" s="6"/>
      <c r="LIO41" s="6"/>
      <c r="LIP41" s="6"/>
      <c r="LIQ41" s="6"/>
      <c r="LIR41" s="6"/>
      <c r="LIS41" s="6"/>
      <c r="LIT41" s="6"/>
      <c r="LIU41" s="6"/>
      <c r="LIV41" s="6"/>
      <c r="LIW41" s="6"/>
      <c r="LIX41" s="6"/>
      <c r="LIY41" s="6"/>
      <c r="LIZ41" s="6"/>
      <c r="LJA41" s="6"/>
      <c r="LJB41" s="6"/>
      <c r="LJC41" s="6"/>
      <c r="LJD41" s="6"/>
      <c r="LJE41" s="6"/>
      <c r="LJF41" s="6"/>
      <c r="LJG41" s="6"/>
      <c r="LJH41" s="6"/>
      <c r="LJI41" s="6"/>
      <c r="LJJ41" s="6"/>
      <c r="LJK41" s="6"/>
      <c r="LJL41" s="6"/>
      <c r="LJM41" s="6"/>
      <c r="LJN41" s="6"/>
      <c r="LJO41" s="6"/>
      <c r="LJP41" s="6"/>
      <c r="LJQ41" s="6"/>
      <c r="LJR41" s="6"/>
      <c r="LJS41" s="6"/>
      <c r="LJT41" s="6"/>
      <c r="LJU41" s="6"/>
      <c r="LJV41" s="6"/>
      <c r="LJW41" s="6"/>
      <c r="LJX41" s="6"/>
      <c r="LJY41" s="6"/>
      <c r="LJZ41" s="6"/>
      <c r="LKA41" s="6"/>
      <c r="LKB41" s="6"/>
      <c r="LKC41" s="6"/>
      <c r="LKD41" s="6"/>
      <c r="LKE41" s="6"/>
      <c r="LKF41" s="6"/>
      <c r="LKG41" s="6"/>
      <c r="LKH41" s="6"/>
      <c r="LKI41" s="6"/>
      <c r="LKJ41" s="6"/>
      <c r="LKK41" s="6"/>
      <c r="LKL41" s="6"/>
      <c r="LKM41" s="6"/>
      <c r="LKN41" s="6"/>
      <c r="LKO41" s="6"/>
      <c r="LKP41" s="6"/>
      <c r="LKQ41" s="6"/>
      <c r="LKR41" s="6"/>
      <c r="LKS41" s="6"/>
      <c r="LKT41" s="6"/>
      <c r="LKU41" s="6"/>
      <c r="LKV41" s="6"/>
      <c r="LKW41" s="6"/>
      <c r="LKX41" s="6"/>
      <c r="LKY41" s="6"/>
      <c r="LKZ41" s="6"/>
      <c r="LLA41" s="6"/>
      <c r="LLB41" s="6"/>
      <c r="LLC41" s="6"/>
      <c r="LLD41" s="6"/>
      <c r="LLE41" s="6"/>
      <c r="LLF41" s="6"/>
      <c r="LLG41" s="6"/>
      <c r="LLH41" s="6"/>
      <c r="LLI41" s="6"/>
      <c r="LLJ41" s="6"/>
      <c r="LLK41" s="6"/>
      <c r="LLL41" s="6"/>
      <c r="LLM41" s="6"/>
      <c r="LLN41" s="6"/>
      <c r="LLO41" s="6"/>
      <c r="LLP41" s="6"/>
      <c r="LLQ41" s="6"/>
      <c r="LLR41" s="6"/>
      <c r="LLS41" s="6"/>
      <c r="LLT41" s="6"/>
      <c r="LLU41" s="6"/>
      <c r="LLV41" s="6"/>
      <c r="LLW41" s="6"/>
      <c r="LLX41" s="6"/>
      <c r="LLY41" s="6"/>
      <c r="LLZ41" s="6"/>
      <c r="LMA41" s="6"/>
      <c r="LMB41" s="6"/>
      <c r="LMC41" s="6"/>
      <c r="LMD41" s="6"/>
      <c r="LME41" s="6"/>
      <c r="LMF41" s="6"/>
      <c r="LMG41" s="6"/>
      <c r="LMH41" s="6"/>
      <c r="LMI41" s="6"/>
      <c r="LMJ41" s="6"/>
      <c r="LMK41" s="6"/>
      <c r="LML41" s="6"/>
      <c r="LMM41" s="6"/>
      <c r="LMN41" s="6"/>
      <c r="LMO41" s="6"/>
      <c r="LMP41" s="6"/>
      <c r="LMQ41" s="6"/>
      <c r="LMR41" s="6"/>
      <c r="LMS41" s="6"/>
      <c r="LMT41" s="6"/>
      <c r="LMU41" s="6"/>
      <c r="LMV41" s="6"/>
      <c r="LMW41" s="6"/>
      <c r="LMX41" s="6"/>
      <c r="LMY41" s="6"/>
      <c r="LMZ41" s="6"/>
      <c r="LNA41" s="6"/>
      <c r="LNB41" s="6"/>
      <c r="LNC41" s="6"/>
      <c r="LND41" s="6"/>
      <c r="LNE41" s="6"/>
      <c r="LNF41" s="6"/>
      <c r="LNG41" s="6"/>
      <c r="LNH41" s="6"/>
      <c r="LNI41" s="6"/>
      <c r="LNJ41" s="6"/>
      <c r="LNK41" s="6"/>
      <c r="LNL41" s="6"/>
      <c r="LNM41" s="6"/>
      <c r="LNN41" s="6"/>
      <c r="LNO41" s="6"/>
      <c r="LNP41" s="6"/>
      <c r="LNQ41" s="6"/>
      <c r="LNR41" s="6"/>
      <c r="LNS41" s="6"/>
      <c r="LNT41" s="6"/>
      <c r="LNU41" s="6"/>
      <c r="LNV41" s="6"/>
      <c r="LNW41" s="6"/>
      <c r="LNX41" s="6"/>
      <c r="LNY41" s="6"/>
      <c r="LNZ41" s="6"/>
      <c r="LOA41" s="6"/>
      <c r="LOB41" s="6"/>
      <c r="LOC41" s="6"/>
      <c r="LOD41" s="6"/>
      <c r="LOE41" s="6"/>
      <c r="LOF41" s="6"/>
      <c r="LOG41" s="6"/>
      <c r="LOH41" s="6"/>
      <c r="LOI41" s="6"/>
      <c r="LOJ41" s="6"/>
      <c r="LOK41" s="6"/>
      <c r="LOL41" s="6"/>
      <c r="LOM41" s="6"/>
      <c r="LON41" s="6"/>
      <c r="LOO41" s="6"/>
      <c r="LOP41" s="6"/>
      <c r="LOQ41" s="6"/>
      <c r="LOR41" s="6"/>
      <c r="LOS41" s="6"/>
      <c r="LOT41" s="6"/>
      <c r="LOU41" s="6"/>
      <c r="LOV41" s="6"/>
      <c r="LOW41" s="6"/>
      <c r="LOX41" s="6"/>
      <c r="LOY41" s="6"/>
      <c r="LOZ41" s="6"/>
      <c r="LPA41" s="6"/>
      <c r="LPB41" s="6"/>
      <c r="LPC41" s="6"/>
      <c r="LPD41" s="6"/>
      <c r="LPE41" s="6"/>
      <c r="LPF41" s="6"/>
      <c r="LPG41" s="6"/>
      <c r="LPH41" s="6"/>
      <c r="LPI41" s="6"/>
      <c r="LPJ41" s="6"/>
      <c r="LPK41" s="6"/>
      <c r="LPL41" s="6"/>
      <c r="LPM41" s="6"/>
      <c r="LPN41" s="6"/>
      <c r="LPO41" s="6"/>
      <c r="LPP41" s="6"/>
      <c r="LPQ41" s="6"/>
      <c r="LPR41" s="6"/>
      <c r="LPS41" s="6"/>
      <c r="LPT41" s="6"/>
      <c r="LPU41" s="6"/>
      <c r="LPV41" s="6"/>
      <c r="LPW41" s="6"/>
      <c r="LPX41" s="6"/>
      <c r="LPY41" s="6"/>
      <c r="LPZ41" s="6"/>
      <c r="LQA41" s="6"/>
      <c r="LQB41" s="6"/>
      <c r="LQC41" s="6"/>
      <c r="LQD41" s="6"/>
      <c r="LQE41" s="6"/>
      <c r="LQF41" s="6"/>
      <c r="LQG41" s="6"/>
      <c r="LQH41" s="6"/>
      <c r="LQI41" s="6"/>
      <c r="LQJ41" s="6"/>
      <c r="LQK41" s="6"/>
      <c r="LQL41" s="6"/>
      <c r="LQM41" s="6"/>
      <c r="LQN41" s="6"/>
      <c r="LQO41" s="6"/>
      <c r="LQP41" s="6"/>
      <c r="LQQ41" s="6"/>
      <c r="LQR41" s="6"/>
      <c r="LQS41" s="6"/>
      <c r="LQT41" s="6"/>
      <c r="LQU41" s="6"/>
      <c r="LQV41" s="6"/>
      <c r="LQW41" s="6"/>
      <c r="LQX41" s="6"/>
      <c r="LQY41" s="6"/>
      <c r="LQZ41" s="6"/>
      <c r="LRA41" s="6"/>
      <c r="LRB41" s="6"/>
      <c r="LRC41" s="6"/>
      <c r="LRD41" s="6"/>
      <c r="LRE41" s="6"/>
      <c r="LRF41" s="6"/>
      <c r="LRG41" s="6"/>
      <c r="LRH41" s="6"/>
      <c r="LRI41" s="6"/>
      <c r="LRJ41" s="6"/>
      <c r="LRK41" s="6"/>
      <c r="LRL41" s="6"/>
      <c r="LRM41" s="6"/>
      <c r="LRN41" s="6"/>
      <c r="LRO41" s="6"/>
      <c r="LRP41" s="6"/>
      <c r="LRQ41" s="6"/>
      <c r="LRR41" s="6"/>
      <c r="LRS41" s="6"/>
      <c r="LRT41" s="6"/>
      <c r="LRU41" s="6"/>
      <c r="LRV41" s="6"/>
      <c r="LRW41" s="6"/>
      <c r="LRX41" s="6"/>
      <c r="LRY41" s="6"/>
      <c r="LRZ41" s="6"/>
      <c r="LSA41" s="6"/>
      <c r="LSB41" s="6"/>
      <c r="LSC41" s="6"/>
      <c r="LSD41" s="6"/>
      <c r="LSE41" s="6"/>
      <c r="LSF41" s="6"/>
      <c r="LSG41" s="6"/>
      <c r="LSH41" s="6"/>
      <c r="LSI41" s="6"/>
      <c r="LSJ41" s="6"/>
      <c r="LSK41" s="6"/>
      <c r="LSL41" s="6"/>
      <c r="LSM41" s="6"/>
      <c r="LSN41" s="6"/>
      <c r="LSO41" s="6"/>
      <c r="LSP41" s="6"/>
      <c r="LSQ41" s="6"/>
      <c r="LSR41" s="6"/>
      <c r="LSS41" s="6"/>
      <c r="LST41" s="6"/>
      <c r="LSU41" s="6"/>
      <c r="LSV41" s="6"/>
      <c r="LSW41" s="6"/>
      <c r="LSX41" s="6"/>
      <c r="LSY41" s="6"/>
      <c r="LSZ41" s="6"/>
      <c r="LTA41" s="6"/>
      <c r="LTB41" s="6"/>
      <c r="LTC41" s="6"/>
      <c r="LTD41" s="6"/>
      <c r="LTE41" s="6"/>
      <c r="LTF41" s="6"/>
      <c r="LTG41" s="6"/>
      <c r="LTH41" s="6"/>
      <c r="LTI41" s="6"/>
      <c r="LTJ41" s="6"/>
      <c r="LTK41" s="6"/>
      <c r="LTL41" s="6"/>
      <c r="LTM41" s="6"/>
      <c r="LTN41" s="6"/>
      <c r="LTO41" s="6"/>
      <c r="LTP41" s="6"/>
      <c r="LTQ41" s="6"/>
      <c r="LTR41" s="6"/>
      <c r="LTS41" s="6"/>
      <c r="LTT41" s="6"/>
      <c r="LTU41" s="6"/>
      <c r="LTV41" s="6"/>
      <c r="LTW41" s="6"/>
      <c r="LTX41" s="6"/>
      <c r="LTY41" s="6"/>
      <c r="LTZ41" s="6"/>
      <c r="LUA41" s="6"/>
      <c r="LUB41" s="6"/>
      <c r="LUC41" s="6"/>
      <c r="LUD41" s="6"/>
      <c r="LUE41" s="6"/>
      <c r="LUF41" s="6"/>
      <c r="LUG41" s="6"/>
      <c r="LUH41" s="6"/>
      <c r="LUI41" s="6"/>
      <c r="LUJ41" s="6"/>
      <c r="LUK41" s="6"/>
      <c r="LUL41" s="6"/>
      <c r="LUM41" s="6"/>
      <c r="LUN41" s="6"/>
      <c r="LUO41" s="6"/>
      <c r="LUP41" s="6"/>
      <c r="LUQ41" s="6"/>
      <c r="LUR41" s="6"/>
      <c r="LUS41" s="6"/>
      <c r="LUT41" s="6"/>
      <c r="LUU41" s="6"/>
      <c r="LUV41" s="6"/>
      <c r="LUW41" s="6"/>
      <c r="LUX41" s="6"/>
      <c r="LUY41" s="6"/>
      <c r="LUZ41" s="6"/>
      <c r="LVA41" s="6"/>
      <c r="LVB41" s="6"/>
      <c r="LVC41" s="6"/>
      <c r="LVD41" s="6"/>
      <c r="LVE41" s="6"/>
      <c r="LVF41" s="6"/>
      <c r="LVG41" s="6"/>
      <c r="LVH41" s="6"/>
      <c r="LVI41" s="6"/>
      <c r="LVJ41" s="6"/>
      <c r="LVK41" s="6"/>
      <c r="LVL41" s="6"/>
      <c r="LVM41" s="6"/>
      <c r="LVN41" s="6"/>
      <c r="LVO41" s="6"/>
      <c r="LVP41" s="6"/>
      <c r="LVQ41" s="6"/>
      <c r="LVR41" s="6"/>
      <c r="LVS41" s="6"/>
      <c r="LVT41" s="6"/>
      <c r="LVU41" s="6"/>
      <c r="LVV41" s="6"/>
      <c r="LVW41" s="6"/>
      <c r="LVX41" s="6"/>
      <c r="LVY41" s="6"/>
      <c r="LVZ41" s="6"/>
      <c r="LWA41" s="6"/>
      <c r="LWB41" s="6"/>
      <c r="LWC41" s="6"/>
      <c r="LWD41" s="6"/>
      <c r="LWE41" s="6"/>
      <c r="LWF41" s="6"/>
      <c r="LWG41" s="6"/>
      <c r="LWH41" s="6"/>
      <c r="LWI41" s="6"/>
      <c r="LWJ41" s="6"/>
      <c r="LWK41" s="6"/>
      <c r="LWL41" s="6"/>
      <c r="LWM41" s="6"/>
      <c r="LWN41" s="6"/>
      <c r="LWO41" s="6"/>
      <c r="LWP41" s="6"/>
      <c r="LWQ41" s="6"/>
      <c r="LWR41" s="6"/>
      <c r="LWS41" s="6"/>
      <c r="LWT41" s="6"/>
      <c r="LWU41" s="6"/>
      <c r="LWV41" s="6"/>
      <c r="LWW41" s="6"/>
      <c r="LWX41" s="6"/>
      <c r="LWY41" s="6"/>
      <c r="LWZ41" s="6"/>
      <c r="LXA41" s="6"/>
      <c r="LXB41" s="6"/>
      <c r="LXC41" s="6"/>
      <c r="LXD41" s="6"/>
      <c r="LXE41" s="6"/>
      <c r="LXF41" s="6"/>
      <c r="LXG41" s="6"/>
      <c r="LXH41" s="6"/>
      <c r="LXI41" s="6"/>
      <c r="LXJ41" s="6"/>
      <c r="LXK41" s="6"/>
      <c r="LXL41" s="6"/>
      <c r="LXM41" s="6"/>
      <c r="LXN41" s="6"/>
      <c r="LXO41" s="6"/>
      <c r="LXP41" s="6"/>
      <c r="LXQ41" s="6"/>
      <c r="LXR41" s="6"/>
      <c r="LXS41" s="6"/>
      <c r="LXT41" s="6"/>
      <c r="LXU41" s="6"/>
      <c r="LXV41" s="6"/>
      <c r="LXW41" s="6"/>
      <c r="LXX41" s="6"/>
      <c r="LXY41" s="6"/>
      <c r="LXZ41" s="6"/>
      <c r="LYA41" s="6"/>
      <c r="LYB41" s="6"/>
      <c r="LYC41" s="6"/>
      <c r="LYD41" s="6"/>
      <c r="LYE41" s="6"/>
      <c r="LYF41" s="6"/>
      <c r="LYG41" s="6"/>
      <c r="LYH41" s="6"/>
      <c r="LYI41" s="6"/>
      <c r="LYJ41" s="6"/>
      <c r="LYK41" s="6"/>
      <c r="LYL41" s="6"/>
      <c r="LYM41" s="6"/>
      <c r="LYN41" s="6"/>
      <c r="LYO41" s="6"/>
      <c r="LYP41" s="6"/>
      <c r="LYQ41" s="6"/>
      <c r="LYR41" s="6"/>
      <c r="LYS41" s="6"/>
      <c r="LYT41" s="6"/>
      <c r="LYU41" s="6"/>
      <c r="LYV41" s="6"/>
      <c r="LYW41" s="6"/>
      <c r="LYX41" s="6"/>
      <c r="LYY41" s="6"/>
      <c r="LYZ41" s="6"/>
      <c r="LZA41" s="6"/>
      <c r="LZB41" s="6"/>
      <c r="LZC41" s="6"/>
      <c r="LZD41" s="6"/>
      <c r="LZE41" s="6"/>
      <c r="LZF41" s="6"/>
      <c r="LZG41" s="6"/>
      <c r="LZH41" s="6"/>
      <c r="LZI41" s="6"/>
      <c r="LZJ41" s="6"/>
      <c r="LZK41" s="6"/>
      <c r="LZL41" s="6"/>
      <c r="LZM41" s="6"/>
      <c r="LZN41" s="6"/>
      <c r="LZO41" s="6"/>
      <c r="LZP41" s="6"/>
      <c r="LZQ41" s="6"/>
      <c r="LZR41" s="6"/>
      <c r="LZS41" s="6"/>
      <c r="LZT41" s="6"/>
      <c r="LZU41" s="6"/>
      <c r="LZV41" s="6"/>
      <c r="LZW41" s="6"/>
      <c r="LZX41" s="6"/>
      <c r="LZY41" s="6"/>
      <c r="LZZ41" s="6"/>
      <c r="MAA41" s="6"/>
      <c r="MAB41" s="6"/>
      <c r="MAC41" s="6"/>
      <c r="MAD41" s="6"/>
      <c r="MAE41" s="6"/>
      <c r="MAF41" s="6"/>
      <c r="MAG41" s="6"/>
      <c r="MAH41" s="6"/>
      <c r="MAI41" s="6"/>
      <c r="MAJ41" s="6"/>
      <c r="MAK41" s="6"/>
      <c r="MAL41" s="6"/>
      <c r="MAM41" s="6"/>
      <c r="MAN41" s="6"/>
      <c r="MAO41" s="6"/>
      <c r="MAP41" s="6"/>
      <c r="MAQ41" s="6"/>
      <c r="MAR41" s="6"/>
      <c r="MAS41" s="6"/>
      <c r="MAT41" s="6"/>
      <c r="MAU41" s="6"/>
      <c r="MAV41" s="6"/>
      <c r="MAW41" s="6"/>
      <c r="MAX41" s="6"/>
      <c r="MAY41" s="6"/>
      <c r="MAZ41" s="6"/>
      <c r="MBA41" s="6"/>
      <c r="MBB41" s="6"/>
      <c r="MBC41" s="6"/>
      <c r="MBD41" s="6"/>
      <c r="MBE41" s="6"/>
      <c r="MBF41" s="6"/>
      <c r="MBG41" s="6"/>
      <c r="MBH41" s="6"/>
      <c r="MBI41" s="6"/>
      <c r="MBJ41" s="6"/>
      <c r="MBK41" s="6"/>
      <c r="MBL41" s="6"/>
      <c r="MBM41" s="6"/>
      <c r="MBN41" s="6"/>
      <c r="MBO41" s="6"/>
      <c r="MBP41" s="6"/>
      <c r="MBQ41" s="6"/>
      <c r="MBR41" s="6"/>
      <c r="MBS41" s="6"/>
      <c r="MBT41" s="6"/>
      <c r="MBU41" s="6"/>
      <c r="MBV41" s="6"/>
      <c r="MBW41" s="6"/>
      <c r="MBX41" s="6"/>
      <c r="MBY41" s="6"/>
      <c r="MBZ41" s="6"/>
      <c r="MCA41" s="6"/>
      <c r="MCB41" s="6"/>
      <c r="MCC41" s="6"/>
      <c r="MCD41" s="6"/>
      <c r="MCE41" s="6"/>
      <c r="MCF41" s="6"/>
      <c r="MCG41" s="6"/>
      <c r="MCH41" s="6"/>
      <c r="MCI41" s="6"/>
      <c r="MCJ41" s="6"/>
      <c r="MCK41" s="6"/>
      <c r="MCL41" s="6"/>
      <c r="MCM41" s="6"/>
      <c r="MCN41" s="6"/>
      <c r="MCO41" s="6"/>
      <c r="MCP41" s="6"/>
      <c r="MCQ41" s="6"/>
      <c r="MCR41" s="6"/>
      <c r="MCS41" s="6"/>
      <c r="MCT41" s="6"/>
      <c r="MCU41" s="6"/>
      <c r="MCV41" s="6"/>
      <c r="MCW41" s="6"/>
      <c r="MCX41" s="6"/>
      <c r="MCY41" s="6"/>
      <c r="MCZ41" s="6"/>
      <c r="MDA41" s="6"/>
      <c r="MDB41" s="6"/>
      <c r="MDC41" s="6"/>
      <c r="MDD41" s="6"/>
      <c r="MDE41" s="6"/>
      <c r="MDF41" s="6"/>
      <c r="MDG41" s="6"/>
      <c r="MDH41" s="6"/>
      <c r="MDI41" s="6"/>
      <c r="MDJ41" s="6"/>
      <c r="MDK41" s="6"/>
      <c r="MDL41" s="6"/>
      <c r="MDM41" s="6"/>
      <c r="MDN41" s="6"/>
      <c r="MDO41" s="6"/>
      <c r="MDP41" s="6"/>
      <c r="MDQ41" s="6"/>
      <c r="MDR41" s="6"/>
      <c r="MDS41" s="6"/>
      <c r="MDT41" s="6"/>
      <c r="MDU41" s="6"/>
      <c r="MDV41" s="6"/>
      <c r="MDW41" s="6"/>
      <c r="MDX41" s="6"/>
      <c r="MDY41" s="6"/>
      <c r="MDZ41" s="6"/>
      <c r="MEA41" s="6"/>
      <c r="MEB41" s="6"/>
      <c r="MEC41" s="6"/>
      <c r="MED41" s="6"/>
      <c r="MEE41" s="6"/>
      <c r="MEF41" s="6"/>
      <c r="MEG41" s="6"/>
      <c r="MEH41" s="6"/>
      <c r="MEI41" s="6"/>
      <c r="MEJ41" s="6"/>
      <c r="MEK41" s="6"/>
      <c r="MEL41" s="6"/>
      <c r="MEM41" s="6"/>
      <c r="MEN41" s="6"/>
      <c r="MEO41" s="6"/>
      <c r="MEP41" s="6"/>
      <c r="MEQ41" s="6"/>
      <c r="MER41" s="6"/>
      <c r="MES41" s="6"/>
      <c r="MET41" s="6"/>
      <c r="MEU41" s="6"/>
      <c r="MEV41" s="6"/>
      <c r="MEW41" s="6"/>
      <c r="MEX41" s="6"/>
      <c r="MEY41" s="6"/>
      <c r="MEZ41" s="6"/>
      <c r="MFA41" s="6"/>
      <c r="MFB41" s="6"/>
      <c r="MFC41" s="6"/>
      <c r="MFD41" s="6"/>
      <c r="MFE41" s="6"/>
      <c r="MFF41" s="6"/>
      <c r="MFG41" s="6"/>
      <c r="MFH41" s="6"/>
      <c r="MFI41" s="6"/>
      <c r="MFJ41" s="6"/>
      <c r="MFK41" s="6"/>
      <c r="MFL41" s="6"/>
      <c r="MFM41" s="6"/>
      <c r="MFN41" s="6"/>
      <c r="MFO41" s="6"/>
      <c r="MFP41" s="6"/>
      <c r="MFQ41" s="6"/>
      <c r="MFR41" s="6"/>
      <c r="MFS41" s="6"/>
      <c r="MFT41" s="6"/>
      <c r="MFU41" s="6"/>
      <c r="MFV41" s="6"/>
      <c r="MFW41" s="6"/>
      <c r="MFX41" s="6"/>
      <c r="MFY41" s="6"/>
      <c r="MFZ41" s="6"/>
      <c r="MGA41" s="6"/>
      <c r="MGB41" s="6"/>
      <c r="MGC41" s="6"/>
      <c r="MGD41" s="6"/>
      <c r="MGE41" s="6"/>
      <c r="MGF41" s="6"/>
      <c r="MGG41" s="6"/>
      <c r="MGH41" s="6"/>
      <c r="MGI41" s="6"/>
      <c r="MGJ41" s="6"/>
      <c r="MGK41" s="6"/>
      <c r="MGL41" s="6"/>
      <c r="MGM41" s="6"/>
      <c r="MGN41" s="6"/>
      <c r="MGO41" s="6"/>
      <c r="MGP41" s="6"/>
      <c r="MGQ41" s="6"/>
      <c r="MGR41" s="6"/>
      <c r="MGS41" s="6"/>
      <c r="MGT41" s="6"/>
      <c r="MGU41" s="6"/>
      <c r="MGV41" s="6"/>
      <c r="MGW41" s="6"/>
      <c r="MGX41" s="6"/>
      <c r="MGY41" s="6"/>
      <c r="MGZ41" s="6"/>
      <c r="MHA41" s="6"/>
      <c r="MHB41" s="6"/>
      <c r="MHC41" s="6"/>
      <c r="MHD41" s="6"/>
      <c r="MHE41" s="6"/>
      <c r="MHF41" s="6"/>
      <c r="MHG41" s="6"/>
      <c r="MHH41" s="6"/>
      <c r="MHI41" s="6"/>
      <c r="MHJ41" s="6"/>
      <c r="MHK41" s="6"/>
      <c r="MHL41" s="6"/>
      <c r="MHM41" s="6"/>
      <c r="MHN41" s="6"/>
      <c r="MHO41" s="6"/>
      <c r="MHP41" s="6"/>
      <c r="MHQ41" s="6"/>
      <c r="MHR41" s="6"/>
      <c r="MHS41" s="6"/>
      <c r="MHT41" s="6"/>
      <c r="MHU41" s="6"/>
      <c r="MHV41" s="6"/>
      <c r="MHW41" s="6"/>
      <c r="MHX41" s="6"/>
      <c r="MHY41" s="6"/>
      <c r="MHZ41" s="6"/>
      <c r="MIA41" s="6"/>
      <c r="MIB41" s="6"/>
      <c r="MIC41" s="6"/>
      <c r="MID41" s="6"/>
      <c r="MIE41" s="6"/>
      <c r="MIF41" s="6"/>
      <c r="MIG41" s="6"/>
      <c r="MIH41" s="6"/>
      <c r="MII41" s="6"/>
      <c r="MIJ41" s="6"/>
      <c r="MIK41" s="6"/>
      <c r="MIL41" s="6"/>
      <c r="MIM41" s="6"/>
      <c r="MIN41" s="6"/>
      <c r="MIO41" s="6"/>
      <c r="MIP41" s="6"/>
      <c r="MIQ41" s="6"/>
      <c r="MIR41" s="6"/>
      <c r="MIS41" s="6"/>
      <c r="MIT41" s="6"/>
      <c r="MIU41" s="6"/>
      <c r="MIV41" s="6"/>
      <c r="MIW41" s="6"/>
      <c r="MIX41" s="6"/>
      <c r="MIY41" s="6"/>
      <c r="MIZ41" s="6"/>
      <c r="MJA41" s="6"/>
      <c r="MJB41" s="6"/>
      <c r="MJC41" s="6"/>
      <c r="MJD41" s="6"/>
      <c r="MJE41" s="6"/>
      <c r="MJF41" s="6"/>
      <c r="MJG41" s="6"/>
      <c r="MJH41" s="6"/>
      <c r="MJI41" s="6"/>
      <c r="MJJ41" s="6"/>
      <c r="MJK41" s="6"/>
      <c r="MJL41" s="6"/>
      <c r="MJM41" s="6"/>
      <c r="MJN41" s="6"/>
      <c r="MJO41" s="6"/>
      <c r="MJP41" s="6"/>
      <c r="MJQ41" s="6"/>
      <c r="MJR41" s="6"/>
      <c r="MJS41" s="6"/>
      <c r="MJT41" s="6"/>
      <c r="MJU41" s="6"/>
      <c r="MJV41" s="6"/>
      <c r="MJW41" s="6"/>
      <c r="MJX41" s="6"/>
      <c r="MJY41" s="6"/>
      <c r="MJZ41" s="6"/>
      <c r="MKA41" s="6"/>
      <c r="MKB41" s="6"/>
      <c r="MKC41" s="6"/>
      <c r="MKD41" s="6"/>
      <c r="MKE41" s="6"/>
      <c r="MKF41" s="6"/>
      <c r="MKG41" s="6"/>
      <c r="MKH41" s="6"/>
      <c r="MKI41" s="6"/>
      <c r="MKJ41" s="6"/>
      <c r="MKK41" s="6"/>
      <c r="MKL41" s="6"/>
      <c r="MKM41" s="6"/>
      <c r="MKN41" s="6"/>
      <c r="MKO41" s="6"/>
      <c r="MKP41" s="6"/>
      <c r="MKQ41" s="6"/>
      <c r="MKR41" s="6"/>
      <c r="MKS41" s="6"/>
      <c r="MKT41" s="6"/>
      <c r="MKU41" s="6"/>
      <c r="MKV41" s="6"/>
      <c r="MKW41" s="6"/>
      <c r="MKX41" s="6"/>
      <c r="MKY41" s="6"/>
      <c r="MKZ41" s="6"/>
      <c r="MLA41" s="6"/>
      <c r="MLB41" s="6"/>
      <c r="MLC41" s="6"/>
      <c r="MLD41" s="6"/>
      <c r="MLE41" s="6"/>
      <c r="MLF41" s="6"/>
      <c r="MLG41" s="6"/>
      <c r="MLH41" s="6"/>
      <c r="MLI41" s="6"/>
      <c r="MLJ41" s="6"/>
      <c r="MLK41" s="6"/>
      <c r="MLL41" s="6"/>
      <c r="MLM41" s="6"/>
      <c r="MLN41" s="6"/>
      <c r="MLO41" s="6"/>
      <c r="MLP41" s="6"/>
      <c r="MLQ41" s="6"/>
      <c r="MLR41" s="6"/>
      <c r="MLS41" s="6"/>
      <c r="MLT41" s="6"/>
      <c r="MLU41" s="6"/>
      <c r="MLV41" s="6"/>
      <c r="MLW41" s="6"/>
      <c r="MLX41" s="6"/>
      <c r="MLY41" s="6"/>
      <c r="MLZ41" s="6"/>
      <c r="MMA41" s="6"/>
      <c r="MMB41" s="6"/>
      <c r="MMC41" s="6"/>
      <c r="MMD41" s="6"/>
      <c r="MME41" s="6"/>
      <c r="MMF41" s="6"/>
      <c r="MMG41" s="6"/>
      <c r="MMH41" s="6"/>
      <c r="MMI41" s="6"/>
      <c r="MMJ41" s="6"/>
      <c r="MMK41" s="6"/>
      <c r="MML41" s="6"/>
      <c r="MMM41" s="6"/>
      <c r="MMN41" s="6"/>
      <c r="MMO41" s="6"/>
      <c r="MMP41" s="6"/>
      <c r="MMQ41" s="6"/>
      <c r="MMR41" s="6"/>
      <c r="MMS41" s="6"/>
      <c r="MMT41" s="6"/>
      <c r="MMU41" s="6"/>
      <c r="MMV41" s="6"/>
      <c r="MMW41" s="6"/>
      <c r="MMX41" s="6"/>
      <c r="MMY41" s="6"/>
      <c r="MMZ41" s="6"/>
      <c r="MNA41" s="6"/>
      <c r="MNB41" s="6"/>
      <c r="MNC41" s="6"/>
      <c r="MND41" s="6"/>
      <c r="MNE41" s="6"/>
      <c r="MNF41" s="6"/>
      <c r="MNG41" s="6"/>
      <c r="MNH41" s="6"/>
      <c r="MNI41" s="6"/>
      <c r="MNJ41" s="6"/>
      <c r="MNK41" s="6"/>
      <c r="MNL41" s="6"/>
      <c r="MNM41" s="6"/>
      <c r="MNN41" s="6"/>
      <c r="MNO41" s="6"/>
      <c r="MNP41" s="6"/>
      <c r="MNQ41" s="6"/>
      <c r="MNR41" s="6"/>
      <c r="MNS41" s="6"/>
      <c r="MNT41" s="6"/>
      <c r="MNU41" s="6"/>
      <c r="MNV41" s="6"/>
      <c r="MNW41" s="6"/>
      <c r="MNX41" s="6"/>
      <c r="MNY41" s="6"/>
      <c r="MNZ41" s="6"/>
      <c r="MOA41" s="6"/>
      <c r="MOB41" s="6"/>
      <c r="MOC41" s="6"/>
      <c r="MOD41" s="6"/>
      <c r="MOE41" s="6"/>
      <c r="MOF41" s="6"/>
      <c r="MOG41" s="6"/>
      <c r="MOH41" s="6"/>
      <c r="MOI41" s="6"/>
      <c r="MOJ41" s="6"/>
      <c r="MOK41" s="6"/>
      <c r="MOL41" s="6"/>
      <c r="MOM41" s="6"/>
      <c r="MON41" s="6"/>
      <c r="MOO41" s="6"/>
      <c r="MOP41" s="6"/>
      <c r="MOQ41" s="6"/>
      <c r="MOR41" s="6"/>
      <c r="MOS41" s="6"/>
      <c r="MOT41" s="6"/>
      <c r="MOU41" s="6"/>
      <c r="MOV41" s="6"/>
      <c r="MOW41" s="6"/>
      <c r="MOX41" s="6"/>
      <c r="MOY41" s="6"/>
      <c r="MOZ41" s="6"/>
      <c r="MPA41" s="6"/>
      <c r="MPB41" s="6"/>
      <c r="MPC41" s="6"/>
      <c r="MPD41" s="6"/>
      <c r="MPE41" s="6"/>
      <c r="MPF41" s="6"/>
      <c r="MPG41" s="6"/>
      <c r="MPH41" s="6"/>
      <c r="MPI41" s="6"/>
      <c r="MPJ41" s="6"/>
      <c r="MPK41" s="6"/>
      <c r="MPL41" s="6"/>
      <c r="MPM41" s="6"/>
      <c r="MPN41" s="6"/>
      <c r="MPO41" s="6"/>
      <c r="MPP41" s="6"/>
      <c r="MPQ41" s="6"/>
      <c r="MPR41" s="6"/>
      <c r="MPS41" s="6"/>
      <c r="MPT41" s="6"/>
      <c r="MPU41" s="6"/>
      <c r="MPV41" s="6"/>
      <c r="MPW41" s="6"/>
      <c r="MPX41" s="6"/>
      <c r="MPY41" s="6"/>
      <c r="MPZ41" s="6"/>
      <c r="MQA41" s="6"/>
      <c r="MQB41" s="6"/>
      <c r="MQC41" s="6"/>
      <c r="MQD41" s="6"/>
      <c r="MQE41" s="6"/>
      <c r="MQF41" s="6"/>
      <c r="MQG41" s="6"/>
      <c r="MQH41" s="6"/>
      <c r="MQI41" s="6"/>
      <c r="MQJ41" s="6"/>
      <c r="MQK41" s="6"/>
      <c r="MQL41" s="6"/>
      <c r="MQM41" s="6"/>
      <c r="MQN41" s="6"/>
      <c r="MQO41" s="6"/>
      <c r="MQP41" s="6"/>
      <c r="MQQ41" s="6"/>
      <c r="MQR41" s="6"/>
      <c r="MQS41" s="6"/>
      <c r="MQT41" s="6"/>
      <c r="MQU41" s="6"/>
      <c r="MQV41" s="6"/>
      <c r="MQW41" s="6"/>
      <c r="MQX41" s="6"/>
      <c r="MQY41" s="6"/>
      <c r="MQZ41" s="6"/>
      <c r="MRA41" s="6"/>
      <c r="MRB41" s="6"/>
      <c r="MRC41" s="6"/>
      <c r="MRD41" s="6"/>
      <c r="MRE41" s="6"/>
      <c r="MRF41" s="6"/>
      <c r="MRG41" s="6"/>
      <c r="MRH41" s="6"/>
      <c r="MRI41" s="6"/>
      <c r="MRJ41" s="6"/>
      <c r="MRK41" s="6"/>
      <c r="MRL41" s="6"/>
      <c r="MRM41" s="6"/>
      <c r="MRN41" s="6"/>
      <c r="MRO41" s="6"/>
      <c r="MRP41" s="6"/>
      <c r="MRQ41" s="6"/>
      <c r="MRR41" s="6"/>
      <c r="MRS41" s="6"/>
      <c r="MRT41" s="6"/>
      <c r="MRU41" s="6"/>
      <c r="MRV41" s="6"/>
      <c r="MRW41" s="6"/>
      <c r="MRX41" s="6"/>
      <c r="MRY41" s="6"/>
      <c r="MRZ41" s="6"/>
      <c r="MSA41" s="6"/>
      <c r="MSB41" s="6"/>
      <c r="MSC41" s="6"/>
      <c r="MSD41" s="6"/>
      <c r="MSE41" s="6"/>
      <c r="MSF41" s="6"/>
      <c r="MSG41" s="6"/>
      <c r="MSH41" s="6"/>
      <c r="MSI41" s="6"/>
      <c r="MSJ41" s="6"/>
      <c r="MSK41" s="6"/>
      <c r="MSL41" s="6"/>
      <c r="MSM41" s="6"/>
      <c r="MSN41" s="6"/>
      <c r="MSO41" s="6"/>
      <c r="MSP41" s="6"/>
      <c r="MSQ41" s="6"/>
      <c r="MSR41" s="6"/>
      <c r="MSS41" s="6"/>
      <c r="MST41" s="6"/>
      <c r="MSU41" s="6"/>
      <c r="MSV41" s="6"/>
      <c r="MSW41" s="6"/>
      <c r="MSX41" s="6"/>
      <c r="MSY41" s="6"/>
      <c r="MSZ41" s="6"/>
      <c r="MTA41" s="6"/>
      <c r="MTB41" s="6"/>
      <c r="MTC41" s="6"/>
      <c r="MTD41" s="6"/>
      <c r="MTE41" s="6"/>
      <c r="MTF41" s="6"/>
      <c r="MTG41" s="6"/>
      <c r="MTH41" s="6"/>
      <c r="MTI41" s="6"/>
      <c r="MTJ41" s="6"/>
      <c r="MTK41" s="6"/>
      <c r="MTL41" s="6"/>
      <c r="MTM41" s="6"/>
      <c r="MTN41" s="6"/>
      <c r="MTO41" s="6"/>
      <c r="MTP41" s="6"/>
      <c r="MTQ41" s="6"/>
      <c r="MTR41" s="6"/>
      <c r="MTS41" s="6"/>
      <c r="MTT41" s="6"/>
      <c r="MTU41" s="6"/>
      <c r="MTV41" s="6"/>
      <c r="MTW41" s="6"/>
      <c r="MTX41" s="6"/>
      <c r="MTY41" s="6"/>
      <c r="MTZ41" s="6"/>
      <c r="MUA41" s="6"/>
      <c r="MUB41" s="6"/>
      <c r="MUC41" s="6"/>
      <c r="MUD41" s="6"/>
      <c r="MUE41" s="6"/>
      <c r="MUF41" s="6"/>
      <c r="MUG41" s="6"/>
      <c r="MUH41" s="6"/>
      <c r="MUI41" s="6"/>
      <c r="MUJ41" s="6"/>
      <c r="MUK41" s="6"/>
      <c r="MUL41" s="6"/>
      <c r="MUM41" s="6"/>
      <c r="MUN41" s="6"/>
      <c r="MUO41" s="6"/>
      <c r="MUP41" s="6"/>
      <c r="MUQ41" s="6"/>
      <c r="MUR41" s="6"/>
      <c r="MUS41" s="6"/>
      <c r="MUT41" s="6"/>
      <c r="MUU41" s="6"/>
      <c r="MUV41" s="6"/>
      <c r="MUW41" s="6"/>
      <c r="MUX41" s="6"/>
      <c r="MUY41" s="6"/>
      <c r="MUZ41" s="6"/>
      <c r="MVA41" s="6"/>
      <c r="MVB41" s="6"/>
      <c r="MVC41" s="6"/>
      <c r="MVD41" s="6"/>
      <c r="MVE41" s="6"/>
      <c r="MVF41" s="6"/>
      <c r="MVG41" s="6"/>
      <c r="MVH41" s="6"/>
      <c r="MVI41" s="6"/>
      <c r="MVJ41" s="6"/>
      <c r="MVK41" s="6"/>
      <c r="MVL41" s="6"/>
      <c r="MVM41" s="6"/>
      <c r="MVN41" s="6"/>
      <c r="MVO41" s="6"/>
      <c r="MVP41" s="6"/>
      <c r="MVQ41" s="6"/>
      <c r="MVR41" s="6"/>
      <c r="MVS41" s="6"/>
      <c r="MVT41" s="6"/>
      <c r="MVU41" s="6"/>
      <c r="MVV41" s="6"/>
      <c r="MVW41" s="6"/>
      <c r="MVX41" s="6"/>
      <c r="MVY41" s="6"/>
      <c r="MVZ41" s="6"/>
      <c r="MWA41" s="6"/>
      <c r="MWB41" s="6"/>
      <c r="MWC41" s="6"/>
      <c r="MWD41" s="6"/>
      <c r="MWE41" s="6"/>
      <c r="MWF41" s="6"/>
      <c r="MWG41" s="6"/>
      <c r="MWH41" s="6"/>
      <c r="MWI41" s="6"/>
      <c r="MWJ41" s="6"/>
      <c r="MWK41" s="6"/>
      <c r="MWL41" s="6"/>
      <c r="MWM41" s="6"/>
      <c r="MWN41" s="6"/>
      <c r="MWO41" s="6"/>
      <c r="MWP41" s="6"/>
      <c r="MWQ41" s="6"/>
      <c r="MWR41" s="6"/>
      <c r="MWS41" s="6"/>
      <c r="MWT41" s="6"/>
      <c r="MWU41" s="6"/>
      <c r="MWV41" s="6"/>
      <c r="MWW41" s="6"/>
      <c r="MWX41" s="6"/>
      <c r="MWY41" s="6"/>
      <c r="MWZ41" s="6"/>
      <c r="MXA41" s="6"/>
      <c r="MXB41" s="6"/>
      <c r="MXC41" s="6"/>
      <c r="MXD41" s="6"/>
      <c r="MXE41" s="6"/>
      <c r="MXF41" s="6"/>
      <c r="MXG41" s="6"/>
      <c r="MXH41" s="6"/>
      <c r="MXI41" s="6"/>
      <c r="MXJ41" s="6"/>
      <c r="MXK41" s="6"/>
      <c r="MXL41" s="6"/>
      <c r="MXM41" s="6"/>
      <c r="MXN41" s="6"/>
      <c r="MXO41" s="6"/>
      <c r="MXP41" s="6"/>
      <c r="MXQ41" s="6"/>
      <c r="MXR41" s="6"/>
      <c r="MXS41" s="6"/>
      <c r="MXT41" s="6"/>
      <c r="MXU41" s="6"/>
      <c r="MXV41" s="6"/>
      <c r="MXW41" s="6"/>
      <c r="MXX41" s="6"/>
      <c r="MXY41" s="6"/>
      <c r="MXZ41" s="6"/>
      <c r="MYA41" s="6"/>
      <c r="MYB41" s="6"/>
      <c r="MYC41" s="6"/>
      <c r="MYD41" s="6"/>
      <c r="MYE41" s="6"/>
      <c r="MYF41" s="6"/>
      <c r="MYG41" s="6"/>
      <c r="MYH41" s="6"/>
      <c r="MYI41" s="6"/>
      <c r="MYJ41" s="6"/>
      <c r="MYK41" s="6"/>
      <c r="MYL41" s="6"/>
      <c r="MYM41" s="6"/>
      <c r="MYN41" s="6"/>
      <c r="MYO41" s="6"/>
      <c r="MYP41" s="6"/>
      <c r="MYQ41" s="6"/>
      <c r="MYR41" s="6"/>
      <c r="MYS41" s="6"/>
      <c r="MYT41" s="6"/>
      <c r="MYU41" s="6"/>
      <c r="MYV41" s="6"/>
      <c r="MYW41" s="6"/>
      <c r="MYX41" s="6"/>
      <c r="MYY41" s="6"/>
      <c r="MYZ41" s="6"/>
      <c r="MZA41" s="6"/>
      <c r="MZB41" s="6"/>
      <c r="MZC41" s="6"/>
      <c r="MZD41" s="6"/>
      <c r="MZE41" s="6"/>
      <c r="MZF41" s="6"/>
      <c r="MZG41" s="6"/>
      <c r="MZH41" s="6"/>
      <c r="MZI41" s="6"/>
      <c r="MZJ41" s="6"/>
      <c r="MZK41" s="6"/>
      <c r="MZL41" s="6"/>
      <c r="MZM41" s="6"/>
      <c r="MZN41" s="6"/>
      <c r="MZO41" s="6"/>
      <c r="MZP41" s="6"/>
      <c r="MZQ41" s="6"/>
      <c r="MZR41" s="6"/>
      <c r="MZS41" s="6"/>
      <c r="MZT41" s="6"/>
      <c r="MZU41" s="6"/>
      <c r="MZV41" s="6"/>
      <c r="MZW41" s="6"/>
      <c r="MZX41" s="6"/>
      <c r="MZY41" s="6"/>
      <c r="MZZ41" s="6"/>
      <c r="NAA41" s="6"/>
      <c r="NAB41" s="6"/>
      <c r="NAC41" s="6"/>
      <c r="NAD41" s="6"/>
      <c r="NAE41" s="6"/>
      <c r="NAF41" s="6"/>
      <c r="NAG41" s="6"/>
      <c r="NAH41" s="6"/>
      <c r="NAI41" s="6"/>
      <c r="NAJ41" s="6"/>
      <c r="NAK41" s="6"/>
      <c r="NAL41" s="6"/>
      <c r="NAM41" s="6"/>
      <c r="NAN41" s="6"/>
      <c r="NAO41" s="6"/>
      <c r="NAP41" s="6"/>
      <c r="NAQ41" s="6"/>
      <c r="NAR41" s="6"/>
      <c r="NAS41" s="6"/>
      <c r="NAT41" s="6"/>
      <c r="NAU41" s="6"/>
      <c r="NAV41" s="6"/>
      <c r="NAW41" s="6"/>
      <c r="NAX41" s="6"/>
      <c r="NAY41" s="6"/>
      <c r="NAZ41" s="6"/>
      <c r="NBA41" s="6"/>
      <c r="NBB41" s="6"/>
      <c r="NBC41" s="6"/>
      <c r="NBD41" s="6"/>
      <c r="NBE41" s="6"/>
      <c r="NBF41" s="6"/>
      <c r="NBG41" s="6"/>
      <c r="NBH41" s="6"/>
      <c r="NBI41" s="6"/>
      <c r="NBJ41" s="6"/>
      <c r="NBK41" s="6"/>
      <c r="NBL41" s="6"/>
      <c r="NBM41" s="6"/>
      <c r="NBN41" s="6"/>
      <c r="NBO41" s="6"/>
      <c r="NBP41" s="6"/>
      <c r="NBQ41" s="6"/>
      <c r="NBR41" s="6"/>
      <c r="NBS41" s="6"/>
      <c r="NBT41" s="6"/>
      <c r="NBU41" s="6"/>
      <c r="NBV41" s="6"/>
      <c r="NBW41" s="6"/>
      <c r="NBX41" s="6"/>
      <c r="NBY41" s="6"/>
      <c r="NBZ41" s="6"/>
      <c r="NCA41" s="6"/>
      <c r="NCB41" s="6"/>
      <c r="NCC41" s="6"/>
      <c r="NCD41" s="6"/>
      <c r="NCE41" s="6"/>
      <c r="NCF41" s="6"/>
      <c r="NCG41" s="6"/>
      <c r="NCH41" s="6"/>
      <c r="NCI41" s="6"/>
      <c r="NCJ41" s="6"/>
      <c r="NCK41" s="6"/>
      <c r="NCL41" s="6"/>
      <c r="NCM41" s="6"/>
      <c r="NCN41" s="6"/>
      <c r="NCO41" s="6"/>
      <c r="NCP41" s="6"/>
      <c r="NCQ41" s="6"/>
      <c r="NCR41" s="6"/>
      <c r="NCS41" s="6"/>
      <c r="NCT41" s="6"/>
      <c r="NCU41" s="6"/>
      <c r="NCV41" s="6"/>
      <c r="NCW41" s="6"/>
      <c r="NCX41" s="6"/>
      <c r="NCY41" s="6"/>
      <c r="NCZ41" s="6"/>
      <c r="NDA41" s="6"/>
      <c r="NDB41" s="6"/>
      <c r="NDC41" s="6"/>
      <c r="NDD41" s="6"/>
      <c r="NDE41" s="6"/>
      <c r="NDF41" s="6"/>
      <c r="NDG41" s="6"/>
      <c r="NDH41" s="6"/>
      <c r="NDI41" s="6"/>
      <c r="NDJ41" s="6"/>
      <c r="NDK41" s="6"/>
      <c r="NDL41" s="6"/>
      <c r="NDM41" s="6"/>
      <c r="NDN41" s="6"/>
      <c r="NDO41" s="6"/>
      <c r="NDP41" s="6"/>
      <c r="NDQ41" s="6"/>
      <c r="NDR41" s="6"/>
      <c r="NDS41" s="6"/>
      <c r="NDT41" s="6"/>
      <c r="NDU41" s="6"/>
      <c r="NDV41" s="6"/>
      <c r="NDW41" s="6"/>
      <c r="NDX41" s="6"/>
      <c r="NDY41" s="6"/>
      <c r="NDZ41" s="6"/>
      <c r="NEA41" s="6"/>
      <c r="NEB41" s="6"/>
      <c r="NEC41" s="6"/>
      <c r="NED41" s="6"/>
      <c r="NEE41" s="6"/>
      <c r="NEF41" s="6"/>
      <c r="NEG41" s="6"/>
      <c r="NEH41" s="6"/>
      <c r="NEI41" s="6"/>
      <c r="NEJ41" s="6"/>
      <c r="NEK41" s="6"/>
      <c r="NEL41" s="6"/>
      <c r="NEM41" s="6"/>
      <c r="NEN41" s="6"/>
      <c r="NEO41" s="6"/>
      <c r="NEP41" s="6"/>
      <c r="NEQ41" s="6"/>
      <c r="NER41" s="6"/>
      <c r="NES41" s="6"/>
      <c r="NET41" s="6"/>
      <c r="NEU41" s="6"/>
      <c r="NEV41" s="6"/>
      <c r="NEW41" s="6"/>
      <c r="NEX41" s="6"/>
      <c r="NEY41" s="6"/>
      <c r="NEZ41" s="6"/>
      <c r="NFA41" s="6"/>
      <c r="NFB41" s="6"/>
      <c r="NFC41" s="6"/>
      <c r="NFD41" s="6"/>
      <c r="NFE41" s="6"/>
      <c r="NFF41" s="6"/>
      <c r="NFG41" s="6"/>
      <c r="NFH41" s="6"/>
      <c r="NFI41" s="6"/>
      <c r="NFJ41" s="6"/>
      <c r="NFK41" s="6"/>
      <c r="NFL41" s="6"/>
      <c r="NFM41" s="6"/>
      <c r="NFN41" s="6"/>
      <c r="NFO41" s="6"/>
      <c r="NFP41" s="6"/>
      <c r="NFQ41" s="6"/>
      <c r="NFR41" s="6"/>
      <c r="NFS41" s="6"/>
      <c r="NFT41" s="6"/>
      <c r="NFU41" s="6"/>
      <c r="NFV41" s="6"/>
      <c r="NFW41" s="6"/>
      <c r="NFX41" s="6"/>
      <c r="NFY41" s="6"/>
      <c r="NFZ41" s="6"/>
      <c r="NGA41" s="6"/>
      <c r="NGB41" s="6"/>
      <c r="NGC41" s="6"/>
      <c r="NGD41" s="6"/>
      <c r="NGE41" s="6"/>
      <c r="NGF41" s="6"/>
      <c r="NGG41" s="6"/>
      <c r="NGH41" s="6"/>
      <c r="NGI41" s="6"/>
      <c r="NGJ41" s="6"/>
      <c r="NGK41" s="6"/>
      <c r="NGL41" s="6"/>
      <c r="NGM41" s="6"/>
      <c r="NGN41" s="6"/>
      <c r="NGO41" s="6"/>
      <c r="NGP41" s="6"/>
      <c r="NGQ41" s="6"/>
      <c r="NGR41" s="6"/>
      <c r="NGS41" s="6"/>
      <c r="NGT41" s="6"/>
      <c r="NGU41" s="6"/>
      <c r="NGV41" s="6"/>
      <c r="NGW41" s="6"/>
      <c r="NGX41" s="6"/>
      <c r="NGY41" s="6"/>
      <c r="NGZ41" s="6"/>
      <c r="NHA41" s="6"/>
      <c r="NHB41" s="6"/>
      <c r="NHC41" s="6"/>
      <c r="NHD41" s="6"/>
      <c r="NHE41" s="6"/>
      <c r="NHF41" s="6"/>
      <c r="NHG41" s="6"/>
      <c r="NHH41" s="6"/>
      <c r="NHI41" s="6"/>
      <c r="NHJ41" s="6"/>
      <c r="NHK41" s="6"/>
      <c r="NHL41" s="6"/>
      <c r="NHM41" s="6"/>
      <c r="NHN41" s="6"/>
      <c r="NHO41" s="6"/>
      <c r="NHP41" s="6"/>
      <c r="NHQ41" s="6"/>
      <c r="NHR41" s="6"/>
      <c r="NHS41" s="6"/>
      <c r="NHT41" s="6"/>
      <c r="NHU41" s="6"/>
      <c r="NHV41" s="6"/>
      <c r="NHW41" s="6"/>
      <c r="NHX41" s="6"/>
      <c r="NHY41" s="6"/>
      <c r="NHZ41" s="6"/>
      <c r="NIA41" s="6"/>
      <c r="NIB41" s="6"/>
      <c r="NIC41" s="6"/>
      <c r="NID41" s="6"/>
      <c r="NIE41" s="6"/>
      <c r="NIF41" s="6"/>
      <c r="NIG41" s="6"/>
      <c r="NIH41" s="6"/>
      <c r="NII41" s="6"/>
      <c r="NIJ41" s="6"/>
      <c r="NIK41" s="6"/>
      <c r="NIL41" s="6"/>
      <c r="NIM41" s="6"/>
      <c r="NIN41" s="6"/>
      <c r="NIO41" s="6"/>
      <c r="NIP41" s="6"/>
      <c r="NIQ41" s="6"/>
      <c r="NIR41" s="6"/>
      <c r="NIS41" s="6"/>
      <c r="NIT41" s="6"/>
      <c r="NIU41" s="6"/>
      <c r="NIV41" s="6"/>
      <c r="NIW41" s="6"/>
      <c r="NIX41" s="6"/>
      <c r="NIY41" s="6"/>
      <c r="NIZ41" s="6"/>
      <c r="NJA41" s="6"/>
      <c r="NJB41" s="6"/>
      <c r="NJC41" s="6"/>
      <c r="NJD41" s="6"/>
      <c r="NJE41" s="6"/>
      <c r="NJF41" s="6"/>
      <c r="NJG41" s="6"/>
      <c r="NJH41" s="6"/>
      <c r="NJI41" s="6"/>
      <c r="NJJ41" s="6"/>
      <c r="NJK41" s="6"/>
      <c r="NJL41" s="6"/>
      <c r="NJM41" s="6"/>
      <c r="NJN41" s="6"/>
      <c r="NJO41" s="6"/>
      <c r="NJP41" s="6"/>
      <c r="NJQ41" s="6"/>
      <c r="NJR41" s="6"/>
      <c r="NJS41" s="6"/>
      <c r="NJT41" s="6"/>
      <c r="NJU41" s="6"/>
      <c r="NJV41" s="6"/>
      <c r="NJW41" s="6"/>
      <c r="NJX41" s="6"/>
      <c r="NJY41" s="6"/>
      <c r="NJZ41" s="6"/>
      <c r="NKA41" s="6"/>
      <c r="NKB41" s="6"/>
      <c r="NKC41" s="6"/>
      <c r="NKD41" s="6"/>
      <c r="NKE41" s="6"/>
      <c r="NKF41" s="6"/>
      <c r="NKG41" s="6"/>
      <c r="NKH41" s="6"/>
      <c r="NKI41" s="6"/>
      <c r="NKJ41" s="6"/>
      <c r="NKK41" s="6"/>
      <c r="NKL41" s="6"/>
      <c r="NKM41" s="6"/>
      <c r="NKN41" s="6"/>
      <c r="NKO41" s="6"/>
      <c r="NKP41" s="6"/>
      <c r="NKQ41" s="6"/>
      <c r="NKR41" s="6"/>
      <c r="NKS41" s="6"/>
      <c r="NKT41" s="6"/>
      <c r="NKU41" s="6"/>
      <c r="NKV41" s="6"/>
      <c r="NKW41" s="6"/>
      <c r="NKX41" s="6"/>
      <c r="NKY41" s="6"/>
      <c r="NKZ41" s="6"/>
      <c r="NLA41" s="6"/>
      <c r="NLB41" s="6"/>
      <c r="NLC41" s="6"/>
      <c r="NLD41" s="6"/>
      <c r="NLE41" s="6"/>
      <c r="NLF41" s="6"/>
      <c r="NLG41" s="6"/>
      <c r="NLH41" s="6"/>
      <c r="NLI41" s="6"/>
      <c r="NLJ41" s="6"/>
      <c r="NLK41" s="6"/>
      <c r="NLL41" s="6"/>
      <c r="NLM41" s="6"/>
      <c r="NLN41" s="6"/>
      <c r="NLO41" s="6"/>
      <c r="NLP41" s="6"/>
      <c r="NLQ41" s="6"/>
      <c r="NLR41" s="6"/>
      <c r="NLS41" s="6"/>
      <c r="NLT41" s="6"/>
      <c r="NLU41" s="6"/>
      <c r="NLV41" s="6"/>
      <c r="NLW41" s="6"/>
      <c r="NLX41" s="6"/>
      <c r="NLY41" s="6"/>
      <c r="NLZ41" s="6"/>
      <c r="NMA41" s="6"/>
      <c r="NMB41" s="6"/>
      <c r="NMC41" s="6"/>
      <c r="NMD41" s="6"/>
      <c r="NME41" s="6"/>
      <c r="NMF41" s="6"/>
      <c r="NMG41" s="6"/>
      <c r="NMH41" s="6"/>
      <c r="NMI41" s="6"/>
      <c r="NMJ41" s="6"/>
      <c r="NMK41" s="6"/>
      <c r="NML41" s="6"/>
      <c r="NMM41" s="6"/>
      <c r="NMN41" s="6"/>
      <c r="NMO41" s="6"/>
      <c r="NMP41" s="6"/>
      <c r="NMQ41" s="6"/>
      <c r="NMR41" s="6"/>
      <c r="NMS41" s="6"/>
      <c r="NMT41" s="6"/>
      <c r="NMU41" s="6"/>
      <c r="NMV41" s="6"/>
      <c r="NMW41" s="6"/>
      <c r="NMX41" s="6"/>
      <c r="NMY41" s="6"/>
      <c r="NMZ41" s="6"/>
      <c r="NNA41" s="6"/>
      <c r="NNB41" s="6"/>
      <c r="NNC41" s="6"/>
      <c r="NND41" s="6"/>
      <c r="NNE41" s="6"/>
      <c r="NNF41" s="6"/>
      <c r="NNG41" s="6"/>
      <c r="NNH41" s="6"/>
      <c r="NNI41" s="6"/>
      <c r="NNJ41" s="6"/>
      <c r="NNK41" s="6"/>
      <c r="NNL41" s="6"/>
      <c r="NNM41" s="6"/>
      <c r="NNN41" s="6"/>
      <c r="NNO41" s="6"/>
      <c r="NNP41" s="6"/>
      <c r="NNQ41" s="6"/>
      <c r="NNR41" s="6"/>
      <c r="NNS41" s="6"/>
      <c r="NNT41" s="6"/>
      <c r="NNU41" s="6"/>
      <c r="NNV41" s="6"/>
      <c r="NNW41" s="6"/>
      <c r="NNX41" s="6"/>
      <c r="NNY41" s="6"/>
      <c r="NNZ41" s="6"/>
      <c r="NOA41" s="6"/>
      <c r="NOB41" s="6"/>
      <c r="NOC41" s="6"/>
      <c r="NOD41" s="6"/>
      <c r="NOE41" s="6"/>
      <c r="NOF41" s="6"/>
      <c r="NOG41" s="6"/>
      <c r="NOH41" s="6"/>
      <c r="NOI41" s="6"/>
      <c r="NOJ41" s="6"/>
      <c r="NOK41" s="6"/>
      <c r="NOL41" s="6"/>
      <c r="NOM41" s="6"/>
      <c r="NON41" s="6"/>
      <c r="NOO41" s="6"/>
      <c r="NOP41" s="6"/>
      <c r="NOQ41" s="6"/>
      <c r="NOR41" s="6"/>
      <c r="NOS41" s="6"/>
      <c r="NOT41" s="6"/>
      <c r="NOU41" s="6"/>
      <c r="NOV41" s="6"/>
      <c r="NOW41" s="6"/>
      <c r="NOX41" s="6"/>
      <c r="NOY41" s="6"/>
      <c r="NOZ41" s="6"/>
      <c r="NPA41" s="6"/>
      <c r="NPB41" s="6"/>
      <c r="NPC41" s="6"/>
      <c r="NPD41" s="6"/>
      <c r="NPE41" s="6"/>
      <c r="NPF41" s="6"/>
      <c r="NPG41" s="6"/>
      <c r="NPH41" s="6"/>
      <c r="NPI41" s="6"/>
      <c r="NPJ41" s="6"/>
      <c r="NPK41" s="6"/>
      <c r="NPL41" s="6"/>
      <c r="NPM41" s="6"/>
      <c r="NPN41" s="6"/>
      <c r="NPO41" s="6"/>
      <c r="NPP41" s="6"/>
      <c r="NPQ41" s="6"/>
      <c r="NPR41" s="6"/>
      <c r="NPS41" s="6"/>
      <c r="NPT41" s="6"/>
      <c r="NPU41" s="6"/>
      <c r="NPV41" s="6"/>
      <c r="NPW41" s="6"/>
      <c r="NPX41" s="6"/>
      <c r="NPY41" s="6"/>
      <c r="NPZ41" s="6"/>
      <c r="NQA41" s="6"/>
      <c r="NQB41" s="6"/>
      <c r="NQC41" s="6"/>
      <c r="NQD41" s="6"/>
      <c r="NQE41" s="6"/>
      <c r="NQF41" s="6"/>
      <c r="NQG41" s="6"/>
      <c r="NQH41" s="6"/>
      <c r="NQI41" s="6"/>
      <c r="NQJ41" s="6"/>
      <c r="NQK41" s="6"/>
      <c r="NQL41" s="6"/>
      <c r="NQM41" s="6"/>
      <c r="NQN41" s="6"/>
      <c r="NQO41" s="6"/>
      <c r="NQP41" s="6"/>
      <c r="NQQ41" s="6"/>
      <c r="NQR41" s="6"/>
      <c r="NQS41" s="6"/>
      <c r="NQT41" s="6"/>
      <c r="NQU41" s="6"/>
      <c r="NQV41" s="6"/>
      <c r="NQW41" s="6"/>
      <c r="NQX41" s="6"/>
      <c r="NQY41" s="6"/>
      <c r="NQZ41" s="6"/>
      <c r="NRA41" s="6"/>
      <c r="NRB41" s="6"/>
      <c r="NRC41" s="6"/>
      <c r="NRD41" s="6"/>
      <c r="NRE41" s="6"/>
      <c r="NRF41" s="6"/>
      <c r="NRG41" s="6"/>
      <c r="NRH41" s="6"/>
      <c r="NRI41" s="6"/>
      <c r="NRJ41" s="6"/>
      <c r="NRK41" s="6"/>
      <c r="NRL41" s="6"/>
      <c r="NRM41" s="6"/>
      <c r="NRN41" s="6"/>
      <c r="NRO41" s="6"/>
      <c r="NRP41" s="6"/>
      <c r="NRQ41" s="6"/>
      <c r="NRR41" s="6"/>
      <c r="NRS41" s="6"/>
      <c r="NRT41" s="6"/>
      <c r="NRU41" s="6"/>
      <c r="NRV41" s="6"/>
      <c r="NRW41" s="6"/>
      <c r="NRX41" s="6"/>
      <c r="NRY41" s="6"/>
      <c r="NRZ41" s="6"/>
      <c r="NSA41" s="6"/>
      <c r="NSB41" s="6"/>
      <c r="NSC41" s="6"/>
      <c r="NSD41" s="6"/>
      <c r="NSE41" s="6"/>
      <c r="NSF41" s="6"/>
      <c r="NSG41" s="6"/>
      <c r="NSH41" s="6"/>
      <c r="NSI41" s="6"/>
      <c r="NSJ41" s="6"/>
      <c r="NSK41" s="6"/>
      <c r="NSL41" s="6"/>
      <c r="NSM41" s="6"/>
      <c r="NSN41" s="6"/>
      <c r="NSO41" s="6"/>
      <c r="NSP41" s="6"/>
      <c r="NSQ41" s="6"/>
      <c r="NSR41" s="6"/>
      <c r="NSS41" s="6"/>
      <c r="NST41" s="6"/>
      <c r="NSU41" s="6"/>
      <c r="NSV41" s="6"/>
      <c r="NSW41" s="6"/>
      <c r="NSX41" s="6"/>
      <c r="NSY41" s="6"/>
      <c r="NSZ41" s="6"/>
      <c r="NTA41" s="6"/>
      <c r="NTB41" s="6"/>
      <c r="NTC41" s="6"/>
      <c r="NTD41" s="6"/>
      <c r="NTE41" s="6"/>
      <c r="NTF41" s="6"/>
      <c r="NTG41" s="6"/>
      <c r="NTH41" s="6"/>
      <c r="NTI41" s="6"/>
      <c r="NTJ41" s="6"/>
      <c r="NTK41" s="6"/>
      <c r="NTL41" s="6"/>
      <c r="NTM41" s="6"/>
      <c r="NTN41" s="6"/>
      <c r="NTO41" s="6"/>
      <c r="NTP41" s="6"/>
      <c r="NTQ41" s="6"/>
      <c r="NTR41" s="6"/>
      <c r="NTS41" s="6"/>
      <c r="NTT41" s="6"/>
      <c r="NTU41" s="6"/>
      <c r="NTV41" s="6"/>
      <c r="NTW41" s="6"/>
      <c r="NTX41" s="6"/>
      <c r="NTY41" s="6"/>
      <c r="NTZ41" s="6"/>
      <c r="NUA41" s="6"/>
      <c r="NUB41" s="6"/>
      <c r="NUC41" s="6"/>
      <c r="NUD41" s="6"/>
      <c r="NUE41" s="6"/>
      <c r="NUF41" s="6"/>
      <c r="NUG41" s="6"/>
      <c r="NUH41" s="6"/>
      <c r="NUI41" s="6"/>
      <c r="NUJ41" s="6"/>
      <c r="NUK41" s="6"/>
      <c r="NUL41" s="6"/>
      <c r="NUM41" s="6"/>
      <c r="NUN41" s="6"/>
      <c r="NUO41" s="6"/>
      <c r="NUP41" s="6"/>
      <c r="NUQ41" s="6"/>
      <c r="NUR41" s="6"/>
      <c r="NUS41" s="6"/>
      <c r="NUT41" s="6"/>
      <c r="NUU41" s="6"/>
      <c r="NUV41" s="6"/>
      <c r="NUW41" s="6"/>
      <c r="NUX41" s="6"/>
      <c r="NUY41" s="6"/>
      <c r="NUZ41" s="6"/>
      <c r="NVA41" s="6"/>
      <c r="NVB41" s="6"/>
      <c r="NVC41" s="6"/>
      <c r="NVD41" s="6"/>
      <c r="NVE41" s="6"/>
      <c r="NVF41" s="6"/>
      <c r="NVG41" s="6"/>
      <c r="NVH41" s="6"/>
      <c r="NVI41" s="6"/>
      <c r="NVJ41" s="6"/>
      <c r="NVK41" s="6"/>
      <c r="NVL41" s="6"/>
      <c r="NVM41" s="6"/>
      <c r="NVN41" s="6"/>
      <c r="NVO41" s="6"/>
      <c r="NVP41" s="6"/>
      <c r="NVQ41" s="6"/>
      <c r="NVR41" s="6"/>
      <c r="NVS41" s="6"/>
      <c r="NVT41" s="6"/>
      <c r="NVU41" s="6"/>
      <c r="NVV41" s="6"/>
      <c r="NVW41" s="6"/>
      <c r="NVX41" s="6"/>
      <c r="NVY41" s="6"/>
      <c r="NVZ41" s="6"/>
      <c r="NWA41" s="6"/>
      <c r="NWB41" s="6"/>
      <c r="NWC41" s="6"/>
      <c r="NWD41" s="6"/>
      <c r="NWE41" s="6"/>
      <c r="NWF41" s="6"/>
      <c r="NWG41" s="6"/>
      <c r="NWH41" s="6"/>
      <c r="NWI41" s="6"/>
      <c r="NWJ41" s="6"/>
      <c r="NWK41" s="6"/>
      <c r="NWL41" s="6"/>
      <c r="NWM41" s="6"/>
      <c r="NWN41" s="6"/>
      <c r="NWO41" s="6"/>
      <c r="NWP41" s="6"/>
      <c r="NWQ41" s="6"/>
      <c r="NWR41" s="6"/>
      <c r="NWS41" s="6"/>
      <c r="NWT41" s="6"/>
      <c r="NWU41" s="6"/>
      <c r="NWV41" s="6"/>
      <c r="NWW41" s="6"/>
      <c r="NWX41" s="6"/>
      <c r="NWY41" s="6"/>
      <c r="NWZ41" s="6"/>
      <c r="NXA41" s="6"/>
      <c r="NXB41" s="6"/>
      <c r="NXC41" s="6"/>
      <c r="NXD41" s="6"/>
      <c r="NXE41" s="6"/>
      <c r="NXF41" s="6"/>
      <c r="NXG41" s="6"/>
      <c r="NXH41" s="6"/>
      <c r="NXI41" s="6"/>
      <c r="NXJ41" s="6"/>
      <c r="NXK41" s="6"/>
      <c r="NXL41" s="6"/>
      <c r="NXM41" s="6"/>
      <c r="NXN41" s="6"/>
      <c r="NXO41" s="6"/>
      <c r="NXP41" s="6"/>
      <c r="NXQ41" s="6"/>
      <c r="NXR41" s="6"/>
      <c r="NXS41" s="6"/>
      <c r="NXT41" s="6"/>
      <c r="NXU41" s="6"/>
      <c r="NXV41" s="6"/>
      <c r="NXW41" s="6"/>
      <c r="NXX41" s="6"/>
      <c r="NXY41" s="6"/>
      <c r="NXZ41" s="6"/>
      <c r="NYA41" s="6"/>
      <c r="NYB41" s="6"/>
      <c r="NYC41" s="6"/>
      <c r="NYD41" s="6"/>
      <c r="NYE41" s="6"/>
      <c r="NYF41" s="6"/>
      <c r="NYG41" s="6"/>
      <c r="NYH41" s="6"/>
      <c r="NYI41" s="6"/>
      <c r="NYJ41" s="6"/>
      <c r="NYK41" s="6"/>
      <c r="NYL41" s="6"/>
      <c r="NYM41" s="6"/>
      <c r="NYN41" s="6"/>
      <c r="NYO41" s="6"/>
      <c r="NYP41" s="6"/>
      <c r="NYQ41" s="6"/>
      <c r="NYR41" s="6"/>
      <c r="NYS41" s="6"/>
      <c r="NYT41" s="6"/>
      <c r="NYU41" s="6"/>
      <c r="NYV41" s="6"/>
      <c r="NYW41" s="6"/>
      <c r="NYX41" s="6"/>
      <c r="NYY41" s="6"/>
      <c r="NYZ41" s="6"/>
      <c r="NZA41" s="6"/>
      <c r="NZB41" s="6"/>
      <c r="NZC41" s="6"/>
      <c r="NZD41" s="6"/>
      <c r="NZE41" s="6"/>
      <c r="NZF41" s="6"/>
      <c r="NZG41" s="6"/>
      <c r="NZH41" s="6"/>
      <c r="NZI41" s="6"/>
      <c r="NZJ41" s="6"/>
      <c r="NZK41" s="6"/>
      <c r="NZL41" s="6"/>
      <c r="NZM41" s="6"/>
      <c r="NZN41" s="6"/>
      <c r="NZO41" s="6"/>
      <c r="NZP41" s="6"/>
      <c r="NZQ41" s="6"/>
      <c r="NZR41" s="6"/>
      <c r="NZS41" s="6"/>
      <c r="NZT41" s="6"/>
      <c r="NZU41" s="6"/>
      <c r="NZV41" s="6"/>
      <c r="NZW41" s="6"/>
      <c r="NZX41" s="6"/>
      <c r="NZY41" s="6"/>
      <c r="NZZ41" s="6"/>
      <c r="OAA41" s="6"/>
      <c r="OAB41" s="6"/>
      <c r="OAC41" s="6"/>
      <c r="OAD41" s="6"/>
      <c r="OAE41" s="6"/>
      <c r="OAF41" s="6"/>
      <c r="OAG41" s="6"/>
      <c r="OAH41" s="6"/>
      <c r="OAI41" s="6"/>
      <c r="OAJ41" s="6"/>
      <c r="OAK41" s="6"/>
      <c r="OAL41" s="6"/>
      <c r="OAM41" s="6"/>
      <c r="OAN41" s="6"/>
      <c r="OAO41" s="6"/>
      <c r="OAP41" s="6"/>
      <c r="OAQ41" s="6"/>
      <c r="OAR41" s="6"/>
      <c r="OAS41" s="6"/>
      <c r="OAT41" s="6"/>
      <c r="OAU41" s="6"/>
      <c r="OAV41" s="6"/>
      <c r="OAW41" s="6"/>
      <c r="OAX41" s="6"/>
      <c r="OAY41" s="6"/>
      <c r="OAZ41" s="6"/>
      <c r="OBA41" s="6"/>
      <c r="OBB41" s="6"/>
      <c r="OBC41" s="6"/>
      <c r="OBD41" s="6"/>
      <c r="OBE41" s="6"/>
      <c r="OBF41" s="6"/>
      <c r="OBG41" s="6"/>
      <c r="OBH41" s="6"/>
      <c r="OBI41" s="6"/>
      <c r="OBJ41" s="6"/>
      <c r="OBK41" s="6"/>
      <c r="OBL41" s="6"/>
      <c r="OBM41" s="6"/>
      <c r="OBN41" s="6"/>
      <c r="OBO41" s="6"/>
      <c r="OBP41" s="6"/>
      <c r="OBQ41" s="6"/>
      <c r="OBR41" s="6"/>
      <c r="OBS41" s="6"/>
      <c r="OBT41" s="6"/>
      <c r="OBU41" s="6"/>
      <c r="OBV41" s="6"/>
      <c r="OBW41" s="6"/>
      <c r="OBX41" s="6"/>
      <c r="OBY41" s="6"/>
      <c r="OBZ41" s="6"/>
      <c r="OCA41" s="6"/>
      <c r="OCB41" s="6"/>
      <c r="OCC41" s="6"/>
      <c r="OCD41" s="6"/>
      <c r="OCE41" s="6"/>
      <c r="OCF41" s="6"/>
      <c r="OCG41" s="6"/>
      <c r="OCH41" s="6"/>
      <c r="OCI41" s="6"/>
      <c r="OCJ41" s="6"/>
      <c r="OCK41" s="6"/>
      <c r="OCL41" s="6"/>
      <c r="OCM41" s="6"/>
      <c r="OCN41" s="6"/>
      <c r="OCO41" s="6"/>
      <c r="OCP41" s="6"/>
      <c r="OCQ41" s="6"/>
      <c r="OCR41" s="6"/>
      <c r="OCS41" s="6"/>
      <c r="OCT41" s="6"/>
      <c r="OCU41" s="6"/>
      <c r="OCV41" s="6"/>
      <c r="OCW41" s="6"/>
      <c r="OCX41" s="6"/>
      <c r="OCY41" s="6"/>
      <c r="OCZ41" s="6"/>
      <c r="ODA41" s="6"/>
      <c r="ODB41" s="6"/>
      <c r="ODC41" s="6"/>
      <c r="ODD41" s="6"/>
      <c r="ODE41" s="6"/>
      <c r="ODF41" s="6"/>
      <c r="ODG41" s="6"/>
      <c r="ODH41" s="6"/>
      <c r="ODI41" s="6"/>
      <c r="ODJ41" s="6"/>
      <c r="ODK41" s="6"/>
      <c r="ODL41" s="6"/>
      <c r="ODM41" s="6"/>
      <c r="ODN41" s="6"/>
      <c r="ODO41" s="6"/>
      <c r="ODP41" s="6"/>
      <c r="ODQ41" s="6"/>
      <c r="ODR41" s="6"/>
      <c r="ODS41" s="6"/>
      <c r="ODT41" s="6"/>
      <c r="ODU41" s="6"/>
      <c r="ODV41" s="6"/>
      <c r="ODW41" s="6"/>
      <c r="ODX41" s="6"/>
      <c r="ODY41" s="6"/>
      <c r="ODZ41" s="6"/>
      <c r="OEA41" s="6"/>
      <c r="OEB41" s="6"/>
      <c r="OEC41" s="6"/>
      <c r="OED41" s="6"/>
      <c r="OEE41" s="6"/>
      <c r="OEF41" s="6"/>
      <c r="OEG41" s="6"/>
      <c r="OEH41" s="6"/>
      <c r="OEI41" s="6"/>
      <c r="OEJ41" s="6"/>
      <c r="OEK41" s="6"/>
      <c r="OEL41" s="6"/>
      <c r="OEM41" s="6"/>
      <c r="OEN41" s="6"/>
      <c r="OEO41" s="6"/>
      <c r="OEP41" s="6"/>
      <c r="OEQ41" s="6"/>
      <c r="OER41" s="6"/>
      <c r="OES41" s="6"/>
      <c r="OET41" s="6"/>
      <c r="OEU41" s="6"/>
      <c r="OEV41" s="6"/>
      <c r="OEW41" s="6"/>
      <c r="OEX41" s="6"/>
      <c r="OEY41" s="6"/>
      <c r="OEZ41" s="6"/>
      <c r="OFA41" s="6"/>
      <c r="OFB41" s="6"/>
      <c r="OFC41" s="6"/>
      <c r="OFD41" s="6"/>
      <c r="OFE41" s="6"/>
      <c r="OFF41" s="6"/>
      <c r="OFG41" s="6"/>
      <c r="OFH41" s="6"/>
      <c r="OFI41" s="6"/>
      <c r="OFJ41" s="6"/>
      <c r="OFK41" s="6"/>
      <c r="OFL41" s="6"/>
      <c r="OFM41" s="6"/>
      <c r="OFN41" s="6"/>
      <c r="OFO41" s="6"/>
      <c r="OFP41" s="6"/>
      <c r="OFQ41" s="6"/>
      <c r="OFR41" s="6"/>
      <c r="OFS41" s="6"/>
      <c r="OFT41" s="6"/>
      <c r="OFU41" s="6"/>
      <c r="OFV41" s="6"/>
      <c r="OFW41" s="6"/>
      <c r="OFX41" s="6"/>
      <c r="OFY41" s="6"/>
      <c r="OFZ41" s="6"/>
      <c r="OGA41" s="6"/>
      <c r="OGB41" s="6"/>
      <c r="OGC41" s="6"/>
      <c r="OGD41" s="6"/>
      <c r="OGE41" s="6"/>
      <c r="OGF41" s="6"/>
      <c r="OGG41" s="6"/>
      <c r="OGH41" s="6"/>
      <c r="OGI41" s="6"/>
      <c r="OGJ41" s="6"/>
      <c r="OGK41" s="6"/>
      <c r="OGL41" s="6"/>
      <c r="OGM41" s="6"/>
      <c r="OGN41" s="6"/>
      <c r="OGO41" s="6"/>
      <c r="OGP41" s="6"/>
      <c r="OGQ41" s="6"/>
      <c r="OGR41" s="6"/>
      <c r="OGS41" s="6"/>
      <c r="OGT41" s="6"/>
      <c r="OGU41" s="6"/>
      <c r="OGV41" s="6"/>
      <c r="OGW41" s="6"/>
      <c r="OGX41" s="6"/>
      <c r="OGY41" s="6"/>
      <c r="OGZ41" s="6"/>
      <c r="OHA41" s="6"/>
      <c r="OHB41" s="6"/>
      <c r="OHC41" s="6"/>
      <c r="OHD41" s="6"/>
      <c r="OHE41" s="6"/>
      <c r="OHF41" s="6"/>
      <c r="OHG41" s="6"/>
      <c r="OHH41" s="6"/>
      <c r="OHI41" s="6"/>
      <c r="OHJ41" s="6"/>
      <c r="OHK41" s="6"/>
      <c r="OHL41" s="6"/>
      <c r="OHM41" s="6"/>
      <c r="OHN41" s="6"/>
      <c r="OHO41" s="6"/>
      <c r="OHP41" s="6"/>
      <c r="OHQ41" s="6"/>
      <c r="OHR41" s="6"/>
      <c r="OHS41" s="6"/>
      <c r="OHT41" s="6"/>
      <c r="OHU41" s="6"/>
      <c r="OHV41" s="6"/>
      <c r="OHW41" s="6"/>
      <c r="OHX41" s="6"/>
      <c r="OHY41" s="6"/>
      <c r="OHZ41" s="6"/>
      <c r="OIA41" s="6"/>
      <c r="OIB41" s="6"/>
      <c r="OIC41" s="6"/>
      <c r="OID41" s="6"/>
      <c r="OIE41" s="6"/>
      <c r="OIF41" s="6"/>
      <c r="OIG41" s="6"/>
      <c r="OIH41" s="6"/>
      <c r="OII41" s="6"/>
      <c r="OIJ41" s="6"/>
      <c r="OIK41" s="6"/>
      <c r="OIL41" s="6"/>
      <c r="OIM41" s="6"/>
      <c r="OIN41" s="6"/>
      <c r="OIO41" s="6"/>
      <c r="OIP41" s="6"/>
      <c r="OIQ41" s="6"/>
      <c r="OIR41" s="6"/>
      <c r="OIS41" s="6"/>
      <c r="OIT41" s="6"/>
      <c r="OIU41" s="6"/>
      <c r="OIV41" s="6"/>
      <c r="OIW41" s="6"/>
      <c r="OIX41" s="6"/>
      <c r="OIY41" s="6"/>
      <c r="OIZ41" s="6"/>
      <c r="OJA41" s="6"/>
      <c r="OJB41" s="6"/>
      <c r="OJC41" s="6"/>
      <c r="OJD41" s="6"/>
      <c r="OJE41" s="6"/>
      <c r="OJF41" s="6"/>
      <c r="OJG41" s="6"/>
      <c r="OJH41" s="6"/>
      <c r="OJI41" s="6"/>
      <c r="OJJ41" s="6"/>
      <c r="OJK41" s="6"/>
      <c r="OJL41" s="6"/>
      <c r="OJM41" s="6"/>
      <c r="OJN41" s="6"/>
      <c r="OJO41" s="6"/>
      <c r="OJP41" s="6"/>
      <c r="OJQ41" s="6"/>
      <c r="OJR41" s="6"/>
      <c r="OJS41" s="6"/>
      <c r="OJT41" s="6"/>
      <c r="OJU41" s="6"/>
      <c r="OJV41" s="6"/>
      <c r="OJW41" s="6"/>
      <c r="OJX41" s="6"/>
      <c r="OJY41" s="6"/>
      <c r="OJZ41" s="6"/>
      <c r="OKA41" s="6"/>
      <c r="OKB41" s="6"/>
      <c r="OKC41" s="6"/>
      <c r="OKD41" s="6"/>
      <c r="OKE41" s="6"/>
      <c r="OKF41" s="6"/>
      <c r="OKG41" s="6"/>
      <c r="OKH41" s="6"/>
      <c r="OKI41" s="6"/>
      <c r="OKJ41" s="6"/>
      <c r="OKK41" s="6"/>
      <c r="OKL41" s="6"/>
      <c r="OKM41" s="6"/>
      <c r="OKN41" s="6"/>
      <c r="OKO41" s="6"/>
      <c r="OKP41" s="6"/>
      <c r="OKQ41" s="6"/>
      <c r="OKR41" s="6"/>
      <c r="OKS41" s="6"/>
      <c r="OKT41" s="6"/>
      <c r="OKU41" s="6"/>
      <c r="OKV41" s="6"/>
      <c r="OKW41" s="6"/>
      <c r="OKX41" s="6"/>
      <c r="OKY41" s="6"/>
      <c r="OKZ41" s="6"/>
      <c r="OLA41" s="6"/>
      <c r="OLB41" s="6"/>
      <c r="OLC41" s="6"/>
      <c r="OLD41" s="6"/>
      <c r="OLE41" s="6"/>
      <c r="OLF41" s="6"/>
      <c r="OLG41" s="6"/>
      <c r="OLH41" s="6"/>
      <c r="OLI41" s="6"/>
      <c r="OLJ41" s="6"/>
      <c r="OLK41" s="6"/>
      <c r="OLL41" s="6"/>
      <c r="OLM41" s="6"/>
      <c r="OLN41" s="6"/>
      <c r="OLO41" s="6"/>
      <c r="OLP41" s="6"/>
      <c r="OLQ41" s="6"/>
      <c r="OLR41" s="6"/>
      <c r="OLS41" s="6"/>
      <c r="OLT41" s="6"/>
      <c r="OLU41" s="6"/>
      <c r="OLV41" s="6"/>
      <c r="OLW41" s="6"/>
      <c r="OLX41" s="6"/>
      <c r="OLY41" s="6"/>
      <c r="OLZ41" s="6"/>
      <c r="OMA41" s="6"/>
      <c r="OMB41" s="6"/>
      <c r="OMC41" s="6"/>
      <c r="OMD41" s="6"/>
      <c r="OME41" s="6"/>
      <c r="OMF41" s="6"/>
      <c r="OMG41" s="6"/>
      <c r="OMH41" s="6"/>
      <c r="OMI41" s="6"/>
      <c r="OMJ41" s="6"/>
      <c r="OMK41" s="6"/>
      <c r="OML41" s="6"/>
      <c r="OMM41" s="6"/>
      <c r="OMN41" s="6"/>
      <c r="OMO41" s="6"/>
      <c r="OMP41" s="6"/>
      <c r="OMQ41" s="6"/>
      <c r="OMR41" s="6"/>
      <c r="OMS41" s="6"/>
      <c r="OMT41" s="6"/>
      <c r="OMU41" s="6"/>
      <c r="OMV41" s="6"/>
      <c r="OMW41" s="6"/>
      <c r="OMX41" s="6"/>
      <c r="OMY41" s="6"/>
      <c r="OMZ41" s="6"/>
      <c r="ONA41" s="6"/>
      <c r="ONB41" s="6"/>
      <c r="ONC41" s="6"/>
      <c r="OND41" s="6"/>
      <c r="ONE41" s="6"/>
      <c r="ONF41" s="6"/>
      <c r="ONG41" s="6"/>
      <c r="ONH41" s="6"/>
      <c r="ONI41" s="6"/>
      <c r="ONJ41" s="6"/>
      <c r="ONK41" s="6"/>
      <c r="ONL41" s="6"/>
      <c r="ONM41" s="6"/>
      <c r="ONN41" s="6"/>
      <c r="ONO41" s="6"/>
      <c r="ONP41" s="6"/>
      <c r="ONQ41" s="6"/>
      <c r="ONR41" s="6"/>
      <c r="ONS41" s="6"/>
      <c r="ONT41" s="6"/>
      <c r="ONU41" s="6"/>
      <c r="ONV41" s="6"/>
      <c r="ONW41" s="6"/>
      <c r="ONX41" s="6"/>
      <c r="ONY41" s="6"/>
      <c r="ONZ41" s="6"/>
      <c r="OOA41" s="6"/>
      <c r="OOB41" s="6"/>
      <c r="OOC41" s="6"/>
      <c r="OOD41" s="6"/>
      <c r="OOE41" s="6"/>
      <c r="OOF41" s="6"/>
      <c r="OOG41" s="6"/>
      <c r="OOH41" s="6"/>
      <c r="OOI41" s="6"/>
      <c r="OOJ41" s="6"/>
      <c r="OOK41" s="6"/>
      <c r="OOL41" s="6"/>
      <c r="OOM41" s="6"/>
      <c r="OON41" s="6"/>
      <c r="OOO41" s="6"/>
      <c r="OOP41" s="6"/>
      <c r="OOQ41" s="6"/>
      <c r="OOR41" s="6"/>
      <c r="OOS41" s="6"/>
      <c r="OOT41" s="6"/>
      <c r="OOU41" s="6"/>
      <c r="OOV41" s="6"/>
      <c r="OOW41" s="6"/>
      <c r="OOX41" s="6"/>
      <c r="OOY41" s="6"/>
      <c r="OOZ41" s="6"/>
      <c r="OPA41" s="6"/>
      <c r="OPB41" s="6"/>
      <c r="OPC41" s="6"/>
      <c r="OPD41" s="6"/>
      <c r="OPE41" s="6"/>
      <c r="OPF41" s="6"/>
      <c r="OPG41" s="6"/>
      <c r="OPH41" s="6"/>
      <c r="OPI41" s="6"/>
      <c r="OPJ41" s="6"/>
      <c r="OPK41" s="6"/>
      <c r="OPL41" s="6"/>
      <c r="OPM41" s="6"/>
      <c r="OPN41" s="6"/>
      <c r="OPO41" s="6"/>
      <c r="OPP41" s="6"/>
      <c r="OPQ41" s="6"/>
      <c r="OPR41" s="6"/>
      <c r="OPS41" s="6"/>
      <c r="OPT41" s="6"/>
      <c r="OPU41" s="6"/>
      <c r="OPV41" s="6"/>
      <c r="OPW41" s="6"/>
      <c r="OPX41" s="6"/>
      <c r="OPY41" s="6"/>
      <c r="OPZ41" s="6"/>
      <c r="OQA41" s="6"/>
      <c r="OQB41" s="6"/>
      <c r="OQC41" s="6"/>
      <c r="OQD41" s="6"/>
      <c r="OQE41" s="6"/>
      <c r="OQF41" s="6"/>
      <c r="OQG41" s="6"/>
      <c r="OQH41" s="6"/>
      <c r="OQI41" s="6"/>
      <c r="OQJ41" s="6"/>
      <c r="OQK41" s="6"/>
      <c r="OQL41" s="6"/>
      <c r="OQM41" s="6"/>
      <c r="OQN41" s="6"/>
      <c r="OQO41" s="6"/>
      <c r="OQP41" s="6"/>
      <c r="OQQ41" s="6"/>
      <c r="OQR41" s="6"/>
      <c r="OQS41" s="6"/>
      <c r="OQT41" s="6"/>
      <c r="OQU41" s="6"/>
      <c r="OQV41" s="6"/>
      <c r="OQW41" s="6"/>
      <c r="OQX41" s="6"/>
      <c r="OQY41" s="6"/>
      <c r="OQZ41" s="6"/>
      <c r="ORA41" s="6"/>
      <c r="ORB41" s="6"/>
      <c r="ORC41" s="6"/>
      <c r="ORD41" s="6"/>
      <c r="ORE41" s="6"/>
      <c r="ORF41" s="6"/>
      <c r="ORG41" s="6"/>
      <c r="ORH41" s="6"/>
      <c r="ORI41" s="6"/>
      <c r="ORJ41" s="6"/>
      <c r="ORK41" s="6"/>
      <c r="ORL41" s="6"/>
      <c r="ORM41" s="6"/>
      <c r="ORN41" s="6"/>
      <c r="ORO41" s="6"/>
      <c r="ORP41" s="6"/>
      <c r="ORQ41" s="6"/>
      <c r="ORR41" s="6"/>
      <c r="ORS41" s="6"/>
      <c r="ORT41" s="6"/>
      <c r="ORU41" s="6"/>
      <c r="ORV41" s="6"/>
      <c r="ORW41" s="6"/>
      <c r="ORX41" s="6"/>
      <c r="ORY41" s="6"/>
      <c r="ORZ41" s="6"/>
      <c r="OSA41" s="6"/>
      <c r="OSB41" s="6"/>
      <c r="OSC41" s="6"/>
      <c r="OSD41" s="6"/>
      <c r="OSE41" s="6"/>
      <c r="OSF41" s="6"/>
      <c r="OSG41" s="6"/>
      <c r="OSH41" s="6"/>
      <c r="OSI41" s="6"/>
      <c r="OSJ41" s="6"/>
      <c r="OSK41" s="6"/>
      <c r="OSL41" s="6"/>
      <c r="OSM41" s="6"/>
      <c r="OSN41" s="6"/>
      <c r="OSO41" s="6"/>
      <c r="OSP41" s="6"/>
      <c r="OSQ41" s="6"/>
      <c r="OSR41" s="6"/>
      <c r="OSS41" s="6"/>
      <c r="OST41" s="6"/>
      <c r="OSU41" s="6"/>
      <c r="OSV41" s="6"/>
      <c r="OSW41" s="6"/>
      <c r="OSX41" s="6"/>
      <c r="OSY41" s="6"/>
      <c r="OSZ41" s="6"/>
      <c r="OTA41" s="6"/>
      <c r="OTB41" s="6"/>
      <c r="OTC41" s="6"/>
      <c r="OTD41" s="6"/>
      <c r="OTE41" s="6"/>
      <c r="OTF41" s="6"/>
      <c r="OTG41" s="6"/>
      <c r="OTH41" s="6"/>
      <c r="OTI41" s="6"/>
      <c r="OTJ41" s="6"/>
      <c r="OTK41" s="6"/>
      <c r="OTL41" s="6"/>
      <c r="OTM41" s="6"/>
      <c r="OTN41" s="6"/>
      <c r="OTO41" s="6"/>
      <c r="OTP41" s="6"/>
      <c r="OTQ41" s="6"/>
      <c r="OTR41" s="6"/>
      <c r="OTS41" s="6"/>
      <c r="OTT41" s="6"/>
      <c r="OTU41" s="6"/>
      <c r="OTV41" s="6"/>
      <c r="OTW41" s="6"/>
      <c r="OTX41" s="6"/>
      <c r="OTY41" s="6"/>
      <c r="OTZ41" s="6"/>
      <c r="OUA41" s="6"/>
      <c r="OUB41" s="6"/>
      <c r="OUC41" s="6"/>
      <c r="OUD41" s="6"/>
      <c r="OUE41" s="6"/>
      <c r="OUF41" s="6"/>
      <c r="OUG41" s="6"/>
      <c r="OUH41" s="6"/>
      <c r="OUI41" s="6"/>
      <c r="OUJ41" s="6"/>
      <c r="OUK41" s="6"/>
      <c r="OUL41" s="6"/>
      <c r="OUM41" s="6"/>
      <c r="OUN41" s="6"/>
      <c r="OUO41" s="6"/>
      <c r="OUP41" s="6"/>
      <c r="OUQ41" s="6"/>
      <c r="OUR41" s="6"/>
      <c r="OUS41" s="6"/>
      <c r="OUT41" s="6"/>
      <c r="OUU41" s="6"/>
      <c r="OUV41" s="6"/>
      <c r="OUW41" s="6"/>
      <c r="OUX41" s="6"/>
      <c r="OUY41" s="6"/>
      <c r="OUZ41" s="6"/>
      <c r="OVA41" s="6"/>
      <c r="OVB41" s="6"/>
      <c r="OVC41" s="6"/>
      <c r="OVD41" s="6"/>
      <c r="OVE41" s="6"/>
      <c r="OVF41" s="6"/>
      <c r="OVG41" s="6"/>
      <c r="OVH41" s="6"/>
      <c r="OVI41" s="6"/>
      <c r="OVJ41" s="6"/>
      <c r="OVK41" s="6"/>
      <c r="OVL41" s="6"/>
      <c r="OVM41" s="6"/>
      <c r="OVN41" s="6"/>
      <c r="OVO41" s="6"/>
      <c r="OVP41" s="6"/>
      <c r="OVQ41" s="6"/>
      <c r="OVR41" s="6"/>
      <c r="OVS41" s="6"/>
      <c r="OVT41" s="6"/>
      <c r="OVU41" s="6"/>
      <c r="OVV41" s="6"/>
      <c r="OVW41" s="6"/>
      <c r="OVX41" s="6"/>
      <c r="OVY41" s="6"/>
      <c r="OVZ41" s="6"/>
      <c r="OWA41" s="6"/>
      <c r="OWB41" s="6"/>
      <c r="OWC41" s="6"/>
      <c r="OWD41" s="6"/>
      <c r="OWE41" s="6"/>
      <c r="OWF41" s="6"/>
      <c r="OWG41" s="6"/>
      <c r="OWH41" s="6"/>
      <c r="OWI41" s="6"/>
      <c r="OWJ41" s="6"/>
      <c r="OWK41" s="6"/>
      <c r="OWL41" s="6"/>
      <c r="OWM41" s="6"/>
      <c r="OWN41" s="6"/>
      <c r="OWO41" s="6"/>
      <c r="OWP41" s="6"/>
      <c r="OWQ41" s="6"/>
      <c r="OWR41" s="6"/>
      <c r="OWS41" s="6"/>
      <c r="OWT41" s="6"/>
      <c r="OWU41" s="6"/>
      <c r="OWV41" s="6"/>
      <c r="OWW41" s="6"/>
      <c r="OWX41" s="6"/>
      <c r="OWY41" s="6"/>
      <c r="OWZ41" s="6"/>
      <c r="OXA41" s="6"/>
      <c r="OXB41" s="6"/>
      <c r="OXC41" s="6"/>
      <c r="OXD41" s="6"/>
      <c r="OXE41" s="6"/>
      <c r="OXF41" s="6"/>
      <c r="OXG41" s="6"/>
      <c r="OXH41" s="6"/>
      <c r="OXI41" s="6"/>
      <c r="OXJ41" s="6"/>
      <c r="OXK41" s="6"/>
      <c r="OXL41" s="6"/>
      <c r="OXM41" s="6"/>
      <c r="OXN41" s="6"/>
      <c r="OXO41" s="6"/>
      <c r="OXP41" s="6"/>
      <c r="OXQ41" s="6"/>
      <c r="OXR41" s="6"/>
      <c r="OXS41" s="6"/>
      <c r="OXT41" s="6"/>
      <c r="OXU41" s="6"/>
      <c r="OXV41" s="6"/>
      <c r="OXW41" s="6"/>
      <c r="OXX41" s="6"/>
      <c r="OXY41" s="6"/>
      <c r="OXZ41" s="6"/>
      <c r="OYA41" s="6"/>
      <c r="OYB41" s="6"/>
      <c r="OYC41" s="6"/>
      <c r="OYD41" s="6"/>
      <c r="OYE41" s="6"/>
      <c r="OYF41" s="6"/>
      <c r="OYG41" s="6"/>
      <c r="OYH41" s="6"/>
      <c r="OYI41" s="6"/>
      <c r="OYJ41" s="6"/>
      <c r="OYK41" s="6"/>
      <c r="OYL41" s="6"/>
      <c r="OYM41" s="6"/>
      <c r="OYN41" s="6"/>
      <c r="OYO41" s="6"/>
      <c r="OYP41" s="6"/>
      <c r="OYQ41" s="6"/>
      <c r="OYR41" s="6"/>
      <c r="OYS41" s="6"/>
      <c r="OYT41" s="6"/>
      <c r="OYU41" s="6"/>
      <c r="OYV41" s="6"/>
      <c r="OYW41" s="6"/>
      <c r="OYX41" s="6"/>
      <c r="OYY41" s="6"/>
      <c r="OYZ41" s="6"/>
      <c r="OZA41" s="6"/>
      <c r="OZB41" s="6"/>
      <c r="OZC41" s="6"/>
      <c r="OZD41" s="6"/>
      <c r="OZE41" s="6"/>
      <c r="OZF41" s="6"/>
      <c r="OZG41" s="6"/>
      <c r="OZH41" s="6"/>
      <c r="OZI41" s="6"/>
      <c r="OZJ41" s="6"/>
      <c r="OZK41" s="6"/>
      <c r="OZL41" s="6"/>
      <c r="OZM41" s="6"/>
      <c r="OZN41" s="6"/>
      <c r="OZO41" s="6"/>
      <c r="OZP41" s="6"/>
      <c r="OZQ41" s="6"/>
      <c r="OZR41" s="6"/>
      <c r="OZS41" s="6"/>
      <c r="OZT41" s="6"/>
      <c r="OZU41" s="6"/>
      <c r="OZV41" s="6"/>
      <c r="OZW41" s="6"/>
      <c r="OZX41" s="6"/>
      <c r="OZY41" s="6"/>
      <c r="OZZ41" s="6"/>
      <c r="PAA41" s="6"/>
      <c r="PAB41" s="6"/>
      <c r="PAC41" s="6"/>
      <c r="PAD41" s="6"/>
      <c r="PAE41" s="6"/>
      <c r="PAF41" s="6"/>
      <c r="PAG41" s="6"/>
      <c r="PAH41" s="6"/>
      <c r="PAI41" s="6"/>
      <c r="PAJ41" s="6"/>
      <c r="PAK41" s="6"/>
      <c r="PAL41" s="6"/>
      <c r="PAM41" s="6"/>
      <c r="PAN41" s="6"/>
      <c r="PAO41" s="6"/>
      <c r="PAP41" s="6"/>
      <c r="PAQ41" s="6"/>
      <c r="PAR41" s="6"/>
      <c r="PAS41" s="6"/>
      <c r="PAT41" s="6"/>
      <c r="PAU41" s="6"/>
      <c r="PAV41" s="6"/>
      <c r="PAW41" s="6"/>
      <c r="PAX41" s="6"/>
      <c r="PAY41" s="6"/>
      <c r="PAZ41" s="6"/>
      <c r="PBA41" s="6"/>
      <c r="PBB41" s="6"/>
      <c r="PBC41" s="6"/>
      <c r="PBD41" s="6"/>
      <c r="PBE41" s="6"/>
      <c r="PBF41" s="6"/>
      <c r="PBG41" s="6"/>
      <c r="PBH41" s="6"/>
      <c r="PBI41" s="6"/>
      <c r="PBJ41" s="6"/>
      <c r="PBK41" s="6"/>
      <c r="PBL41" s="6"/>
      <c r="PBM41" s="6"/>
      <c r="PBN41" s="6"/>
      <c r="PBO41" s="6"/>
      <c r="PBP41" s="6"/>
      <c r="PBQ41" s="6"/>
      <c r="PBR41" s="6"/>
      <c r="PBS41" s="6"/>
      <c r="PBT41" s="6"/>
      <c r="PBU41" s="6"/>
      <c r="PBV41" s="6"/>
      <c r="PBW41" s="6"/>
      <c r="PBX41" s="6"/>
      <c r="PBY41" s="6"/>
      <c r="PBZ41" s="6"/>
      <c r="PCA41" s="6"/>
      <c r="PCB41" s="6"/>
      <c r="PCC41" s="6"/>
      <c r="PCD41" s="6"/>
      <c r="PCE41" s="6"/>
      <c r="PCF41" s="6"/>
      <c r="PCG41" s="6"/>
      <c r="PCH41" s="6"/>
      <c r="PCI41" s="6"/>
      <c r="PCJ41" s="6"/>
      <c r="PCK41" s="6"/>
      <c r="PCL41" s="6"/>
      <c r="PCM41" s="6"/>
      <c r="PCN41" s="6"/>
      <c r="PCO41" s="6"/>
      <c r="PCP41" s="6"/>
      <c r="PCQ41" s="6"/>
      <c r="PCR41" s="6"/>
      <c r="PCS41" s="6"/>
      <c r="PCT41" s="6"/>
      <c r="PCU41" s="6"/>
      <c r="PCV41" s="6"/>
      <c r="PCW41" s="6"/>
      <c r="PCX41" s="6"/>
      <c r="PCY41" s="6"/>
      <c r="PCZ41" s="6"/>
      <c r="PDA41" s="6"/>
      <c r="PDB41" s="6"/>
      <c r="PDC41" s="6"/>
      <c r="PDD41" s="6"/>
      <c r="PDE41" s="6"/>
      <c r="PDF41" s="6"/>
      <c r="PDG41" s="6"/>
      <c r="PDH41" s="6"/>
      <c r="PDI41" s="6"/>
      <c r="PDJ41" s="6"/>
      <c r="PDK41" s="6"/>
      <c r="PDL41" s="6"/>
      <c r="PDM41" s="6"/>
      <c r="PDN41" s="6"/>
      <c r="PDO41" s="6"/>
      <c r="PDP41" s="6"/>
      <c r="PDQ41" s="6"/>
      <c r="PDR41" s="6"/>
      <c r="PDS41" s="6"/>
      <c r="PDT41" s="6"/>
      <c r="PDU41" s="6"/>
      <c r="PDV41" s="6"/>
      <c r="PDW41" s="6"/>
      <c r="PDX41" s="6"/>
      <c r="PDY41" s="6"/>
      <c r="PDZ41" s="6"/>
      <c r="PEA41" s="6"/>
      <c r="PEB41" s="6"/>
      <c r="PEC41" s="6"/>
      <c r="PED41" s="6"/>
      <c r="PEE41" s="6"/>
      <c r="PEF41" s="6"/>
      <c r="PEG41" s="6"/>
      <c r="PEH41" s="6"/>
      <c r="PEI41" s="6"/>
      <c r="PEJ41" s="6"/>
      <c r="PEK41" s="6"/>
      <c r="PEL41" s="6"/>
      <c r="PEM41" s="6"/>
      <c r="PEN41" s="6"/>
      <c r="PEO41" s="6"/>
      <c r="PEP41" s="6"/>
      <c r="PEQ41" s="6"/>
      <c r="PER41" s="6"/>
      <c r="PES41" s="6"/>
      <c r="PET41" s="6"/>
      <c r="PEU41" s="6"/>
      <c r="PEV41" s="6"/>
      <c r="PEW41" s="6"/>
      <c r="PEX41" s="6"/>
      <c r="PEY41" s="6"/>
      <c r="PEZ41" s="6"/>
      <c r="PFA41" s="6"/>
      <c r="PFB41" s="6"/>
      <c r="PFC41" s="6"/>
      <c r="PFD41" s="6"/>
      <c r="PFE41" s="6"/>
      <c r="PFF41" s="6"/>
      <c r="PFG41" s="6"/>
      <c r="PFH41" s="6"/>
      <c r="PFI41" s="6"/>
      <c r="PFJ41" s="6"/>
      <c r="PFK41" s="6"/>
      <c r="PFL41" s="6"/>
      <c r="PFM41" s="6"/>
      <c r="PFN41" s="6"/>
      <c r="PFO41" s="6"/>
      <c r="PFP41" s="6"/>
      <c r="PFQ41" s="6"/>
      <c r="PFR41" s="6"/>
      <c r="PFS41" s="6"/>
      <c r="PFT41" s="6"/>
      <c r="PFU41" s="6"/>
      <c r="PFV41" s="6"/>
      <c r="PFW41" s="6"/>
      <c r="PFX41" s="6"/>
      <c r="PFY41" s="6"/>
      <c r="PFZ41" s="6"/>
      <c r="PGA41" s="6"/>
      <c r="PGB41" s="6"/>
      <c r="PGC41" s="6"/>
      <c r="PGD41" s="6"/>
      <c r="PGE41" s="6"/>
      <c r="PGF41" s="6"/>
      <c r="PGG41" s="6"/>
      <c r="PGH41" s="6"/>
      <c r="PGI41" s="6"/>
      <c r="PGJ41" s="6"/>
      <c r="PGK41" s="6"/>
      <c r="PGL41" s="6"/>
      <c r="PGM41" s="6"/>
      <c r="PGN41" s="6"/>
      <c r="PGO41" s="6"/>
      <c r="PGP41" s="6"/>
      <c r="PGQ41" s="6"/>
      <c r="PGR41" s="6"/>
      <c r="PGS41" s="6"/>
      <c r="PGT41" s="6"/>
      <c r="PGU41" s="6"/>
      <c r="PGV41" s="6"/>
      <c r="PGW41" s="6"/>
      <c r="PGX41" s="6"/>
      <c r="PGY41" s="6"/>
      <c r="PGZ41" s="6"/>
      <c r="PHA41" s="6"/>
      <c r="PHB41" s="6"/>
      <c r="PHC41" s="6"/>
      <c r="PHD41" s="6"/>
      <c r="PHE41" s="6"/>
      <c r="PHF41" s="6"/>
      <c r="PHG41" s="6"/>
      <c r="PHH41" s="6"/>
      <c r="PHI41" s="6"/>
      <c r="PHJ41" s="6"/>
      <c r="PHK41" s="6"/>
      <c r="PHL41" s="6"/>
      <c r="PHM41" s="6"/>
      <c r="PHN41" s="6"/>
      <c r="PHO41" s="6"/>
      <c r="PHP41" s="6"/>
      <c r="PHQ41" s="6"/>
      <c r="PHR41" s="6"/>
      <c r="PHS41" s="6"/>
      <c r="PHT41" s="6"/>
      <c r="PHU41" s="6"/>
      <c r="PHV41" s="6"/>
      <c r="PHW41" s="6"/>
      <c r="PHX41" s="6"/>
      <c r="PHY41" s="6"/>
      <c r="PHZ41" s="6"/>
      <c r="PIA41" s="6"/>
      <c r="PIB41" s="6"/>
      <c r="PIC41" s="6"/>
      <c r="PID41" s="6"/>
      <c r="PIE41" s="6"/>
      <c r="PIF41" s="6"/>
      <c r="PIG41" s="6"/>
      <c r="PIH41" s="6"/>
      <c r="PII41" s="6"/>
      <c r="PIJ41" s="6"/>
      <c r="PIK41" s="6"/>
      <c r="PIL41" s="6"/>
      <c r="PIM41" s="6"/>
      <c r="PIN41" s="6"/>
      <c r="PIO41" s="6"/>
      <c r="PIP41" s="6"/>
      <c r="PIQ41" s="6"/>
      <c r="PIR41" s="6"/>
      <c r="PIS41" s="6"/>
      <c r="PIT41" s="6"/>
      <c r="PIU41" s="6"/>
      <c r="PIV41" s="6"/>
      <c r="PIW41" s="6"/>
      <c r="PIX41" s="6"/>
      <c r="PIY41" s="6"/>
      <c r="PIZ41" s="6"/>
      <c r="PJA41" s="6"/>
      <c r="PJB41" s="6"/>
      <c r="PJC41" s="6"/>
      <c r="PJD41" s="6"/>
      <c r="PJE41" s="6"/>
      <c r="PJF41" s="6"/>
      <c r="PJG41" s="6"/>
      <c r="PJH41" s="6"/>
      <c r="PJI41" s="6"/>
      <c r="PJJ41" s="6"/>
      <c r="PJK41" s="6"/>
      <c r="PJL41" s="6"/>
      <c r="PJM41" s="6"/>
      <c r="PJN41" s="6"/>
      <c r="PJO41" s="6"/>
      <c r="PJP41" s="6"/>
      <c r="PJQ41" s="6"/>
      <c r="PJR41" s="6"/>
      <c r="PJS41" s="6"/>
      <c r="PJT41" s="6"/>
      <c r="PJU41" s="6"/>
      <c r="PJV41" s="6"/>
      <c r="PJW41" s="6"/>
      <c r="PJX41" s="6"/>
      <c r="PJY41" s="6"/>
      <c r="PJZ41" s="6"/>
      <c r="PKA41" s="6"/>
      <c r="PKB41" s="6"/>
      <c r="PKC41" s="6"/>
      <c r="PKD41" s="6"/>
      <c r="PKE41" s="6"/>
      <c r="PKF41" s="6"/>
      <c r="PKG41" s="6"/>
      <c r="PKH41" s="6"/>
      <c r="PKI41" s="6"/>
      <c r="PKJ41" s="6"/>
      <c r="PKK41" s="6"/>
      <c r="PKL41" s="6"/>
      <c r="PKM41" s="6"/>
      <c r="PKN41" s="6"/>
      <c r="PKO41" s="6"/>
      <c r="PKP41" s="6"/>
      <c r="PKQ41" s="6"/>
      <c r="PKR41" s="6"/>
      <c r="PKS41" s="6"/>
      <c r="PKT41" s="6"/>
      <c r="PKU41" s="6"/>
      <c r="PKV41" s="6"/>
      <c r="PKW41" s="6"/>
      <c r="PKX41" s="6"/>
      <c r="PKY41" s="6"/>
      <c r="PKZ41" s="6"/>
      <c r="PLA41" s="6"/>
      <c r="PLB41" s="6"/>
      <c r="PLC41" s="6"/>
      <c r="PLD41" s="6"/>
      <c r="PLE41" s="6"/>
      <c r="PLF41" s="6"/>
      <c r="PLG41" s="6"/>
      <c r="PLH41" s="6"/>
      <c r="PLI41" s="6"/>
      <c r="PLJ41" s="6"/>
      <c r="PLK41" s="6"/>
      <c r="PLL41" s="6"/>
      <c r="PLM41" s="6"/>
      <c r="PLN41" s="6"/>
      <c r="PLO41" s="6"/>
      <c r="PLP41" s="6"/>
      <c r="PLQ41" s="6"/>
      <c r="PLR41" s="6"/>
      <c r="PLS41" s="6"/>
      <c r="PLT41" s="6"/>
      <c r="PLU41" s="6"/>
      <c r="PLV41" s="6"/>
      <c r="PLW41" s="6"/>
      <c r="PLX41" s="6"/>
      <c r="PLY41" s="6"/>
      <c r="PLZ41" s="6"/>
      <c r="PMA41" s="6"/>
      <c r="PMB41" s="6"/>
      <c r="PMC41" s="6"/>
      <c r="PMD41" s="6"/>
      <c r="PME41" s="6"/>
      <c r="PMF41" s="6"/>
      <c r="PMG41" s="6"/>
      <c r="PMH41" s="6"/>
      <c r="PMI41" s="6"/>
      <c r="PMJ41" s="6"/>
      <c r="PMK41" s="6"/>
      <c r="PML41" s="6"/>
      <c r="PMM41" s="6"/>
      <c r="PMN41" s="6"/>
      <c r="PMO41" s="6"/>
      <c r="PMP41" s="6"/>
      <c r="PMQ41" s="6"/>
      <c r="PMR41" s="6"/>
      <c r="PMS41" s="6"/>
      <c r="PMT41" s="6"/>
      <c r="PMU41" s="6"/>
      <c r="PMV41" s="6"/>
      <c r="PMW41" s="6"/>
      <c r="PMX41" s="6"/>
      <c r="PMY41" s="6"/>
      <c r="PMZ41" s="6"/>
      <c r="PNA41" s="6"/>
      <c r="PNB41" s="6"/>
      <c r="PNC41" s="6"/>
      <c r="PND41" s="6"/>
      <c r="PNE41" s="6"/>
      <c r="PNF41" s="6"/>
      <c r="PNG41" s="6"/>
      <c r="PNH41" s="6"/>
      <c r="PNI41" s="6"/>
      <c r="PNJ41" s="6"/>
      <c r="PNK41" s="6"/>
      <c r="PNL41" s="6"/>
      <c r="PNM41" s="6"/>
      <c r="PNN41" s="6"/>
      <c r="PNO41" s="6"/>
      <c r="PNP41" s="6"/>
      <c r="PNQ41" s="6"/>
      <c r="PNR41" s="6"/>
      <c r="PNS41" s="6"/>
      <c r="PNT41" s="6"/>
      <c r="PNU41" s="6"/>
      <c r="PNV41" s="6"/>
      <c r="PNW41" s="6"/>
      <c r="PNX41" s="6"/>
      <c r="PNY41" s="6"/>
      <c r="PNZ41" s="6"/>
      <c r="POA41" s="6"/>
      <c r="POB41" s="6"/>
      <c r="POC41" s="6"/>
      <c r="POD41" s="6"/>
      <c r="POE41" s="6"/>
      <c r="POF41" s="6"/>
      <c r="POG41" s="6"/>
      <c r="POH41" s="6"/>
      <c r="POI41" s="6"/>
      <c r="POJ41" s="6"/>
      <c r="POK41" s="6"/>
      <c r="POL41" s="6"/>
      <c r="POM41" s="6"/>
      <c r="PON41" s="6"/>
      <c r="POO41" s="6"/>
      <c r="POP41" s="6"/>
      <c r="POQ41" s="6"/>
      <c r="POR41" s="6"/>
      <c r="POS41" s="6"/>
      <c r="POT41" s="6"/>
      <c r="POU41" s="6"/>
      <c r="POV41" s="6"/>
      <c r="POW41" s="6"/>
      <c r="POX41" s="6"/>
      <c r="POY41" s="6"/>
      <c r="POZ41" s="6"/>
      <c r="PPA41" s="6"/>
      <c r="PPB41" s="6"/>
      <c r="PPC41" s="6"/>
      <c r="PPD41" s="6"/>
      <c r="PPE41" s="6"/>
      <c r="PPF41" s="6"/>
      <c r="PPG41" s="6"/>
      <c r="PPH41" s="6"/>
      <c r="PPI41" s="6"/>
      <c r="PPJ41" s="6"/>
      <c r="PPK41" s="6"/>
      <c r="PPL41" s="6"/>
      <c r="PPM41" s="6"/>
      <c r="PPN41" s="6"/>
      <c r="PPO41" s="6"/>
      <c r="PPP41" s="6"/>
      <c r="PPQ41" s="6"/>
      <c r="PPR41" s="6"/>
      <c r="PPS41" s="6"/>
      <c r="PPT41" s="6"/>
      <c r="PPU41" s="6"/>
      <c r="PPV41" s="6"/>
      <c r="PPW41" s="6"/>
      <c r="PPX41" s="6"/>
      <c r="PPY41" s="6"/>
      <c r="PPZ41" s="6"/>
      <c r="PQA41" s="6"/>
      <c r="PQB41" s="6"/>
      <c r="PQC41" s="6"/>
      <c r="PQD41" s="6"/>
      <c r="PQE41" s="6"/>
      <c r="PQF41" s="6"/>
      <c r="PQG41" s="6"/>
      <c r="PQH41" s="6"/>
      <c r="PQI41" s="6"/>
      <c r="PQJ41" s="6"/>
      <c r="PQK41" s="6"/>
      <c r="PQL41" s="6"/>
      <c r="PQM41" s="6"/>
      <c r="PQN41" s="6"/>
      <c r="PQO41" s="6"/>
      <c r="PQP41" s="6"/>
      <c r="PQQ41" s="6"/>
      <c r="PQR41" s="6"/>
      <c r="PQS41" s="6"/>
      <c r="PQT41" s="6"/>
      <c r="PQU41" s="6"/>
      <c r="PQV41" s="6"/>
      <c r="PQW41" s="6"/>
      <c r="PQX41" s="6"/>
      <c r="PQY41" s="6"/>
      <c r="PQZ41" s="6"/>
      <c r="PRA41" s="6"/>
      <c r="PRB41" s="6"/>
      <c r="PRC41" s="6"/>
      <c r="PRD41" s="6"/>
      <c r="PRE41" s="6"/>
      <c r="PRF41" s="6"/>
      <c r="PRG41" s="6"/>
      <c r="PRH41" s="6"/>
      <c r="PRI41" s="6"/>
      <c r="PRJ41" s="6"/>
      <c r="PRK41" s="6"/>
      <c r="PRL41" s="6"/>
      <c r="PRM41" s="6"/>
      <c r="PRN41" s="6"/>
      <c r="PRO41" s="6"/>
      <c r="PRP41" s="6"/>
      <c r="PRQ41" s="6"/>
      <c r="PRR41" s="6"/>
      <c r="PRS41" s="6"/>
      <c r="PRT41" s="6"/>
      <c r="PRU41" s="6"/>
      <c r="PRV41" s="6"/>
      <c r="PRW41" s="6"/>
      <c r="PRX41" s="6"/>
      <c r="PRY41" s="6"/>
      <c r="PRZ41" s="6"/>
      <c r="PSA41" s="6"/>
      <c r="PSB41" s="6"/>
      <c r="PSC41" s="6"/>
      <c r="PSD41" s="6"/>
      <c r="PSE41" s="6"/>
      <c r="PSF41" s="6"/>
      <c r="PSG41" s="6"/>
      <c r="PSH41" s="6"/>
      <c r="PSI41" s="6"/>
      <c r="PSJ41" s="6"/>
      <c r="PSK41" s="6"/>
      <c r="PSL41" s="6"/>
      <c r="PSM41" s="6"/>
      <c r="PSN41" s="6"/>
      <c r="PSO41" s="6"/>
      <c r="PSP41" s="6"/>
      <c r="PSQ41" s="6"/>
      <c r="PSR41" s="6"/>
      <c r="PSS41" s="6"/>
      <c r="PST41" s="6"/>
      <c r="PSU41" s="6"/>
      <c r="PSV41" s="6"/>
      <c r="PSW41" s="6"/>
      <c r="PSX41" s="6"/>
      <c r="PSY41" s="6"/>
      <c r="PSZ41" s="6"/>
      <c r="PTA41" s="6"/>
      <c r="PTB41" s="6"/>
      <c r="PTC41" s="6"/>
      <c r="PTD41" s="6"/>
      <c r="PTE41" s="6"/>
      <c r="PTF41" s="6"/>
      <c r="PTG41" s="6"/>
      <c r="PTH41" s="6"/>
      <c r="PTI41" s="6"/>
      <c r="PTJ41" s="6"/>
      <c r="PTK41" s="6"/>
      <c r="PTL41" s="6"/>
      <c r="PTM41" s="6"/>
      <c r="PTN41" s="6"/>
      <c r="PTO41" s="6"/>
      <c r="PTP41" s="6"/>
      <c r="PTQ41" s="6"/>
      <c r="PTR41" s="6"/>
      <c r="PTS41" s="6"/>
      <c r="PTT41" s="6"/>
      <c r="PTU41" s="6"/>
      <c r="PTV41" s="6"/>
      <c r="PTW41" s="6"/>
      <c r="PTX41" s="6"/>
      <c r="PTY41" s="6"/>
      <c r="PTZ41" s="6"/>
      <c r="PUA41" s="6"/>
      <c r="PUB41" s="6"/>
      <c r="PUC41" s="6"/>
      <c r="PUD41" s="6"/>
      <c r="PUE41" s="6"/>
      <c r="PUF41" s="6"/>
      <c r="PUG41" s="6"/>
      <c r="PUH41" s="6"/>
      <c r="PUI41" s="6"/>
      <c r="PUJ41" s="6"/>
      <c r="PUK41" s="6"/>
      <c r="PUL41" s="6"/>
      <c r="PUM41" s="6"/>
      <c r="PUN41" s="6"/>
      <c r="PUO41" s="6"/>
      <c r="PUP41" s="6"/>
      <c r="PUQ41" s="6"/>
      <c r="PUR41" s="6"/>
      <c r="PUS41" s="6"/>
      <c r="PUT41" s="6"/>
      <c r="PUU41" s="6"/>
      <c r="PUV41" s="6"/>
      <c r="PUW41" s="6"/>
      <c r="PUX41" s="6"/>
      <c r="PUY41" s="6"/>
      <c r="PUZ41" s="6"/>
      <c r="PVA41" s="6"/>
      <c r="PVB41" s="6"/>
      <c r="PVC41" s="6"/>
      <c r="PVD41" s="6"/>
      <c r="PVE41" s="6"/>
      <c r="PVF41" s="6"/>
      <c r="PVG41" s="6"/>
      <c r="PVH41" s="6"/>
      <c r="PVI41" s="6"/>
      <c r="PVJ41" s="6"/>
      <c r="PVK41" s="6"/>
      <c r="PVL41" s="6"/>
      <c r="PVM41" s="6"/>
      <c r="PVN41" s="6"/>
      <c r="PVO41" s="6"/>
      <c r="PVP41" s="6"/>
      <c r="PVQ41" s="6"/>
      <c r="PVR41" s="6"/>
      <c r="PVS41" s="6"/>
      <c r="PVT41" s="6"/>
      <c r="PVU41" s="6"/>
      <c r="PVV41" s="6"/>
      <c r="PVW41" s="6"/>
      <c r="PVX41" s="6"/>
      <c r="PVY41" s="6"/>
      <c r="PVZ41" s="6"/>
      <c r="PWA41" s="6"/>
      <c r="PWB41" s="6"/>
      <c r="PWC41" s="6"/>
      <c r="PWD41" s="6"/>
      <c r="PWE41" s="6"/>
      <c r="PWF41" s="6"/>
      <c r="PWG41" s="6"/>
      <c r="PWH41" s="6"/>
      <c r="PWI41" s="6"/>
      <c r="PWJ41" s="6"/>
      <c r="PWK41" s="6"/>
      <c r="PWL41" s="6"/>
      <c r="PWM41" s="6"/>
      <c r="PWN41" s="6"/>
      <c r="PWO41" s="6"/>
      <c r="PWP41" s="6"/>
      <c r="PWQ41" s="6"/>
      <c r="PWR41" s="6"/>
      <c r="PWS41" s="6"/>
      <c r="PWT41" s="6"/>
      <c r="PWU41" s="6"/>
      <c r="PWV41" s="6"/>
      <c r="PWW41" s="6"/>
      <c r="PWX41" s="6"/>
      <c r="PWY41" s="6"/>
      <c r="PWZ41" s="6"/>
      <c r="PXA41" s="6"/>
      <c r="PXB41" s="6"/>
      <c r="PXC41" s="6"/>
      <c r="PXD41" s="6"/>
      <c r="PXE41" s="6"/>
      <c r="PXF41" s="6"/>
      <c r="PXG41" s="6"/>
      <c r="PXH41" s="6"/>
      <c r="PXI41" s="6"/>
      <c r="PXJ41" s="6"/>
      <c r="PXK41" s="6"/>
      <c r="PXL41" s="6"/>
      <c r="PXM41" s="6"/>
      <c r="PXN41" s="6"/>
      <c r="PXO41" s="6"/>
      <c r="PXP41" s="6"/>
      <c r="PXQ41" s="6"/>
      <c r="PXR41" s="6"/>
      <c r="PXS41" s="6"/>
      <c r="PXT41" s="6"/>
      <c r="PXU41" s="6"/>
      <c r="PXV41" s="6"/>
      <c r="PXW41" s="6"/>
      <c r="PXX41" s="6"/>
      <c r="PXY41" s="6"/>
      <c r="PXZ41" s="6"/>
      <c r="PYA41" s="6"/>
      <c r="PYB41" s="6"/>
      <c r="PYC41" s="6"/>
      <c r="PYD41" s="6"/>
      <c r="PYE41" s="6"/>
      <c r="PYF41" s="6"/>
      <c r="PYG41" s="6"/>
      <c r="PYH41" s="6"/>
      <c r="PYI41" s="6"/>
      <c r="PYJ41" s="6"/>
      <c r="PYK41" s="6"/>
      <c r="PYL41" s="6"/>
      <c r="PYM41" s="6"/>
      <c r="PYN41" s="6"/>
      <c r="PYO41" s="6"/>
      <c r="PYP41" s="6"/>
      <c r="PYQ41" s="6"/>
      <c r="PYR41" s="6"/>
      <c r="PYS41" s="6"/>
      <c r="PYT41" s="6"/>
      <c r="PYU41" s="6"/>
      <c r="PYV41" s="6"/>
      <c r="PYW41" s="6"/>
      <c r="PYX41" s="6"/>
      <c r="PYY41" s="6"/>
      <c r="PYZ41" s="6"/>
      <c r="PZA41" s="6"/>
      <c r="PZB41" s="6"/>
      <c r="PZC41" s="6"/>
      <c r="PZD41" s="6"/>
      <c r="PZE41" s="6"/>
      <c r="PZF41" s="6"/>
      <c r="PZG41" s="6"/>
      <c r="PZH41" s="6"/>
      <c r="PZI41" s="6"/>
      <c r="PZJ41" s="6"/>
      <c r="PZK41" s="6"/>
      <c r="PZL41" s="6"/>
      <c r="PZM41" s="6"/>
      <c r="PZN41" s="6"/>
      <c r="PZO41" s="6"/>
      <c r="PZP41" s="6"/>
      <c r="PZQ41" s="6"/>
      <c r="PZR41" s="6"/>
      <c r="PZS41" s="6"/>
      <c r="PZT41" s="6"/>
      <c r="PZU41" s="6"/>
      <c r="PZV41" s="6"/>
      <c r="PZW41" s="6"/>
      <c r="PZX41" s="6"/>
      <c r="PZY41" s="6"/>
      <c r="PZZ41" s="6"/>
      <c r="QAA41" s="6"/>
      <c r="QAB41" s="6"/>
      <c r="QAC41" s="6"/>
      <c r="QAD41" s="6"/>
      <c r="QAE41" s="6"/>
      <c r="QAF41" s="6"/>
      <c r="QAG41" s="6"/>
      <c r="QAH41" s="6"/>
      <c r="QAI41" s="6"/>
      <c r="QAJ41" s="6"/>
      <c r="QAK41" s="6"/>
      <c r="QAL41" s="6"/>
      <c r="QAM41" s="6"/>
      <c r="QAN41" s="6"/>
      <c r="QAO41" s="6"/>
      <c r="QAP41" s="6"/>
      <c r="QAQ41" s="6"/>
      <c r="QAR41" s="6"/>
      <c r="QAS41" s="6"/>
      <c r="QAT41" s="6"/>
      <c r="QAU41" s="6"/>
      <c r="QAV41" s="6"/>
      <c r="QAW41" s="6"/>
      <c r="QAX41" s="6"/>
      <c r="QAY41" s="6"/>
      <c r="QAZ41" s="6"/>
      <c r="QBA41" s="6"/>
      <c r="QBB41" s="6"/>
      <c r="QBC41" s="6"/>
      <c r="QBD41" s="6"/>
      <c r="QBE41" s="6"/>
      <c r="QBF41" s="6"/>
      <c r="QBG41" s="6"/>
      <c r="QBH41" s="6"/>
      <c r="QBI41" s="6"/>
      <c r="QBJ41" s="6"/>
      <c r="QBK41" s="6"/>
      <c r="QBL41" s="6"/>
      <c r="QBM41" s="6"/>
      <c r="QBN41" s="6"/>
      <c r="QBO41" s="6"/>
      <c r="QBP41" s="6"/>
      <c r="QBQ41" s="6"/>
      <c r="QBR41" s="6"/>
      <c r="QBS41" s="6"/>
      <c r="QBT41" s="6"/>
      <c r="QBU41" s="6"/>
      <c r="QBV41" s="6"/>
      <c r="QBW41" s="6"/>
      <c r="QBX41" s="6"/>
      <c r="QBY41" s="6"/>
      <c r="QBZ41" s="6"/>
      <c r="QCA41" s="6"/>
      <c r="QCB41" s="6"/>
      <c r="QCC41" s="6"/>
      <c r="QCD41" s="6"/>
      <c r="QCE41" s="6"/>
      <c r="QCF41" s="6"/>
      <c r="QCG41" s="6"/>
      <c r="QCH41" s="6"/>
      <c r="QCI41" s="6"/>
      <c r="QCJ41" s="6"/>
      <c r="QCK41" s="6"/>
      <c r="QCL41" s="6"/>
      <c r="QCM41" s="6"/>
      <c r="QCN41" s="6"/>
      <c r="QCO41" s="6"/>
      <c r="QCP41" s="6"/>
      <c r="QCQ41" s="6"/>
      <c r="QCR41" s="6"/>
      <c r="QCS41" s="6"/>
      <c r="QCT41" s="6"/>
      <c r="QCU41" s="6"/>
      <c r="QCV41" s="6"/>
      <c r="QCW41" s="6"/>
      <c r="QCX41" s="6"/>
      <c r="QCY41" s="6"/>
      <c r="QCZ41" s="6"/>
      <c r="QDA41" s="6"/>
      <c r="QDB41" s="6"/>
      <c r="QDC41" s="6"/>
      <c r="QDD41" s="6"/>
      <c r="QDE41" s="6"/>
      <c r="QDF41" s="6"/>
      <c r="QDG41" s="6"/>
      <c r="QDH41" s="6"/>
      <c r="QDI41" s="6"/>
      <c r="QDJ41" s="6"/>
      <c r="QDK41" s="6"/>
      <c r="QDL41" s="6"/>
      <c r="QDM41" s="6"/>
      <c r="QDN41" s="6"/>
      <c r="QDO41" s="6"/>
      <c r="QDP41" s="6"/>
      <c r="QDQ41" s="6"/>
      <c r="QDR41" s="6"/>
      <c r="QDS41" s="6"/>
      <c r="QDT41" s="6"/>
      <c r="QDU41" s="6"/>
      <c r="QDV41" s="6"/>
      <c r="QDW41" s="6"/>
      <c r="QDX41" s="6"/>
      <c r="QDY41" s="6"/>
      <c r="QDZ41" s="6"/>
      <c r="QEA41" s="6"/>
      <c r="QEB41" s="6"/>
      <c r="QEC41" s="6"/>
      <c r="QED41" s="6"/>
      <c r="QEE41" s="6"/>
      <c r="QEF41" s="6"/>
      <c r="QEG41" s="6"/>
      <c r="QEH41" s="6"/>
      <c r="QEI41" s="6"/>
      <c r="QEJ41" s="6"/>
      <c r="QEK41" s="6"/>
      <c r="QEL41" s="6"/>
      <c r="QEM41" s="6"/>
      <c r="QEN41" s="6"/>
      <c r="QEO41" s="6"/>
      <c r="QEP41" s="6"/>
      <c r="QEQ41" s="6"/>
      <c r="QER41" s="6"/>
      <c r="QES41" s="6"/>
      <c r="QET41" s="6"/>
      <c r="QEU41" s="6"/>
      <c r="QEV41" s="6"/>
      <c r="QEW41" s="6"/>
      <c r="QEX41" s="6"/>
      <c r="QEY41" s="6"/>
      <c r="QEZ41" s="6"/>
      <c r="QFA41" s="6"/>
      <c r="QFB41" s="6"/>
      <c r="QFC41" s="6"/>
      <c r="QFD41" s="6"/>
      <c r="QFE41" s="6"/>
      <c r="QFF41" s="6"/>
      <c r="QFG41" s="6"/>
      <c r="QFH41" s="6"/>
      <c r="QFI41" s="6"/>
      <c r="QFJ41" s="6"/>
      <c r="QFK41" s="6"/>
      <c r="QFL41" s="6"/>
      <c r="QFM41" s="6"/>
      <c r="QFN41" s="6"/>
      <c r="QFO41" s="6"/>
      <c r="QFP41" s="6"/>
      <c r="QFQ41" s="6"/>
      <c r="QFR41" s="6"/>
      <c r="QFS41" s="6"/>
      <c r="QFT41" s="6"/>
      <c r="QFU41" s="6"/>
      <c r="QFV41" s="6"/>
      <c r="QFW41" s="6"/>
      <c r="QFX41" s="6"/>
      <c r="QFY41" s="6"/>
      <c r="QFZ41" s="6"/>
      <c r="QGA41" s="6"/>
      <c r="QGB41" s="6"/>
      <c r="QGC41" s="6"/>
      <c r="QGD41" s="6"/>
      <c r="QGE41" s="6"/>
      <c r="QGF41" s="6"/>
      <c r="QGG41" s="6"/>
      <c r="QGH41" s="6"/>
      <c r="QGI41" s="6"/>
      <c r="QGJ41" s="6"/>
      <c r="QGK41" s="6"/>
      <c r="QGL41" s="6"/>
      <c r="QGM41" s="6"/>
      <c r="QGN41" s="6"/>
      <c r="QGO41" s="6"/>
      <c r="QGP41" s="6"/>
      <c r="QGQ41" s="6"/>
      <c r="QGR41" s="6"/>
      <c r="QGS41" s="6"/>
      <c r="QGT41" s="6"/>
      <c r="QGU41" s="6"/>
      <c r="QGV41" s="6"/>
      <c r="QGW41" s="6"/>
      <c r="QGX41" s="6"/>
      <c r="QGY41" s="6"/>
      <c r="QGZ41" s="6"/>
      <c r="QHA41" s="6"/>
      <c r="QHB41" s="6"/>
      <c r="QHC41" s="6"/>
      <c r="QHD41" s="6"/>
      <c r="QHE41" s="6"/>
      <c r="QHF41" s="6"/>
      <c r="QHG41" s="6"/>
      <c r="QHH41" s="6"/>
      <c r="QHI41" s="6"/>
      <c r="QHJ41" s="6"/>
      <c r="QHK41" s="6"/>
      <c r="QHL41" s="6"/>
      <c r="QHM41" s="6"/>
      <c r="QHN41" s="6"/>
      <c r="QHO41" s="6"/>
      <c r="QHP41" s="6"/>
      <c r="QHQ41" s="6"/>
      <c r="QHR41" s="6"/>
      <c r="QHS41" s="6"/>
      <c r="QHT41" s="6"/>
      <c r="QHU41" s="6"/>
      <c r="QHV41" s="6"/>
      <c r="QHW41" s="6"/>
      <c r="QHX41" s="6"/>
      <c r="QHY41" s="6"/>
      <c r="QHZ41" s="6"/>
      <c r="QIA41" s="6"/>
      <c r="QIB41" s="6"/>
      <c r="QIC41" s="6"/>
      <c r="QID41" s="6"/>
      <c r="QIE41" s="6"/>
      <c r="QIF41" s="6"/>
      <c r="QIG41" s="6"/>
      <c r="QIH41" s="6"/>
      <c r="QII41" s="6"/>
      <c r="QIJ41" s="6"/>
      <c r="QIK41" s="6"/>
      <c r="QIL41" s="6"/>
      <c r="QIM41" s="6"/>
      <c r="QIN41" s="6"/>
      <c r="QIO41" s="6"/>
      <c r="QIP41" s="6"/>
      <c r="QIQ41" s="6"/>
      <c r="QIR41" s="6"/>
      <c r="QIS41" s="6"/>
      <c r="QIT41" s="6"/>
      <c r="QIU41" s="6"/>
      <c r="QIV41" s="6"/>
      <c r="QIW41" s="6"/>
      <c r="QIX41" s="6"/>
      <c r="QIY41" s="6"/>
      <c r="QIZ41" s="6"/>
      <c r="QJA41" s="6"/>
      <c r="QJB41" s="6"/>
      <c r="QJC41" s="6"/>
      <c r="QJD41" s="6"/>
      <c r="QJE41" s="6"/>
      <c r="QJF41" s="6"/>
      <c r="QJG41" s="6"/>
      <c r="QJH41" s="6"/>
      <c r="QJI41" s="6"/>
      <c r="QJJ41" s="6"/>
      <c r="QJK41" s="6"/>
      <c r="QJL41" s="6"/>
      <c r="QJM41" s="6"/>
      <c r="QJN41" s="6"/>
      <c r="QJO41" s="6"/>
      <c r="QJP41" s="6"/>
      <c r="QJQ41" s="6"/>
      <c r="QJR41" s="6"/>
      <c r="QJS41" s="6"/>
      <c r="QJT41" s="6"/>
      <c r="QJU41" s="6"/>
      <c r="QJV41" s="6"/>
      <c r="QJW41" s="6"/>
      <c r="QJX41" s="6"/>
      <c r="QJY41" s="6"/>
      <c r="QJZ41" s="6"/>
      <c r="QKA41" s="6"/>
      <c r="QKB41" s="6"/>
      <c r="QKC41" s="6"/>
      <c r="QKD41" s="6"/>
      <c r="QKE41" s="6"/>
      <c r="QKF41" s="6"/>
      <c r="QKG41" s="6"/>
      <c r="QKH41" s="6"/>
      <c r="QKI41" s="6"/>
      <c r="QKJ41" s="6"/>
      <c r="QKK41" s="6"/>
      <c r="QKL41" s="6"/>
      <c r="QKM41" s="6"/>
      <c r="QKN41" s="6"/>
      <c r="QKO41" s="6"/>
      <c r="QKP41" s="6"/>
      <c r="QKQ41" s="6"/>
      <c r="QKR41" s="6"/>
      <c r="QKS41" s="6"/>
      <c r="QKT41" s="6"/>
      <c r="QKU41" s="6"/>
      <c r="QKV41" s="6"/>
      <c r="QKW41" s="6"/>
      <c r="QKX41" s="6"/>
      <c r="QKY41" s="6"/>
      <c r="QKZ41" s="6"/>
      <c r="QLA41" s="6"/>
      <c r="QLB41" s="6"/>
      <c r="QLC41" s="6"/>
      <c r="QLD41" s="6"/>
      <c r="QLE41" s="6"/>
      <c r="QLF41" s="6"/>
      <c r="QLG41" s="6"/>
      <c r="QLH41" s="6"/>
      <c r="QLI41" s="6"/>
      <c r="QLJ41" s="6"/>
      <c r="QLK41" s="6"/>
      <c r="QLL41" s="6"/>
      <c r="QLM41" s="6"/>
      <c r="QLN41" s="6"/>
      <c r="QLO41" s="6"/>
      <c r="QLP41" s="6"/>
      <c r="QLQ41" s="6"/>
      <c r="QLR41" s="6"/>
      <c r="QLS41" s="6"/>
      <c r="QLT41" s="6"/>
      <c r="QLU41" s="6"/>
      <c r="QLV41" s="6"/>
      <c r="QLW41" s="6"/>
      <c r="QLX41" s="6"/>
      <c r="QLY41" s="6"/>
      <c r="QLZ41" s="6"/>
      <c r="QMA41" s="6"/>
      <c r="QMB41" s="6"/>
      <c r="QMC41" s="6"/>
      <c r="QMD41" s="6"/>
      <c r="QME41" s="6"/>
      <c r="QMF41" s="6"/>
      <c r="QMG41" s="6"/>
      <c r="QMH41" s="6"/>
      <c r="QMI41" s="6"/>
      <c r="QMJ41" s="6"/>
      <c r="QMK41" s="6"/>
      <c r="QML41" s="6"/>
      <c r="QMM41" s="6"/>
      <c r="QMN41" s="6"/>
      <c r="QMO41" s="6"/>
      <c r="QMP41" s="6"/>
      <c r="QMQ41" s="6"/>
      <c r="QMR41" s="6"/>
      <c r="QMS41" s="6"/>
      <c r="QMT41" s="6"/>
      <c r="QMU41" s="6"/>
      <c r="QMV41" s="6"/>
      <c r="QMW41" s="6"/>
      <c r="QMX41" s="6"/>
      <c r="QMY41" s="6"/>
      <c r="QMZ41" s="6"/>
      <c r="QNA41" s="6"/>
      <c r="QNB41" s="6"/>
      <c r="QNC41" s="6"/>
      <c r="QND41" s="6"/>
      <c r="QNE41" s="6"/>
      <c r="QNF41" s="6"/>
      <c r="QNG41" s="6"/>
      <c r="QNH41" s="6"/>
      <c r="QNI41" s="6"/>
      <c r="QNJ41" s="6"/>
      <c r="QNK41" s="6"/>
      <c r="QNL41" s="6"/>
      <c r="QNM41" s="6"/>
      <c r="QNN41" s="6"/>
      <c r="QNO41" s="6"/>
      <c r="QNP41" s="6"/>
      <c r="QNQ41" s="6"/>
      <c r="QNR41" s="6"/>
      <c r="QNS41" s="6"/>
      <c r="QNT41" s="6"/>
      <c r="QNU41" s="6"/>
      <c r="QNV41" s="6"/>
      <c r="QNW41" s="6"/>
      <c r="QNX41" s="6"/>
      <c r="QNY41" s="6"/>
      <c r="QNZ41" s="6"/>
      <c r="QOA41" s="6"/>
      <c r="QOB41" s="6"/>
      <c r="QOC41" s="6"/>
      <c r="QOD41" s="6"/>
      <c r="QOE41" s="6"/>
      <c r="QOF41" s="6"/>
      <c r="QOG41" s="6"/>
      <c r="QOH41" s="6"/>
      <c r="QOI41" s="6"/>
      <c r="QOJ41" s="6"/>
      <c r="QOK41" s="6"/>
      <c r="QOL41" s="6"/>
      <c r="QOM41" s="6"/>
      <c r="QON41" s="6"/>
      <c r="QOO41" s="6"/>
      <c r="QOP41" s="6"/>
      <c r="QOQ41" s="6"/>
      <c r="QOR41" s="6"/>
      <c r="QOS41" s="6"/>
      <c r="QOT41" s="6"/>
      <c r="QOU41" s="6"/>
      <c r="QOV41" s="6"/>
      <c r="QOW41" s="6"/>
      <c r="QOX41" s="6"/>
      <c r="QOY41" s="6"/>
      <c r="QOZ41" s="6"/>
      <c r="QPA41" s="6"/>
      <c r="QPB41" s="6"/>
      <c r="QPC41" s="6"/>
      <c r="QPD41" s="6"/>
      <c r="QPE41" s="6"/>
      <c r="QPF41" s="6"/>
      <c r="QPG41" s="6"/>
      <c r="QPH41" s="6"/>
      <c r="QPI41" s="6"/>
      <c r="QPJ41" s="6"/>
      <c r="QPK41" s="6"/>
      <c r="QPL41" s="6"/>
      <c r="QPM41" s="6"/>
      <c r="QPN41" s="6"/>
      <c r="QPO41" s="6"/>
      <c r="QPP41" s="6"/>
      <c r="QPQ41" s="6"/>
      <c r="QPR41" s="6"/>
      <c r="QPS41" s="6"/>
      <c r="QPT41" s="6"/>
      <c r="QPU41" s="6"/>
      <c r="QPV41" s="6"/>
      <c r="QPW41" s="6"/>
      <c r="QPX41" s="6"/>
      <c r="QPY41" s="6"/>
      <c r="QPZ41" s="6"/>
      <c r="QQA41" s="6"/>
      <c r="QQB41" s="6"/>
      <c r="QQC41" s="6"/>
      <c r="QQD41" s="6"/>
      <c r="QQE41" s="6"/>
      <c r="QQF41" s="6"/>
      <c r="QQG41" s="6"/>
      <c r="QQH41" s="6"/>
      <c r="QQI41" s="6"/>
      <c r="QQJ41" s="6"/>
      <c r="QQK41" s="6"/>
      <c r="QQL41" s="6"/>
      <c r="QQM41" s="6"/>
      <c r="QQN41" s="6"/>
      <c r="QQO41" s="6"/>
      <c r="QQP41" s="6"/>
      <c r="QQQ41" s="6"/>
      <c r="QQR41" s="6"/>
      <c r="QQS41" s="6"/>
      <c r="QQT41" s="6"/>
      <c r="QQU41" s="6"/>
      <c r="QQV41" s="6"/>
      <c r="QQW41" s="6"/>
      <c r="QQX41" s="6"/>
      <c r="QQY41" s="6"/>
      <c r="QQZ41" s="6"/>
      <c r="QRA41" s="6"/>
      <c r="QRB41" s="6"/>
      <c r="QRC41" s="6"/>
      <c r="QRD41" s="6"/>
      <c r="QRE41" s="6"/>
      <c r="QRF41" s="6"/>
      <c r="QRG41" s="6"/>
      <c r="QRH41" s="6"/>
      <c r="QRI41" s="6"/>
      <c r="QRJ41" s="6"/>
      <c r="QRK41" s="6"/>
      <c r="QRL41" s="6"/>
      <c r="QRM41" s="6"/>
      <c r="QRN41" s="6"/>
      <c r="QRO41" s="6"/>
      <c r="QRP41" s="6"/>
      <c r="QRQ41" s="6"/>
      <c r="QRR41" s="6"/>
      <c r="QRS41" s="6"/>
      <c r="QRT41" s="6"/>
      <c r="QRU41" s="6"/>
      <c r="QRV41" s="6"/>
      <c r="QRW41" s="6"/>
      <c r="QRX41" s="6"/>
      <c r="QRY41" s="6"/>
      <c r="QRZ41" s="6"/>
      <c r="QSA41" s="6"/>
      <c r="QSB41" s="6"/>
      <c r="QSC41" s="6"/>
      <c r="QSD41" s="6"/>
      <c r="QSE41" s="6"/>
      <c r="QSF41" s="6"/>
      <c r="QSG41" s="6"/>
      <c r="QSH41" s="6"/>
      <c r="QSI41" s="6"/>
      <c r="QSJ41" s="6"/>
      <c r="QSK41" s="6"/>
      <c r="QSL41" s="6"/>
      <c r="QSM41" s="6"/>
      <c r="QSN41" s="6"/>
      <c r="QSO41" s="6"/>
      <c r="QSP41" s="6"/>
      <c r="QSQ41" s="6"/>
      <c r="QSR41" s="6"/>
      <c r="QSS41" s="6"/>
      <c r="QST41" s="6"/>
      <c r="QSU41" s="6"/>
      <c r="QSV41" s="6"/>
      <c r="QSW41" s="6"/>
      <c r="QSX41" s="6"/>
      <c r="QSY41" s="6"/>
      <c r="QSZ41" s="6"/>
      <c r="QTA41" s="6"/>
      <c r="QTB41" s="6"/>
      <c r="QTC41" s="6"/>
      <c r="QTD41" s="6"/>
      <c r="QTE41" s="6"/>
      <c r="QTF41" s="6"/>
      <c r="QTG41" s="6"/>
      <c r="QTH41" s="6"/>
      <c r="QTI41" s="6"/>
      <c r="QTJ41" s="6"/>
      <c r="QTK41" s="6"/>
      <c r="QTL41" s="6"/>
      <c r="QTM41" s="6"/>
      <c r="QTN41" s="6"/>
      <c r="QTO41" s="6"/>
      <c r="QTP41" s="6"/>
      <c r="QTQ41" s="6"/>
      <c r="QTR41" s="6"/>
      <c r="QTS41" s="6"/>
      <c r="QTT41" s="6"/>
      <c r="QTU41" s="6"/>
      <c r="QTV41" s="6"/>
      <c r="QTW41" s="6"/>
      <c r="QTX41" s="6"/>
      <c r="QTY41" s="6"/>
      <c r="QTZ41" s="6"/>
      <c r="QUA41" s="6"/>
      <c r="QUB41" s="6"/>
      <c r="QUC41" s="6"/>
      <c r="QUD41" s="6"/>
      <c r="QUE41" s="6"/>
      <c r="QUF41" s="6"/>
      <c r="QUG41" s="6"/>
      <c r="QUH41" s="6"/>
      <c r="QUI41" s="6"/>
      <c r="QUJ41" s="6"/>
      <c r="QUK41" s="6"/>
      <c r="QUL41" s="6"/>
      <c r="QUM41" s="6"/>
      <c r="QUN41" s="6"/>
      <c r="QUO41" s="6"/>
      <c r="QUP41" s="6"/>
      <c r="QUQ41" s="6"/>
      <c r="QUR41" s="6"/>
      <c r="QUS41" s="6"/>
      <c r="QUT41" s="6"/>
      <c r="QUU41" s="6"/>
      <c r="QUV41" s="6"/>
      <c r="QUW41" s="6"/>
      <c r="QUX41" s="6"/>
      <c r="QUY41" s="6"/>
      <c r="QUZ41" s="6"/>
      <c r="QVA41" s="6"/>
      <c r="QVB41" s="6"/>
      <c r="QVC41" s="6"/>
      <c r="QVD41" s="6"/>
      <c r="QVE41" s="6"/>
      <c r="QVF41" s="6"/>
      <c r="QVG41" s="6"/>
      <c r="QVH41" s="6"/>
      <c r="QVI41" s="6"/>
      <c r="QVJ41" s="6"/>
      <c r="QVK41" s="6"/>
      <c r="QVL41" s="6"/>
      <c r="QVM41" s="6"/>
      <c r="QVN41" s="6"/>
      <c r="QVO41" s="6"/>
      <c r="QVP41" s="6"/>
      <c r="QVQ41" s="6"/>
      <c r="QVR41" s="6"/>
      <c r="QVS41" s="6"/>
      <c r="QVT41" s="6"/>
      <c r="QVU41" s="6"/>
      <c r="QVV41" s="6"/>
      <c r="QVW41" s="6"/>
      <c r="QVX41" s="6"/>
      <c r="QVY41" s="6"/>
      <c r="QVZ41" s="6"/>
      <c r="QWA41" s="6"/>
      <c r="QWB41" s="6"/>
      <c r="QWC41" s="6"/>
      <c r="QWD41" s="6"/>
      <c r="QWE41" s="6"/>
      <c r="QWF41" s="6"/>
      <c r="QWG41" s="6"/>
      <c r="QWH41" s="6"/>
      <c r="QWI41" s="6"/>
      <c r="QWJ41" s="6"/>
      <c r="QWK41" s="6"/>
      <c r="QWL41" s="6"/>
      <c r="QWM41" s="6"/>
      <c r="QWN41" s="6"/>
      <c r="QWO41" s="6"/>
      <c r="QWP41" s="6"/>
      <c r="QWQ41" s="6"/>
      <c r="QWR41" s="6"/>
      <c r="QWS41" s="6"/>
      <c r="QWT41" s="6"/>
      <c r="QWU41" s="6"/>
      <c r="QWV41" s="6"/>
      <c r="QWW41" s="6"/>
      <c r="QWX41" s="6"/>
      <c r="QWY41" s="6"/>
      <c r="QWZ41" s="6"/>
      <c r="QXA41" s="6"/>
      <c r="QXB41" s="6"/>
      <c r="QXC41" s="6"/>
      <c r="QXD41" s="6"/>
      <c r="QXE41" s="6"/>
      <c r="QXF41" s="6"/>
      <c r="QXG41" s="6"/>
      <c r="QXH41" s="6"/>
      <c r="QXI41" s="6"/>
      <c r="QXJ41" s="6"/>
      <c r="QXK41" s="6"/>
      <c r="QXL41" s="6"/>
      <c r="QXM41" s="6"/>
      <c r="QXN41" s="6"/>
      <c r="QXO41" s="6"/>
      <c r="QXP41" s="6"/>
      <c r="QXQ41" s="6"/>
      <c r="QXR41" s="6"/>
      <c r="QXS41" s="6"/>
      <c r="QXT41" s="6"/>
      <c r="QXU41" s="6"/>
      <c r="QXV41" s="6"/>
      <c r="QXW41" s="6"/>
      <c r="QXX41" s="6"/>
      <c r="QXY41" s="6"/>
      <c r="QXZ41" s="6"/>
      <c r="QYA41" s="6"/>
      <c r="QYB41" s="6"/>
      <c r="QYC41" s="6"/>
      <c r="QYD41" s="6"/>
      <c r="QYE41" s="6"/>
      <c r="QYF41" s="6"/>
      <c r="QYG41" s="6"/>
      <c r="QYH41" s="6"/>
      <c r="QYI41" s="6"/>
      <c r="QYJ41" s="6"/>
      <c r="QYK41" s="6"/>
      <c r="QYL41" s="6"/>
      <c r="QYM41" s="6"/>
      <c r="QYN41" s="6"/>
      <c r="QYO41" s="6"/>
      <c r="QYP41" s="6"/>
      <c r="QYQ41" s="6"/>
      <c r="QYR41" s="6"/>
      <c r="QYS41" s="6"/>
      <c r="QYT41" s="6"/>
      <c r="QYU41" s="6"/>
      <c r="QYV41" s="6"/>
      <c r="QYW41" s="6"/>
      <c r="QYX41" s="6"/>
      <c r="QYY41" s="6"/>
      <c r="QYZ41" s="6"/>
      <c r="QZA41" s="6"/>
      <c r="QZB41" s="6"/>
      <c r="QZC41" s="6"/>
      <c r="QZD41" s="6"/>
      <c r="QZE41" s="6"/>
      <c r="QZF41" s="6"/>
      <c r="QZG41" s="6"/>
      <c r="QZH41" s="6"/>
      <c r="QZI41" s="6"/>
      <c r="QZJ41" s="6"/>
      <c r="QZK41" s="6"/>
      <c r="QZL41" s="6"/>
      <c r="QZM41" s="6"/>
      <c r="QZN41" s="6"/>
      <c r="QZO41" s="6"/>
      <c r="QZP41" s="6"/>
      <c r="QZQ41" s="6"/>
      <c r="QZR41" s="6"/>
      <c r="QZS41" s="6"/>
      <c r="QZT41" s="6"/>
      <c r="QZU41" s="6"/>
      <c r="QZV41" s="6"/>
      <c r="QZW41" s="6"/>
      <c r="QZX41" s="6"/>
      <c r="QZY41" s="6"/>
      <c r="QZZ41" s="6"/>
      <c r="RAA41" s="6"/>
      <c r="RAB41" s="6"/>
      <c r="RAC41" s="6"/>
      <c r="RAD41" s="6"/>
      <c r="RAE41" s="6"/>
      <c r="RAF41" s="6"/>
      <c r="RAG41" s="6"/>
      <c r="RAH41" s="6"/>
      <c r="RAI41" s="6"/>
      <c r="RAJ41" s="6"/>
      <c r="RAK41" s="6"/>
      <c r="RAL41" s="6"/>
      <c r="RAM41" s="6"/>
      <c r="RAN41" s="6"/>
      <c r="RAO41" s="6"/>
      <c r="RAP41" s="6"/>
      <c r="RAQ41" s="6"/>
      <c r="RAR41" s="6"/>
      <c r="RAS41" s="6"/>
      <c r="RAT41" s="6"/>
      <c r="RAU41" s="6"/>
      <c r="RAV41" s="6"/>
      <c r="RAW41" s="6"/>
      <c r="RAX41" s="6"/>
      <c r="RAY41" s="6"/>
      <c r="RAZ41" s="6"/>
      <c r="RBA41" s="6"/>
      <c r="RBB41" s="6"/>
      <c r="RBC41" s="6"/>
      <c r="RBD41" s="6"/>
      <c r="RBE41" s="6"/>
      <c r="RBF41" s="6"/>
      <c r="RBG41" s="6"/>
      <c r="RBH41" s="6"/>
      <c r="RBI41" s="6"/>
      <c r="RBJ41" s="6"/>
      <c r="RBK41" s="6"/>
      <c r="RBL41" s="6"/>
      <c r="RBM41" s="6"/>
      <c r="RBN41" s="6"/>
      <c r="RBO41" s="6"/>
      <c r="RBP41" s="6"/>
      <c r="RBQ41" s="6"/>
      <c r="RBR41" s="6"/>
      <c r="RBS41" s="6"/>
      <c r="RBT41" s="6"/>
      <c r="RBU41" s="6"/>
      <c r="RBV41" s="6"/>
      <c r="RBW41" s="6"/>
      <c r="RBX41" s="6"/>
      <c r="RBY41" s="6"/>
      <c r="RBZ41" s="6"/>
      <c r="RCA41" s="6"/>
      <c r="RCB41" s="6"/>
      <c r="RCC41" s="6"/>
      <c r="RCD41" s="6"/>
      <c r="RCE41" s="6"/>
      <c r="RCF41" s="6"/>
      <c r="RCG41" s="6"/>
      <c r="RCH41" s="6"/>
      <c r="RCI41" s="6"/>
      <c r="RCJ41" s="6"/>
      <c r="RCK41" s="6"/>
      <c r="RCL41" s="6"/>
      <c r="RCM41" s="6"/>
      <c r="RCN41" s="6"/>
      <c r="RCO41" s="6"/>
      <c r="RCP41" s="6"/>
      <c r="RCQ41" s="6"/>
      <c r="RCR41" s="6"/>
      <c r="RCS41" s="6"/>
      <c r="RCT41" s="6"/>
      <c r="RCU41" s="6"/>
      <c r="RCV41" s="6"/>
      <c r="RCW41" s="6"/>
      <c r="RCX41" s="6"/>
      <c r="RCY41" s="6"/>
      <c r="RCZ41" s="6"/>
      <c r="RDA41" s="6"/>
      <c r="RDB41" s="6"/>
      <c r="RDC41" s="6"/>
      <c r="RDD41" s="6"/>
      <c r="RDE41" s="6"/>
      <c r="RDF41" s="6"/>
      <c r="RDG41" s="6"/>
      <c r="RDH41" s="6"/>
      <c r="RDI41" s="6"/>
      <c r="RDJ41" s="6"/>
      <c r="RDK41" s="6"/>
      <c r="RDL41" s="6"/>
      <c r="RDM41" s="6"/>
      <c r="RDN41" s="6"/>
      <c r="RDO41" s="6"/>
      <c r="RDP41" s="6"/>
      <c r="RDQ41" s="6"/>
      <c r="RDR41" s="6"/>
      <c r="RDS41" s="6"/>
      <c r="RDT41" s="6"/>
      <c r="RDU41" s="6"/>
      <c r="RDV41" s="6"/>
      <c r="RDW41" s="6"/>
      <c r="RDX41" s="6"/>
      <c r="RDY41" s="6"/>
      <c r="RDZ41" s="6"/>
      <c r="REA41" s="6"/>
      <c r="REB41" s="6"/>
      <c r="REC41" s="6"/>
      <c r="RED41" s="6"/>
      <c r="REE41" s="6"/>
      <c r="REF41" s="6"/>
      <c r="REG41" s="6"/>
      <c r="REH41" s="6"/>
      <c r="REI41" s="6"/>
      <c r="REJ41" s="6"/>
      <c r="REK41" s="6"/>
      <c r="REL41" s="6"/>
      <c r="REM41" s="6"/>
      <c r="REN41" s="6"/>
      <c r="REO41" s="6"/>
      <c r="REP41" s="6"/>
      <c r="REQ41" s="6"/>
      <c r="RER41" s="6"/>
      <c r="RES41" s="6"/>
      <c r="RET41" s="6"/>
      <c r="REU41" s="6"/>
      <c r="REV41" s="6"/>
      <c r="REW41" s="6"/>
      <c r="REX41" s="6"/>
      <c r="REY41" s="6"/>
      <c r="REZ41" s="6"/>
      <c r="RFA41" s="6"/>
      <c r="RFB41" s="6"/>
      <c r="RFC41" s="6"/>
      <c r="RFD41" s="6"/>
      <c r="RFE41" s="6"/>
      <c r="RFF41" s="6"/>
      <c r="RFG41" s="6"/>
      <c r="RFH41" s="6"/>
      <c r="RFI41" s="6"/>
      <c r="RFJ41" s="6"/>
      <c r="RFK41" s="6"/>
      <c r="RFL41" s="6"/>
      <c r="RFM41" s="6"/>
      <c r="RFN41" s="6"/>
      <c r="RFO41" s="6"/>
      <c r="RFP41" s="6"/>
      <c r="RFQ41" s="6"/>
      <c r="RFR41" s="6"/>
      <c r="RFS41" s="6"/>
      <c r="RFT41" s="6"/>
      <c r="RFU41" s="6"/>
      <c r="RFV41" s="6"/>
      <c r="RFW41" s="6"/>
      <c r="RFX41" s="6"/>
      <c r="RFY41" s="6"/>
      <c r="RFZ41" s="6"/>
      <c r="RGA41" s="6"/>
      <c r="RGB41" s="6"/>
      <c r="RGC41" s="6"/>
      <c r="RGD41" s="6"/>
      <c r="RGE41" s="6"/>
      <c r="RGF41" s="6"/>
      <c r="RGG41" s="6"/>
      <c r="RGH41" s="6"/>
      <c r="RGI41" s="6"/>
      <c r="RGJ41" s="6"/>
      <c r="RGK41" s="6"/>
      <c r="RGL41" s="6"/>
      <c r="RGM41" s="6"/>
      <c r="RGN41" s="6"/>
      <c r="RGO41" s="6"/>
      <c r="RGP41" s="6"/>
      <c r="RGQ41" s="6"/>
      <c r="RGR41" s="6"/>
      <c r="RGS41" s="6"/>
      <c r="RGT41" s="6"/>
      <c r="RGU41" s="6"/>
      <c r="RGV41" s="6"/>
      <c r="RGW41" s="6"/>
      <c r="RGX41" s="6"/>
      <c r="RGY41" s="6"/>
      <c r="RGZ41" s="6"/>
      <c r="RHA41" s="6"/>
      <c r="RHB41" s="6"/>
      <c r="RHC41" s="6"/>
      <c r="RHD41" s="6"/>
      <c r="RHE41" s="6"/>
      <c r="RHF41" s="6"/>
      <c r="RHG41" s="6"/>
      <c r="RHH41" s="6"/>
      <c r="RHI41" s="6"/>
      <c r="RHJ41" s="6"/>
      <c r="RHK41" s="6"/>
      <c r="RHL41" s="6"/>
      <c r="RHM41" s="6"/>
      <c r="RHN41" s="6"/>
      <c r="RHO41" s="6"/>
      <c r="RHP41" s="6"/>
      <c r="RHQ41" s="6"/>
      <c r="RHR41" s="6"/>
      <c r="RHS41" s="6"/>
      <c r="RHT41" s="6"/>
      <c r="RHU41" s="6"/>
      <c r="RHV41" s="6"/>
      <c r="RHW41" s="6"/>
      <c r="RHX41" s="6"/>
      <c r="RHY41" s="6"/>
      <c r="RHZ41" s="6"/>
      <c r="RIA41" s="6"/>
      <c r="RIB41" s="6"/>
      <c r="RIC41" s="6"/>
      <c r="RID41" s="6"/>
      <c r="RIE41" s="6"/>
      <c r="RIF41" s="6"/>
      <c r="RIG41" s="6"/>
      <c r="RIH41" s="6"/>
      <c r="RII41" s="6"/>
      <c r="RIJ41" s="6"/>
      <c r="RIK41" s="6"/>
      <c r="RIL41" s="6"/>
      <c r="RIM41" s="6"/>
      <c r="RIN41" s="6"/>
      <c r="RIO41" s="6"/>
      <c r="RIP41" s="6"/>
      <c r="RIQ41" s="6"/>
      <c r="RIR41" s="6"/>
      <c r="RIS41" s="6"/>
      <c r="RIT41" s="6"/>
      <c r="RIU41" s="6"/>
      <c r="RIV41" s="6"/>
      <c r="RIW41" s="6"/>
      <c r="RIX41" s="6"/>
      <c r="RIY41" s="6"/>
      <c r="RIZ41" s="6"/>
      <c r="RJA41" s="6"/>
      <c r="RJB41" s="6"/>
      <c r="RJC41" s="6"/>
      <c r="RJD41" s="6"/>
      <c r="RJE41" s="6"/>
      <c r="RJF41" s="6"/>
      <c r="RJG41" s="6"/>
      <c r="RJH41" s="6"/>
      <c r="RJI41" s="6"/>
      <c r="RJJ41" s="6"/>
      <c r="RJK41" s="6"/>
      <c r="RJL41" s="6"/>
      <c r="RJM41" s="6"/>
      <c r="RJN41" s="6"/>
      <c r="RJO41" s="6"/>
      <c r="RJP41" s="6"/>
      <c r="RJQ41" s="6"/>
      <c r="RJR41" s="6"/>
      <c r="RJS41" s="6"/>
      <c r="RJT41" s="6"/>
      <c r="RJU41" s="6"/>
      <c r="RJV41" s="6"/>
      <c r="RJW41" s="6"/>
      <c r="RJX41" s="6"/>
      <c r="RJY41" s="6"/>
      <c r="RJZ41" s="6"/>
      <c r="RKA41" s="6"/>
      <c r="RKB41" s="6"/>
      <c r="RKC41" s="6"/>
      <c r="RKD41" s="6"/>
      <c r="RKE41" s="6"/>
      <c r="RKF41" s="6"/>
      <c r="RKG41" s="6"/>
      <c r="RKH41" s="6"/>
      <c r="RKI41" s="6"/>
      <c r="RKJ41" s="6"/>
      <c r="RKK41" s="6"/>
      <c r="RKL41" s="6"/>
      <c r="RKM41" s="6"/>
      <c r="RKN41" s="6"/>
      <c r="RKO41" s="6"/>
      <c r="RKP41" s="6"/>
      <c r="RKQ41" s="6"/>
      <c r="RKR41" s="6"/>
      <c r="RKS41" s="6"/>
      <c r="RKT41" s="6"/>
      <c r="RKU41" s="6"/>
      <c r="RKV41" s="6"/>
      <c r="RKW41" s="6"/>
      <c r="RKX41" s="6"/>
      <c r="RKY41" s="6"/>
      <c r="RKZ41" s="6"/>
      <c r="RLA41" s="6"/>
      <c r="RLB41" s="6"/>
      <c r="RLC41" s="6"/>
      <c r="RLD41" s="6"/>
      <c r="RLE41" s="6"/>
      <c r="RLF41" s="6"/>
      <c r="RLG41" s="6"/>
      <c r="RLH41" s="6"/>
      <c r="RLI41" s="6"/>
      <c r="RLJ41" s="6"/>
      <c r="RLK41" s="6"/>
      <c r="RLL41" s="6"/>
      <c r="RLM41" s="6"/>
      <c r="RLN41" s="6"/>
      <c r="RLO41" s="6"/>
      <c r="RLP41" s="6"/>
      <c r="RLQ41" s="6"/>
      <c r="RLR41" s="6"/>
      <c r="RLS41" s="6"/>
      <c r="RLT41" s="6"/>
      <c r="RLU41" s="6"/>
      <c r="RLV41" s="6"/>
      <c r="RLW41" s="6"/>
      <c r="RLX41" s="6"/>
      <c r="RLY41" s="6"/>
      <c r="RLZ41" s="6"/>
      <c r="RMA41" s="6"/>
      <c r="RMB41" s="6"/>
      <c r="RMC41" s="6"/>
      <c r="RMD41" s="6"/>
      <c r="RME41" s="6"/>
      <c r="RMF41" s="6"/>
      <c r="RMG41" s="6"/>
      <c r="RMH41" s="6"/>
      <c r="RMI41" s="6"/>
      <c r="RMJ41" s="6"/>
      <c r="RMK41" s="6"/>
      <c r="RML41" s="6"/>
      <c r="RMM41" s="6"/>
      <c r="RMN41" s="6"/>
      <c r="RMO41" s="6"/>
      <c r="RMP41" s="6"/>
      <c r="RMQ41" s="6"/>
      <c r="RMR41" s="6"/>
      <c r="RMS41" s="6"/>
      <c r="RMT41" s="6"/>
      <c r="RMU41" s="6"/>
      <c r="RMV41" s="6"/>
      <c r="RMW41" s="6"/>
      <c r="RMX41" s="6"/>
      <c r="RMY41" s="6"/>
      <c r="RMZ41" s="6"/>
      <c r="RNA41" s="6"/>
      <c r="RNB41" s="6"/>
      <c r="RNC41" s="6"/>
      <c r="RND41" s="6"/>
      <c r="RNE41" s="6"/>
      <c r="RNF41" s="6"/>
      <c r="RNG41" s="6"/>
      <c r="RNH41" s="6"/>
      <c r="RNI41" s="6"/>
      <c r="RNJ41" s="6"/>
      <c r="RNK41" s="6"/>
      <c r="RNL41" s="6"/>
      <c r="RNM41" s="6"/>
      <c r="RNN41" s="6"/>
      <c r="RNO41" s="6"/>
      <c r="RNP41" s="6"/>
      <c r="RNQ41" s="6"/>
      <c r="RNR41" s="6"/>
      <c r="RNS41" s="6"/>
      <c r="RNT41" s="6"/>
      <c r="RNU41" s="6"/>
      <c r="RNV41" s="6"/>
      <c r="RNW41" s="6"/>
      <c r="RNX41" s="6"/>
      <c r="RNY41" s="6"/>
      <c r="RNZ41" s="6"/>
      <c r="ROA41" s="6"/>
      <c r="ROB41" s="6"/>
      <c r="ROC41" s="6"/>
      <c r="ROD41" s="6"/>
      <c r="ROE41" s="6"/>
      <c r="ROF41" s="6"/>
      <c r="ROG41" s="6"/>
      <c r="ROH41" s="6"/>
      <c r="ROI41" s="6"/>
      <c r="ROJ41" s="6"/>
      <c r="ROK41" s="6"/>
      <c r="ROL41" s="6"/>
      <c r="ROM41" s="6"/>
      <c r="RON41" s="6"/>
      <c r="ROO41" s="6"/>
      <c r="ROP41" s="6"/>
      <c r="ROQ41" s="6"/>
      <c r="ROR41" s="6"/>
      <c r="ROS41" s="6"/>
      <c r="ROT41" s="6"/>
      <c r="ROU41" s="6"/>
      <c r="ROV41" s="6"/>
      <c r="ROW41" s="6"/>
      <c r="ROX41" s="6"/>
      <c r="ROY41" s="6"/>
      <c r="ROZ41" s="6"/>
      <c r="RPA41" s="6"/>
      <c r="RPB41" s="6"/>
      <c r="RPC41" s="6"/>
      <c r="RPD41" s="6"/>
      <c r="RPE41" s="6"/>
      <c r="RPF41" s="6"/>
      <c r="RPG41" s="6"/>
      <c r="RPH41" s="6"/>
      <c r="RPI41" s="6"/>
      <c r="RPJ41" s="6"/>
      <c r="RPK41" s="6"/>
      <c r="RPL41" s="6"/>
      <c r="RPM41" s="6"/>
      <c r="RPN41" s="6"/>
      <c r="RPO41" s="6"/>
      <c r="RPP41" s="6"/>
      <c r="RPQ41" s="6"/>
      <c r="RPR41" s="6"/>
      <c r="RPS41" s="6"/>
      <c r="RPT41" s="6"/>
      <c r="RPU41" s="6"/>
      <c r="RPV41" s="6"/>
      <c r="RPW41" s="6"/>
      <c r="RPX41" s="6"/>
      <c r="RPY41" s="6"/>
      <c r="RPZ41" s="6"/>
      <c r="RQA41" s="6"/>
      <c r="RQB41" s="6"/>
      <c r="RQC41" s="6"/>
      <c r="RQD41" s="6"/>
      <c r="RQE41" s="6"/>
      <c r="RQF41" s="6"/>
      <c r="RQG41" s="6"/>
      <c r="RQH41" s="6"/>
      <c r="RQI41" s="6"/>
      <c r="RQJ41" s="6"/>
      <c r="RQK41" s="6"/>
      <c r="RQL41" s="6"/>
      <c r="RQM41" s="6"/>
      <c r="RQN41" s="6"/>
      <c r="RQO41" s="6"/>
      <c r="RQP41" s="6"/>
      <c r="RQQ41" s="6"/>
      <c r="RQR41" s="6"/>
      <c r="RQS41" s="6"/>
      <c r="RQT41" s="6"/>
      <c r="RQU41" s="6"/>
      <c r="RQV41" s="6"/>
      <c r="RQW41" s="6"/>
      <c r="RQX41" s="6"/>
      <c r="RQY41" s="6"/>
      <c r="RQZ41" s="6"/>
      <c r="RRA41" s="6"/>
      <c r="RRB41" s="6"/>
      <c r="RRC41" s="6"/>
      <c r="RRD41" s="6"/>
      <c r="RRE41" s="6"/>
      <c r="RRF41" s="6"/>
      <c r="RRG41" s="6"/>
      <c r="RRH41" s="6"/>
      <c r="RRI41" s="6"/>
      <c r="RRJ41" s="6"/>
      <c r="RRK41" s="6"/>
      <c r="RRL41" s="6"/>
      <c r="RRM41" s="6"/>
      <c r="RRN41" s="6"/>
      <c r="RRO41" s="6"/>
      <c r="RRP41" s="6"/>
      <c r="RRQ41" s="6"/>
      <c r="RRR41" s="6"/>
      <c r="RRS41" s="6"/>
      <c r="RRT41" s="6"/>
      <c r="RRU41" s="6"/>
      <c r="RRV41" s="6"/>
      <c r="RRW41" s="6"/>
      <c r="RRX41" s="6"/>
      <c r="RRY41" s="6"/>
      <c r="RRZ41" s="6"/>
      <c r="RSA41" s="6"/>
      <c r="RSB41" s="6"/>
      <c r="RSC41" s="6"/>
      <c r="RSD41" s="6"/>
      <c r="RSE41" s="6"/>
      <c r="RSF41" s="6"/>
      <c r="RSG41" s="6"/>
      <c r="RSH41" s="6"/>
      <c r="RSI41" s="6"/>
      <c r="RSJ41" s="6"/>
      <c r="RSK41" s="6"/>
      <c r="RSL41" s="6"/>
      <c r="RSM41" s="6"/>
      <c r="RSN41" s="6"/>
      <c r="RSO41" s="6"/>
      <c r="RSP41" s="6"/>
      <c r="RSQ41" s="6"/>
      <c r="RSR41" s="6"/>
      <c r="RSS41" s="6"/>
      <c r="RST41" s="6"/>
      <c r="RSU41" s="6"/>
      <c r="RSV41" s="6"/>
      <c r="RSW41" s="6"/>
      <c r="RSX41" s="6"/>
      <c r="RSY41" s="6"/>
      <c r="RSZ41" s="6"/>
      <c r="RTA41" s="6"/>
      <c r="RTB41" s="6"/>
      <c r="RTC41" s="6"/>
      <c r="RTD41" s="6"/>
      <c r="RTE41" s="6"/>
      <c r="RTF41" s="6"/>
      <c r="RTG41" s="6"/>
      <c r="RTH41" s="6"/>
      <c r="RTI41" s="6"/>
      <c r="RTJ41" s="6"/>
      <c r="RTK41" s="6"/>
      <c r="RTL41" s="6"/>
      <c r="RTM41" s="6"/>
      <c r="RTN41" s="6"/>
      <c r="RTO41" s="6"/>
      <c r="RTP41" s="6"/>
      <c r="RTQ41" s="6"/>
      <c r="RTR41" s="6"/>
      <c r="RTS41" s="6"/>
      <c r="RTT41" s="6"/>
      <c r="RTU41" s="6"/>
      <c r="RTV41" s="6"/>
      <c r="RTW41" s="6"/>
      <c r="RTX41" s="6"/>
      <c r="RTY41" s="6"/>
      <c r="RTZ41" s="6"/>
      <c r="RUA41" s="6"/>
      <c r="RUB41" s="6"/>
      <c r="RUC41" s="6"/>
      <c r="RUD41" s="6"/>
      <c r="RUE41" s="6"/>
      <c r="RUF41" s="6"/>
      <c r="RUG41" s="6"/>
      <c r="RUH41" s="6"/>
      <c r="RUI41" s="6"/>
      <c r="RUJ41" s="6"/>
      <c r="RUK41" s="6"/>
      <c r="RUL41" s="6"/>
      <c r="RUM41" s="6"/>
      <c r="RUN41" s="6"/>
      <c r="RUO41" s="6"/>
      <c r="RUP41" s="6"/>
      <c r="RUQ41" s="6"/>
      <c r="RUR41" s="6"/>
      <c r="RUS41" s="6"/>
      <c r="RUT41" s="6"/>
      <c r="RUU41" s="6"/>
      <c r="RUV41" s="6"/>
      <c r="RUW41" s="6"/>
      <c r="RUX41" s="6"/>
      <c r="RUY41" s="6"/>
      <c r="RUZ41" s="6"/>
      <c r="RVA41" s="6"/>
      <c r="RVB41" s="6"/>
      <c r="RVC41" s="6"/>
      <c r="RVD41" s="6"/>
      <c r="RVE41" s="6"/>
      <c r="RVF41" s="6"/>
      <c r="RVG41" s="6"/>
      <c r="RVH41" s="6"/>
      <c r="RVI41" s="6"/>
      <c r="RVJ41" s="6"/>
      <c r="RVK41" s="6"/>
      <c r="RVL41" s="6"/>
      <c r="RVM41" s="6"/>
      <c r="RVN41" s="6"/>
      <c r="RVO41" s="6"/>
      <c r="RVP41" s="6"/>
      <c r="RVQ41" s="6"/>
      <c r="RVR41" s="6"/>
      <c r="RVS41" s="6"/>
      <c r="RVT41" s="6"/>
      <c r="RVU41" s="6"/>
      <c r="RVV41" s="6"/>
      <c r="RVW41" s="6"/>
      <c r="RVX41" s="6"/>
      <c r="RVY41" s="6"/>
      <c r="RVZ41" s="6"/>
      <c r="RWA41" s="6"/>
      <c r="RWB41" s="6"/>
      <c r="RWC41" s="6"/>
      <c r="RWD41" s="6"/>
      <c r="RWE41" s="6"/>
      <c r="RWF41" s="6"/>
      <c r="RWG41" s="6"/>
      <c r="RWH41" s="6"/>
      <c r="RWI41" s="6"/>
      <c r="RWJ41" s="6"/>
      <c r="RWK41" s="6"/>
      <c r="RWL41" s="6"/>
      <c r="RWM41" s="6"/>
      <c r="RWN41" s="6"/>
      <c r="RWO41" s="6"/>
      <c r="RWP41" s="6"/>
      <c r="RWQ41" s="6"/>
      <c r="RWR41" s="6"/>
      <c r="RWS41" s="6"/>
      <c r="RWT41" s="6"/>
      <c r="RWU41" s="6"/>
      <c r="RWV41" s="6"/>
      <c r="RWW41" s="6"/>
      <c r="RWX41" s="6"/>
      <c r="RWY41" s="6"/>
      <c r="RWZ41" s="6"/>
      <c r="RXA41" s="6"/>
      <c r="RXB41" s="6"/>
      <c r="RXC41" s="6"/>
      <c r="RXD41" s="6"/>
      <c r="RXE41" s="6"/>
      <c r="RXF41" s="6"/>
      <c r="RXG41" s="6"/>
      <c r="RXH41" s="6"/>
      <c r="RXI41" s="6"/>
      <c r="RXJ41" s="6"/>
      <c r="RXK41" s="6"/>
      <c r="RXL41" s="6"/>
      <c r="RXM41" s="6"/>
      <c r="RXN41" s="6"/>
      <c r="RXO41" s="6"/>
      <c r="RXP41" s="6"/>
      <c r="RXQ41" s="6"/>
      <c r="RXR41" s="6"/>
      <c r="RXS41" s="6"/>
      <c r="RXT41" s="6"/>
      <c r="RXU41" s="6"/>
      <c r="RXV41" s="6"/>
      <c r="RXW41" s="6"/>
      <c r="RXX41" s="6"/>
      <c r="RXY41" s="6"/>
      <c r="RXZ41" s="6"/>
      <c r="RYA41" s="6"/>
      <c r="RYB41" s="6"/>
      <c r="RYC41" s="6"/>
      <c r="RYD41" s="6"/>
      <c r="RYE41" s="6"/>
      <c r="RYF41" s="6"/>
      <c r="RYG41" s="6"/>
      <c r="RYH41" s="6"/>
      <c r="RYI41" s="6"/>
      <c r="RYJ41" s="6"/>
      <c r="RYK41" s="6"/>
      <c r="RYL41" s="6"/>
      <c r="RYM41" s="6"/>
      <c r="RYN41" s="6"/>
      <c r="RYO41" s="6"/>
      <c r="RYP41" s="6"/>
      <c r="RYQ41" s="6"/>
      <c r="RYR41" s="6"/>
      <c r="RYS41" s="6"/>
      <c r="RYT41" s="6"/>
      <c r="RYU41" s="6"/>
      <c r="RYV41" s="6"/>
      <c r="RYW41" s="6"/>
      <c r="RYX41" s="6"/>
      <c r="RYY41" s="6"/>
      <c r="RYZ41" s="6"/>
      <c r="RZA41" s="6"/>
      <c r="RZB41" s="6"/>
      <c r="RZC41" s="6"/>
      <c r="RZD41" s="6"/>
      <c r="RZE41" s="6"/>
      <c r="RZF41" s="6"/>
      <c r="RZG41" s="6"/>
      <c r="RZH41" s="6"/>
      <c r="RZI41" s="6"/>
      <c r="RZJ41" s="6"/>
      <c r="RZK41" s="6"/>
      <c r="RZL41" s="6"/>
      <c r="RZM41" s="6"/>
      <c r="RZN41" s="6"/>
      <c r="RZO41" s="6"/>
      <c r="RZP41" s="6"/>
      <c r="RZQ41" s="6"/>
      <c r="RZR41" s="6"/>
      <c r="RZS41" s="6"/>
      <c r="RZT41" s="6"/>
      <c r="RZU41" s="6"/>
      <c r="RZV41" s="6"/>
      <c r="RZW41" s="6"/>
      <c r="RZX41" s="6"/>
      <c r="RZY41" s="6"/>
      <c r="RZZ41" s="6"/>
      <c r="SAA41" s="6"/>
      <c r="SAB41" s="6"/>
      <c r="SAC41" s="6"/>
      <c r="SAD41" s="6"/>
      <c r="SAE41" s="6"/>
      <c r="SAF41" s="6"/>
      <c r="SAG41" s="6"/>
      <c r="SAH41" s="6"/>
      <c r="SAI41" s="6"/>
      <c r="SAJ41" s="6"/>
      <c r="SAK41" s="6"/>
      <c r="SAL41" s="6"/>
      <c r="SAM41" s="6"/>
      <c r="SAN41" s="6"/>
      <c r="SAO41" s="6"/>
      <c r="SAP41" s="6"/>
      <c r="SAQ41" s="6"/>
      <c r="SAR41" s="6"/>
      <c r="SAS41" s="6"/>
      <c r="SAT41" s="6"/>
      <c r="SAU41" s="6"/>
      <c r="SAV41" s="6"/>
      <c r="SAW41" s="6"/>
      <c r="SAX41" s="6"/>
      <c r="SAY41" s="6"/>
      <c r="SAZ41" s="6"/>
      <c r="SBA41" s="6"/>
      <c r="SBB41" s="6"/>
      <c r="SBC41" s="6"/>
      <c r="SBD41" s="6"/>
      <c r="SBE41" s="6"/>
      <c r="SBF41" s="6"/>
      <c r="SBG41" s="6"/>
      <c r="SBH41" s="6"/>
      <c r="SBI41" s="6"/>
      <c r="SBJ41" s="6"/>
      <c r="SBK41" s="6"/>
      <c r="SBL41" s="6"/>
      <c r="SBM41" s="6"/>
      <c r="SBN41" s="6"/>
      <c r="SBO41" s="6"/>
      <c r="SBP41" s="6"/>
      <c r="SBQ41" s="6"/>
      <c r="SBR41" s="6"/>
      <c r="SBS41" s="6"/>
      <c r="SBT41" s="6"/>
      <c r="SBU41" s="6"/>
      <c r="SBV41" s="6"/>
      <c r="SBW41" s="6"/>
      <c r="SBX41" s="6"/>
      <c r="SBY41" s="6"/>
      <c r="SBZ41" s="6"/>
      <c r="SCA41" s="6"/>
      <c r="SCB41" s="6"/>
      <c r="SCC41" s="6"/>
      <c r="SCD41" s="6"/>
      <c r="SCE41" s="6"/>
      <c r="SCF41" s="6"/>
      <c r="SCG41" s="6"/>
      <c r="SCH41" s="6"/>
      <c r="SCI41" s="6"/>
      <c r="SCJ41" s="6"/>
      <c r="SCK41" s="6"/>
      <c r="SCL41" s="6"/>
      <c r="SCM41" s="6"/>
      <c r="SCN41" s="6"/>
      <c r="SCO41" s="6"/>
      <c r="SCP41" s="6"/>
      <c r="SCQ41" s="6"/>
      <c r="SCR41" s="6"/>
      <c r="SCS41" s="6"/>
      <c r="SCT41" s="6"/>
      <c r="SCU41" s="6"/>
      <c r="SCV41" s="6"/>
      <c r="SCW41" s="6"/>
      <c r="SCX41" s="6"/>
      <c r="SCY41" s="6"/>
      <c r="SCZ41" s="6"/>
      <c r="SDA41" s="6"/>
      <c r="SDB41" s="6"/>
      <c r="SDC41" s="6"/>
      <c r="SDD41" s="6"/>
      <c r="SDE41" s="6"/>
      <c r="SDF41" s="6"/>
      <c r="SDG41" s="6"/>
      <c r="SDH41" s="6"/>
      <c r="SDI41" s="6"/>
      <c r="SDJ41" s="6"/>
      <c r="SDK41" s="6"/>
      <c r="SDL41" s="6"/>
      <c r="SDM41" s="6"/>
      <c r="SDN41" s="6"/>
      <c r="SDO41" s="6"/>
      <c r="SDP41" s="6"/>
      <c r="SDQ41" s="6"/>
      <c r="SDR41" s="6"/>
      <c r="SDS41" s="6"/>
      <c r="SDT41" s="6"/>
      <c r="SDU41" s="6"/>
      <c r="SDV41" s="6"/>
      <c r="SDW41" s="6"/>
      <c r="SDX41" s="6"/>
      <c r="SDY41" s="6"/>
      <c r="SDZ41" s="6"/>
      <c r="SEA41" s="6"/>
      <c r="SEB41" s="6"/>
      <c r="SEC41" s="6"/>
      <c r="SED41" s="6"/>
      <c r="SEE41" s="6"/>
      <c r="SEF41" s="6"/>
      <c r="SEG41" s="6"/>
      <c r="SEH41" s="6"/>
      <c r="SEI41" s="6"/>
      <c r="SEJ41" s="6"/>
      <c r="SEK41" s="6"/>
      <c r="SEL41" s="6"/>
      <c r="SEM41" s="6"/>
      <c r="SEN41" s="6"/>
      <c r="SEO41" s="6"/>
      <c r="SEP41" s="6"/>
      <c r="SEQ41" s="6"/>
      <c r="SER41" s="6"/>
      <c r="SES41" s="6"/>
      <c r="SET41" s="6"/>
      <c r="SEU41" s="6"/>
      <c r="SEV41" s="6"/>
      <c r="SEW41" s="6"/>
      <c r="SEX41" s="6"/>
      <c r="SEY41" s="6"/>
      <c r="SEZ41" s="6"/>
      <c r="SFA41" s="6"/>
      <c r="SFB41" s="6"/>
      <c r="SFC41" s="6"/>
      <c r="SFD41" s="6"/>
      <c r="SFE41" s="6"/>
      <c r="SFF41" s="6"/>
      <c r="SFG41" s="6"/>
      <c r="SFH41" s="6"/>
      <c r="SFI41" s="6"/>
      <c r="SFJ41" s="6"/>
      <c r="SFK41" s="6"/>
      <c r="SFL41" s="6"/>
      <c r="SFM41" s="6"/>
      <c r="SFN41" s="6"/>
      <c r="SFO41" s="6"/>
      <c r="SFP41" s="6"/>
      <c r="SFQ41" s="6"/>
      <c r="SFR41" s="6"/>
      <c r="SFS41" s="6"/>
      <c r="SFT41" s="6"/>
      <c r="SFU41" s="6"/>
      <c r="SFV41" s="6"/>
      <c r="SFW41" s="6"/>
      <c r="SFX41" s="6"/>
      <c r="SFY41" s="6"/>
      <c r="SFZ41" s="6"/>
      <c r="SGA41" s="6"/>
      <c r="SGB41" s="6"/>
      <c r="SGC41" s="6"/>
      <c r="SGD41" s="6"/>
      <c r="SGE41" s="6"/>
      <c r="SGF41" s="6"/>
      <c r="SGG41" s="6"/>
      <c r="SGH41" s="6"/>
      <c r="SGI41" s="6"/>
      <c r="SGJ41" s="6"/>
      <c r="SGK41" s="6"/>
      <c r="SGL41" s="6"/>
      <c r="SGM41" s="6"/>
      <c r="SGN41" s="6"/>
      <c r="SGO41" s="6"/>
      <c r="SGP41" s="6"/>
      <c r="SGQ41" s="6"/>
      <c r="SGR41" s="6"/>
      <c r="SGS41" s="6"/>
      <c r="SGT41" s="6"/>
      <c r="SGU41" s="6"/>
      <c r="SGV41" s="6"/>
      <c r="SGW41" s="6"/>
      <c r="SGX41" s="6"/>
      <c r="SGY41" s="6"/>
      <c r="SGZ41" s="6"/>
      <c r="SHA41" s="6"/>
      <c r="SHB41" s="6"/>
      <c r="SHC41" s="6"/>
      <c r="SHD41" s="6"/>
      <c r="SHE41" s="6"/>
      <c r="SHF41" s="6"/>
      <c r="SHG41" s="6"/>
      <c r="SHH41" s="6"/>
      <c r="SHI41" s="6"/>
      <c r="SHJ41" s="6"/>
      <c r="SHK41" s="6"/>
      <c r="SHL41" s="6"/>
      <c r="SHM41" s="6"/>
      <c r="SHN41" s="6"/>
      <c r="SHO41" s="6"/>
      <c r="SHP41" s="6"/>
      <c r="SHQ41" s="6"/>
      <c r="SHR41" s="6"/>
      <c r="SHS41" s="6"/>
      <c r="SHT41" s="6"/>
      <c r="SHU41" s="6"/>
      <c r="SHV41" s="6"/>
      <c r="SHW41" s="6"/>
      <c r="SHX41" s="6"/>
      <c r="SHY41" s="6"/>
      <c r="SHZ41" s="6"/>
      <c r="SIA41" s="6"/>
      <c r="SIB41" s="6"/>
      <c r="SIC41" s="6"/>
      <c r="SID41" s="6"/>
      <c r="SIE41" s="6"/>
      <c r="SIF41" s="6"/>
      <c r="SIG41" s="6"/>
      <c r="SIH41" s="6"/>
      <c r="SII41" s="6"/>
      <c r="SIJ41" s="6"/>
      <c r="SIK41" s="6"/>
      <c r="SIL41" s="6"/>
      <c r="SIM41" s="6"/>
      <c r="SIN41" s="6"/>
      <c r="SIO41" s="6"/>
      <c r="SIP41" s="6"/>
      <c r="SIQ41" s="6"/>
      <c r="SIR41" s="6"/>
      <c r="SIS41" s="6"/>
      <c r="SIT41" s="6"/>
      <c r="SIU41" s="6"/>
      <c r="SIV41" s="6"/>
      <c r="SIW41" s="6"/>
      <c r="SIX41" s="6"/>
      <c r="SIY41" s="6"/>
      <c r="SIZ41" s="6"/>
      <c r="SJA41" s="6"/>
      <c r="SJB41" s="6"/>
      <c r="SJC41" s="6"/>
      <c r="SJD41" s="6"/>
      <c r="SJE41" s="6"/>
      <c r="SJF41" s="6"/>
      <c r="SJG41" s="6"/>
      <c r="SJH41" s="6"/>
      <c r="SJI41" s="6"/>
      <c r="SJJ41" s="6"/>
      <c r="SJK41" s="6"/>
      <c r="SJL41" s="6"/>
      <c r="SJM41" s="6"/>
      <c r="SJN41" s="6"/>
      <c r="SJO41" s="6"/>
      <c r="SJP41" s="6"/>
      <c r="SJQ41" s="6"/>
      <c r="SJR41" s="6"/>
      <c r="SJS41" s="6"/>
      <c r="SJT41" s="6"/>
      <c r="SJU41" s="6"/>
      <c r="SJV41" s="6"/>
      <c r="SJW41" s="6"/>
      <c r="SJX41" s="6"/>
      <c r="SJY41" s="6"/>
      <c r="SJZ41" s="6"/>
      <c r="SKA41" s="6"/>
      <c r="SKB41" s="6"/>
      <c r="SKC41" s="6"/>
      <c r="SKD41" s="6"/>
      <c r="SKE41" s="6"/>
      <c r="SKF41" s="6"/>
      <c r="SKG41" s="6"/>
      <c r="SKH41" s="6"/>
      <c r="SKI41" s="6"/>
      <c r="SKJ41" s="6"/>
      <c r="SKK41" s="6"/>
      <c r="SKL41" s="6"/>
      <c r="SKM41" s="6"/>
      <c r="SKN41" s="6"/>
      <c r="SKO41" s="6"/>
      <c r="SKP41" s="6"/>
      <c r="SKQ41" s="6"/>
      <c r="SKR41" s="6"/>
      <c r="SKS41" s="6"/>
      <c r="SKT41" s="6"/>
      <c r="SKU41" s="6"/>
      <c r="SKV41" s="6"/>
      <c r="SKW41" s="6"/>
      <c r="SKX41" s="6"/>
      <c r="SKY41" s="6"/>
      <c r="SKZ41" s="6"/>
      <c r="SLA41" s="6"/>
      <c r="SLB41" s="6"/>
      <c r="SLC41" s="6"/>
      <c r="SLD41" s="6"/>
      <c r="SLE41" s="6"/>
      <c r="SLF41" s="6"/>
      <c r="SLG41" s="6"/>
      <c r="SLH41" s="6"/>
      <c r="SLI41" s="6"/>
      <c r="SLJ41" s="6"/>
      <c r="SLK41" s="6"/>
      <c r="SLL41" s="6"/>
      <c r="SLM41" s="6"/>
      <c r="SLN41" s="6"/>
      <c r="SLO41" s="6"/>
      <c r="SLP41" s="6"/>
      <c r="SLQ41" s="6"/>
      <c r="SLR41" s="6"/>
      <c r="SLS41" s="6"/>
      <c r="SLT41" s="6"/>
      <c r="SLU41" s="6"/>
      <c r="SLV41" s="6"/>
      <c r="SLW41" s="6"/>
      <c r="SLX41" s="6"/>
      <c r="SLY41" s="6"/>
      <c r="SLZ41" s="6"/>
      <c r="SMA41" s="6"/>
      <c r="SMB41" s="6"/>
      <c r="SMC41" s="6"/>
      <c r="SMD41" s="6"/>
      <c r="SME41" s="6"/>
      <c r="SMF41" s="6"/>
      <c r="SMG41" s="6"/>
      <c r="SMH41" s="6"/>
      <c r="SMI41" s="6"/>
      <c r="SMJ41" s="6"/>
      <c r="SMK41" s="6"/>
      <c r="SML41" s="6"/>
      <c r="SMM41" s="6"/>
      <c r="SMN41" s="6"/>
      <c r="SMO41" s="6"/>
      <c r="SMP41" s="6"/>
      <c r="SMQ41" s="6"/>
      <c r="SMR41" s="6"/>
      <c r="SMS41" s="6"/>
      <c r="SMT41" s="6"/>
      <c r="SMU41" s="6"/>
      <c r="SMV41" s="6"/>
      <c r="SMW41" s="6"/>
      <c r="SMX41" s="6"/>
      <c r="SMY41" s="6"/>
      <c r="SMZ41" s="6"/>
      <c r="SNA41" s="6"/>
      <c r="SNB41" s="6"/>
      <c r="SNC41" s="6"/>
      <c r="SND41" s="6"/>
      <c r="SNE41" s="6"/>
      <c r="SNF41" s="6"/>
      <c r="SNG41" s="6"/>
      <c r="SNH41" s="6"/>
      <c r="SNI41" s="6"/>
      <c r="SNJ41" s="6"/>
      <c r="SNK41" s="6"/>
      <c r="SNL41" s="6"/>
      <c r="SNM41" s="6"/>
      <c r="SNN41" s="6"/>
      <c r="SNO41" s="6"/>
      <c r="SNP41" s="6"/>
      <c r="SNQ41" s="6"/>
      <c r="SNR41" s="6"/>
      <c r="SNS41" s="6"/>
      <c r="SNT41" s="6"/>
      <c r="SNU41" s="6"/>
      <c r="SNV41" s="6"/>
      <c r="SNW41" s="6"/>
      <c r="SNX41" s="6"/>
      <c r="SNY41" s="6"/>
      <c r="SNZ41" s="6"/>
      <c r="SOA41" s="6"/>
      <c r="SOB41" s="6"/>
      <c r="SOC41" s="6"/>
      <c r="SOD41" s="6"/>
      <c r="SOE41" s="6"/>
      <c r="SOF41" s="6"/>
      <c r="SOG41" s="6"/>
      <c r="SOH41" s="6"/>
      <c r="SOI41" s="6"/>
      <c r="SOJ41" s="6"/>
      <c r="SOK41" s="6"/>
      <c r="SOL41" s="6"/>
      <c r="SOM41" s="6"/>
      <c r="SON41" s="6"/>
      <c r="SOO41" s="6"/>
      <c r="SOP41" s="6"/>
      <c r="SOQ41" s="6"/>
      <c r="SOR41" s="6"/>
      <c r="SOS41" s="6"/>
      <c r="SOT41" s="6"/>
      <c r="SOU41" s="6"/>
      <c r="SOV41" s="6"/>
      <c r="SOW41" s="6"/>
      <c r="SOX41" s="6"/>
      <c r="SOY41" s="6"/>
      <c r="SOZ41" s="6"/>
      <c r="SPA41" s="6"/>
      <c r="SPB41" s="6"/>
      <c r="SPC41" s="6"/>
      <c r="SPD41" s="6"/>
      <c r="SPE41" s="6"/>
      <c r="SPF41" s="6"/>
      <c r="SPG41" s="6"/>
      <c r="SPH41" s="6"/>
      <c r="SPI41" s="6"/>
      <c r="SPJ41" s="6"/>
      <c r="SPK41" s="6"/>
      <c r="SPL41" s="6"/>
      <c r="SPM41" s="6"/>
      <c r="SPN41" s="6"/>
      <c r="SPO41" s="6"/>
      <c r="SPP41" s="6"/>
      <c r="SPQ41" s="6"/>
      <c r="SPR41" s="6"/>
      <c r="SPS41" s="6"/>
      <c r="SPT41" s="6"/>
      <c r="SPU41" s="6"/>
      <c r="SPV41" s="6"/>
      <c r="SPW41" s="6"/>
      <c r="SPX41" s="6"/>
      <c r="SPY41" s="6"/>
      <c r="SPZ41" s="6"/>
      <c r="SQA41" s="6"/>
      <c r="SQB41" s="6"/>
      <c r="SQC41" s="6"/>
      <c r="SQD41" s="6"/>
      <c r="SQE41" s="6"/>
      <c r="SQF41" s="6"/>
      <c r="SQG41" s="6"/>
      <c r="SQH41" s="6"/>
      <c r="SQI41" s="6"/>
      <c r="SQJ41" s="6"/>
      <c r="SQK41" s="6"/>
      <c r="SQL41" s="6"/>
      <c r="SQM41" s="6"/>
      <c r="SQN41" s="6"/>
      <c r="SQO41" s="6"/>
      <c r="SQP41" s="6"/>
      <c r="SQQ41" s="6"/>
      <c r="SQR41" s="6"/>
      <c r="SQS41" s="6"/>
      <c r="SQT41" s="6"/>
      <c r="SQU41" s="6"/>
      <c r="SQV41" s="6"/>
      <c r="SQW41" s="6"/>
      <c r="SQX41" s="6"/>
      <c r="SQY41" s="6"/>
      <c r="SQZ41" s="6"/>
      <c r="SRA41" s="6"/>
      <c r="SRB41" s="6"/>
      <c r="SRC41" s="6"/>
      <c r="SRD41" s="6"/>
      <c r="SRE41" s="6"/>
      <c r="SRF41" s="6"/>
      <c r="SRG41" s="6"/>
      <c r="SRH41" s="6"/>
      <c r="SRI41" s="6"/>
      <c r="SRJ41" s="6"/>
      <c r="SRK41" s="6"/>
      <c r="SRL41" s="6"/>
      <c r="SRM41" s="6"/>
      <c r="SRN41" s="6"/>
      <c r="SRO41" s="6"/>
      <c r="SRP41" s="6"/>
      <c r="SRQ41" s="6"/>
      <c r="SRR41" s="6"/>
      <c r="SRS41" s="6"/>
      <c r="SRT41" s="6"/>
      <c r="SRU41" s="6"/>
      <c r="SRV41" s="6"/>
      <c r="SRW41" s="6"/>
      <c r="SRX41" s="6"/>
      <c r="SRY41" s="6"/>
      <c r="SRZ41" s="6"/>
      <c r="SSA41" s="6"/>
      <c r="SSB41" s="6"/>
      <c r="SSC41" s="6"/>
      <c r="SSD41" s="6"/>
      <c r="SSE41" s="6"/>
      <c r="SSF41" s="6"/>
      <c r="SSG41" s="6"/>
      <c r="SSH41" s="6"/>
      <c r="SSI41" s="6"/>
      <c r="SSJ41" s="6"/>
      <c r="SSK41" s="6"/>
      <c r="SSL41" s="6"/>
      <c r="SSM41" s="6"/>
      <c r="SSN41" s="6"/>
      <c r="SSO41" s="6"/>
      <c r="SSP41" s="6"/>
      <c r="SSQ41" s="6"/>
      <c r="SSR41" s="6"/>
      <c r="SSS41" s="6"/>
      <c r="SST41" s="6"/>
      <c r="SSU41" s="6"/>
      <c r="SSV41" s="6"/>
      <c r="SSW41" s="6"/>
      <c r="SSX41" s="6"/>
      <c r="SSY41" s="6"/>
      <c r="SSZ41" s="6"/>
      <c r="STA41" s="6"/>
      <c r="STB41" s="6"/>
      <c r="STC41" s="6"/>
      <c r="STD41" s="6"/>
      <c r="STE41" s="6"/>
      <c r="STF41" s="6"/>
      <c r="STG41" s="6"/>
      <c r="STH41" s="6"/>
      <c r="STI41" s="6"/>
      <c r="STJ41" s="6"/>
      <c r="STK41" s="6"/>
      <c r="STL41" s="6"/>
      <c r="STM41" s="6"/>
      <c r="STN41" s="6"/>
      <c r="STO41" s="6"/>
      <c r="STP41" s="6"/>
      <c r="STQ41" s="6"/>
      <c r="STR41" s="6"/>
      <c r="STS41" s="6"/>
      <c r="STT41" s="6"/>
      <c r="STU41" s="6"/>
      <c r="STV41" s="6"/>
      <c r="STW41" s="6"/>
      <c r="STX41" s="6"/>
      <c r="STY41" s="6"/>
      <c r="STZ41" s="6"/>
      <c r="SUA41" s="6"/>
      <c r="SUB41" s="6"/>
      <c r="SUC41" s="6"/>
      <c r="SUD41" s="6"/>
      <c r="SUE41" s="6"/>
      <c r="SUF41" s="6"/>
      <c r="SUG41" s="6"/>
      <c r="SUH41" s="6"/>
      <c r="SUI41" s="6"/>
      <c r="SUJ41" s="6"/>
      <c r="SUK41" s="6"/>
      <c r="SUL41" s="6"/>
      <c r="SUM41" s="6"/>
      <c r="SUN41" s="6"/>
      <c r="SUO41" s="6"/>
      <c r="SUP41" s="6"/>
      <c r="SUQ41" s="6"/>
      <c r="SUR41" s="6"/>
      <c r="SUS41" s="6"/>
      <c r="SUT41" s="6"/>
      <c r="SUU41" s="6"/>
      <c r="SUV41" s="6"/>
      <c r="SUW41" s="6"/>
      <c r="SUX41" s="6"/>
      <c r="SUY41" s="6"/>
      <c r="SUZ41" s="6"/>
      <c r="SVA41" s="6"/>
      <c r="SVB41" s="6"/>
      <c r="SVC41" s="6"/>
      <c r="SVD41" s="6"/>
      <c r="SVE41" s="6"/>
      <c r="SVF41" s="6"/>
      <c r="SVG41" s="6"/>
      <c r="SVH41" s="6"/>
      <c r="SVI41" s="6"/>
      <c r="SVJ41" s="6"/>
      <c r="SVK41" s="6"/>
      <c r="SVL41" s="6"/>
      <c r="SVM41" s="6"/>
      <c r="SVN41" s="6"/>
      <c r="SVO41" s="6"/>
      <c r="SVP41" s="6"/>
      <c r="SVQ41" s="6"/>
      <c r="SVR41" s="6"/>
      <c r="SVS41" s="6"/>
      <c r="SVT41" s="6"/>
      <c r="SVU41" s="6"/>
      <c r="SVV41" s="6"/>
      <c r="SVW41" s="6"/>
      <c r="SVX41" s="6"/>
      <c r="SVY41" s="6"/>
      <c r="SVZ41" s="6"/>
      <c r="SWA41" s="6"/>
      <c r="SWB41" s="6"/>
      <c r="SWC41" s="6"/>
      <c r="SWD41" s="6"/>
      <c r="SWE41" s="6"/>
      <c r="SWF41" s="6"/>
      <c r="SWG41" s="6"/>
      <c r="SWH41" s="6"/>
      <c r="SWI41" s="6"/>
      <c r="SWJ41" s="6"/>
      <c r="SWK41" s="6"/>
      <c r="SWL41" s="6"/>
      <c r="SWM41" s="6"/>
      <c r="SWN41" s="6"/>
      <c r="SWO41" s="6"/>
      <c r="SWP41" s="6"/>
      <c r="SWQ41" s="6"/>
      <c r="SWR41" s="6"/>
      <c r="SWS41" s="6"/>
      <c r="SWT41" s="6"/>
      <c r="SWU41" s="6"/>
      <c r="SWV41" s="6"/>
      <c r="SWW41" s="6"/>
      <c r="SWX41" s="6"/>
      <c r="SWY41" s="6"/>
      <c r="SWZ41" s="6"/>
      <c r="SXA41" s="6"/>
      <c r="SXB41" s="6"/>
      <c r="SXC41" s="6"/>
      <c r="SXD41" s="6"/>
      <c r="SXE41" s="6"/>
      <c r="SXF41" s="6"/>
      <c r="SXG41" s="6"/>
      <c r="SXH41" s="6"/>
      <c r="SXI41" s="6"/>
      <c r="SXJ41" s="6"/>
      <c r="SXK41" s="6"/>
      <c r="SXL41" s="6"/>
      <c r="SXM41" s="6"/>
      <c r="SXN41" s="6"/>
      <c r="SXO41" s="6"/>
      <c r="SXP41" s="6"/>
      <c r="SXQ41" s="6"/>
      <c r="SXR41" s="6"/>
      <c r="SXS41" s="6"/>
      <c r="SXT41" s="6"/>
      <c r="SXU41" s="6"/>
      <c r="SXV41" s="6"/>
      <c r="SXW41" s="6"/>
      <c r="SXX41" s="6"/>
      <c r="SXY41" s="6"/>
      <c r="SXZ41" s="6"/>
      <c r="SYA41" s="6"/>
      <c r="SYB41" s="6"/>
      <c r="SYC41" s="6"/>
      <c r="SYD41" s="6"/>
      <c r="SYE41" s="6"/>
      <c r="SYF41" s="6"/>
      <c r="SYG41" s="6"/>
      <c r="SYH41" s="6"/>
      <c r="SYI41" s="6"/>
      <c r="SYJ41" s="6"/>
      <c r="SYK41" s="6"/>
      <c r="SYL41" s="6"/>
      <c r="SYM41" s="6"/>
      <c r="SYN41" s="6"/>
      <c r="SYO41" s="6"/>
      <c r="SYP41" s="6"/>
      <c r="SYQ41" s="6"/>
      <c r="SYR41" s="6"/>
      <c r="SYS41" s="6"/>
      <c r="SYT41" s="6"/>
      <c r="SYU41" s="6"/>
      <c r="SYV41" s="6"/>
      <c r="SYW41" s="6"/>
      <c r="SYX41" s="6"/>
      <c r="SYY41" s="6"/>
      <c r="SYZ41" s="6"/>
      <c r="SZA41" s="6"/>
      <c r="SZB41" s="6"/>
      <c r="SZC41" s="6"/>
      <c r="SZD41" s="6"/>
      <c r="SZE41" s="6"/>
      <c r="SZF41" s="6"/>
      <c r="SZG41" s="6"/>
      <c r="SZH41" s="6"/>
      <c r="SZI41" s="6"/>
      <c r="SZJ41" s="6"/>
      <c r="SZK41" s="6"/>
      <c r="SZL41" s="6"/>
      <c r="SZM41" s="6"/>
      <c r="SZN41" s="6"/>
      <c r="SZO41" s="6"/>
      <c r="SZP41" s="6"/>
      <c r="SZQ41" s="6"/>
      <c r="SZR41" s="6"/>
      <c r="SZS41" s="6"/>
      <c r="SZT41" s="6"/>
      <c r="SZU41" s="6"/>
      <c r="SZV41" s="6"/>
      <c r="SZW41" s="6"/>
      <c r="SZX41" s="6"/>
      <c r="SZY41" s="6"/>
      <c r="SZZ41" s="6"/>
      <c r="TAA41" s="6"/>
      <c r="TAB41" s="6"/>
      <c r="TAC41" s="6"/>
      <c r="TAD41" s="6"/>
      <c r="TAE41" s="6"/>
      <c r="TAF41" s="6"/>
      <c r="TAG41" s="6"/>
      <c r="TAH41" s="6"/>
      <c r="TAI41" s="6"/>
      <c r="TAJ41" s="6"/>
      <c r="TAK41" s="6"/>
      <c r="TAL41" s="6"/>
      <c r="TAM41" s="6"/>
      <c r="TAN41" s="6"/>
      <c r="TAO41" s="6"/>
      <c r="TAP41" s="6"/>
      <c r="TAQ41" s="6"/>
      <c r="TAR41" s="6"/>
      <c r="TAS41" s="6"/>
      <c r="TAT41" s="6"/>
      <c r="TAU41" s="6"/>
      <c r="TAV41" s="6"/>
      <c r="TAW41" s="6"/>
      <c r="TAX41" s="6"/>
      <c r="TAY41" s="6"/>
      <c r="TAZ41" s="6"/>
      <c r="TBA41" s="6"/>
      <c r="TBB41" s="6"/>
      <c r="TBC41" s="6"/>
      <c r="TBD41" s="6"/>
      <c r="TBE41" s="6"/>
      <c r="TBF41" s="6"/>
      <c r="TBG41" s="6"/>
      <c r="TBH41" s="6"/>
      <c r="TBI41" s="6"/>
      <c r="TBJ41" s="6"/>
      <c r="TBK41" s="6"/>
      <c r="TBL41" s="6"/>
      <c r="TBM41" s="6"/>
      <c r="TBN41" s="6"/>
      <c r="TBO41" s="6"/>
      <c r="TBP41" s="6"/>
      <c r="TBQ41" s="6"/>
      <c r="TBR41" s="6"/>
      <c r="TBS41" s="6"/>
      <c r="TBT41" s="6"/>
      <c r="TBU41" s="6"/>
      <c r="TBV41" s="6"/>
      <c r="TBW41" s="6"/>
      <c r="TBX41" s="6"/>
      <c r="TBY41" s="6"/>
      <c r="TBZ41" s="6"/>
      <c r="TCA41" s="6"/>
      <c r="TCB41" s="6"/>
      <c r="TCC41" s="6"/>
      <c r="TCD41" s="6"/>
      <c r="TCE41" s="6"/>
      <c r="TCF41" s="6"/>
      <c r="TCG41" s="6"/>
      <c r="TCH41" s="6"/>
      <c r="TCI41" s="6"/>
      <c r="TCJ41" s="6"/>
      <c r="TCK41" s="6"/>
      <c r="TCL41" s="6"/>
      <c r="TCM41" s="6"/>
      <c r="TCN41" s="6"/>
      <c r="TCO41" s="6"/>
      <c r="TCP41" s="6"/>
      <c r="TCQ41" s="6"/>
      <c r="TCR41" s="6"/>
      <c r="TCS41" s="6"/>
      <c r="TCT41" s="6"/>
      <c r="TCU41" s="6"/>
      <c r="TCV41" s="6"/>
      <c r="TCW41" s="6"/>
      <c r="TCX41" s="6"/>
      <c r="TCY41" s="6"/>
      <c r="TCZ41" s="6"/>
      <c r="TDA41" s="6"/>
      <c r="TDB41" s="6"/>
      <c r="TDC41" s="6"/>
      <c r="TDD41" s="6"/>
      <c r="TDE41" s="6"/>
      <c r="TDF41" s="6"/>
      <c r="TDG41" s="6"/>
      <c r="TDH41" s="6"/>
      <c r="TDI41" s="6"/>
      <c r="TDJ41" s="6"/>
      <c r="TDK41" s="6"/>
      <c r="TDL41" s="6"/>
      <c r="TDM41" s="6"/>
      <c r="TDN41" s="6"/>
      <c r="TDO41" s="6"/>
      <c r="TDP41" s="6"/>
      <c r="TDQ41" s="6"/>
      <c r="TDR41" s="6"/>
      <c r="TDS41" s="6"/>
      <c r="TDT41" s="6"/>
      <c r="TDU41" s="6"/>
      <c r="TDV41" s="6"/>
      <c r="TDW41" s="6"/>
      <c r="TDX41" s="6"/>
      <c r="TDY41" s="6"/>
      <c r="TDZ41" s="6"/>
      <c r="TEA41" s="6"/>
      <c r="TEB41" s="6"/>
      <c r="TEC41" s="6"/>
      <c r="TED41" s="6"/>
      <c r="TEE41" s="6"/>
      <c r="TEF41" s="6"/>
      <c r="TEG41" s="6"/>
      <c r="TEH41" s="6"/>
      <c r="TEI41" s="6"/>
      <c r="TEJ41" s="6"/>
      <c r="TEK41" s="6"/>
      <c r="TEL41" s="6"/>
      <c r="TEM41" s="6"/>
      <c r="TEN41" s="6"/>
      <c r="TEO41" s="6"/>
      <c r="TEP41" s="6"/>
      <c r="TEQ41" s="6"/>
      <c r="TER41" s="6"/>
      <c r="TES41" s="6"/>
      <c r="TET41" s="6"/>
      <c r="TEU41" s="6"/>
      <c r="TEV41" s="6"/>
      <c r="TEW41" s="6"/>
      <c r="TEX41" s="6"/>
      <c r="TEY41" s="6"/>
      <c r="TEZ41" s="6"/>
      <c r="TFA41" s="6"/>
      <c r="TFB41" s="6"/>
      <c r="TFC41" s="6"/>
      <c r="TFD41" s="6"/>
      <c r="TFE41" s="6"/>
      <c r="TFF41" s="6"/>
      <c r="TFG41" s="6"/>
      <c r="TFH41" s="6"/>
      <c r="TFI41" s="6"/>
      <c r="TFJ41" s="6"/>
      <c r="TFK41" s="6"/>
      <c r="TFL41" s="6"/>
      <c r="TFM41" s="6"/>
      <c r="TFN41" s="6"/>
      <c r="TFO41" s="6"/>
      <c r="TFP41" s="6"/>
      <c r="TFQ41" s="6"/>
      <c r="TFR41" s="6"/>
      <c r="TFS41" s="6"/>
      <c r="TFT41" s="6"/>
      <c r="TFU41" s="6"/>
      <c r="TFV41" s="6"/>
      <c r="TFW41" s="6"/>
      <c r="TFX41" s="6"/>
      <c r="TFY41" s="6"/>
      <c r="TFZ41" s="6"/>
      <c r="TGA41" s="6"/>
      <c r="TGB41" s="6"/>
      <c r="TGC41" s="6"/>
      <c r="TGD41" s="6"/>
      <c r="TGE41" s="6"/>
      <c r="TGF41" s="6"/>
      <c r="TGG41" s="6"/>
      <c r="TGH41" s="6"/>
      <c r="TGI41" s="6"/>
      <c r="TGJ41" s="6"/>
      <c r="TGK41" s="6"/>
      <c r="TGL41" s="6"/>
      <c r="TGM41" s="6"/>
      <c r="TGN41" s="6"/>
      <c r="TGO41" s="6"/>
      <c r="TGP41" s="6"/>
      <c r="TGQ41" s="6"/>
      <c r="TGR41" s="6"/>
      <c r="TGS41" s="6"/>
      <c r="TGT41" s="6"/>
      <c r="TGU41" s="6"/>
      <c r="TGV41" s="6"/>
      <c r="TGW41" s="6"/>
      <c r="TGX41" s="6"/>
      <c r="TGY41" s="6"/>
      <c r="TGZ41" s="6"/>
      <c r="THA41" s="6"/>
      <c r="THB41" s="6"/>
      <c r="THC41" s="6"/>
      <c r="THD41" s="6"/>
      <c r="THE41" s="6"/>
      <c r="THF41" s="6"/>
      <c r="THG41" s="6"/>
      <c r="THH41" s="6"/>
      <c r="THI41" s="6"/>
      <c r="THJ41" s="6"/>
      <c r="THK41" s="6"/>
      <c r="THL41" s="6"/>
      <c r="THM41" s="6"/>
      <c r="THN41" s="6"/>
      <c r="THO41" s="6"/>
      <c r="THP41" s="6"/>
      <c r="THQ41" s="6"/>
      <c r="THR41" s="6"/>
      <c r="THS41" s="6"/>
      <c r="THT41" s="6"/>
      <c r="THU41" s="6"/>
      <c r="THV41" s="6"/>
      <c r="THW41" s="6"/>
      <c r="THX41" s="6"/>
      <c r="THY41" s="6"/>
      <c r="THZ41" s="6"/>
      <c r="TIA41" s="6"/>
      <c r="TIB41" s="6"/>
      <c r="TIC41" s="6"/>
      <c r="TID41" s="6"/>
      <c r="TIE41" s="6"/>
      <c r="TIF41" s="6"/>
      <c r="TIG41" s="6"/>
      <c r="TIH41" s="6"/>
      <c r="TII41" s="6"/>
      <c r="TIJ41" s="6"/>
      <c r="TIK41" s="6"/>
      <c r="TIL41" s="6"/>
      <c r="TIM41" s="6"/>
      <c r="TIN41" s="6"/>
      <c r="TIO41" s="6"/>
      <c r="TIP41" s="6"/>
      <c r="TIQ41" s="6"/>
      <c r="TIR41" s="6"/>
      <c r="TIS41" s="6"/>
      <c r="TIT41" s="6"/>
      <c r="TIU41" s="6"/>
      <c r="TIV41" s="6"/>
      <c r="TIW41" s="6"/>
      <c r="TIX41" s="6"/>
      <c r="TIY41" s="6"/>
      <c r="TIZ41" s="6"/>
      <c r="TJA41" s="6"/>
      <c r="TJB41" s="6"/>
      <c r="TJC41" s="6"/>
      <c r="TJD41" s="6"/>
      <c r="TJE41" s="6"/>
      <c r="TJF41" s="6"/>
      <c r="TJG41" s="6"/>
      <c r="TJH41" s="6"/>
      <c r="TJI41" s="6"/>
      <c r="TJJ41" s="6"/>
      <c r="TJK41" s="6"/>
      <c r="TJL41" s="6"/>
      <c r="TJM41" s="6"/>
      <c r="TJN41" s="6"/>
      <c r="TJO41" s="6"/>
      <c r="TJP41" s="6"/>
      <c r="TJQ41" s="6"/>
      <c r="TJR41" s="6"/>
      <c r="TJS41" s="6"/>
      <c r="TJT41" s="6"/>
      <c r="TJU41" s="6"/>
      <c r="TJV41" s="6"/>
      <c r="TJW41" s="6"/>
      <c r="TJX41" s="6"/>
      <c r="TJY41" s="6"/>
      <c r="TJZ41" s="6"/>
      <c r="TKA41" s="6"/>
      <c r="TKB41" s="6"/>
      <c r="TKC41" s="6"/>
      <c r="TKD41" s="6"/>
      <c r="TKE41" s="6"/>
      <c r="TKF41" s="6"/>
      <c r="TKG41" s="6"/>
      <c r="TKH41" s="6"/>
      <c r="TKI41" s="6"/>
      <c r="TKJ41" s="6"/>
      <c r="TKK41" s="6"/>
      <c r="TKL41" s="6"/>
      <c r="TKM41" s="6"/>
      <c r="TKN41" s="6"/>
      <c r="TKO41" s="6"/>
      <c r="TKP41" s="6"/>
      <c r="TKQ41" s="6"/>
      <c r="TKR41" s="6"/>
      <c r="TKS41" s="6"/>
      <c r="TKT41" s="6"/>
      <c r="TKU41" s="6"/>
      <c r="TKV41" s="6"/>
      <c r="TKW41" s="6"/>
      <c r="TKX41" s="6"/>
      <c r="TKY41" s="6"/>
      <c r="TKZ41" s="6"/>
      <c r="TLA41" s="6"/>
      <c r="TLB41" s="6"/>
      <c r="TLC41" s="6"/>
      <c r="TLD41" s="6"/>
      <c r="TLE41" s="6"/>
      <c r="TLF41" s="6"/>
      <c r="TLG41" s="6"/>
      <c r="TLH41" s="6"/>
      <c r="TLI41" s="6"/>
      <c r="TLJ41" s="6"/>
      <c r="TLK41" s="6"/>
      <c r="TLL41" s="6"/>
      <c r="TLM41" s="6"/>
      <c r="TLN41" s="6"/>
      <c r="TLO41" s="6"/>
      <c r="TLP41" s="6"/>
      <c r="TLQ41" s="6"/>
      <c r="TLR41" s="6"/>
      <c r="TLS41" s="6"/>
      <c r="TLT41" s="6"/>
      <c r="TLU41" s="6"/>
      <c r="TLV41" s="6"/>
      <c r="TLW41" s="6"/>
      <c r="TLX41" s="6"/>
      <c r="TLY41" s="6"/>
      <c r="TLZ41" s="6"/>
      <c r="TMA41" s="6"/>
      <c r="TMB41" s="6"/>
      <c r="TMC41" s="6"/>
      <c r="TMD41" s="6"/>
      <c r="TME41" s="6"/>
      <c r="TMF41" s="6"/>
      <c r="TMG41" s="6"/>
      <c r="TMH41" s="6"/>
      <c r="TMI41" s="6"/>
      <c r="TMJ41" s="6"/>
      <c r="TMK41" s="6"/>
      <c r="TML41" s="6"/>
      <c r="TMM41" s="6"/>
      <c r="TMN41" s="6"/>
      <c r="TMO41" s="6"/>
      <c r="TMP41" s="6"/>
      <c r="TMQ41" s="6"/>
      <c r="TMR41" s="6"/>
      <c r="TMS41" s="6"/>
      <c r="TMT41" s="6"/>
      <c r="TMU41" s="6"/>
      <c r="TMV41" s="6"/>
      <c r="TMW41" s="6"/>
      <c r="TMX41" s="6"/>
      <c r="TMY41" s="6"/>
      <c r="TMZ41" s="6"/>
      <c r="TNA41" s="6"/>
      <c r="TNB41" s="6"/>
      <c r="TNC41" s="6"/>
      <c r="TND41" s="6"/>
      <c r="TNE41" s="6"/>
      <c r="TNF41" s="6"/>
      <c r="TNG41" s="6"/>
      <c r="TNH41" s="6"/>
      <c r="TNI41" s="6"/>
      <c r="TNJ41" s="6"/>
      <c r="TNK41" s="6"/>
      <c r="TNL41" s="6"/>
      <c r="TNM41" s="6"/>
      <c r="TNN41" s="6"/>
      <c r="TNO41" s="6"/>
      <c r="TNP41" s="6"/>
      <c r="TNQ41" s="6"/>
      <c r="TNR41" s="6"/>
      <c r="TNS41" s="6"/>
      <c r="TNT41" s="6"/>
      <c r="TNU41" s="6"/>
      <c r="TNV41" s="6"/>
      <c r="TNW41" s="6"/>
      <c r="TNX41" s="6"/>
      <c r="TNY41" s="6"/>
      <c r="TNZ41" s="6"/>
      <c r="TOA41" s="6"/>
      <c r="TOB41" s="6"/>
      <c r="TOC41" s="6"/>
      <c r="TOD41" s="6"/>
      <c r="TOE41" s="6"/>
      <c r="TOF41" s="6"/>
      <c r="TOG41" s="6"/>
      <c r="TOH41" s="6"/>
      <c r="TOI41" s="6"/>
      <c r="TOJ41" s="6"/>
      <c r="TOK41" s="6"/>
      <c r="TOL41" s="6"/>
      <c r="TOM41" s="6"/>
      <c r="TON41" s="6"/>
      <c r="TOO41" s="6"/>
      <c r="TOP41" s="6"/>
      <c r="TOQ41" s="6"/>
      <c r="TOR41" s="6"/>
      <c r="TOS41" s="6"/>
      <c r="TOT41" s="6"/>
      <c r="TOU41" s="6"/>
      <c r="TOV41" s="6"/>
      <c r="TOW41" s="6"/>
      <c r="TOX41" s="6"/>
      <c r="TOY41" s="6"/>
      <c r="TOZ41" s="6"/>
      <c r="TPA41" s="6"/>
      <c r="TPB41" s="6"/>
      <c r="TPC41" s="6"/>
      <c r="TPD41" s="6"/>
      <c r="TPE41" s="6"/>
      <c r="TPF41" s="6"/>
      <c r="TPG41" s="6"/>
      <c r="TPH41" s="6"/>
      <c r="TPI41" s="6"/>
      <c r="TPJ41" s="6"/>
      <c r="TPK41" s="6"/>
      <c r="TPL41" s="6"/>
      <c r="TPM41" s="6"/>
      <c r="TPN41" s="6"/>
      <c r="TPO41" s="6"/>
      <c r="TPP41" s="6"/>
      <c r="TPQ41" s="6"/>
      <c r="TPR41" s="6"/>
      <c r="TPS41" s="6"/>
      <c r="TPT41" s="6"/>
      <c r="TPU41" s="6"/>
      <c r="TPV41" s="6"/>
      <c r="TPW41" s="6"/>
      <c r="TPX41" s="6"/>
      <c r="TPY41" s="6"/>
      <c r="TPZ41" s="6"/>
      <c r="TQA41" s="6"/>
      <c r="TQB41" s="6"/>
      <c r="TQC41" s="6"/>
      <c r="TQD41" s="6"/>
      <c r="TQE41" s="6"/>
      <c r="TQF41" s="6"/>
      <c r="TQG41" s="6"/>
      <c r="TQH41" s="6"/>
      <c r="TQI41" s="6"/>
      <c r="TQJ41" s="6"/>
      <c r="TQK41" s="6"/>
      <c r="TQL41" s="6"/>
      <c r="TQM41" s="6"/>
      <c r="TQN41" s="6"/>
      <c r="TQO41" s="6"/>
      <c r="TQP41" s="6"/>
      <c r="TQQ41" s="6"/>
      <c r="TQR41" s="6"/>
      <c r="TQS41" s="6"/>
      <c r="TQT41" s="6"/>
      <c r="TQU41" s="6"/>
      <c r="TQV41" s="6"/>
      <c r="TQW41" s="6"/>
      <c r="TQX41" s="6"/>
      <c r="TQY41" s="6"/>
      <c r="TQZ41" s="6"/>
      <c r="TRA41" s="6"/>
      <c r="TRB41" s="6"/>
      <c r="TRC41" s="6"/>
      <c r="TRD41" s="6"/>
      <c r="TRE41" s="6"/>
      <c r="TRF41" s="6"/>
      <c r="TRG41" s="6"/>
      <c r="TRH41" s="6"/>
      <c r="TRI41" s="6"/>
      <c r="TRJ41" s="6"/>
      <c r="TRK41" s="6"/>
      <c r="TRL41" s="6"/>
      <c r="TRM41" s="6"/>
      <c r="TRN41" s="6"/>
      <c r="TRO41" s="6"/>
      <c r="TRP41" s="6"/>
      <c r="TRQ41" s="6"/>
      <c r="TRR41" s="6"/>
      <c r="TRS41" s="6"/>
      <c r="TRT41" s="6"/>
      <c r="TRU41" s="6"/>
      <c r="TRV41" s="6"/>
      <c r="TRW41" s="6"/>
      <c r="TRX41" s="6"/>
      <c r="TRY41" s="6"/>
      <c r="TRZ41" s="6"/>
      <c r="TSA41" s="6"/>
      <c r="TSB41" s="6"/>
      <c r="TSC41" s="6"/>
      <c r="TSD41" s="6"/>
      <c r="TSE41" s="6"/>
      <c r="TSF41" s="6"/>
      <c r="TSG41" s="6"/>
      <c r="TSH41" s="6"/>
      <c r="TSI41" s="6"/>
      <c r="TSJ41" s="6"/>
      <c r="TSK41" s="6"/>
      <c r="TSL41" s="6"/>
      <c r="TSM41" s="6"/>
      <c r="TSN41" s="6"/>
      <c r="TSO41" s="6"/>
      <c r="TSP41" s="6"/>
      <c r="TSQ41" s="6"/>
      <c r="TSR41" s="6"/>
      <c r="TSS41" s="6"/>
      <c r="TST41" s="6"/>
      <c r="TSU41" s="6"/>
      <c r="TSV41" s="6"/>
      <c r="TSW41" s="6"/>
      <c r="TSX41" s="6"/>
      <c r="TSY41" s="6"/>
      <c r="TSZ41" s="6"/>
      <c r="TTA41" s="6"/>
      <c r="TTB41" s="6"/>
      <c r="TTC41" s="6"/>
      <c r="TTD41" s="6"/>
      <c r="TTE41" s="6"/>
      <c r="TTF41" s="6"/>
      <c r="TTG41" s="6"/>
      <c r="TTH41" s="6"/>
      <c r="TTI41" s="6"/>
      <c r="TTJ41" s="6"/>
      <c r="TTK41" s="6"/>
      <c r="TTL41" s="6"/>
      <c r="TTM41" s="6"/>
      <c r="TTN41" s="6"/>
      <c r="TTO41" s="6"/>
      <c r="TTP41" s="6"/>
      <c r="TTQ41" s="6"/>
      <c r="TTR41" s="6"/>
      <c r="TTS41" s="6"/>
      <c r="TTT41" s="6"/>
      <c r="TTU41" s="6"/>
      <c r="TTV41" s="6"/>
      <c r="TTW41" s="6"/>
      <c r="TTX41" s="6"/>
      <c r="TTY41" s="6"/>
      <c r="TTZ41" s="6"/>
      <c r="TUA41" s="6"/>
      <c r="TUB41" s="6"/>
      <c r="TUC41" s="6"/>
      <c r="TUD41" s="6"/>
      <c r="TUE41" s="6"/>
      <c r="TUF41" s="6"/>
      <c r="TUG41" s="6"/>
      <c r="TUH41" s="6"/>
      <c r="TUI41" s="6"/>
      <c r="TUJ41" s="6"/>
      <c r="TUK41" s="6"/>
      <c r="TUL41" s="6"/>
      <c r="TUM41" s="6"/>
      <c r="TUN41" s="6"/>
      <c r="TUO41" s="6"/>
      <c r="TUP41" s="6"/>
      <c r="TUQ41" s="6"/>
      <c r="TUR41" s="6"/>
      <c r="TUS41" s="6"/>
      <c r="TUT41" s="6"/>
      <c r="TUU41" s="6"/>
      <c r="TUV41" s="6"/>
      <c r="TUW41" s="6"/>
      <c r="TUX41" s="6"/>
      <c r="TUY41" s="6"/>
      <c r="TUZ41" s="6"/>
      <c r="TVA41" s="6"/>
      <c r="TVB41" s="6"/>
      <c r="TVC41" s="6"/>
      <c r="TVD41" s="6"/>
      <c r="TVE41" s="6"/>
      <c r="TVF41" s="6"/>
      <c r="TVG41" s="6"/>
      <c r="TVH41" s="6"/>
      <c r="TVI41" s="6"/>
      <c r="TVJ41" s="6"/>
      <c r="TVK41" s="6"/>
      <c r="TVL41" s="6"/>
      <c r="TVM41" s="6"/>
      <c r="TVN41" s="6"/>
      <c r="TVO41" s="6"/>
      <c r="TVP41" s="6"/>
      <c r="TVQ41" s="6"/>
      <c r="TVR41" s="6"/>
      <c r="TVS41" s="6"/>
      <c r="TVT41" s="6"/>
      <c r="TVU41" s="6"/>
      <c r="TVV41" s="6"/>
      <c r="TVW41" s="6"/>
      <c r="TVX41" s="6"/>
      <c r="TVY41" s="6"/>
      <c r="TVZ41" s="6"/>
      <c r="TWA41" s="6"/>
      <c r="TWB41" s="6"/>
      <c r="TWC41" s="6"/>
      <c r="TWD41" s="6"/>
      <c r="TWE41" s="6"/>
      <c r="TWF41" s="6"/>
      <c r="TWG41" s="6"/>
      <c r="TWH41" s="6"/>
      <c r="TWI41" s="6"/>
      <c r="TWJ41" s="6"/>
      <c r="TWK41" s="6"/>
      <c r="TWL41" s="6"/>
      <c r="TWM41" s="6"/>
      <c r="TWN41" s="6"/>
      <c r="TWO41" s="6"/>
      <c r="TWP41" s="6"/>
      <c r="TWQ41" s="6"/>
      <c r="TWR41" s="6"/>
      <c r="TWS41" s="6"/>
      <c r="TWT41" s="6"/>
      <c r="TWU41" s="6"/>
      <c r="TWV41" s="6"/>
      <c r="TWW41" s="6"/>
      <c r="TWX41" s="6"/>
      <c r="TWY41" s="6"/>
      <c r="TWZ41" s="6"/>
      <c r="TXA41" s="6"/>
      <c r="TXB41" s="6"/>
      <c r="TXC41" s="6"/>
      <c r="TXD41" s="6"/>
      <c r="TXE41" s="6"/>
      <c r="TXF41" s="6"/>
      <c r="TXG41" s="6"/>
      <c r="TXH41" s="6"/>
      <c r="TXI41" s="6"/>
      <c r="TXJ41" s="6"/>
      <c r="TXK41" s="6"/>
      <c r="TXL41" s="6"/>
      <c r="TXM41" s="6"/>
      <c r="TXN41" s="6"/>
      <c r="TXO41" s="6"/>
      <c r="TXP41" s="6"/>
      <c r="TXQ41" s="6"/>
      <c r="TXR41" s="6"/>
      <c r="TXS41" s="6"/>
      <c r="TXT41" s="6"/>
      <c r="TXU41" s="6"/>
      <c r="TXV41" s="6"/>
      <c r="TXW41" s="6"/>
      <c r="TXX41" s="6"/>
      <c r="TXY41" s="6"/>
      <c r="TXZ41" s="6"/>
      <c r="TYA41" s="6"/>
      <c r="TYB41" s="6"/>
      <c r="TYC41" s="6"/>
      <c r="TYD41" s="6"/>
      <c r="TYE41" s="6"/>
      <c r="TYF41" s="6"/>
      <c r="TYG41" s="6"/>
      <c r="TYH41" s="6"/>
      <c r="TYI41" s="6"/>
      <c r="TYJ41" s="6"/>
      <c r="TYK41" s="6"/>
      <c r="TYL41" s="6"/>
      <c r="TYM41" s="6"/>
      <c r="TYN41" s="6"/>
      <c r="TYO41" s="6"/>
      <c r="TYP41" s="6"/>
      <c r="TYQ41" s="6"/>
      <c r="TYR41" s="6"/>
      <c r="TYS41" s="6"/>
      <c r="TYT41" s="6"/>
      <c r="TYU41" s="6"/>
      <c r="TYV41" s="6"/>
      <c r="TYW41" s="6"/>
      <c r="TYX41" s="6"/>
      <c r="TYY41" s="6"/>
      <c r="TYZ41" s="6"/>
      <c r="TZA41" s="6"/>
      <c r="TZB41" s="6"/>
      <c r="TZC41" s="6"/>
      <c r="TZD41" s="6"/>
      <c r="TZE41" s="6"/>
      <c r="TZF41" s="6"/>
      <c r="TZG41" s="6"/>
      <c r="TZH41" s="6"/>
      <c r="TZI41" s="6"/>
      <c r="TZJ41" s="6"/>
      <c r="TZK41" s="6"/>
      <c r="TZL41" s="6"/>
      <c r="TZM41" s="6"/>
      <c r="TZN41" s="6"/>
      <c r="TZO41" s="6"/>
      <c r="TZP41" s="6"/>
      <c r="TZQ41" s="6"/>
      <c r="TZR41" s="6"/>
      <c r="TZS41" s="6"/>
      <c r="TZT41" s="6"/>
      <c r="TZU41" s="6"/>
      <c r="TZV41" s="6"/>
      <c r="TZW41" s="6"/>
      <c r="TZX41" s="6"/>
      <c r="TZY41" s="6"/>
      <c r="TZZ41" s="6"/>
      <c r="UAA41" s="6"/>
      <c r="UAB41" s="6"/>
      <c r="UAC41" s="6"/>
      <c r="UAD41" s="6"/>
      <c r="UAE41" s="6"/>
      <c r="UAF41" s="6"/>
      <c r="UAG41" s="6"/>
      <c r="UAH41" s="6"/>
      <c r="UAI41" s="6"/>
      <c r="UAJ41" s="6"/>
      <c r="UAK41" s="6"/>
      <c r="UAL41" s="6"/>
      <c r="UAM41" s="6"/>
      <c r="UAN41" s="6"/>
      <c r="UAO41" s="6"/>
      <c r="UAP41" s="6"/>
      <c r="UAQ41" s="6"/>
      <c r="UAR41" s="6"/>
      <c r="UAS41" s="6"/>
      <c r="UAT41" s="6"/>
      <c r="UAU41" s="6"/>
      <c r="UAV41" s="6"/>
      <c r="UAW41" s="6"/>
      <c r="UAX41" s="6"/>
      <c r="UAY41" s="6"/>
      <c r="UAZ41" s="6"/>
      <c r="UBA41" s="6"/>
      <c r="UBB41" s="6"/>
      <c r="UBC41" s="6"/>
      <c r="UBD41" s="6"/>
      <c r="UBE41" s="6"/>
      <c r="UBF41" s="6"/>
      <c r="UBG41" s="6"/>
      <c r="UBH41" s="6"/>
      <c r="UBI41" s="6"/>
      <c r="UBJ41" s="6"/>
      <c r="UBK41" s="6"/>
      <c r="UBL41" s="6"/>
      <c r="UBM41" s="6"/>
      <c r="UBN41" s="6"/>
      <c r="UBO41" s="6"/>
      <c r="UBP41" s="6"/>
      <c r="UBQ41" s="6"/>
      <c r="UBR41" s="6"/>
      <c r="UBS41" s="6"/>
      <c r="UBT41" s="6"/>
      <c r="UBU41" s="6"/>
      <c r="UBV41" s="6"/>
      <c r="UBW41" s="6"/>
      <c r="UBX41" s="6"/>
      <c r="UBY41" s="6"/>
      <c r="UBZ41" s="6"/>
      <c r="UCA41" s="6"/>
      <c r="UCB41" s="6"/>
      <c r="UCC41" s="6"/>
      <c r="UCD41" s="6"/>
      <c r="UCE41" s="6"/>
      <c r="UCF41" s="6"/>
      <c r="UCG41" s="6"/>
      <c r="UCH41" s="6"/>
      <c r="UCI41" s="6"/>
      <c r="UCJ41" s="6"/>
      <c r="UCK41" s="6"/>
      <c r="UCL41" s="6"/>
      <c r="UCM41" s="6"/>
      <c r="UCN41" s="6"/>
      <c r="UCO41" s="6"/>
      <c r="UCP41" s="6"/>
      <c r="UCQ41" s="6"/>
      <c r="UCR41" s="6"/>
      <c r="UCS41" s="6"/>
      <c r="UCT41" s="6"/>
      <c r="UCU41" s="6"/>
      <c r="UCV41" s="6"/>
      <c r="UCW41" s="6"/>
      <c r="UCX41" s="6"/>
      <c r="UCY41" s="6"/>
      <c r="UCZ41" s="6"/>
      <c r="UDA41" s="6"/>
      <c r="UDB41" s="6"/>
      <c r="UDC41" s="6"/>
      <c r="UDD41" s="6"/>
      <c r="UDE41" s="6"/>
      <c r="UDF41" s="6"/>
      <c r="UDG41" s="6"/>
      <c r="UDH41" s="6"/>
      <c r="UDI41" s="6"/>
      <c r="UDJ41" s="6"/>
      <c r="UDK41" s="6"/>
      <c r="UDL41" s="6"/>
      <c r="UDM41" s="6"/>
      <c r="UDN41" s="6"/>
      <c r="UDO41" s="6"/>
      <c r="UDP41" s="6"/>
      <c r="UDQ41" s="6"/>
      <c r="UDR41" s="6"/>
      <c r="UDS41" s="6"/>
      <c r="UDT41" s="6"/>
      <c r="UDU41" s="6"/>
      <c r="UDV41" s="6"/>
      <c r="UDW41" s="6"/>
      <c r="UDX41" s="6"/>
      <c r="UDY41" s="6"/>
      <c r="UDZ41" s="6"/>
      <c r="UEA41" s="6"/>
      <c r="UEB41" s="6"/>
      <c r="UEC41" s="6"/>
      <c r="UED41" s="6"/>
      <c r="UEE41" s="6"/>
      <c r="UEF41" s="6"/>
      <c r="UEG41" s="6"/>
      <c r="UEH41" s="6"/>
      <c r="UEI41" s="6"/>
      <c r="UEJ41" s="6"/>
      <c r="UEK41" s="6"/>
      <c r="UEL41" s="6"/>
      <c r="UEM41" s="6"/>
      <c r="UEN41" s="6"/>
      <c r="UEO41" s="6"/>
      <c r="UEP41" s="6"/>
      <c r="UEQ41" s="6"/>
      <c r="UER41" s="6"/>
      <c r="UES41" s="6"/>
      <c r="UET41" s="6"/>
      <c r="UEU41" s="6"/>
      <c r="UEV41" s="6"/>
      <c r="UEW41" s="6"/>
      <c r="UEX41" s="6"/>
      <c r="UEY41" s="6"/>
      <c r="UEZ41" s="6"/>
      <c r="UFA41" s="6"/>
      <c r="UFB41" s="6"/>
      <c r="UFC41" s="6"/>
      <c r="UFD41" s="6"/>
      <c r="UFE41" s="6"/>
      <c r="UFF41" s="6"/>
      <c r="UFG41" s="6"/>
      <c r="UFH41" s="6"/>
      <c r="UFI41" s="6"/>
      <c r="UFJ41" s="6"/>
      <c r="UFK41" s="6"/>
      <c r="UFL41" s="6"/>
      <c r="UFM41" s="6"/>
      <c r="UFN41" s="6"/>
      <c r="UFO41" s="6"/>
      <c r="UFP41" s="6"/>
      <c r="UFQ41" s="6"/>
      <c r="UFR41" s="6"/>
      <c r="UFS41" s="6"/>
      <c r="UFT41" s="6"/>
      <c r="UFU41" s="6"/>
      <c r="UFV41" s="6"/>
      <c r="UFW41" s="6"/>
      <c r="UFX41" s="6"/>
      <c r="UFY41" s="6"/>
      <c r="UFZ41" s="6"/>
      <c r="UGA41" s="6"/>
      <c r="UGB41" s="6"/>
      <c r="UGC41" s="6"/>
      <c r="UGD41" s="6"/>
      <c r="UGE41" s="6"/>
      <c r="UGF41" s="6"/>
      <c r="UGG41" s="6"/>
      <c r="UGH41" s="6"/>
      <c r="UGI41" s="6"/>
      <c r="UGJ41" s="6"/>
      <c r="UGK41" s="6"/>
      <c r="UGL41" s="6"/>
      <c r="UGM41" s="6"/>
      <c r="UGN41" s="6"/>
      <c r="UGO41" s="6"/>
      <c r="UGP41" s="6"/>
      <c r="UGQ41" s="6"/>
      <c r="UGR41" s="6"/>
      <c r="UGS41" s="6"/>
      <c r="UGT41" s="6"/>
      <c r="UGU41" s="6"/>
      <c r="UGV41" s="6"/>
      <c r="UGW41" s="6"/>
      <c r="UGX41" s="6"/>
      <c r="UGY41" s="6"/>
      <c r="UGZ41" s="6"/>
      <c r="UHA41" s="6"/>
      <c r="UHB41" s="6"/>
      <c r="UHC41" s="6"/>
      <c r="UHD41" s="6"/>
      <c r="UHE41" s="6"/>
      <c r="UHF41" s="6"/>
      <c r="UHG41" s="6"/>
      <c r="UHH41" s="6"/>
      <c r="UHI41" s="6"/>
      <c r="UHJ41" s="6"/>
      <c r="UHK41" s="6"/>
      <c r="UHL41" s="6"/>
      <c r="UHM41" s="6"/>
      <c r="UHN41" s="6"/>
      <c r="UHO41" s="6"/>
      <c r="UHP41" s="6"/>
      <c r="UHQ41" s="6"/>
      <c r="UHR41" s="6"/>
      <c r="UHS41" s="6"/>
      <c r="UHT41" s="6"/>
      <c r="UHU41" s="6"/>
      <c r="UHV41" s="6"/>
      <c r="UHW41" s="6"/>
      <c r="UHX41" s="6"/>
      <c r="UHY41" s="6"/>
      <c r="UHZ41" s="6"/>
      <c r="UIA41" s="6"/>
      <c r="UIB41" s="6"/>
      <c r="UIC41" s="6"/>
      <c r="UID41" s="6"/>
      <c r="UIE41" s="6"/>
      <c r="UIF41" s="6"/>
      <c r="UIG41" s="6"/>
      <c r="UIH41" s="6"/>
      <c r="UII41" s="6"/>
      <c r="UIJ41" s="6"/>
      <c r="UIK41" s="6"/>
      <c r="UIL41" s="6"/>
      <c r="UIM41" s="6"/>
      <c r="UIN41" s="6"/>
      <c r="UIO41" s="6"/>
      <c r="UIP41" s="6"/>
      <c r="UIQ41" s="6"/>
      <c r="UIR41" s="6"/>
      <c r="UIS41" s="6"/>
      <c r="UIT41" s="6"/>
      <c r="UIU41" s="6"/>
      <c r="UIV41" s="6"/>
      <c r="UIW41" s="6"/>
      <c r="UIX41" s="6"/>
      <c r="UIY41" s="6"/>
      <c r="UIZ41" s="6"/>
      <c r="UJA41" s="6"/>
      <c r="UJB41" s="6"/>
      <c r="UJC41" s="6"/>
      <c r="UJD41" s="6"/>
      <c r="UJE41" s="6"/>
      <c r="UJF41" s="6"/>
      <c r="UJG41" s="6"/>
      <c r="UJH41" s="6"/>
      <c r="UJI41" s="6"/>
      <c r="UJJ41" s="6"/>
      <c r="UJK41" s="6"/>
      <c r="UJL41" s="6"/>
      <c r="UJM41" s="6"/>
      <c r="UJN41" s="6"/>
      <c r="UJO41" s="6"/>
      <c r="UJP41" s="6"/>
      <c r="UJQ41" s="6"/>
      <c r="UJR41" s="6"/>
      <c r="UJS41" s="6"/>
      <c r="UJT41" s="6"/>
      <c r="UJU41" s="6"/>
      <c r="UJV41" s="6"/>
      <c r="UJW41" s="6"/>
      <c r="UJX41" s="6"/>
      <c r="UJY41" s="6"/>
      <c r="UJZ41" s="6"/>
      <c r="UKA41" s="6"/>
      <c r="UKB41" s="6"/>
      <c r="UKC41" s="6"/>
      <c r="UKD41" s="6"/>
      <c r="UKE41" s="6"/>
      <c r="UKF41" s="6"/>
      <c r="UKG41" s="6"/>
      <c r="UKH41" s="6"/>
      <c r="UKI41" s="6"/>
      <c r="UKJ41" s="6"/>
      <c r="UKK41" s="6"/>
      <c r="UKL41" s="6"/>
      <c r="UKM41" s="6"/>
      <c r="UKN41" s="6"/>
      <c r="UKO41" s="6"/>
      <c r="UKP41" s="6"/>
      <c r="UKQ41" s="6"/>
      <c r="UKR41" s="6"/>
      <c r="UKS41" s="6"/>
      <c r="UKT41" s="6"/>
      <c r="UKU41" s="6"/>
      <c r="UKV41" s="6"/>
      <c r="UKW41" s="6"/>
      <c r="UKX41" s="6"/>
      <c r="UKY41" s="6"/>
      <c r="UKZ41" s="6"/>
      <c r="ULA41" s="6"/>
      <c r="ULB41" s="6"/>
      <c r="ULC41" s="6"/>
      <c r="ULD41" s="6"/>
      <c r="ULE41" s="6"/>
      <c r="ULF41" s="6"/>
      <c r="ULG41" s="6"/>
      <c r="ULH41" s="6"/>
      <c r="ULI41" s="6"/>
      <c r="ULJ41" s="6"/>
      <c r="ULK41" s="6"/>
      <c r="ULL41" s="6"/>
      <c r="ULM41" s="6"/>
      <c r="ULN41" s="6"/>
      <c r="ULO41" s="6"/>
      <c r="ULP41" s="6"/>
      <c r="ULQ41" s="6"/>
      <c r="ULR41" s="6"/>
      <c r="ULS41" s="6"/>
      <c r="ULT41" s="6"/>
      <c r="ULU41" s="6"/>
      <c r="ULV41" s="6"/>
      <c r="ULW41" s="6"/>
      <c r="ULX41" s="6"/>
      <c r="ULY41" s="6"/>
      <c r="ULZ41" s="6"/>
      <c r="UMA41" s="6"/>
      <c r="UMB41" s="6"/>
      <c r="UMC41" s="6"/>
      <c r="UMD41" s="6"/>
      <c r="UME41" s="6"/>
      <c r="UMF41" s="6"/>
      <c r="UMG41" s="6"/>
      <c r="UMH41" s="6"/>
      <c r="UMI41" s="6"/>
      <c r="UMJ41" s="6"/>
      <c r="UMK41" s="6"/>
      <c r="UML41" s="6"/>
      <c r="UMM41" s="6"/>
      <c r="UMN41" s="6"/>
      <c r="UMO41" s="6"/>
      <c r="UMP41" s="6"/>
      <c r="UMQ41" s="6"/>
      <c r="UMR41" s="6"/>
      <c r="UMS41" s="6"/>
      <c r="UMT41" s="6"/>
      <c r="UMU41" s="6"/>
      <c r="UMV41" s="6"/>
      <c r="UMW41" s="6"/>
      <c r="UMX41" s="6"/>
      <c r="UMY41" s="6"/>
      <c r="UMZ41" s="6"/>
      <c r="UNA41" s="6"/>
      <c r="UNB41" s="6"/>
      <c r="UNC41" s="6"/>
      <c r="UND41" s="6"/>
      <c r="UNE41" s="6"/>
      <c r="UNF41" s="6"/>
      <c r="UNG41" s="6"/>
      <c r="UNH41" s="6"/>
      <c r="UNI41" s="6"/>
      <c r="UNJ41" s="6"/>
      <c r="UNK41" s="6"/>
      <c r="UNL41" s="6"/>
      <c r="UNM41" s="6"/>
      <c r="UNN41" s="6"/>
      <c r="UNO41" s="6"/>
      <c r="UNP41" s="6"/>
      <c r="UNQ41" s="6"/>
      <c r="UNR41" s="6"/>
      <c r="UNS41" s="6"/>
      <c r="UNT41" s="6"/>
      <c r="UNU41" s="6"/>
      <c r="UNV41" s="6"/>
      <c r="UNW41" s="6"/>
      <c r="UNX41" s="6"/>
      <c r="UNY41" s="6"/>
      <c r="UNZ41" s="6"/>
      <c r="UOA41" s="6"/>
      <c r="UOB41" s="6"/>
      <c r="UOC41" s="6"/>
      <c r="UOD41" s="6"/>
      <c r="UOE41" s="6"/>
      <c r="UOF41" s="6"/>
      <c r="UOG41" s="6"/>
      <c r="UOH41" s="6"/>
      <c r="UOI41" s="6"/>
      <c r="UOJ41" s="6"/>
      <c r="UOK41" s="6"/>
      <c r="UOL41" s="6"/>
      <c r="UOM41" s="6"/>
      <c r="UON41" s="6"/>
      <c r="UOO41" s="6"/>
      <c r="UOP41" s="6"/>
      <c r="UOQ41" s="6"/>
      <c r="UOR41" s="6"/>
      <c r="UOS41" s="6"/>
      <c r="UOT41" s="6"/>
      <c r="UOU41" s="6"/>
      <c r="UOV41" s="6"/>
      <c r="UOW41" s="6"/>
      <c r="UOX41" s="6"/>
      <c r="UOY41" s="6"/>
      <c r="UOZ41" s="6"/>
      <c r="UPA41" s="6"/>
      <c r="UPB41" s="6"/>
      <c r="UPC41" s="6"/>
      <c r="UPD41" s="6"/>
      <c r="UPE41" s="6"/>
      <c r="UPF41" s="6"/>
      <c r="UPG41" s="6"/>
      <c r="UPH41" s="6"/>
      <c r="UPI41" s="6"/>
      <c r="UPJ41" s="6"/>
      <c r="UPK41" s="6"/>
      <c r="UPL41" s="6"/>
      <c r="UPM41" s="6"/>
      <c r="UPN41" s="6"/>
      <c r="UPO41" s="6"/>
      <c r="UPP41" s="6"/>
      <c r="UPQ41" s="6"/>
      <c r="UPR41" s="6"/>
      <c r="UPS41" s="6"/>
      <c r="UPT41" s="6"/>
      <c r="UPU41" s="6"/>
      <c r="UPV41" s="6"/>
      <c r="UPW41" s="6"/>
      <c r="UPX41" s="6"/>
      <c r="UPY41" s="6"/>
      <c r="UPZ41" s="6"/>
      <c r="UQA41" s="6"/>
      <c r="UQB41" s="6"/>
      <c r="UQC41" s="6"/>
      <c r="UQD41" s="6"/>
      <c r="UQE41" s="6"/>
      <c r="UQF41" s="6"/>
      <c r="UQG41" s="6"/>
      <c r="UQH41" s="6"/>
      <c r="UQI41" s="6"/>
      <c r="UQJ41" s="6"/>
      <c r="UQK41" s="6"/>
      <c r="UQL41" s="6"/>
      <c r="UQM41" s="6"/>
      <c r="UQN41" s="6"/>
      <c r="UQO41" s="6"/>
      <c r="UQP41" s="6"/>
      <c r="UQQ41" s="6"/>
      <c r="UQR41" s="6"/>
      <c r="UQS41" s="6"/>
      <c r="UQT41" s="6"/>
      <c r="UQU41" s="6"/>
      <c r="UQV41" s="6"/>
      <c r="UQW41" s="6"/>
      <c r="UQX41" s="6"/>
      <c r="UQY41" s="6"/>
      <c r="UQZ41" s="6"/>
      <c r="URA41" s="6"/>
      <c r="URB41" s="6"/>
      <c r="URC41" s="6"/>
      <c r="URD41" s="6"/>
      <c r="URE41" s="6"/>
      <c r="URF41" s="6"/>
      <c r="URG41" s="6"/>
      <c r="URH41" s="6"/>
      <c r="URI41" s="6"/>
      <c r="URJ41" s="6"/>
      <c r="URK41" s="6"/>
      <c r="URL41" s="6"/>
      <c r="URM41" s="6"/>
      <c r="URN41" s="6"/>
      <c r="URO41" s="6"/>
      <c r="URP41" s="6"/>
      <c r="URQ41" s="6"/>
      <c r="URR41" s="6"/>
      <c r="URS41" s="6"/>
      <c r="URT41" s="6"/>
      <c r="URU41" s="6"/>
      <c r="URV41" s="6"/>
      <c r="URW41" s="6"/>
      <c r="URX41" s="6"/>
      <c r="URY41" s="6"/>
      <c r="URZ41" s="6"/>
      <c r="USA41" s="6"/>
      <c r="USB41" s="6"/>
      <c r="USC41" s="6"/>
      <c r="USD41" s="6"/>
      <c r="USE41" s="6"/>
      <c r="USF41" s="6"/>
      <c r="USG41" s="6"/>
      <c r="USH41" s="6"/>
      <c r="USI41" s="6"/>
      <c r="USJ41" s="6"/>
      <c r="USK41" s="6"/>
      <c r="USL41" s="6"/>
      <c r="USM41" s="6"/>
      <c r="USN41" s="6"/>
      <c r="USO41" s="6"/>
      <c r="USP41" s="6"/>
      <c r="USQ41" s="6"/>
      <c r="USR41" s="6"/>
      <c r="USS41" s="6"/>
      <c r="UST41" s="6"/>
      <c r="USU41" s="6"/>
      <c r="USV41" s="6"/>
      <c r="USW41" s="6"/>
      <c r="USX41" s="6"/>
      <c r="USY41" s="6"/>
      <c r="USZ41" s="6"/>
      <c r="UTA41" s="6"/>
      <c r="UTB41" s="6"/>
      <c r="UTC41" s="6"/>
      <c r="UTD41" s="6"/>
      <c r="UTE41" s="6"/>
      <c r="UTF41" s="6"/>
      <c r="UTG41" s="6"/>
      <c r="UTH41" s="6"/>
      <c r="UTI41" s="6"/>
      <c r="UTJ41" s="6"/>
      <c r="UTK41" s="6"/>
      <c r="UTL41" s="6"/>
      <c r="UTM41" s="6"/>
      <c r="UTN41" s="6"/>
      <c r="UTO41" s="6"/>
      <c r="UTP41" s="6"/>
      <c r="UTQ41" s="6"/>
      <c r="UTR41" s="6"/>
      <c r="UTS41" s="6"/>
      <c r="UTT41" s="6"/>
      <c r="UTU41" s="6"/>
      <c r="UTV41" s="6"/>
      <c r="UTW41" s="6"/>
      <c r="UTX41" s="6"/>
      <c r="UTY41" s="6"/>
      <c r="UTZ41" s="6"/>
      <c r="UUA41" s="6"/>
      <c r="UUB41" s="6"/>
      <c r="UUC41" s="6"/>
      <c r="UUD41" s="6"/>
      <c r="UUE41" s="6"/>
      <c r="UUF41" s="6"/>
      <c r="UUG41" s="6"/>
      <c r="UUH41" s="6"/>
      <c r="UUI41" s="6"/>
      <c r="UUJ41" s="6"/>
      <c r="UUK41" s="6"/>
      <c r="UUL41" s="6"/>
      <c r="UUM41" s="6"/>
      <c r="UUN41" s="6"/>
      <c r="UUO41" s="6"/>
      <c r="UUP41" s="6"/>
      <c r="UUQ41" s="6"/>
      <c r="UUR41" s="6"/>
      <c r="UUS41" s="6"/>
      <c r="UUT41" s="6"/>
      <c r="UUU41" s="6"/>
      <c r="UUV41" s="6"/>
      <c r="UUW41" s="6"/>
      <c r="UUX41" s="6"/>
      <c r="UUY41" s="6"/>
      <c r="UUZ41" s="6"/>
      <c r="UVA41" s="6"/>
      <c r="UVB41" s="6"/>
      <c r="UVC41" s="6"/>
      <c r="UVD41" s="6"/>
      <c r="UVE41" s="6"/>
      <c r="UVF41" s="6"/>
      <c r="UVG41" s="6"/>
      <c r="UVH41" s="6"/>
      <c r="UVI41" s="6"/>
      <c r="UVJ41" s="6"/>
      <c r="UVK41" s="6"/>
      <c r="UVL41" s="6"/>
      <c r="UVM41" s="6"/>
      <c r="UVN41" s="6"/>
      <c r="UVO41" s="6"/>
      <c r="UVP41" s="6"/>
      <c r="UVQ41" s="6"/>
      <c r="UVR41" s="6"/>
      <c r="UVS41" s="6"/>
      <c r="UVT41" s="6"/>
      <c r="UVU41" s="6"/>
      <c r="UVV41" s="6"/>
      <c r="UVW41" s="6"/>
      <c r="UVX41" s="6"/>
      <c r="UVY41" s="6"/>
      <c r="UVZ41" s="6"/>
      <c r="UWA41" s="6"/>
      <c r="UWB41" s="6"/>
      <c r="UWC41" s="6"/>
      <c r="UWD41" s="6"/>
      <c r="UWE41" s="6"/>
      <c r="UWF41" s="6"/>
      <c r="UWG41" s="6"/>
      <c r="UWH41" s="6"/>
      <c r="UWI41" s="6"/>
      <c r="UWJ41" s="6"/>
      <c r="UWK41" s="6"/>
      <c r="UWL41" s="6"/>
      <c r="UWM41" s="6"/>
      <c r="UWN41" s="6"/>
      <c r="UWO41" s="6"/>
      <c r="UWP41" s="6"/>
      <c r="UWQ41" s="6"/>
      <c r="UWR41" s="6"/>
      <c r="UWS41" s="6"/>
      <c r="UWT41" s="6"/>
      <c r="UWU41" s="6"/>
      <c r="UWV41" s="6"/>
      <c r="UWW41" s="6"/>
      <c r="UWX41" s="6"/>
      <c r="UWY41" s="6"/>
      <c r="UWZ41" s="6"/>
      <c r="UXA41" s="6"/>
      <c r="UXB41" s="6"/>
      <c r="UXC41" s="6"/>
      <c r="UXD41" s="6"/>
      <c r="UXE41" s="6"/>
      <c r="UXF41" s="6"/>
      <c r="UXG41" s="6"/>
      <c r="UXH41" s="6"/>
      <c r="UXI41" s="6"/>
      <c r="UXJ41" s="6"/>
      <c r="UXK41" s="6"/>
      <c r="UXL41" s="6"/>
      <c r="UXM41" s="6"/>
      <c r="UXN41" s="6"/>
      <c r="UXO41" s="6"/>
      <c r="UXP41" s="6"/>
      <c r="UXQ41" s="6"/>
      <c r="UXR41" s="6"/>
      <c r="UXS41" s="6"/>
      <c r="UXT41" s="6"/>
      <c r="UXU41" s="6"/>
      <c r="UXV41" s="6"/>
      <c r="UXW41" s="6"/>
      <c r="UXX41" s="6"/>
      <c r="UXY41" s="6"/>
      <c r="UXZ41" s="6"/>
      <c r="UYA41" s="6"/>
      <c r="UYB41" s="6"/>
      <c r="UYC41" s="6"/>
      <c r="UYD41" s="6"/>
      <c r="UYE41" s="6"/>
      <c r="UYF41" s="6"/>
      <c r="UYG41" s="6"/>
      <c r="UYH41" s="6"/>
      <c r="UYI41" s="6"/>
      <c r="UYJ41" s="6"/>
      <c r="UYK41" s="6"/>
      <c r="UYL41" s="6"/>
      <c r="UYM41" s="6"/>
      <c r="UYN41" s="6"/>
      <c r="UYO41" s="6"/>
      <c r="UYP41" s="6"/>
      <c r="UYQ41" s="6"/>
      <c r="UYR41" s="6"/>
      <c r="UYS41" s="6"/>
      <c r="UYT41" s="6"/>
      <c r="UYU41" s="6"/>
      <c r="UYV41" s="6"/>
      <c r="UYW41" s="6"/>
      <c r="UYX41" s="6"/>
      <c r="UYY41" s="6"/>
      <c r="UYZ41" s="6"/>
      <c r="UZA41" s="6"/>
      <c r="UZB41" s="6"/>
      <c r="UZC41" s="6"/>
      <c r="UZD41" s="6"/>
      <c r="UZE41" s="6"/>
      <c r="UZF41" s="6"/>
      <c r="UZG41" s="6"/>
      <c r="UZH41" s="6"/>
      <c r="UZI41" s="6"/>
      <c r="UZJ41" s="6"/>
      <c r="UZK41" s="6"/>
      <c r="UZL41" s="6"/>
      <c r="UZM41" s="6"/>
      <c r="UZN41" s="6"/>
      <c r="UZO41" s="6"/>
      <c r="UZP41" s="6"/>
      <c r="UZQ41" s="6"/>
      <c r="UZR41" s="6"/>
      <c r="UZS41" s="6"/>
      <c r="UZT41" s="6"/>
      <c r="UZU41" s="6"/>
      <c r="UZV41" s="6"/>
      <c r="UZW41" s="6"/>
      <c r="UZX41" s="6"/>
      <c r="UZY41" s="6"/>
      <c r="UZZ41" s="6"/>
      <c r="VAA41" s="6"/>
      <c r="VAB41" s="6"/>
      <c r="VAC41" s="6"/>
      <c r="VAD41" s="6"/>
      <c r="VAE41" s="6"/>
      <c r="VAF41" s="6"/>
      <c r="VAG41" s="6"/>
      <c r="VAH41" s="6"/>
      <c r="VAI41" s="6"/>
      <c r="VAJ41" s="6"/>
      <c r="VAK41" s="6"/>
      <c r="VAL41" s="6"/>
      <c r="VAM41" s="6"/>
      <c r="VAN41" s="6"/>
      <c r="VAO41" s="6"/>
      <c r="VAP41" s="6"/>
      <c r="VAQ41" s="6"/>
      <c r="VAR41" s="6"/>
      <c r="VAS41" s="6"/>
      <c r="VAT41" s="6"/>
      <c r="VAU41" s="6"/>
      <c r="VAV41" s="6"/>
      <c r="VAW41" s="6"/>
      <c r="VAX41" s="6"/>
      <c r="VAY41" s="6"/>
      <c r="VAZ41" s="6"/>
      <c r="VBA41" s="6"/>
      <c r="VBB41" s="6"/>
      <c r="VBC41" s="6"/>
      <c r="VBD41" s="6"/>
      <c r="VBE41" s="6"/>
      <c r="VBF41" s="6"/>
      <c r="VBG41" s="6"/>
      <c r="VBH41" s="6"/>
      <c r="VBI41" s="6"/>
      <c r="VBJ41" s="6"/>
      <c r="VBK41" s="6"/>
      <c r="VBL41" s="6"/>
      <c r="VBM41" s="6"/>
      <c r="VBN41" s="6"/>
      <c r="VBO41" s="6"/>
      <c r="VBP41" s="6"/>
      <c r="VBQ41" s="6"/>
      <c r="VBR41" s="6"/>
      <c r="VBS41" s="6"/>
      <c r="VBT41" s="6"/>
      <c r="VBU41" s="6"/>
      <c r="VBV41" s="6"/>
      <c r="VBW41" s="6"/>
      <c r="VBX41" s="6"/>
      <c r="VBY41" s="6"/>
      <c r="VBZ41" s="6"/>
      <c r="VCA41" s="6"/>
      <c r="VCB41" s="6"/>
      <c r="VCC41" s="6"/>
      <c r="VCD41" s="6"/>
      <c r="VCE41" s="6"/>
      <c r="VCF41" s="6"/>
      <c r="VCG41" s="6"/>
      <c r="VCH41" s="6"/>
      <c r="VCI41" s="6"/>
      <c r="VCJ41" s="6"/>
      <c r="VCK41" s="6"/>
      <c r="VCL41" s="6"/>
      <c r="VCM41" s="6"/>
      <c r="VCN41" s="6"/>
      <c r="VCO41" s="6"/>
      <c r="VCP41" s="6"/>
      <c r="VCQ41" s="6"/>
      <c r="VCR41" s="6"/>
      <c r="VCS41" s="6"/>
      <c r="VCT41" s="6"/>
      <c r="VCU41" s="6"/>
      <c r="VCV41" s="6"/>
      <c r="VCW41" s="6"/>
      <c r="VCX41" s="6"/>
      <c r="VCY41" s="6"/>
      <c r="VCZ41" s="6"/>
      <c r="VDA41" s="6"/>
      <c r="VDB41" s="6"/>
      <c r="VDC41" s="6"/>
      <c r="VDD41" s="6"/>
      <c r="VDE41" s="6"/>
      <c r="VDF41" s="6"/>
      <c r="VDG41" s="6"/>
      <c r="VDH41" s="6"/>
      <c r="VDI41" s="6"/>
      <c r="VDJ41" s="6"/>
      <c r="VDK41" s="6"/>
      <c r="VDL41" s="6"/>
      <c r="VDM41" s="6"/>
      <c r="VDN41" s="6"/>
      <c r="VDO41" s="6"/>
      <c r="VDP41" s="6"/>
      <c r="VDQ41" s="6"/>
      <c r="VDR41" s="6"/>
      <c r="VDS41" s="6"/>
      <c r="VDT41" s="6"/>
      <c r="VDU41" s="6"/>
      <c r="VDV41" s="6"/>
      <c r="VDW41" s="6"/>
      <c r="VDX41" s="6"/>
      <c r="VDY41" s="6"/>
      <c r="VDZ41" s="6"/>
      <c r="VEA41" s="6"/>
      <c r="VEB41" s="6"/>
      <c r="VEC41" s="6"/>
      <c r="VED41" s="6"/>
      <c r="VEE41" s="6"/>
      <c r="VEF41" s="6"/>
      <c r="VEG41" s="6"/>
      <c r="VEH41" s="6"/>
      <c r="VEI41" s="6"/>
      <c r="VEJ41" s="6"/>
      <c r="VEK41" s="6"/>
      <c r="VEL41" s="6"/>
      <c r="VEM41" s="6"/>
      <c r="VEN41" s="6"/>
      <c r="VEO41" s="6"/>
      <c r="VEP41" s="6"/>
      <c r="VEQ41" s="6"/>
      <c r="VER41" s="6"/>
      <c r="VES41" s="6"/>
      <c r="VET41" s="6"/>
      <c r="VEU41" s="6"/>
      <c r="VEV41" s="6"/>
      <c r="VEW41" s="6"/>
      <c r="VEX41" s="6"/>
      <c r="VEY41" s="6"/>
      <c r="VEZ41" s="6"/>
      <c r="VFA41" s="6"/>
      <c r="VFB41" s="6"/>
      <c r="VFC41" s="6"/>
      <c r="VFD41" s="6"/>
      <c r="VFE41" s="6"/>
      <c r="VFF41" s="6"/>
      <c r="VFG41" s="6"/>
      <c r="VFH41" s="6"/>
      <c r="VFI41" s="6"/>
      <c r="VFJ41" s="6"/>
      <c r="VFK41" s="6"/>
      <c r="VFL41" s="6"/>
      <c r="VFM41" s="6"/>
      <c r="VFN41" s="6"/>
      <c r="VFO41" s="6"/>
      <c r="VFP41" s="6"/>
      <c r="VFQ41" s="6"/>
      <c r="VFR41" s="6"/>
      <c r="VFS41" s="6"/>
      <c r="VFT41" s="6"/>
      <c r="VFU41" s="6"/>
      <c r="VFV41" s="6"/>
      <c r="VFW41" s="6"/>
      <c r="VFX41" s="6"/>
      <c r="VFY41" s="6"/>
      <c r="VFZ41" s="6"/>
      <c r="VGA41" s="6"/>
      <c r="VGB41" s="6"/>
      <c r="VGC41" s="6"/>
      <c r="VGD41" s="6"/>
      <c r="VGE41" s="6"/>
      <c r="VGF41" s="6"/>
      <c r="VGG41" s="6"/>
      <c r="VGH41" s="6"/>
      <c r="VGI41" s="6"/>
      <c r="VGJ41" s="6"/>
      <c r="VGK41" s="6"/>
      <c r="VGL41" s="6"/>
      <c r="VGM41" s="6"/>
      <c r="VGN41" s="6"/>
      <c r="VGO41" s="6"/>
      <c r="VGP41" s="6"/>
      <c r="VGQ41" s="6"/>
      <c r="VGR41" s="6"/>
      <c r="VGS41" s="6"/>
      <c r="VGT41" s="6"/>
      <c r="VGU41" s="6"/>
      <c r="VGV41" s="6"/>
      <c r="VGW41" s="6"/>
      <c r="VGX41" s="6"/>
      <c r="VGY41" s="6"/>
      <c r="VGZ41" s="6"/>
      <c r="VHA41" s="6"/>
      <c r="VHB41" s="6"/>
      <c r="VHC41" s="6"/>
      <c r="VHD41" s="6"/>
      <c r="VHE41" s="6"/>
      <c r="VHF41" s="6"/>
      <c r="VHG41" s="6"/>
      <c r="VHH41" s="6"/>
      <c r="VHI41" s="6"/>
      <c r="VHJ41" s="6"/>
      <c r="VHK41" s="6"/>
      <c r="VHL41" s="6"/>
    </row>
    <row r="42" spans="1:15092" s="1" customFormat="1" ht="13.8">
      <c r="B42" s="70"/>
      <c r="C42" s="197" t="s">
        <v>41</v>
      </c>
      <c r="D42" s="257">
        <f>SUM(D44:D45)</f>
        <v>3689522.0999999996</v>
      </c>
      <c r="E42" s="198" t="s">
        <v>9</v>
      </c>
      <c r="F42" s="64">
        <v>0</v>
      </c>
      <c r="G42" s="64">
        <v>0</v>
      </c>
      <c r="H42" s="64">
        <v>0</v>
      </c>
      <c r="I42" s="285">
        <v>0</v>
      </c>
      <c r="J42" s="64">
        <v>0</v>
      </c>
      <c r="K42" s="64">
        <v>0</v>
      </c>
      <c r="L42" s="64">
        <v>0</v>
      </c>
      <c r="M42" s="285">
        <v>0</v>
      </c>
      <c r="N42" s="285">
        <v>0</v>
      </c>
      <c r="O42" s="64">
        <v>0</v>
      </c>
      <c r="P42" s="64">
        <v>0</v>
      </c>
      <c r="Q42" s="285">
        <v>0</v>
      </c>
      <c r="R42" s="285">
        <v>0</v>
      </c>
      <c r="S42" s="64">
        <v>0</v>
      </c>
      <c r="T42" s="285">
        <v>0</v>
      </c>
      <c r="U42" s="285">
        <v>0</v>
      </c>
      <c r="V42" s="64">
        <f>SUM(V44:V45)</f>
        <v>737500</v>
      </c>
      <c r="W42" s="64">
        <f>SUM(W44:W45)</f>
        <v>883699.99999995297</v>
      </c>
      <c r="X42" s="64">
        <f>SUM(X44:X45)</f>
        <v>456000.00000008714</v>
      </c>
      <c r="Y42" s="64">
        <v>0</v>
      </c>
      <c r="Z42" s="285">
        <v>0</v>
      </c>
      <c r="AA42" s="64">
        <v>0</v>
      </c>
      <c r="AB42" s="64">
        <v>0</v>
      </c>
      <c r="AC42" s="64">
        <v>0</v>
      </c>
      <c r="AD42" s="64">
        <v>0</v>
      </c>
      <c r="AE42" s="285">
        <v>0</v>
      </c>
      <c r="AF42" s="285">
        <v>0</v>
      </c>
      <c r="AG42" s="64">
        <v>0</v>
      </c>
      <c r="AH42" s="64">
        <f>SUM(AH44:AH45)</f>
        <v>492599.99999994697</v>
      </c>
      <c r="AI42" s="64">
        <f>SUM(AI44:AI45)</f>
        <v>867000</v>
      </c>
      <c r="AJ42" s="64">
        <f>SUM(AJ44:AJ45)</f>
        <v>900500</v>
      </c>
      <c r="AK42" s="115"/>
      <c r="AL42" s="114">
        <f>SUM(F42:AJ42)</f>
        <v>4337299.999999987</v>
      </c>
      <c r="AN42" s="116"/>
      <c r="BK42" s="224"/>
      <c r="BL42" s="233"/>
      <c r="CP42" s="227"/>
    </row>
    <row r="43" spans="1:15092" s="1" customFormat="1" ht="13.8" hidden="1">
      <c r="B43" s="70"/>
      <c r="C43" s="197" t="s">
        <v>45</v>
      </c>
      <c r="D43" s="257"/>
      <c r="E43" s="198" t="s">
        <v>9</v>
      </c>
      <c r="F43" s="64"/>
      <c r="G43" s="64"/>
      <c r="H43" s="64"/>
      <c r="I43" s="285"/>
      <c r="J43" s="64"/>
      <c r="K43" s="64"/>
      <c r="L43" s="64"/>
      <c r="M43" s="285"/>
      <c r="N43" s="285"/>
      <c r="O43" s="64"/>
      <c r="P43" s="64"/>
      <c r="Q43" s="285"/>
      <c r="R43" s="285"/>
      <c r="S43" s="64"/>
      <c r="T43" s="285"/>
      <c r="U43" s="285"/>
      <c r="V43" s="64"/>
      <c r="W43" s="64">
        <v>0</v>
      </c>
      <c r="X43" s="64"/>
      <c r="Y43" s="64"/>
      <c r="Z43" s="285"/>
      <c r="AA43" s="64"/>
      <c r="AB43" s="64"/>
      <c r="AC43" s="64"/>
      <c r="AD43" s="64"/>
      <c r="AE43" s="285"/>
      <c r="AF43" s="285"/>
      <c r="AG43" s="64"/>
      <c r="AH43" s="64"/>
      <c r="AI43" s="64"/>
      <c r="AJ43" s="64"/>
      <c r="AK43" s="115"/>
      <c r="AL43" s="114">
        <f>SUM(F43:AJ43)</f>
        <v>0</v>
      </c>
      <c r="AN43" s="116"/>
      <c r="BK43" s="224"/>
      <c r="BL43" s="224"/>
    </row>
    <row r="44" spans="1:15092" s="1" customFormat="1" ht="13.8">
      <c r="B44" s="70"/>
      <c r="C44" s="197" t="s">
        <v>46</v>
      </c>
      <c r="D44" s="257">
        <f>2213.71326*1000</f>
        <v>2213713.2599999998</v>
      </c>
      <c r="E44" s="198" t="s">
        <v>9</v>
      </c>
      <c r="F44" s="64">
        <v>0</v>
      </c>
      <c r="G44" s="64">
        <v>0</v>
      </c>
      <c r="H44" s="64">
        <v>0</v>
      </c>
      <c r="I44" s="285">
        <v>0</v>
      </c>
      <c r="J44" s="64">
        <v>0</v>
      </c>
      <c r="K44" s="64">
        <v>0</v>
      </c>
      <c r="L44" s="64">
        <v>0</v>
      </c>
      <c r="M44" s="285">
        <v>0</v>
      </c>
      <c r="N44" s="285">
        <v>0</v>
      </c>
      <c r="O44" s="64">
        <v>0</v>
      </c>
      <c r="P44" s="64">
        <v>0</v>
      </c>
      <c r="Q44" s="285">
        <v>0</v>
      </c>
      <c r="R44" s="285">
        <v>0</v>
      </c>
      <c r="S44" s="64">
        <v>0</v>
      </c>
      <c r="T44" s="285">
        <v>0</v>
      </c>
      <c r="U44" s="285">
        <v>0</v>
      </c>
      <c r="V44" s="64">
        <v>456000</v>
      </c>
      <c r="W44" s="64">
        <f>518.79999999993*1000</f>
        <v>518799.99999993003</v>
      </c>
      <c r="X44" s="64">
        <v>279600.00000009313</v>
      </c>
      <c r="Y44" s="64">
        <v>0</v>
      </c>
      <c r="Z44" s="285">
        <v>0</v>
      </c>
      <c r="AA44" s="64">
        <v>0</v>
      </c>
      <c r="AB44" s="64">
        <v>0</v>
      </c>
      <c r="AC44" s="64">
        <v>0</v>
      </c>
      <c r="AD44" s="64">
        <v>0</v>
      </c>
      <c r="AE44" s="285">
        <v>0</v>
      </c>
      <c r="AF44" s="285">
        <v>0</v>
      </c>
      <c r="AG44" s="64">
        <v>0</v>
      </c>
      <c r="AH44" s="64">
        <f>293.29999999993*1000</f>
        <v>293299.99999992998</v>
      </c>
      <c r="AI44" s="64">
        <v>527000</v>
      </c>
      <c r="AJ44" s="64">
        <f>574.900000000023*1000</f>
        <v>574900.00000002305</v>
      </c>
      <c r="AK44" s="115"/>
      <c r="AL44" s="114">
        <f>SUM(F44:AJ44)</f>
        <v>2649599.9999999763</v>
      </c>
      <c r="AN44" s="116"/>
      <c r="BK44" s="224"/>
      <c r="BL44" s="236"/>
      <c r="CP44" s="224"/>
    </row>
    <row r="45" spans="1:15092" s="1" customFormat="1" ht="13.8">
      <c r="B45" s="70"/>
      <c r="C45" s="197" t="s">
        <v>47</v>
      </c>
      <c r="D45" s="257">
        <f>1475.80884*1000</f>
        <v>1475808.8399999999</v>
      </c>
      <c r="E45" s="198" t="s">
        <v>9</v>
      </c>
      <c r="F45" s="64">
        <v>0</v>
      </c>
      <c r="G45" s="64">
        <v>0</v>
      </c>
      <c r="H45" s="64">
        <v>0</v>
      </c>
      <c r="I45" s="285">
        <v>0</v>
      </c>
      <c r="J45" s="64">
        <v>0</v>
      </c>
      <c r="K45" s="64">
        <v>0</v>
      </c>
      <c r="L45" s="64">
        <v>0</v>
      </c>
      <c r="M45" s="285">
        <v>0</v>
      </c>
      <c r="N45" s="285">
        <v>0</v>
      </c>
      <c r="O45" s="64">
        <v>0</v>
      </c>
      <c r="P45" s="64">
        <v>0</v>
      </c>
      <c r="Q45" s="285">
        <v>0</v>
      </c>
      <c r="R45" s="285">
        <v>0</v>
      </c>
      <c r="S45" s="64">
        <v>0</v>
      </c>
      <c r="T45" s="285">
        <v>0</v>
      </c>
      <c r="U45" s="285">
        <v>0</v>
      </c>
      <c r="V45" s="64">
        <v>281500</v>
      </c>
      <c r="W45" s="64">
        <f>364.900000000023*1000</f>
        <v>364900.00000002299</v>
      </c>
      <c r="X45" s="64">
        <f>176.399999999994*1000</f>
        <v>176399.999999994</v>
      </c>
      <c r="Y45" s="64">
        <v>0</v>
      </c>
      <c r="Z45" s="285">
        <v>0</v>
      </c>
      <c r="AA45" s="64">
        <v>0</v>
      </c>
      <c r="AB45" s="64">
        <v>0</v>
      </c>
      <c r="AC45" s="64">
        <v>0</v>
      </c>
      <c r="AD45" s="64">
        <v>0</v>
      </c>
      <c r="AE45" s="285">
        <v>0</v>
      </c>
      <c r="AF45" s="285">
        <v>0</v>
      </c>
      <c r="AG45" s="64">
        <v>0</v>
      </c>
      <c r="AH45" s="64">
        <f>199.300000000017*1000</f>
        <v>199300.000000017</v>
      </c>
      <c r="AI45" s="64">
        <v>340000</v>
      </c>
      <c r="AJ45" s="64">
        <f>325.599999999977*1000</f>
        <v>325599.99999997701</v>
      </c>
      <c r="AK45" s="115"/>
      <c r="AL45" s="114">
        <f>SUM(F45:AJ45)</f>
        <v>1687700.0000000109</v>
      </c>
      <c r="AN45" s="116"/>
    </row>
    <row r="46" spans="1:15092">
      <c r="B46" s="57"/>
      <c r="C46" s="199" t="s">
        <v>48</v>
      </c>
      <c r="D46" s="82"/>
      <c r="E46" s="82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115"/>
      <c r="AL46" s="200" t="s">
        <v>49</v>
      </c>
    </row>
    <row r="47" spans="1:15092">
      <c r="B47" s="70"/>
      <c r="C47" s="201" t="s">
        <v>50</v>
      </c>
      <c r="D47" s="69">
        <v>94.2</v>
      </c>
      <c r="E47" s="202" t="s">
        <v>12</v>
      </c>
      <c r="F47" s="84" t="e">
        <f t="shared" ref="F47:AJ47" si="14">(F29/(F23+F24))*100</f>
        <v>#DIV/0!</v>
      </c>
      <c r="G47" s="84" t="e">
        <f t="shared" si="14"/>
        <v>#DIV/0!</v>
      </c>
      <c r="H47" s="84" t="e">
        <f t="shared" si="14"/>
        <v>#DIV/0!</v>
      </c>
      <c r="I47" s="288">
        <f t="shared" si="14"/>
        <v>93.032183088037456</v>
      </c>
      <c r="J47" s="84">
        <f t="shared" si="14"/>
        <v>95.299643510935539</v>
      </c>
      <c r="K47" s="84">
        <f t="shared" si="14"/>
        <v>94.766393684086495</v>
      </c>
      <c r="L47" s="84">
        <f t="shared" si="14"/>
        <v>94.779601990050239</v>
      </c>
      <c r="M47" s="288">
        <f t="shared" si="14"/>
        <v>95.000000000000497</v>
      </c>
      <c r="N47" s="288">
        <f t="shared" si="14"/>
        <v>95.099311308513819</v>
      </c>
      <c r="O47" s="84">
        <f t="shared" si="14"/>
        <v>95.017590567652348</v>
      </c>
      <c r="P47" s="84">
        <f t="shared" si="14"/>
        <v>94.654756841060077</v>
      </c>
      <c r="Q47" s="288">
        <f t="shared" si="14"/>
        <v>94.684236698160618</v>
      </c>
      <c r="R47" s="288">
        <f t="shared" si="14"/>
        <v>95.117345562449415</v>
      </c>
      <c r="S47" s="84">
        <f t="shared" si="14"/>
        <v>95.766310642130364</v>
      </c>
      <c r="T47" s="288">
        <f t="shared" si="14"/>
        <v>95.099022311355014</v>
      </c>
      <c r="U47" s="288">
        <f t="shared" si="14"/>
        <v>94.609825631506297</v>
      </c>
      <c r="V47" s="84">
        <f t="shared" si="14"/>
        <v>94.870956784782706</v>
      </c>
      <c r="W47" s="84">
        <f t="shared" si="14"/>
        <v>94.870969673382632</v>
      </c>
      <c r="X47" s="84">
        <f t="shared" si="14"/>
        <v>94.991267370339401</v>
      </c>
      <c r="Y47" s="84">
        <f t="shared" si="14"/>
        <v>95.335357967446228</v>
      </c>
      <c r="Z47" s="288">
        <f t="shared" si="14"/>
        <v>95.066795428940083</v>
      </c>
      <c r="AA47" s="84">
        <f t="shared" si="14"/>
        <v>93.688603434042008</v>
      </c>
      <c r="AB47" s="84">
        <f t="shared" si="14"/>
        <v>92.958902638301851</v>
      </c>
      <c r="AC47" s="84">
        <f t="shared" si="14"/>
        <v>93.230888488633795</v>
      </c>
      <c r="AD47" s="84">
        <f t="shared" si="14"/>
        <v>94.979762567520041</v>
      </c>
      <c r="AE47" s="288">
        <f t="shared" si="14"/>
        <v>94.876514266119628</v>
      </c>
      <c r="AF47" s="288">
        <f t="shared" si="14"/>
        <v>95.327266097419397</v>
      </c>
      <c r="AG47" s="84">
        <f t="shared" si="14"/>
        <v>95.29821394029338</v>
      </c>
      <c r="AH47" s="84">
        <f t="shared" si="14"/>
        <v>95.089129555071736</v>
      </c>
      <c r="AI47" s="84">
        <f t="shared" ref="AI47" si="15">(AI29/(AI23+AI24))*100</f>
        <v>95.191160450277508</v>
      </c>
      <c r="AJ47" s="84">
        <f t="shared" si="14"/>
        <v>95.29108908027348</v>
      </c>
      <c r="AK47" s="119"/>
      <c r="AL47" s="127">
        <f>AL29/(SUM(AL23:AL24))*100</f>
        <v>94.823813496582986</v>
      </c>
      <c r="AM47" s="237"/>
    </row>
    <row r="48" spans="1:15092">
      <c r="B48" s="70"/>
      <c r="C48" s="201" t="s">
        <v>33</v>
      </c>
      <c r="D48" s="69">
        <v>5</v>
      </c>
      <c r="E48" s="202" t="s">
        <v>12</v>
      </c>
      <c r="F48" s="84" t="e">
        <f t="shared" ref="F48:AJ48" si="16">(F30/(F23+F24))*100</f>
        <v>#DIV/0!</v>
      </c>
      <c r="G48" s="84" t="e">
        <f t="shared" si="16"/>
        <v>#DIV/0!</v>
      </c>
      <c r="H48" s="84" t="e">
        <f t="shared" si="16"/>
        <v>#DIV/0!</v>
      </c>
      <c r="I48" s="288">
        <f t="shared" si="16"/>
        <v>5.3899945924769694</v>
      </c>
      <c r="J48" s="84">
        <f t="shared" si="16"/>
        <v>4.0803545620965318</v>
      </c>
      <c r="K48" s="84">
        <f t="shared" si="16"/>
        <v>4.5601838213633474</v>
      </c>
      <c r="L48" s="84">
        <f t="shared" si="16"/>
        <v>4.5621890547263586</v>
      </c>
      <c r="M48" s="288">
        <f t="shared" si="16"/>
        <v>4.1995420006245716</v>
      </c>
      <c r="N48" s="288">
        <f t="shared" si="16"/>
        <v>4.1471204711048957</v>
      </c>
      <c r="O48" s="84">
        <f t="shared" si="16"/>
        <v>4.2930493486735966</v>
      </c>
      <c r="P48" s="84">
        <f t="shared" si="16"/>
        <v>4.6552294531877463</v>
      </c>
      <c r="Q48" s="288">
        <f t="shared" si="16"/>
        <v>4.669318746892098</v>
      </c>
      <c r="R48" s="288">
        <f t="shared" si="16"/>
        <v>4.1575397895872621</v>
      </c>
      <c r="S48" s="84">
        <f t="shared" si="16"/>
        <v>3.5227126495946468</v>
      </c>
      <c r="T48" s="288">
        <f t="shared" si="16"/>
        <v>4.2115818500877023</v>
      </c>
      <c r="U48" s="288">
        <f t="shared" si="16"/>
        <v>4.7072863488696193</v>
      </c>
      <c r="V48" s="84">
        <f t="shared" si="16"/>
        <v>4.4663628847744068</v>
      </c>
      <c r="W48" s="84">
        <f t="shared" si="16"/>
        <v>4.4876208723767324</v>
      </c>
      <c r="X48" s="84">
        <f t="shared" si="16"/>
        <v>4.3868175260080449</v>
      </c>
      <c r="Y48" s="84">
        <f t="shared" si="16"/>
        <v>4.0265948783782779</v>
      </c>
      <c r="Z48" s="288">
        <f t="shared" si="16"/>
        <v>4.2475454691775409</v>
      </c>
      <c r="AA48" s="84">
        <f t="shared" si="16"/>
        <v>5.5509690905923605</v>
      </c>
      <c r="AB48" s="84">
        <f t="shared" si="16"/>
        <v>6.2677887824225103</v>
      </c>
      <c r="AC48" s="84">
        <f t="shared" si="16"/>
        <v>5.991655457011932</v>
      </c>
      <c r="AD48" s="84">
        <f t="shared" si="16"/>
        <v>4.2754397315718915</v>
      </c>
      <c r="AE48" s="288">
        <f t="shared" si="16"/>
        <v>4.3578671854770699</v>
      </c>
      <c r="AF48" s="288">
        <f t="shared" si="16"/>
        <v>4.0718344525813226</v>
      </c>
      <c r="AG48" s="84">
        <f t="shared" si="16"/>
        <v>4.0982655232445939</v>
      </c>
      <c r="AH48" s="84">
        <f t="shared" si="16"/>
        <v>4.3072997757186107</v>
      </c>
      <c r="AI48" s="84">
        <f t="shared" ref="AI48" si="17">(AI30/(AI23+AI24))*100</f>
        <v>4.2031955179747964</v>
      </c>
      <c r="AJ48" s="84">
        <f t="shared" si="16"/>
        <v>4.1058347976368452</v>
      </c>
      <c r="AK48" s="119"/>
      <c r="AL48" s="127">
        <f>AL30/(AL23+AL24)*100</f>
        <v>4.483112859650471</v>
      </c>
    </row>
    <row r="49" spans="2:64 15093:15106">
      <c r="B49" s="70"/>
      <c r="C49" s="201" t="s">
        <v>35</v>
      </c>
      <c r="D49" s="69">
        <v>82</v>
      </c>
      <c r="E49" s="202" t="s">
        <v>12</v>
      </c>
      <c r="F49" s="84" t="e">
        <f t="shared" ref="F49:AJ49" si="18">(F33/F32)*100</f>
        <v>#DIV/0!</v>
      </c>
      <c r="G49" s="84" t="e">
        <f t="shared" si="18"/>
        <v>#DIV/0!</v>
      </c>
      <c r="H49" s="84">
        <f t="shared" si="18"/>
        <v>91.438763376934787</v>
      </c>
      <c r="I49" s="288">
        <f t="shared" si="18"/>
        <v>83.761817880244308</v>
      </c>
      <c r="J49" s="84">
        <f t="shared" si="18"/>
        <v>83.932557587272441</v>
      </c>
      <c r="K49" s="84">
        <f t="shared" si="18"/>
        <v>83.708672735984052</v>
      </c>
      <c r="L49" s="84">
        <f t="shared" si="18"/>
        <v>84.287069238065342</v>
      </c>
      <c r="M49" s="288">
        <f t="shared" si="18"/>
        <v>84.518805611659147</v>
      </c>
      <c r="N49" s="288">
        <f t="shared" si="18"/>
        <v>82.603511096391031</v>
      </c>
      <c r="O49" s="84">
        <f t="shared" si="18"/>
        <v>83.386515697375316</v>
      </c>
      <c r="P49" s="84">
        <f t="shared" si="18"/>
        <v>83.201722900215358</v>
      </c>
      <c r="Q49" s="288">
        <f t="shared" si="18"/>
        <v>83.10600622158411</v>
      </c>
      <c r="R49" s="288">
        <f t="shared" si="18"/>
        <v>83.036439439060402</v>
      </c>
      <c r="S49" s="84">
        <f t="shared" si="18"/>
        <v>82.661532908193351</v>
      </c>
      <c r="T49" s="288">
        <f t="shared" si="18"/>
        <v>82.824292868731902</v>
      </c>
      <c r="U49" s="288">
        <f t="shared" si="18"/>
        <v>82.152208801419533</v>
      </c>
      <c r="V49" s="84" t="e">
        <f t="shared" si="18"/>
        <v>#DIV/0!</v>
      </c>
      <c r="W49" s="84" t="e">
        <f t="shared" si="18"/>
        <v>#DIV/0!</v>
      </c>
      <c r="X49" s="84">
        <f t="shared" si="18"/>
        <v>85.276532137516526</v>
      </c>
      <c r="Y49" s="84">
        <f t="shared" si="18"/>
        <v>82.538341564856424</v>
      </c>
      <c r="Z49" s="288">
        <f t="shared" si="18"/>
        <v>83.817264573989831</v>
      </c>
      <c r="AA49" s="84">
        <f t="shared" si="18"/>
        <v>83.095374071958886</v>
      </c>
      <c r="AB49" s="84">
        <f t="shared" si="18"/>
        <v>85.020976353928816</v>
      </c>
      <c r="AC49" s="84">
        <f t="shared" si="18"/>
        <v>78.418426103646794</v>
      </c>
      <c r="AD49" s="84">
        <f t="shared" si="18"/>
        <v>80.941176470588204</v>
      </c>
      <c r="AE49" s="288">
        <f t="shared" si="18"/>
        <v>81.249549094581525</v>
      </c>
      <c r="AF49" s="288">
        <f t="shared" si="18"/>
        <v>83.106306306306422</v>
      </c>
      <c r="AG49" s="84">
        <f t="shared" si="18"/>
        <v>82.970153877931324</v>
      </c>
      <c r="AH49" s="84">
        <f t="shared" si="18"/>
        <v>84.189459639762688</v>
      </c>
      <c r="AI49" s="84" t="e">
        <f t="shared" ref="AI49" si="19">(AI33/AI32)*100</f>
        <v>#DIV/0!</v>
      </c>
      <c r="AJ49" s="84" t="e">
        <f t="shared" si="18"/>
        <v>#DIV/0!</v>
      </c>
      <c r="AK49" s="119"/>
      <c r="AL49" s="127">
        <f>AL33/AL32*100</f>
        <v>83.129302125564848</v>
      </c>
    </row>
    <row r="50" spans="2:64 15093:15106">
      <c r="B50" s="70"/>
      <c r="C50" s="201" t="s">
        <v>51</v>
      </c>
      <c r="D50" s="69">
        <v>18</v>
      </c>
      <c r="E50" s="202" t="s">
        <v>12</v>
      </c>
      <c r="F50" s="84" t="e">
        <f t="shared" ref="F50:AJ50" si="20">(F34/F32)*100</f>
        <v>#DIV/0!</v>
      </c>
      <c r="G50" s="84" t="e">
        <f t="shared" si="20"/>
        <v>#DIV/0!</v>
      </c>
      <c r="H50" s="84">
        <f t="shared" si="20"/>
        <v>8.5612366230652093</v>
      </c>
      <c r="I50" s="288">
        <f t="shared" si="20"/>
        <v>16.238182119755702</v>
      </c>
      <c r="J50" s="84">
        <f t="shared" si="20"/>
        <v>16.067442412727555</v>
      </c>
      <c r="K50" s="84">
        <f t="shared" si="20"/>
        <v>16.291327264015941</v>
      </c>
      <c r="L50" s="84">
        <f t="shared" si="20"/>
        <v>15.712930761934659</v>
      </c>
      <c r="M50" s="288">
        <f t="shared" si="20"/>
        <v>15.481194388340844</v>
      </c>
      <c r="N50" s="288">
        <f t="shared" si="20"/>
        <v>17.396488903608979</v>
      </c>
      <c r="O50" s="84">
        <f t="shared" si="20"/>
        <v>16.613484302624688</v>
      </c>
      <c r="P50" s="84">
        <f t="shared" si="20"/>
        <v>16.798277099784638</v>
      </c>
      <c r="Q50" s="288">
        <f t="shared" si="20"/>
        <v>16.89399377841589</v>
      </c>
      <c r="R50" s="288">
        <f t="shared" si="20"/>
        <v>16.963560560939602</v>
      </c>
      <c r="S50" s="84">
        <f t="shared" si="20"/>
        <v>17.338467091806635</v>
      </c>
      <c r="T50" s="288">
        <f t="shared" si="20"/>
        <v>17.175707131268108</v>
      </c>
      <c r="U50" s="288">
        <f t="shared" si="20"/>
        <v>17.847791198580477</v>
      </c>
      <c r="V50" s="84" t="e">
        <f t="shared" si="20"/>
        <v>#DIV/0!</v>
      </c>
      <c r="W50" s="84" t="e">
        <f t="shared" si="20"/>
        <v>#DIV/0!</v>
      </c>
      <c r="X50" s="84">
        <f t="shared" si="20"/>
        <v>14.723467862483473</v>
      </c>
      <c r="Y50" s="84">
        <f t="shared" si="20"/>
        <v>17.461658435143583</v>
      </c>
      <c r="Z50" s="288">
        <f t="shared" si="20"/>
        <v>16.182735426010169</v>
      </c>
      <c r="AA50" s="84">
        <f t="shared" si="20"/>
        <v>16.904625928041121</v>
      </c>
      <c r="AB50" s="84">
        <f t="shared" si="20"/>
        <v>14.979023646071187</v>
      </c>
      <c r="AC50" s="84">
        <f t="shared" si="20"/>
        <v>21.581573896353195</v>
      </c>
      <c r="AD50" s="84">
        <f t="shared" si="20"/>
        <v>19.058823529411796</v>
      </c>
      <c r="AE50" s="288">
        <f t="shared" si="20"/>
        <v>18.750450905418479</v>
      </c>
      <c r="AF50" s="288">
        <f t="shared" si="20"/>
        <v>16.893693693693578</v>
      </c>
      <c r="AG50" s="84">
        <f t="shared" si="20"/>
        <v>17.02984612206869</v>
      </c>
      <c r="AH50" s="84">
        <f t="shared" si="20"/>
        <v>15.81054036023732</v>
      </c>
      <c r="AI50" s="84" t="e">
        <f t="shared" ref="AI50" si="21">(AI34/AI32)*100</f>
        <v>#DIV/0!</v>
      </c>
      <c r="AJ50" s="84" t="e">
        <f t="shared" si="20"/>
        <v>#DIV/0!</v>
      </c>
      <c r="AK50" s="119"/>
      <c r="AL50" s="127">
        <f>AL34/AL32*100</f>
        <v>16.870697874435152</v>
      </c>
    </row>
    <row r="51" spans="2:64 15093:15106">
      <c r="B51" s="70"/>
      <c r="C51" s="201" t="s">
        <v>40</v>
      </c>
      <c r="D51" s="69">
        <v>70</v>
      </c>
      <c r="E51" s="202" t="s">
        <v>12</v>
      </c>
      <c r="F51" s="84" t="e">
        <f t="shared" ref="F51:AC51" si="22">F38/F37*100</f>
        <v>#DIV/0!</v>
      </c>
      <c r="G51" s="84" t="e">
        <f t="shared" si="22"/>
        <v>#DIV/0!</v>
      </c>
      <c r="H51" s="84" t="e">
        <f t="shared" si="22"/>
        <v>#DIV/0!</v>
      </c>
      <c r="I51" s="288" t="e">
        <f t="shared" si="22"/>
        <v>#DIV/0!</v>
      </c>
      <c r="J51" s="84" t="e">
        <f t="shared" si="22"/>
        <v>#DIV/0!</v>
      </c>
      <c r="K51" s="84" t="e">
        <f t="shared" si="22"/>
        <v>#DIV/0!</v>
      </c>
      <c r="L51" s="84" t="e">
        <f t="shared" si="22"/>
        <v>#DIV/0!</v>
      </c>
      <c r="M51" s="288" t="e">
        <f t="shared" si="22"/>
        <v>#DIV/0!</v>
      </c>
      <c r="N51" s="288" t="e">
        <f t="shared" si="22"/>
        <v>#DIV/0!</v>
      </c>
      <c r="O51" s="84">
        <f t="shared" si="22"/>
        <v>79.866071428571502</v>
      </c>
      <c r="P51" s="84" t="e">
        <f t="shared" si="22"/>
        <v>#DIV/0!</v>
      </c>
      <c r="Q51" s="288" t="e">
        <f t="shared" si="22"/>
        <v>#DIV/0!</v>
      </c>
      <c r="R51" s="288" t="e">
        <f t="shared" si="22"/>
        <v>#DIV/0!</v>
      </c>
      <c r="S51" s="84" t="e">
        <f t="shared" si="22"/>
        <v>#DIV/0!</v>
      </c>
      <c r="T51" s="288" t="e">
        <f t="shared" si="22"/>
        <v>#DIV/0!</v>
      </c>
      <c r="U51" s="288" t="e">
        <f t="shared" si="22"/>
        <v>#DIV/0!</v>
      </c>
      <c r="V51" s="84" t="e">
        <f t="shared" si="22"/>
        <v>#DIV/0!</v>
      </c>
      <c r="W51" s="84" t="e">
        <f t="shared" si="22"/>
        <v>#DIV/0!</v>
      </c>
      <c r="X51" s="84">
        <f t="shared" si="22"/>
        <v>76.397881106531656</v>
      </c>
      <c r="Y51" s="84" t="e">
        <f t="shared" si="22"/>
        <v>#DIV/0!</v>
      </c>
      <c r="Z51" s="288" t="e">
        <f t="shared" si="22"/>
        <v>#DIV/0!</v>
      </c>
      <c r="AA51" s="84" t="e">
        <f t="shared" si="22"/>
        <v>#DIV/0!</v>
      </c>
      <c r="AB51" s="84" t="e">
        <f t="shared" si="22"/>
        <v>#DIV/0!</v>
      </c>
      <c r="AC51" s="84" t="e">
        <f t="shared" si="22"/>
        <v>#DIV/0!</v>
      </c>
      <c r="AD51" s="84" t="e">
        <f t="shared" ref="AD51:AJ51" si="23">AD41/AD40*100</f>
        <v>#DIV/0!</v>
      </c>
      <c r="AE51" s="288" t="e">
        <f t="shared" si="23"/>
        <v>#DIV/0!</v>
      </c>
      <c r="AF51" s="288" t="e">
        <f t="shared" si="23"/>
        <v>#DIV/0!</v>
      </c>
      <c r="AG51" s="84" t="e">
        <f t="shared" si="23"/>
        <v>#DIV/0!</v>
      </c>
      <c r="AH51" s="84" t="e">
        <f t="shared" si="23"/>
        <v>#DIV/0!</v>
      </c>
      <c r="AI51" s="84" t="e">
        <f t="shared" ref="AI51" si="24">AI41/AI40*100</f>
        <v>#DIV/0!</v>
      </c>
      <c r="AJ51" s="84" t="e">
        <f t="shared" si="23"/>
        <v>#DIV/0!</v>
      </c>
      <c r="AK51" s="119"/>
      <c r="AL51" s="127">
        <f>AL38/AL37*100</f>
        <v>78.701324372405281</v>
      </c>
    </row>
    <row r="52" spans="2:64 15093:15106">
      <c r="B52" s="70"/>
      <c r="C52" s="201" t="s">
        <v>51</v>
      </c>
      <c r="D52" s="69">
        <v>30</v>
      </c>
      <c r="E52" s="202" t="s">
        <v>12</v>
      </c>
      <c r="F52" s="84" t="e">
        <f t="shared" ref="F52:AC52" si="25">F39/F37*100</f>
        <v>#DIV/0!</v>
      </c>
      <c r="G52" s="84" t="e">
        <f t="shared" si="25"/>
        <v>#DIV/0!</v>
      </c>
      <c r="H52" s="84" t="e">
        <f t="shared" si="25"/>
        <v>#DIV/0!</v>
      </c>
      <c r="I52" s="288" t="e">
        <f t="shared" si="25"/>
        <v>#DIV/0!</v>
      </c>
      <c r="J52" s="84" t="e">
        <f t="shared" si="25"/>
        <v>#DIV/0!</v>
      </c>
      <c r="K52" s="84" t="e">
        <f t="shared" si="25"/>
        <v>#DIV/0!</v>
      </c>
      <c r="L52" s="84" t="e">
        <f t="shared" si="25"/>
        <v>#DIV/0!</v>
      </c>
      <c r="M52" s="288" t="e">
        <f t="shared" si="25"/>
        <v>#DIV/0!</v>
      </c>
      <c r="N52" s="288" t="e">
        <f t="shared" si="25"/>
        <v>#DIV/0!</v>
      </c>
      <c r="O52" s="84">
        <f t="shared" si="25"/>
        <v>20.133928571428495</v>
      </c>
      <c r="P52" s="84" t="e">
        <f t="shared" si="25"/>
        <v>#DIV/0!</v>
      </c>
      <c r="Q52" s="288" t="e">
        <f t="shared" si="25"/>
        <v>#DIV/0!</v>
      </c>
      <c r="R52" s="288" t="e">
        <f t="shared" si="25"/>
        <v>#DIV/0!</v>
      </c>
      <c r="S52" s="84" t="e">
        <f t="shared" si="25"/>
        <v>#DIV/0!</v>
      </c>
      <c r="T52" s="288" t="e">
        <f t="shared" si="25"/>
        <v>#DIV/0!</v>
      </c>
      <c r="U52" s="288" t="e">
        <f t="shared" si="25"/>
        <v>#DIV/0!</v>
      </c>
      <c r="V52" s="84" t="e">
        <f t="shared" si="25"/>
        <v>#DIV/0!</v>
      </c>
      <c r="W52" s="84" t="e">
        <f t="shared" si="25"/>
        <v>#DIV/0!</v>
      </c>
      <c r="X52" s="84">
        <f t="shared" si="25"/>
        <v>23.602118893468344</v>
      </c>
      <c r="Y52" s="84" t="e">
        <f t="shared" si="25"/>
        <v>#DIV/0!</v>
      </c>
      <c r="Z52" s="288" t="e">
        <f t="shared" si="25"/>
        <v>#DIV/0!</v>
      </c>
      <c r="AA52" s="84" t="e">
        <f t="shared" si="25"/>
        <v>#DIV/0!</v>
      </c>
      <c r="AB52" s="84" t="e">
        <f t="shared" si="25"/>
        <v>#DIV/0!</v>
      </c>
      <c r="AC52" s="84" t="e">
        <f t="shared" si="25"/>
        <v>#DIV/0!</v>
      </c>
      <c r="AD52" s="84" t="e">
        <f t="shared" ref="AD52:AJ52" si="26">AD42/AD40*100</f>
        <v>#DIV/0!</v>
      </c>
      <c r="AE52" s="288" t="e">
        <f t="shared" si="26"/>
        <v>#DIV/0!</v>
      </c>
      <c r="AF52" s="288" t="e">
        <f t="shared" si="26"/>
        <v>#DIV/0!</v>
      </c>
      <c r="AG52" s="84" t="e">
        <f t="shared" si="26"/>
        <v>#DIV/0!</v>
      </c>
      <c r="AH52" s="84" t="e">
        <f t="shared" si="26"/>
        <v>#DIV/0!</v>
      </c>
      <c r="AI52" s="84" t="e">
        <f t="shared" ref="AI52" si="27">AI42/AI40*100</f>
        <v>#DIV/0!</v>
      </c>
      <c r="AJ52" s="84" t="e">
        <f t="shared" si="26"/>
        <v>#DIV/0!</v>
      </c>
      <c r="AK52" s="128"/>
      <c r="AL52" s="127">
        <f>AL39/AL37*100</f>
        <v>21.298675627594719</v>
      </c>
    </row>
    <row r="53" spans="2:64 15093:15106">
      <c r="B53" s="70"/>
      <c r="C53" s="201" t="s">
        <v>44</v>
      </c>
      <c r="D53" s="69">
        <v>60</v>
      </c>
      <c r="E53" s="202" t="s">
        <v>12</v>
      </c>
      <c r="F53" s="84" t="e">
        <f t="shared" ref="F53:AJ53" si="28">F44/F42*100</f>
        <v>#DIV/0!</v>
      </c>
      <c r="G53" s="84" t="e">
        <f t="shared" si="28"/>
        <v>#DIV/0!</v>
      </c>
      <c r="H53" s="84" t="e">
        <f t="shared" si="28"/>
        <v>#DIV/0!</v>
      </c>
      <c r="I53" s="288" t="e">
        <f>I44/I42*100</f>
        <v>#DIV/0!</v>
      </c>
      <c r="J53" s="84" t="e">
        <f>J44/J42*100</f>
        <v>#DIV/0!</v>
      </c>
      <c r="K53" s="84" t="e">
        <f>K44/K42*100</f>
        <v>#DIV/0!</v>
      </c>
      <c r="L53" s="84" t="e">
        <f t="shared" si="28"/>
        <v>#DIV/0!</v>
      </c>
      <c r="M53" s="288" t="e">
        <f t="shared" si="28"/>
        <v>#DIV/0!</v>
      </c>
      <c r="N53" s="288" t="e">
        <f t="shared" si="28"/>
        <v>#DIV/0!</v>
      </c>
      <c r="O53" s="84" t="e">
        <f t="shared" si="28"/>
        <v>#DIV/0!</v>
      </c>
      <c r="P53" s="84" t="e">
        <f t="shared" si="28"/>
        <v>#DIV/0!</v>
      </c>
      <c r="Q53" s="288" t="e">
        <f t="shared" si="28"/>
        <v>#DIV/0!</v>
      </c>
      <c r="R53" s="288" t="e">
        <f t="shared" si="28"/>
        <v>#DIV/0!</v>
      </c>
      <c r="S53" s="84" t="e">
        <f t="shared" si="28"/>
        <v>#DIV/0!</v>
      </c>
      <c r="T53" s="288" t="e">
        <f t="shared" ref="T53:W53" si="29">(T44+T43)/T42*100</f>
        <v>#DIV/0!</v>
      </c>
      <c r="U53" s="288" t="e">
        <f t="shared" si="29"/>
        <v>#DIV/0!</v>
      </c>
      <c r="V53" s="84">
        <f>(V44+V43)/V42*100</f>
        <v>61.830508474576277</v>
      </c>
      <c r="W53" s="84">
        <f t="shared" si="29"/>
        <v>58.707706235142886</v>
      </c>
      <c r="X53" s="84">
        <f t="shared" si="28"/>
        <v>61.315789473692917</v>
      </c>
      <c r="Y53" s="84" t="e">
        <f t="shared" si="28"/>
        <v>#DIV/0!</v>
      </c>
      <c r="Z53" s="288" t="e">
        <f t="shared" si="28"/>
        <v>#DIV/0!</v>
      </c>
      <c r="AA53" s="84" t="e">
        <f t="shared" si="28"/>
        <v>#DIV/0!</v>
      </c>
      <c r="AB53" s="84" t="e">
        <f t="shared" si="28"/>
        <v>#DIV/0!</v>
      </c>
      <c r="AC53" s="84" t="e">
        <f t="shared" si="28"/>
        <v>#DIV/0!</v>
      </c>
      <c r="AD53" s="84" t="e">
        <f t="shared" si="28"/>
        <v>#DIV/0!</v>
      </c>
      <c r="AE53" s="288" t="e">
        <f t="shared" si="28"/>
        <v>#DIV/0!</v>
      </c>
      <c r="AF53" s="288" t="e">
        <f t="shared" si="28"/>
        <v>#DIV/0!</v>
      </c>
      <c r="AG53" s="84" t="e">
        <f t="shared" si="28"/>
        <v>#DIV/0!</v>
      </c>
      <c r="AH53" s="84">
        <f t="shared" si="28"/>
        <v>59.541209906610135</v>
      </c>
      <c r="AI53" s="84">
        <f t="shared" ref="AI53" si="30">AI44/AI42*100</f>
        <v>60.784313725490193</v>
      </c>
      <c r="AJ53" s="84">
        <f t="shared" si="28"/>
        <v>63.842309827875965</v>
      </c>
      <c r="AK53" s="119"/>
      <c r="AL53" s="127">
        <f>(AL44+AL43)/AL42*100</f>
        <v>61.088695732367704</v>
      </c>
    </row>
    <row r="54" spans="2:64 15093:15106">
      <c r="B54" s="70"/>
      <c r="C54" s="201" t="s">
        <v>52</v>
      </c>
      <c r="D54" s="69">
        <v>40</v>
      </c>
      <c r="E54" s="202" t="s">
        <v>12</v>
      </c>
      <c r="F54" s="84" t="e">
        <f t="shared" ref="F54:AJ54" si="31">F45/F42*100</f>
        <v>#DIV/0!</v>
      </c>
      <c r="G54" s="84" t="e">
        <f t="shared" si="31"/>
        <v>#DIV/0!</v>
      </c>
      <c r="H54" s="84" t="e">
        <f t="shared" si="31"/>
        <v>#DIV/0!</v>
      </c>
      <c r="I54" s="288" t="e">
        <f>I45/I42*100</f>
        <v>#DIV/0!</v>
      </c>
      <c r="J54" s="84" t="e">
        <f>J45/J42*100</f>
        <v>#DIV/0!</v>
      </c>
      <c r="K54" s="84" t="e">
        <f>K45/K42*100</f>
        <v>#DIV/0!</v>
      </c>
      <c r="L54" s="84" t="e">
        <f t="shared" si="31"/>
        <v>#DIV/0!</v>
      </c>
      <c r="M54" s="288" t="e">
        <f t="shared" si="31"/>
        <v>#DIV/0!</v>
      </c>
      <c r="N54" s="288" t="e">
        <f t="shared" si="31"/>
        <v>#DIV/0!</v>
      </c>
      <c r="O54" s="84" t="e">
        <f t="shared" si="31"/>
        <v>#DIV/0!</v>
      </c>
      <c r="P54" s="84" t="e">
        <f t="shared" si="31"/>
        <v>#DIV/0!</v>
      </c>
      <c r="Q54" s="288" t="e">
        <f t="shared" si="31"/>
        <v>#DIV/0!</v>
      </c>
      <c r="R54" s="288" t="e">
        <f t="shared" si="31"/>
        <v>#DIV/0!</v>
      </c>
      <c r="S54" s="84" t="e">
        <f t="shared" si="31"/>
        <v>#DIV/0!</v>
      </c>
      <c r="T54" s="288" t="e">
        <f t="shared" si="31"/>
        <v>#DIV/0!</v>
      </c>
      <c r="U54" s="288" t="e">
        <f t="shared" si="31"/>
        <v>#DIV/0!</v>
      </c>
      <c r="V54" s="84">
        <f t="shared" si="31"/>
        <v>38.169491525423723</v>
      </c>
      <c r="W54" s="84">
        <f t="shared" si="31"/>
        <v>41.292293764857121</v>
      </c>
      <c r="X54" s="84">
        <f t="shared" si="31"/>
        <v>38.684210526307083</v>
      </c>
      <c r="Y54" s="84" t="e">
        <f t="shared" si="31"/>
        <v>#DIV/0!</v>
      </c>
      <c r="Z54" s="288" t="e">
        <f t="shared" si="31"/>
        <v>#DIV/0!</v>
      </c>
      <c r="AA54" s="84" t="e">
        <f t="shared" si="31"/>
        <v>#DIV/0!</v>
      </c>
      <c r="AB54" s="84" t="e">
        <f t="shared" si="31"/>
        <v>#DIV/0!</v>
      </c>
      <c r="AC54" s="84" t="e">
        <f t="shared" si="31"/>
        <v>#DIV/0!</v>
      </c>
      <c r="AD54" s="84" t="e">
        <f t="shared" si="31"/>
        <v>#DIV/0!</v>
      </c>
      <c r="AE54" s="288" t="e">
        <f t="shared" si="31"/>
        <v>#DIV/0!</v>
      </c>
      <c r="AF54" s="288" t="e">
        <f t="shared" si="31"/>
        <v>#DIV/0!</v>
      </c>
      <c r="AG54" s="84" t="e">
        <f t="shared" si="31"/>
        <v>#DIV/0!</v>
      </c>
      <c r="AH54" s="84">
        <f t="shared" si="31"/>
        <v>40.458790093389865</v>
      </c>
      <c r="AI54" s="84">
        <f t="shared" ref="AI54" si="32">AI45/AI42*100</f>
        <v>39.215686274509807</v>
      </c>
      <c r="AJ54" s="84">
        <f t="shared" si="31"/>
        <v>36.157690172124042</v>
      </c>
      <c r="AK54" s="128"/>
      <c r="AL54" s="127">
        <f>AL45/AL42*100</f>
        <v>38.91130426763231</v>
      </c>
    </row>
    <row r="55" spans="2:64 15093:15106">
      <c r="B55" s="54">
        <v>3</v>
      </c>
      <c r="C55" s="81" t="s">
        <v>53</v>
      </c>
      <c r="D55" s="82"/>
      <c r="E55" s="82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115"/>
      <c r="AL55" s="126" t="s">
        <v>54</v>
      </c>
    </row>
    <row r="56" spans="2:64 15093:15106">
      <c r="B56" s="57"/>
      <c r="C56" s="196" t="s">
        <v>55</v>
      </c>
      <c r="D56" s="69">
        <v>9</v>
      </c>
      <c r="E56" s="203" t="s">
        <v>56</v>
      </c>
      <c r="F56" s="60"/>
      <c r="G56" s="60">
        <v>0</v>
      </c>
      <c r="H56" s="60">
        <v>2460</v>
      </c>
      <c r="I56" s="285">
        <v>15048</v>
      </c>
      <c r="J56" s="60">
        <v>16445</v>
      </c>
      <c r="K56" s="60">
        <v>12844</v>
      </c>
      <c r="L56" s="60">
        <v>14782</v>
      </c>
      <c r="M56" s="285">
        <v>13956</v>
      </c>
      <c r="N56" s="285">
        <f>20852-N58</f>
        <v>10073</v>
      </c>
      <c r="O56" s="60">
        <v>17689</v>
      </c>
      <c r="P56" s="60">
        <v>16287</v>
      </c>
      <c r="Q56" s="285">
        <v>16388</v>
      </c>
      <c r="R56" s="285">
        <v>12420</v>
      </c>
      <c r="S56" s="60">
        <v>12604</v>
      </c>
      <c r="T56" s="285">
        <v>11943</v>
      </c>
      <c r="U56" s="285">
        <v>2570</v>
      </c>
      <c r="V56" s="60">
        <v>0</v>
      </c>
      <c r="W56" s="60">
        <v>10752</v>
      </c>
      <c r="X56" s="60">
        <v>10208</v>
      </c>
      <c r="Y56" s="60">
        <v>7506</v>
      </c>
      <c r="Z56" s="285">
        <v>9664</v>
      </c>
      <c r="AA56" s="60">
        <v>15810</v>
      </c>
      <c r="AB56" s="60">
        <v>15980</v>
      </c>
      <c r="AC56" s="60">
        <v>12343</v>
      </c>
      <c r="AD56" s="60">
        <v>8755</v>
      </c>
      <c r="AE56" s="285">
        <v>9469</v>
      </c>
      <c r="AF56" s="285">
        <v>7972</v>
      </c>
      <c r="AG56" s="60">
        <v>6732</v>
      </c>
      <c r="AH56" s="60">
        <v>0</v>
      </c>
      <c r="AI56" s="60">
        <v>0</v>
      </c>
      <c r="AJ56" s="60">
        <v>0</v>
      </c>
      <c r="AK56" s="115"/>
      <c r="AL56" s="107">
        <f>SUM(F56:AJ56)</f>
        <v>290700</v>
      </c>
      <c r="AM56" s="105"/>
      <c r="BL56" s="105"/>
    </row>
    <row r="57" spans="2:64 15093:15106">
      <c r="B57" s="70"/>
      <c r="C57" s="85"/>
      <c r="D57" s="74"/>
      <c r="E57" s="203" t="s">
        <v>12</v>
      </c>
      <c r="F57" s="84" t="e">
        <f>F56/F23*100</f>
        <v>#DIV/0!</v>
      </c>
      <c r="G57" s="84" t="e">
        <f>G56/(G23-G41)*100</f>
        <v>#DIV/0!</v>
      </c>
      <c r="H57" s="84" t="e">
        <f t="shared" ref="H57" si="33">H56/((H23+H24)-H41)*100</f>
        <v>#DIV/0!</v>
      </c>
      <c r="I57" s="288">
        <f t="shared" ref="I57:M57" si="34">I56/((I23+I24)-I41)*100</f>
        <v>1.3188396524811943</v>
      </c>
      <c r="J57" s="84">
        <f t="shared" si="34"/>
        <v>0.79222468445900374</v>
      </c>
      <c r="K57" s="84">
        <f>K56/((K23+K24)-K41)*100</f>
        <v>0.7567312790903199</v>
      </c>
      <c r="L57" s="84">
        <f t="shared" si="34"/>
        <v>0.73542288557213931</v>
      </c>
      <c r="M57" s="288">
        <f t="shared" si="34"/>
        <v>0.72634537316540404</v>
      </c>
      <c r="N57" s="288">
        <f>N56/((N23+N24)-(N41+N36))*100</f>
        <v>0.7765186555658341</v>
      </c>
      <c r="O57" s="84">
        <f t="shared" ref="O57:AJ57" si="35">O56/((O23+O24)-(O41+O36))*100</f>
        <v>0.84097176000761054</v>
      </c>
      <c r="P57" s="84">
        <f t="shared" si="35"/>
        <v>0.76974337161491191</v>
      </c>
      <c r="Q57" s="288">
        <f t="shared" si="35"/>
        <v>0.81491795126802591</v>
      </c>
      <c r="R57" s="288">
        <f t="shared" si="35"/>
        <v>0.67008362557323975</v>
      </c>
      <c r="S57" s="84">
        <f t="shared" si="35"/>
        <v>0.81096383991764254</v>
      </c>
      <c r="T57" s="288">
        <f t="shared" si="35"/>
        <v>0.74849586362496401</v>
      </c>
      <c r="U57" s="288">
        <f t="shared" si="35"/>
        <v>0.79076923076923078</v>
      </c>
      <c r="V57" s="84" t="e">
        <f t="shared" si="35"/>
        <v>#DIV/0!</v>
      </c>
      <c r="W57" s="84">
        <f t="shared" si="35"/>
        <v>0.80471813908930334</v>
      </c>
      <c r="X57" s="84">
        <f t="shared" si="35"/>
        <v>0.77515377021794196</v>
      </c>
      <c r="Y57" s="84">
        <f t="shared" si="35"/>
        <v>0.71909638727353919</v>
      </c>
      <c r="Z57" s="288">
        <f t="shared" si="35"/>
        <v>0.7777241268308448</v>
      </c>
      <c r="AA57" s="254">
        <f t="shared" si="35"/>
        <v>1.1974460543357242</v>
      </c>
      <c r="AB57" s="254">
        <f t="shared" si="35"/>
        <v>1.2259395929389467</v>
      </c>
      <c r="AC57" s="254">
        <f t="shared" si="35"/>
        <v>0.93803910839546145</v>
      </c>
      <c r="AD57" s="84">
        <f t="shared" si="35"/>
        <v>0.65865695671145486</v>
      </c>
      <c r="AE57" s="288">
        <f t="shared" si="35"/>
        <v>0.66267294651167674</v>
      </c>
      <c r="AF57" s="288">
        <f t="shared" si="35"/>
        <v>0.60560940776079497</v>
      </c>
      <c r="AG57" s="84">
        <f t="shared" si="35"/>
        <v>0.60665044606650442</v>
      </c>
      <c r="AH57" s="84" t="e">
        <f t="shared" si="35"/>
        <v>#DIV/0!</v>
      </c>
      <c r="AI57" s="84" t="e">
        <f t="shared" si="35"/>
        <v>#DIV/0!</v>
      </c>
      <c r="AJ57" s="84" t="e">
        <f t="shared" si="35"/>
        <v>#DIV/0!</v>
      </c>
      <c r="AK57" s="115"/>
      <c r="AL57" s="127">
        <f>AL56/(((AL23)+265025+191172)-(AL36+AL41))*100</f>
        <v>0.80257863241374083</v>
      </c>
      <c r="AM57" s="16"/>
      <c r="AN57" s="15">
        <f>AL57*10</f>
        <v>8.0257863241374086</v>
      </c>
      <c r="AT57" s="16">
        <f>AVERAGE(AA57:AC57)</f>
        <v>1.1204749185567107</v>
      </c>
    </row>
    <row r="58" spans="2:64 15093:15106" s="1" customFormat="1">
      <c r="B58" s="57"/>
      <c r="C58" s="204" t="s">
        <v>57</v>
      </c>
      <c r="D58" s="86">
        <v>14</v>
      </c>
      <c r="E58" s="205" t="s">
        <v>56</v>
      </c>
      <c r="F58" s="87"/>
      <c r="G58" s="87">
        <v>0</v>
      </c>
      <c r="H58" s="87">
        <v>0</v>
      </c>
      <c r="I58" s="289"/>
      <c r="J58" s="87">
        <v>0</v>
      </c>
      <c r="K58" s="87"/>
      <c r="L58" s="87"/>
      <c r="M58" s="289"/>
      <c r="N58" s="289">
        <v>10779</v>
      </c>
      <c r="O58" s="87">
        <v>0</v>
      </c>
      <c r="P58" s="87">
        <v>0</v>
      </c>
      <c r="Q58" s="289">
        <v>0</v>
      </c>
      <c r="R58" s="289">
        <v>0</v>
      </c>
      <c r="S58" s="87">
        <v>0</v>
      </c>
      <c r="T58" s="289">
        <v>0</v>
      </c>
      <c r="U58" s="289">
        <v>17744</v>
      </c>
      <c r="V58" s="100">
        <v>17630</v>
      </c>
      <c r="W58" s="100">
        <v>0</v>
      </c>
      <c r="X58" s="100">
        <v>0</v>
      </c>
      <c r="Y58" s="100">
        <v>0</v>
      </c>
      <c r="Z58" s="312">
        <v>0</v>
      </c>
      <c r="AA58" s="87">
        <v>0</v>
      </c>
      <c r="AB58" s="87">
        <v>0</v>
      </c>
      <c r="AC58" s="87">
        <v>0</v>
      </c>
      <c r="AD58" s="87">
        <v>0</v>
      </c>
      <c r="AE58" s="289">
        <v>0</v>
      </c>
      <c r="AF58" s="289">
        <v>0</v>
      </c>
      <c r="AG58" s="87">
        <v>5950</v>
      </c>
      <c r="AH58" s="87">
        <v>18735</v>
      </c>
      <c r="AI58" s="87">
        <v>19252</v>
      </c>
      <c r="AJ58" s="87">
        <v>18020</v>
      </c>
      <c r="AK58" s="115"/>
      <c r="AL58" s="129">
        <f>SUM(F58:AJ58)</f>
        <v>108110</v>
      </c>
      <c r="AM58" s="237"/>
      <c r="AN58" s="15"/>
      <c r="VHM58"/>
      <c r="VHN58"/>
      <c r="VHO58"/>
      <c r="VHP58"/>
      <c r="VHQ58"/>
      <c r="VHR58"/>
      <c r="VHS58"/>
      <c r="VHT58"/>
      <c r="VHU58"/>
      <c r="VHV58"/>
      <c r="VHW58"/>
      <c r="VHX58"/>
      <c r="VHY58"/>
      <c r="VHZ58"/>
    </row>
    <row r="59" spans="2:64 15093:15106" s="1" customFormat="1">
      <c r="B59" s="70"/>
      <c r="C59" s="88"/>
      <c r="D59" s="89"/>
      <c r="E59" s="206" t="s">
        <v>12</v>
      </c>
      <c r="F59" s="90" t="e">
        <f>F58/F41*100</f>
        <v>#DIV/0!</v>
      </c>
      <c r="G59" s="90" t="e">
        <f>G58/G41*100</f>
        <v>#DIV/0!</v>
      </c>
      <c r="H59" s="90" t="e">
        <f t="shared" ref="H59:S59" si="36">H58/H41*100</f>
        <v>#DIV/0!</v>
      </c>
      <c r="I59" s="290" t="e">
        <f t="shared" si="36"/>
        <v>#DIV/0!</v>
      </c>
      <c r="J59" s="90" t="e">
        <f t="shared" si="36"/>
        <v>#DIV/0!</v>
      </c>
      <c r="K59" s="90" t="e">
        <f t="shared" si="36"/>
        <v>#DIV/0!</v>
      </c>
      <c r="L59" s="90" t="e">
        <f t="shared" si="36"/>
        <v>#DIV/0!</v>
      </c>
      <c r="M59" s="290" t="e">
        <f t="shared" si="36"/>
        <v>#DIV/0!</v>
      </c>
      <c r="N59" s="290">
        <f>N58/(N36+N41)*100</f>
        <v>1.5254741013303141</v>
      </c>
      <c r="O59" s="90" t="e">
        <f t="shared" si="36"/>
        <v>#DIV/0!</v>
      </c>
      <c r="P59" s="90" t="e">
        <f>P58/(P41+P36)*100</f>
        <v>#DIV/0!</v>
      </c>
      <c r="Q59" s="290" t="e">
        <f>Q58/Q41*100</f>
        <v>#DIV/0!</v>
      </c>
      <c r="R59" s="290" t="e">
        <f>R58/R41*100</f>
        <v>#DIV/0!</v>
      </c>
      <c r="S59" s="90" t="e">
        <f t="shared" si="36"/>
        <v>#DIV/0!</v>
      </c>
      <c r="T59" s="290" t="e">
        <f>T58/(T41+T36)*100</f>
        <v>#DIV/0!</v>
      </c>
      <c r="U59" s="290">
        <f>U58/U41*100</f>
        <v>1.499535198174609</v>
      </c>
      <c r="V59" s="90">
        <f t="shared" ref="V59:AB59" si="37">V58/V41*100</f>
        <v>1.1298891901072208</v>
      </c>
      <c r="W59" s="90" t="e">
        <f t="shared" si="37"/>
        <v>#DIV/0!</v>
      </c>
      <c r="X59" s="90" t="e">
        <f t="shared" si="37"/>
        <v>#DIV/0!</v>
      </c>
      <c r="Y59" s="90" t="e">
        <f t="shared" si="37"/>
        <v>#DIV/0!</v>
      </c>
      <c r="Z59" s="290" t="e">
        <f t="shared" si="37"/>
        <v>#DIV/0!</v>
      </c>
      <c r="AA59" s="90" t="e">
        <f t="shared" si="37"/>
        <v>#DIV/0!</v>
      </c>
      <c r="AB59" s="90" t="e">
        <f t="shared" si="37"/>
        <v>#DIV/0!</v>
      </c>
      <c r="AC59" s="90" t="e">
        <f>AC58/(AC41)*100</f>
        <v>#DIV/0!</v>
      </c>
      <c r="AD59" s="90" t="e">
        <f t="shared" ref="AD59:AJ59" si="38">AD58/AD41*100</f>
        <v>#DIV/0!</v>
      </c>
      <c r="AE59" s="290" t="e">
        <f t="shared" si="38"/>
        <v>#DIV/0!</v>
      </c>
      <c r="AF59" s="290" t="e">
        <f t="shared" si="38"/>
        <v>#DIV/0!</v>
      </c>
      <c r="AG59" s="90">
        <f t="shared" si="38"/>
        <v>1.3485947416137807</v>
      </c>
      <c r="AH59" s="90">
        <f t="shared" si="38"/>
        <v>1.2849882372306993</v>
      </c>
      <c r="AI59" s="90">
        <f t="shared" ref="AI59" si="39">AI58/AI41*100</f>
        <v>1.2483788971313046</v>
      </c>
      <c r="AJ59" s="90">
        <f t="shared" si="38"/>
        <v>1.3030493669146943</v>
      </c>
      <c r="AK59" s="115"/>
      <c r="AL59" s="130">
        <f>AL58/(AL41+AL36)*100</f>
        <v>1.306545781069288</v>
      </c>
      <c r="AM59" s="16"/>
      <c r="AN59" s="15">
        <f>AL59*10</f>
        <v>13.06545781069288</v>
      </c>
      <c r="VHM59"/>
      <c r="VHN59"/>
      <c r="VHO59"/>
      <c r="VHP59"/>
      <c r="VHQ59"/>
      <c r="VHR59"/>
      <c r="VHS59"/>
      <c r="VHT59"/>
      <c r="VHU59"/>
      <c r="VHV59"/>
      <c r="VHW59"/>
      <c r="VHX59"/>
      <c r="VHY59"/>
      <c r="VHZ59"/>
    </row>
    <row r="60" spans="2:64 15093:15106">
      <c r="B60" s="70"/>
      <c r="C60" s="196" t="s">
        <v>58</v>
      </c>
      <c r="D60" s="69">
        <v>0.55000000000000004</v>
      </c>
      <c r="E60" s="203" t="s">
        <v>9</v>
      </c>
      <c r="F60" s="60"/>
      <c r="G60" s="60">
        <v>0</v>
      </c>
      <c r="H60" s="60">
        <v>106.5</v>
      </c>
      <c r="I60" s="285">
        <v>741.6</v>
      </c>
      <c r="J60" s="60">
        <v>915.4</v>
      </c>
      <c r="K60" s="60">
        <v>839.5</v>
      </c>
      <c r="L60" s="60">
        <v>1006.2</v>
      </c>
      <c r="M60" s="285">
        <v>951.5</v>
      </c>
      <c r="N60" s="285">
        <v>983</v>
      </c>
      <c r="O60" s="60">
        <v>1055.2</v>
      </c>
      <c r="P60" s="60">
        <v>1080.8</v>
      </c>
      <c r="Q60" s="285">
        <v>1062.2</v>
      </c>
      <c r="R60" s="285">
        <v>829.1</v>
      </c>
      <c r="S60" s="60">
        <v>790.5</v>
      </c>
      <c r="T60" s="285">
        <v>726.4</v>
      </c>
      <c r="U60" s="285">
        <v>760.2</v>
      </c>
      <c r="V60" s="60">
        <v>781.2</v>
      </c>
      <c r="W60" s="60">
        <v>643.70000000000005</v>
      </c>
      <c r="X60" s="60">
        <v>622.61</v>
      </c>
      <c r="Y60" s="60">
        <v>516</v>
      </c>
      <c r="Z60" s="285">
        <v>641.29999999999995</v>
      </c>
      <c r="AA60" s="60">
        <v>696.1</v>
      </c>
      <c r="AB60" s="60">
        <v>712.4</v>
      </c>
      <c r="AC60" s="60">
        <v>683.4</v>
      </c>
      <c r="AD60" s="60">
        <v>629.70000000000005</v>
      </c>
      <c r="AE60" s="285">
        <v>691.5</v>
      </c>
      <c r="AF60" s="285">
        <v>646</v>
      </c>
      <c r="AG60" s="60">
        <v>742.8</v>
      </c>
      <c r="AH60" s="60">
        <v>704.30000000000007</v>
      </c>
      <c r="AI60" s="60">
        <v>760.2</v>
      </c>
      <c r="AJ60" s="60">
        <v>658.8</v>
      </c>
      <c r="AK60" s="115"/>
      <c r="AL60" s="129">
        <f>SUM(F60:AJ60)</f>
        <v>21978.110000000004</v>
      </c>
    </row>
    <row r="61" spans="2:64 15093:15106">
      <c r="B61" s="91"/>
      <c r="C61" s="92"/>
      <c r="D61" s="74"/>
      <c r="E61" s="207" t="s">
        <v>12</v>
      </c>
      <c r="F61" s="93" t="e">
        <f t="shared" ref="F61:AJ61" si="40">F60/(F23+F24)*100</f>
        <v>#DIV/0!</v>
      </c>
      <c r="G61" s="93" t="e">
        <f t="shared" si="40"/>
        <v>#DIV/0!</v>
      </c>
      <c r="H61" s="93" t="e">
        <f t="shared" si="40"/>
        <v>#DIV/0!</v>
      </c>
      <c r="I61" s="308">
        <f t="shared" si="40"/>
        <v>6.4995446988307656E-2</v>
      </c>
      <c r="J61" s="93">
        <f t="shared" si="40"/>
        <v>4.4098660757298389E-2</v>
      </c>
      <c r="K61" s="93">
        <f t="shared" si="40"/>
        <v>4.9460908501738052E-2</v>
      </c>
      <c r="L61" s="93">
        <f t="shared" si="40"/>
        <v>5.0059701492537322E-2</v>
      </c>
      <c r="M61" s="291">
        <f t="shared" si="40"/>
        <v>4.9521182471115067E-2</v>
      </c>
      <c r="N61" s="291">
        <f t="shared" si="40"/>
        <v>4.9056792095019459E-2</v>
      </c>
      <c r="O61" s="93">
        <f t="shared" si="40"/>
        <v>5.0166397261576727E-2</v>
      </c>
      <c r="P61" s="93">
        <f t="shared" si="40"/>
        <v>5.1079918710713865E-2</v>
      </c>
      <c r="Q61" s="291">
        <f t="shared" si="40"/>
        <v>5.2819492789656891E-2</v>
      </c>
      <c r="R61" s="291">
        <f t="shared" si="40"/>
        <v>4.4731588885891557E-2</v>
      </c>
      <c r="S61" s="93">
        <f t="shared" si="40"/>
        <v>5.0862179899626811E-2</v>
      </c>
      <c r="T61" s="291">
        <f t="shared" si="40"/>
        <v>4.5525194284281485E-2</v>
      </c>
      <c r="U61" s="291">
        <f t="shared" si="40"/>
        <v>5.0401113836770213E-2</v>
      </c>
      <c r="V61" s="93">
        <f t="shared" si="40"/>
        <v>5.0066332122051103E-2</v>
      </c>
      <c r="W61" s="93">
        <f t="shared" si="40"/>
        <v>4.8176810466125798E-2</v>
      </c>
      <c r="X61" s="93">
        <f t="shared" si="40"/>
        <v>4.7278456982307294E-2</v>
      </c>
      <c r="Y61" s="93">
        <f t="shared" si="40"/>
        <v>4.9434284017205732E-2</v>
      </c>
      <c r="Z61" s="291">
        <f t="shared" si="40"/>
        <v>5.1609528408176814E-2</v>
      </c>
      <c r="AA61" s="93">
        <f t="shared" si="40"/>
        <v>5.2722466693428054E-2</v>
      </c>
      <c r="AB61" s="93">
        <f t="shared" si="40"/>
        <v>5.4653276971821381E-2</v>
      </c>
      <c r="AC61" s="93">
        <f t="shared" si="40"/>
        <v>5.1936800346549329E-2</v>
      </c>
      <c r="AD61" s="104">
        <f t="shared" si="40"/>
        <v>4.7373647703164261E-2</v>
      </c>
      <c r="AE61" s="308">
        <f t="shared" si="40"/>
        <v>4.8393530733216228E-2</v>
      </c>
      <c r="AF61" s="291">
        <f t="shared" si="40"/>
        <v>4.9074721200887295E-2</v>
      </c>
      <c r="AG61" s="93">
        <f t="shared" si="40"/>
        <v>4.7894770778257788E-2</v>
      </c>
      <c r="AH61" s="104">
        <f t="shared" si="40"/>
        <v>4.8306229809531975E-2</v>
      </c>
      <c r="AI61" s="93">
        <f t="shared" ref="AI61" si="41">AI60/(AI23+AI24)*100</f>
        <v>4.9294496031540506E-2</v>
      </c>
      <c r="AJ61" s="93">
        <f t="shared" si="40"/>
        <v>4.7638674968002254E-2</v>
      </c>
      <c r="AK61" s="2"/>
      <c r="AL61" s="131">
        <f>AL60/(AL23)*100</f>
        <v>4.9905966394410535E-2</v>
      </c>
      <c r="AN61" s="15">
        <f>AL61*10</f>
        <v>0.49905966394410534</v>
      </c>
    </row>
    <row r="62" spans="2:64 15093:15106" s="4" customFormat="1" ht="13.8">
      <c r="B62" s="94">
        <v>4</v>
      </c>
      <c r="C62" s="208" t="s">
        <v>59</v>
      </c>
      <c r="D62" s="95">
        <v>0.8</v>
      </c>
      <c r="E62" s="209" t="s">
        <v>12</v>
      </c>
      <c r="F62" s="96" t="e">
        <f t="shared" ref="F62:AJ62" si="42">((SUM(F29:F30))-(SUM(F23:F24)))/(SUM(F23:F24))*100</f>
        <v>#DIV/0!</v>
      </c>
      <c r="G62" s="96" t="e">
        <f t="shared" si="42"/>
        <v>#DIV/0!</v>
      </c>
      <c r="H62" s="96" t="e">
        <f t="shared" si="42"/>
        <v>#DIV/0!</v>
      </c>
      <c r="I62" s="292">
        <f t="shared" si="42"/>
        <v>-1.5778223194855754</v>
      </c>
      <c r="J62" s="96">
        <f t="shared" si="42"/>
        <v>-0.62000192696792722</v>
      </c>
      <c r="K62" s="96">
        <f>((SUM(K29:K30))-(SUM(K23:K24)))/(SUM(K23:K24))*100</f>
        <v>-0.67342249455016789</v>
      </c>
      <c r="L62" s="96">
        <f t="shared" si="42"/>
        <v>-0.65820895522339407</v>
      </c>
      <c r="M62" s="292">
        <f t="shared" si="42"/>
        <v>-0.80045799937493844</v>
      </c>
      <c r="N62" s="292">
        <f t="shared" si="42"/>
        <v>-0.75356822038127558</v>
      </c>
      <c r="O62" s="96">
        <f t="shared" si="42"/>
        <v>-0.68936008367406587</v>
      </c>
      <c r="P62" s="96">
        <f t="shared" si="42"/>
        <v>-0.69001370575217047</v>
      </c>
      <c r="Q62" s="292">
        <f t="shared" si="42"/>
        <v>-0.64644455494728936</v>
      </c>
      <c r="R62" s="292">
        <f t="shared" si="42"/>
        <v>-0.72511464796331271</v>
      </c>
      <c r="S62" s="96">
        <f t="shared" si="42"/>
        <v>-0.71097670827499759</v>
      </c>
      <c r="T62" s="292">
        <f t="shared" si="42"/>
        <v>-0.68939583855729425</v>
      </c>
      <c r="U62" s="292">
        <f t="shared" si="42"/>
        <v>-0.68288801962408385</v>
      </c>
      <c r="V62" s="96">
        <f t="shared" si="42"/>
        <v>-0.66268033044288932</v>
      </c>
      <c r="W62" s="96">
        <f t="shared" si="42"/>
        <v>-0.64140945424063711</v>
      </c>
      <c r="X62" s="96">
        <f t="shared" si="42"/>
        <v>-0.62191510365255731</v>
      </c>
      <c r="Y62" s="96">
        <f t="shared" si="42"/>
        <v>-0.63804715417548419</v>
      </c>
      <c r="Z62" s="292">
        <f t="shared" si="42"/>
        <v>-0.68565910188236678</v>
      </c>
      <c r="AA62" s="96">
        <f t="shared" si="42"/>
        <v>-0.76042747536563382</v>
      </c>
      <c r="AB62" s="96">
        <f t="shared" si="42"/>
        <v>-0.77330857927564889</v>
      </c>
      <c r="AC62" s="96">
        <f t="shared" si="42"/>
        <v>-0.77745605435428677</v>
      </c>
      <c r="AD62" s="96">
        <f>((SUM(AD29:AD30))-(SUM(AD23:AD24)))/(SUM(AD23:AD24))*100</f>
        <v>-0.7447977009080522</v>
      </c>
      <c r="AE62" s="292">
        <f t="shared" si="42"/>
        <v>-0.76561854840329502</v>
      </c>
      <c r="AF62" s="292">
        <f t="shared" si="42"/>
        <v>-0.60089944999927658</v>
      </c>
      <c r="AG62" s="96">
        <f t="shared" si="42"/>
        <v>-0.60352053646202353</v>
      </c>
      <c r="AH62" s="96">
        <f>((SUM(AH29:AH30))-(SUM(AH23:AH24)))/(SUM(AH23:AH24))*100</f>
        <v>-0.60357066920964608</v>
      </c>
      <c r="AI62" s="96">
        <f t="shared" ref="AI62" si="43">((SUM(AI29:AI30))-(SUM(AI23:AI24)))/(SUM(AI23:AI24))*100</f>
        <v>-0.60564403174769754</v>
      </c>
      <c r="AJ62" s="96">
        <f t="shared" si="42"/>
        <v>-0.60307612208966754</v>
      </c>
      <c r="AK62" s="132"/>
      <c r="AL62" s="133">
        <f>((SUM(AL29:AL30))-(SUM(AL23:AL24)))/(SUM(AL23:AL24))*100</f>
        <v>-0.69307364376654357</v>
      </c>
      <c r="AN62" s="134"/>
    </row>
    <row r="63" spans="2:64 15093:15106" s="4" customFormat="1" ht="13.8">
      <c r="B63" s="75"/>
      <c r="C63" s="201" t="s">
        <v>60</v>
      </c>
      <c r="D63" s="97">
        <v>22</v>
      </c>
      <c r="E63" s="202" t="s">
        <v>12</v>
      </c>
      <c r="F63" s="84">
        <v>0</v>
      </c>
      <c r="G63" s="84">
        <v>0</v>
      </c>
      <c r="H63" s="84">
        <v>0</v>
      </c>
      <c r="I63" s="288">
        <v>21.33</v>
      </c>
      <c r="J63" s="84">
        <v>21.36</v>
      </c>
      <c r="K63" s="84">
        <v>21.35</v>
      </c>
      <c r="L63" s="84">
        <v>21.37</v>
      </c>
      <c r="M63" s="288">
        <v>21.36</v>
      </c>
      <c r="N63" s="288">
        <v>21.34</v>
      </c>
      <c r="O63" s="84">
        <v>21.28</v>
      </c>
      <c r="P63" s="84">
        <v>21.3</v>
      </c>
      <c r="Q63" s="288">
        <v>21.29</v>
      </c>
      <c r="R63" s="288">
        <v>21.28</v>
      </c>
      <c r="S63" s="84">
        <v>21.31</v>
      </c>
      <c r="T63" s="288">
        <v>21.28</v>
      </c>
      <c r="U63" s="288">
        <v>21.31</v>
      </c>
      <c r="V63" s="84">
        <v>21.32</v>
      </c>
      <c r="W63" s="84">
        <v>21.31</v>
      </c>
      <c r="X63" s="84">
        <v>21.33</v>
      </c>
      <c r="Y63" s="84">
        <v>21.34</v>
      </c>
      <c r="Z63" s="288">
        <v>21.31</v>
      </c>
      <c r="AA63" s="84">
        <v>21.33</v>
      </c>
      <c r="AB63" s="84">
        <v>21.33</v>
      </c>
      <c r="AC63" s="84">
        <v>21.36</v>
      </c>
      <c r="AD63" s="84">
        <v>21.34</v>
      </c>
      <c r="AE63" s="288">
        <v>21.36</v>
      </c>
      <c r="AF63" s="288">
        <v>21.35</v>
      </c>
      <c r="AG63" s="84">
        <v>21.36</v>
      </c>
      <c r="AH63" s="84">
        <v>21.34</v>
      </c>
      <c r="AI63" s="84">
        <v>21.36</v>
      </c>
      <c r="AJ63" s="84">
        <v>21.37</v>
      </c>
      <c r="AK63" s="119"/>
      <c r="AL63" s="135">
        <f>AVERAGE(I63:AJ63)</f>
        <v>21.331071428571427</v>
      </c>
      <c r="AN63" s="134"/>
    </row>
    <row r="64" spans="2:64 15093:15106" s="4" customFormat="1" ht="13.8">
      <c r="B64" s="98"/>
      <c r="C64" s="210" t="s">
        <v>61</v>
      </c>
      <c r="D64" s="74"/>
      <c r="E64" s="211" t="s">
        <v>9</v>
      </c>
      <c r="F64" s="84">
        <f t="shared" ref="F64:AJ64" si="44">SUM(F56,F58)+(F63%*SUM(F56,F58))</f>
        <v>0</v>
      </c>
      <c r="G64" s="84">
        <f t="shared" si="44"/>
        <v>0</v>
      </c>
      <c r="H64" s="84">
        <f t="shared" si="44"/>
        <v>2460</v>
      </c>
      <c r="I64" s="288">
        <f t="shared" si="44"/>
        <v>18257.738399999998</v>
      </c>
      <c r="J64" s="84">
        <f>SUM(J56,J58)+(J63%*SUM(J56,J58))</f>
        <v>19957.651999999998</v>
      </c>
      <c r="K64" s="84">
        <f t="shared" si="44"/>
        <v>15586.194</v>
      </c>
      <c r="L64" s="84">
        <f t="shared" si="44"/>
        <v>17940.913400000001</v>
      </c>
      <c r="M64" s="288">
        <f t="shared" si="44"/>
        <v>16937.0016</v>
      </c>
      <c r="N64" s="288">
        <f t="shared" si="44"/>
        <v>25301.816800000001</v>
      </c>
      <c r="O64" s="84">
        <f t="shared" si="44"/>
        <v>21453.2192</v>
      </c>
      <c r="P64" s="84">
        <f t="shared" si="44"/>
        <v>19756.131000000001</v>
      </c>
      <c r="Q64" s="288">
        <f t="shared" si="44"/>
        <v>19877.0052</v>
      </c>
      <c r="R64" s="288">
        <f t="shared" si="44"/>
        <v>15062.976000000001</v>
      </c>
      <c r="S64" s="84">
        <f t="shared" si="44"/>
        <v>15289.912399999999</v>
      </c>
      <c r="T64" s="288">
        <f t="shared" si="44"/>
        <v>14484.4704</v>
      </c>
      <c r="U64" s="288">
        <f t="shared" si="44"/>
        <v>24642.913399999998</v>
      </c>
      <c r="V64" s="84">
        <f t="shared" si="44"/>
        <v>21388.716</v>
      </c>
      <c r="W64" s="84">
        <f t="shared" si="44"/>
        <v>13043.251199999999</v>
      </c>
      <c r="X64" s="84">
        <f t="shared" si="44"/>
        <v>12385.366399999999</v>
      </c>
      <c r="Y64" s="84">
        <f>SUM(Y56,Y58)+(Y63%*SUM(Y56,Y58))</f>
        <v>9107.7803999999996</v>
      </c>
      <c r="Z64" s="288">
        <f t="shared" si="44"/>
        <v>11723.3984</v>
      </c>
      <c r="AA64" s="84">
        <f t="shared" si="44"/>
        <v>19182.273000000001</v>
      </c>
      <c r="AB64" s="84">
        <f t="shared" si="44"/>
        <v>19388.534</v>
      </c>
      <c r="AC64" s="84">
        <f t="shared" si="44"/>
        <v>14979.4648</v>
      </c>
      <c r="AD64" s="84">
        <f t="shared" si="44"/>
        <v>10623.316999999999</v>
      </c>
      <c r="AE64" s="288">
        <f t="shared" si="44"/>
        <v>11491.5784</v>
      </c>
      <c r="AF64" s="288">
        <f t="shared" si="44"/>
        <v>9674.0220000000008</v>
      </c>
      <c r="AG64" s="84">
        <f t="shared" si="44"/>
        <v>15390.8752</v>
      </c>
      <c r="AH64" s="84">
        <f t="shared" si="44"/>
        <v>22733.048999999999</v>
      </c>
      <c r="AI64" s="84">
        <f t="shared" ref="AI64" si="45">SUM(AI56,AI58)+(AI63%*SUM(AI56,AI58))</f>
        <v>23364.227200000001</v>
      </c>
      <c r="AJ64" s="84">
        <f t="shared" si="44"/>
        <v>21870.874</v>
      </c>
      <c r="AK64" s="119"/>
      <c r="AL64" s="135">
        <f>SUM(AL56,AL58)+(AL63%*SUM(AL56,AL58))</f>
        <v>483880.4459642857</v>
      </c>
      <c r="AM64" s="240"/>
      <c r="AN64" s="134"/>
    </row>
    <row r="65" spans="2:81" hidden="1">
      <c r="B65" s="54">
        <v>5</v>
      </c>
      <c r="C65" s="36" t="s">
        <v>62</v>
      </c>
      <c r="D65" s="55"/>
      <c r="E65" s="55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101"/>
      <c r="AD65" s="56"/>
      <c r="AE65" s="56"/>
      <c r="AF65" s="56"/>
      <c r="AG65" s="56"/>
      <c r="AH65" s="101"/>
      <c r="AI65" s="101"/>
      <c r="AJ65" s="101"/>
      <c r="AK65" s="105"/>
      <c r="AL65" s="200" t="s">
        <v>63</v>
      </c>
    </row>
    <row r="66" spans="2:81" s="5" customFormat="1" ht="13.8" hidden="1">
      <c r="B66" s="57"/>
      <c r="C66" s="137" t="s">
        <v>64</v>
      </c>
      <c r="D66" s="138"/>
      <c r="E66" s="139" t="s">
        <v>9</v>
      </c>
      <c r="F66" s="140">
        <v>0</v>
      </c>
      <c r="G66" s="140">
        <v>0</v>
      </c>
      <c r="H66" s="140">
        <v>98005</v>
      </c>
      <c r="I66" s="293">
        <v>115062</v>
      </c>
      <c r="J66" s="140">
        <v>113938</v>
      </c>
      <c r="K66" s="140">
        <v>118467</v>
      </c>
      <c r="L66" s="140">
        <v>98715</v>
      </c>
      <c r="M66" s="293">
        <v>135626</v>
      </c>
      <c r="N66" s="293">
        <v>76047</v>
      </c>
      <c r="O66" s="140"/>
      <c r="P66" s="140">
        <v>114028</v>
      </c>
      <c r="Q66" s="293">
        <v>87114</v>
      </c>
      <c r="R66" s="293">
        <v>130666</v>
      </c>
      <c r="S66" s="140">
        <v>103605</v>
      </c>
      <c r="T66" s="293">
        <v>52746</v>
      </c>
      <c r="U66" s="293">
        <v>45335</v>
      </c>
      <c r="V66" s="140">
        <v>95256</v>
      </c>
      <c r="W66" s="140">
        <v>123360</v>
      </c>
      <c r="X66" s="140">
        <v>102834</v>
      </c>
      <c r="Y66" s="140">
        <v>122993</v>
      </c>
      <c r="Z66" s="293">
        <v>102734</v>
      </c>
      <c r="AA66" s="140">
        <v>101901</v>
      </c>
      <c r="AB66" s="140">
        <v>88060</v>
      </c>
      <c r="AC66" s="140">
        <v>74744</v>
      </c>
      <c r="AD66" s="140">
        <v>108463</v>
      </c>
      <c r="AE66" s="293">
        <v>119968</v>
      </c>
      <c r="AF66" s="293">
        <v>128579</v>
      </c>
      <c r="AG66" s="140">
        <v>99584</v>
      </c>
      <c r="AH66" s="140">
        <v>96573</v>
      </c>
      <c r="AI66" s="140">
        <v>95373</v>
      </c>
      <c r="AJ66" s="140">
        <v>84391</v>
      </c>
      <c r="AK66" s="153"/>
      <c r="AL66" s="154">
        <f>SUM(F66:AJ66)</f>
        <v>2834167</v>
      </c>
      <c r="AN66" s="155"/>
      <c r="CC66" s="153"/>
    </row>
    <row r="67" spans="2:81" s="1" customFormat="1" ht="13.8" hidden="1">
      <c r="B67" s="70"/>
      <c r="C67" s="212" t="s">
        <v>65</v>
      </c>
      <c r="D67" s="141"/>
      <c r="E67" s="213" t="s">
        <v>9</v>
      </c>
      <c r="F67" s="246">
        <v>0</v>
      </c>
      <c r="G67" s="230">
        <v>0</v>
      </c>
      <c r="H67" s="232">
        <v>91763.385000000009</v>
      </c>
      <c r="I67" s="286">
        <v>115667.155</v>
      </c>
      <c r="J67" s="232">
        <v>115678.015</v>
      </c>
      <c r="K67" s="68">
        <v>112810.97500000001</v>
      </c>
      <c r="L67" s="68">
        <v>0</v>
      </c>
      <c r="M67" s="286">
        <v>76829.974999999991</v>
      </c>
      <c r="N67" s="305">
        <v>51056.479999999996</v>
      </c>
      <c r="O67" s="231">
        <v>77123.194999999992</v>
      </c>
      <c r="P67" s="68">
        <v>115687.965</v>
      </c>
      <c r="Q67" s="286">
        <v>115699.735</v>
      </c>
      <c r="R67" s="286">
        <v>115080.715</v>
      </c>
      <c r="S67" s="232">
        <v>0</v>
      </c>
      <c r="T67" s="286">
        <v>77111.429999999993</v>
      </c>
      <c r="U67" s="286">
        <v>0</v>
      </c>
      <c r="V67" s="68">
        <v>115710.595</v>
      </c>
      <c r="W67" s="68">
        <v>115667.155</v>
      </c>
      <c r="X67" s="68">
        <v>114982.97500000001</v>
      </c>
      <c r="Y67" s="68">
        <v>115353.125</v>
      </c>
      <c r="Z67" s="286">
        <v>111616.375</v>
      </c>
      <c r="AA67" s="68">
        <v>77122.289999999994</v>
      </c>
      <c r="AB67" s="230">
        <v>76590.154999999999</v>
      </c>
      <c r="AC67" s="68">
        <v>102731.985</v>
      </c>
      <c r="AD67" s="68">
        <v>115678.015</v>
      </c>
      <c r="AE67" s="286">
        <v>115688.875</v>
      </c>
      <c r="AF67" s="286">
        <v>113495.155</v>
      </c>
      <c r="AG67" s="68">
        <v>0</v>
      </c>
      <c r="AH67" s="68">
        <v>77122.289999999994</v>
      </c>
      <c r="AI67" s="230">
        <v>48870</v>
      </c>
      <c r="AJ67" s="230">
        <v>115373.92499999999</v>
      </c>
      <c r="AK67" s="156"/>
      <c r="AL67" s="154">
        <f>SUM(F67:AJ67)</f>
        <v>2480511.94</v>
      </c>
      <c r="AM67" s="237"/>
      <c r="AN67" s="116"/>
    </row>
    <row r="68" spans="2:81" s="1" customFormat="1" hidden="1">
      <c r="B68" s="70"/>
      <c r="C68" s="214" t="s">
        <v>66</v>
      </c>
      <c r="D68" s="74"/>
      <c r="E68" s="203" t="s">
        <v>9</v>
      </c>
      <c r="F68" s="84">
        <f t="shared" ref="F68:AJ68" si="46">SUM(F72:F73)*10.86</f>
        <v>0</v>
      </c>
      <c r="G68" s="84">
        <f t="shared" si="46"/>
        <v>0</v>
      </c>
      <c r="H68" s="84">
        <f t="shared" si="46"/>
        <v>91756.14</v>
      </c>
      <c r="I68" s="288">
        <f t="shared" si="46"/>
        <v>115659</v>
      </c>
      <c r="J68" s="84">
        <f t="shared" si="46"/>
        <v>115669.86</v>
      </c>
      <c r="K68" s="84">
        <f t="shared" si="46"/>
        <v>112802.81999999999</v>
      </c>
      <c r="L68" s="84">
        <f t="shared" si="46"/>
        <v>0</v>
      </c>
      <c r="M68" s="288">
        <f t="shared" si="46"/>
        <v>76823.64</v>
      </c>
      <c r="N68" s="288">
        <f t="shared" si="46"/>
        <v>51052.86</v>
      </c>
      <c r="O68" s="84">
        <f t="shared" si="46"/>
        <v>77116.86</v>
      </c>
      <c r="P68" s="84">
        <f t="shared" si="46"/>
        <v>115680.72</v>
      </c>
      <c r="Q68" s="288">
        <f t="shared" si="46"/>
        <v>115691.57999999999</v>
      </c>
      <c r="R68" s="288">
        <f t="shared" si="46"/>
        <v>115072.56</v>
      </c>
      <c r="S68" s="84">
        <f t="shared" si="46"/>
        <v>0</v>
      </c>
      <c r="T68" s="288">
        <f t="shared" si="46"/>
        <v>77106</v>
      </c>
      <c r="U68" s="288">
        <f t="shared" si="46"/>
        <v>0</v>
      </c>
      <c r="V68" s="84">
        <f t="shared" si="46"/>
        <v>115702.43999999999</v>
      </c>
      <c r="W68" s="84">
        <f t="shared" si="46"/>
        <v>115659</v>
      </c>
      <c r="X68" s="84">
        <f t="shared" si="46"/>
        <v>114974.81999999999</v>
      </c>
      <c r="Y68" s="84">
        <f t="shared" si="46"/>
        <v>115344.06</v>
      </c>
      <c r="Z68" s="288">
        <f t="shared" si="46"/>
        <v>111608.22</v>
      </c>
      <c r="AA68" s="84">
        <f t="shared" si="46"/>
        <v>77116.86</v>
      </c>
      <c r="AB68" s="84">
        <f t="shared" si="46"/>
        <v>76584.72</v>
      </c>
      <c r="AC68" s="84">
        <f t="shared" si="46"/>
        <v>102724.73999999999</v>
      </c>
      <c r="AD68" s="84">
        <f t="shared" si="46"/>
        <v>115669.86</v>
      </c>
      <c r="AE68" s="288">
        <f t="shared" si="46"/>
        <v>115680.72</v>
      </c>
      <c r="AF68" s="309">
        <f t="shared" si="46"/>
        <v>113487</v>
      </c>
      <c r="AG68" s="84">
        <f t="shared" si="46"/>
        <v>0</v>
      </c>
      <c r="AH68" s="84">
        <f t="shared" si="46"/>
        <v>77116.86</v>
      </c>
      <c r="AI68" s="84">
        <f>SUM(AI72:AI73)*10.86</f>
        <v>48870</v>
      </c>
      <c r="AJ68" s="84">
        <f t="shared" si="46"/>
        <v>115365.78</v>
      </c>
      <c r="AK68" s="115"/>
      <c r="AL68" s="117">
        <f>SUM(F68:AJ68)</f>
        <v>2480337.12</v>
      </c>
      <c r="AM68" s="16"/>
      <c r="AN68" s="116"/>
    </row>
    <row r="69" spans="2:81" s="1" customFormat="1" hidden="1">
      <c r="B69" s="70"/>
      <c r="C69" s="214" t="s">
        <v>67</v>
      </c>
      <c r="D69" s="74"/>
      <c r="E69" s="203" t="s">
        <v>9</v>
      </c>
      <c r="F69" s="84">
        <f>F67-F68</f>
        <v>0</v>
      </c>
      <c r="G69" s="84">
        <f t="shared" ref="G69:AJ69" si="47">G67-G68</f>
        <v>0</v>
      </c>
      <c r="H69" s="84">
        <f t="shared" si="47"/>
        <v>7.2450000000098953</v>
      </c>
      <c r="I69" s="288">
        <f t="shared" si="47"/>
        <v>8.1549999999988358</v>
      </c>
      <c r="J69" s="84">
        <f t="shared" si="47"/>
        <v>8.1549999999988358</v>
      </c>
      <c r="K69" s="84">
        <f t="shared" si="47"/>
        <v>8.1550000000133878</v>
      </c>
      <c r="L69" s="84">
        <f t="shared" si="47"/>
        <v>0</v>
      </c>
      <c r="M69" s="288">
        <f t="shared" si="47"/>
        <v>6.3349999999918509</v>
      </c>
      <c r="N69" s="288">
        <f t="shared" si="47"/>
        <v>3.6199999999953434</v>
      </c>
      <c r="O69" s="84">
        <f t="shared" si="47"/>
        <v>6.3349999999918509</v>
      </c>
      <c r="P69" s="84">
        <f t="shared" si="47"/>
        <v>7.2449999999953434</v>
      </c>
      <c r="Q69" s="288">
        <f t="shared" si="47"/>
        <v>8.1550000000133878</v>
      </c>
      <c r="R69" s="288">
        <f t="shared" si="47"/>
        <v>8.1549999999988358</v>
      </c>
      <c r="S69" s="84">
        <f t="shared" si="47"/>
        <v>0</v>
      </c>
      <c r="T69" s="288">
        <f t="shared" si="47"/>
        <v>5.4299999999930151</v>
      </c>
      <c r="U69" s="288">
        <f t="shared" si="47"/>
        <v>0</v>
      </c>
      <c r="V69" s="84">
        <f t="shared" si="47"/>
        <v>8.1550000000133878</v>
      </c>
      <c r="W69" s="84">
        <f t="shared" si="47"/>
        <v>8.1549999999988358</v>
      </c>
      <c r="X69" s="84">
        <f t="shared" si="47"/>
        <v>8.1550000000133878</v>
      </c>
      <c r="Y69" s="84">
        <f t="shared" si="47"/>
        <v>9.0650000000023283</v>
      </c>
      <c r="Z69" s="288">
        <f t="shared" si="47"/>
        <v>8.1549999999988358</v>
      </c>
      <c r="AA69" s="84">
        <f t="shared" si="47"/>
        <v>5.4299999999930151</v>
      </c>
      <c r="AB69" s="84">
        <f t="shared" si="47"/>
        <v>5.4349999999976717</v>
      </c>
      <c r="AC69" s="84">
        <f t="shared" si="47"/>
        <v>7.2450000000098953</v>
      </c>
      <c r="AD69" s="84">
        <f t="shared" si="47"/>
        <v>8.1549999999988358</v>
      </c>
      <c r="AE69" s="288">
        <f t="shared" si="47"/>
        <v>8.1549999999988358</v>
      </c>
      <c r="AF69" s="288">
        <f t="shared" si="47"/>
        <v>8.1549999999988358</v>
      </c>
      <c r="AG69" s="84">
        <f t="shared" si="47"/>
        <v>0</v>
      </c>
      <c r="AH69" s="84">
        <f t="shared" si="47"/>
        <v>5.4299999999930151</v>
      </c>
      <c r="AI69" s="84">
        <f t="shared" ref="AI69" si="48">AI67-AI68</f>
        <v>0</v>
      </c>
      <c r="AJ69" s="84">
        <f t="shared" si="47"/>
        <v>8.1449999999895226</v>
      </c>
      <c r="AK69" s="115"/>
      <c r="AL69" s="117">
        <f>SUM(F69:AJ69)</f>
        <v>174.82000000000698</v>
      </c>
      <c r="AN69" s="116"/>
    </row>
    <row r="70" spans="2:81" s="1" customFormat="1" hidden="1">
      <c r="B70" s="70"/>
      <c r="C70" s="214" t="s">
        <v>139</v>
      </c>
      <c r="D70" s="74"/>
      <c r="E70" s="70" t="s">
        <v>9</v>
      </c>
      <c r="F70" s="84">
        <v>0</v>
      </c>
      <c r="G70" s="84">
        <v>102.26</v>
      </c>
      <c r="H70" s="84">
        <v>0</v>
      </c>
      <c r="I70" s="288">
        <v>0</v>
      </c>
      <c r="J70" s="84">
        <v>0</v>
      </c>
      <c r="K70" s="84">
        <v>0</v>
      </c>
      <c r="L70" s="84">
        <v>0</v>
      </c>
      <c r="M70" s="288">
        <v>0</v>
      </c>
      <c r="N70" s="288">
        <v>0</v>
      </c>
      <c r="O70" s="84">
        <v>0</v>
      </c>
      <c r="P70" s="84">
        <v>0</v>
      </c>
      <c r="Q70" s="288">
        <v>0</v>
      </c>
      <c r="R70" s="288">
        <v>0</v>
      </c>
      <c r="S70" s="84">
        <v>6.56</v>
      </c>
      <c r="T70" s="288">
        <v>0</v>
      </c>
      <c r="U70" s="288">
        <v>0</v>
      </c>
      <c r="V70" s="84">
        <v>0</v>
      </c>
      <c r="W70" s="84">
        <v>0</v>
      </c>
      <c r="X70" s="84">
        <v>0</v>
      </c>
      <c r="Y70" s="84">
        <v>0</v>
      </c>
      <c r="Z70" s="288">
        <v>0</v>
      </c>
      <c r="AA70" s="84">
        <v>0</v>
      </c>
      <c r="AB70" s="84">
        <v>0</v>
      </c>
      <c r="AC70" s="84">
        <v>0</v>
      </c>
      <c r="AD70" s="84">
        <v>0</v>
      </c>
      <c r="AE70" s="288">
        <v>460</v>
      </c>
      <c r="AF70" s="288">
        <v>0</v>
      </c>
      <c r="AG70" s="84">
        <v>0</v>
      </c>
      <c r="AH70" s="84">
        <v>0</v>
      </c>
      <c r="AI70" s="84">
        <v>0</v>
      </c>
      <c r="AJ70" s="84">
        <v>0</v>
      </c>
      <c r="AK70" s="115"/>
      <c r="AL70" s="117">
        <f>SUM(F70:AJ70)</f>
        <v>568.82000000000005</v>
      </c>
      <c r="AN70" s="116"/>
    </row>
    <row r="71" spans="2:81" s="1" customFormat="1" hidden="1">
      <c r="B71" s="70"/>
      <c r="C71" s="214" t="s">
        <v>68</v>
      </c>
      <c r="D71" s="74"/>
      <c r="E71" s="70"/>
      <c r="F71" s="60"/>
      <c r="G71" s="60"/>
      <c r="H71" s="60"/>
      <c r="I71" s="285"/>
      <c r="J71" s="60"/>
      <c r="K71" s="60"/>
      <c r="L71" s="60"/>
      <c r="M71" s="285"/>
      <c r="N71" s="285"/>
      <c r="O71" s="60"/>
      <c r="P71" s="60"/>
      <c r="Q71" s="285"/>
      <c r="R71" s="285"/>
      <c r="S71" s="60"/>
      <c r="T71" s="285"/>
      <c r="U71" s="285"/>
      <c r="V71" s="60"/>
      <c r="W71" s="60"/>
      <c r="X71" s="60"/>
      <c r="Y71" s="60"/>
      <c r="Z71" s="285"/>
      <c r="AA71" s="60"/>
      <c r="AB71" s="60"/>
      <c r="AC71" s="60"/>
      <c r="AD71" s="60"/>
      <c r="AE71" s="285"/>
      <c r="AF71" s="285"/>
      <c r="AG71" s="60"/>
      <c r="AH71" s="60"/>
      <c r="AI71" s="60"/>
      <c r="AJ71" s="60"/>
      <c r="AK71" s="115"/>
      <c r="AL71" s="120" t="s">
        <v>68</v>
      </c>
      <c r="AN71" s="116"/>
    </row>
    <row r="72" spans="2:81" s="6" customFormat="1" ht="13.8" hidden="1">
      <c r="B72" s="42"/>
      <c r="C72" s="215" t="s">
        <v>69</v>
      </c>
      <c r="D72" s="41"/>
      <c r="E72" s="216" t="s">
        <v>70</v>
      </c>
      <c r="F72" s="143">
        <v>0</v>
      </c>
      <c r="G72" s="143">
        <v>0</v>
      </c>
      <c r="H72" s="143">
        <v>2816</v>
      </c>
      <c r="I72" s="294">
        <v>3550</v>
      </c>
      <c r="J72" s="143">
        <v>3551</v>
      </c>
      <c r="K72" s="143">
        <v>3552</v>
      </c>
      <c r="L72" s="143">
        <v>0</v>
      </c>
      <c r="M72" s="294">
        <v>7074</v>
      </c>
      <c r="N72" s="294">
        <v>4701</v>
      </c>
      <c r="O72" s="143">
        <v>7101</v>
      </c>
      <c r="P72" s="143">
        <v>3550</v>
      </c>
      <c r="Q72" s="294">
        <v>3550</v>
      </c>
      <c r="R72" s="294">
        <v>3491</v>
      </c>
      <c r="S72" s="143">
        <v>0</v>
      </c>
      <c r="T72" s="294">
        <v>7100</v>
      </c>
      <c r="U72" s="294">
        <v>0</v>
      </c>
      <c r="V72" s="143">
        <v>3550</v>
      </c>
      <c r="W72" s="143">
        <v>3550</v>
      </c>
      <c r="X72" s="143">
        <v>3487</v>
      </c>
      <c r="Y72" s="143">
        <v>3521</v>
      </c>
      <c r="Z72" s="294">
        <v>3426</v>
      </c>
      <c r="AA72" s="143">
        <v>7101</v>
      </c>
      <c r="AB72" s="143">
        <v>2350</v>
      </c>
      <c r="AC72" s="143">
        <v>3550</v>
      </c>
      <c r="AD72" s="143">
        <v>3550</v>
      </c>
      <c r="AE72" s="294">
        <v>3550</v>
      </c>
      <c r="AF72" s="294">
        <v>3550</v>
      </c>
      <c r="AG72" s="143">
        <v>0</v>
      </c>
      <c r="AH72" s="143">
        <v>7101</v>
      </c>
      <c r="AI72" s="143">
        <v>0</v>
      </c>
      <c r="AJ72" s="143">
        <v>3521</v>
      </c>
      <c r="AK72" s="122"/>
      <c r="AL72" s="114">
        <f>SUM(F72:AJ72)</f>
        <v>101843</v>
      </c>
      <c r="AN72" s="157"/>
    </row>
    <row r="73" spans="2:81" s="6" customFormat="1" ht="13.8" hidden="1">
      <c r="B73" s="42"/>
      <c r="C73" s="215" t="s">
        <v>71</v>
      </c>
      <c r="D73" s="41"/>
      <c r="E73" s="216" t="s">
        <v>70</v>
      </c>
      <c r="F73" s="143">
        <v>0</v>
      </c>
      <c r="G73" s="143">
        <v>0</v>
      </c>
      <c r="H73" s="143">
        <v>5633</v>
      </c>
      <c r="I73" s="294">
        <v>7100</v>
      </c>
      <c r="J73" s="143">
        <v>7100</v>
      </c>
      <c r="K73" s="143">
        <v>6835</v>
      </c>
      <c r="L73" s="143">
        <v>0</v>
      </c>
      <c r="M73" s="294">
        <v>0</v>
      </c>
      <c r="N73" s="294">
        <v>0</v>
      </c>
      <c r="O73" s="143">
        <v>0</v>
      </c>
      <c r="P73" s="143">
        <v>7102</v>
      </c>
      <c r="Q73" s="294">
        <v>7103</v>
      </c>
      <c r="R73" s="294">
        <v>7105</v>
      </c>
      <c r="S73" s="143">
        <v>0</v>
      </c>
      <c r="T73" s="294">
        <v>0</v>
      </c>
      <c r="U73" s="294">
        <v>0</v>
      </c>
      <c r="V73" s="143">
        <v>7104</v>
      </c>
      <c r="W73" s="143">
        <v>7100</v>
      </c>
      <c r="X73" s="143">
        <v>7100</v>
      </c>
      <c r="Y73" s="143">
        <v>7100</v>
      </c>
      <c r="Z73" s="294">
        <v>6851</v>
      </c>
      <c r="AA73" s="143">
        <v>0</v>
      </c>
      <c r="AB73" s="143">
        <v>4702</v>
      </c>
      <c r="AC73" s="143">
        <v>5909</v>
      </c>
      <c r="AD73" s="143">
        <v>7101</v>
      </c>
      <c r="AE73" s="294">
        <v>7102</v>
      </c>
      <c r="AF73" s="294">
        <v>6900</v>
      </c>
      <c r="AG73" s="143">
        <v>0</v>
      </c>
      <c r="AH73" s="143">
        <v>0</v>
      </c>
      <c r="AI73" s="143">
        <v>4500</v>
      </c>
      <c r="AJ73" s="143">
        <v>7102</v>
      </c>
      <c r="AK73" s="122"/>
      <c r="AL73" s="114">
        <f>SUM(F73:AJ73)</f>
        <v>126549</v>
      </c>
      <c r="AN73" s="157"/>
    </row>
    <row r="74" spans="2:81" s="1" customFormat="1" hidden="1">
      <c r="B74" s="70"/>
      <c r="C74" s="214" t="s">
        <v>72</v>
      </c>
      <c r="D74" s="74"/>
      <c r="E74" s="70"/>
      <c r="F74" s="60"/>
      <c r="G74" s="60"/>
      <c r="H74" s="60"/>
      <c r="I74" s="285"/>
      <c r="J74" s="60"/>
      <c r="K74" s="60"/>
      <c r="L74" s="60"/>
      <c r="M74" s="285"/>
      <c r="N74" s="285"/>
      <c r="O74" s="60"/>
      <c r="P74" s="60"/>
      <c r="Q74" s="285"/>
      <c r="R74" s="285"/>
      <c r="S74" s="60"/>
      <c r="T74" s="285"/>
      <c r="U74" s="285"/>
      <c r="V74" s="60"/>
      <c r="W74" s="60"/>
      <c r="X74" s="60"/>
      <c r="Y74" s="60"/>
      <c r="Z74" s="285"/>
      <c r="AA74" s="60"/>
      <c r="AB74" s="60"/>
      <c r="AC74" s="60"/>
      <c r="AD74" s="60"/>
      <c r="AE74" s="285"/>
      <c r="AF74" s="285"/>
      <c r="AG74" s="60"/>
      <c r="AH74" s="60"/>
      <c r="AI74" s="60"/>
      <c r="AJ74" s="60"/>
      <c r="AK74" s="115"/>
      <c r="AL74" s="120" t="s">
        <v>72</v>
      </c>
      <c r="AN74" s="116"/>
    </row>
    <row r="75" spans="2:81" s="1" customFormat="1" ht="13.8" hidden="1">
      <c r="B75" s="70"/>
      <c r="C75" s="196" t="s">
        <v>69</v>
      </c>
      <c r="D75" s="74"/>
      <c r="E75" s="203" t="s">
        <v>72</v>
      </c>
      <c r="F75" s="60">
        <f t="shared" ref="F75:AJ75" si="49">F72*12</f>
        <v>0</v>
      </c>
      <c r="G75" s="60">
        <f t="shared" si="49"/>
        <v>0</v>
      </c>
      <c r="H75" s="60">
        <f t="shared" si="49"/>
        <v>33792</v>
      </c>
      <c r="I75" s="285">
        <f t="shared" si="49"/>
        <v>42600</v>
      </c>
      <c r="J75" s="60">
        <f t="shared" si="49"/>
        <v>42612</v>
      </c>
      <c r="K75" s="60">
        <f t="shared" si="49"/>
        <v>42624</v>
      </c>
      <c r="L75" s="60">
        <f t="shared" si="49"/>
        <v>0</v>
      </c>
      <c r="M75" s="285">
        <f t="shared" si="49"/>
        <v>84888</v>
      </c>
      <c r="N75" s="285">
        <f t="shared" si="49"/>
        <v>56412</v>
      </c>
      <c r="O75" s="60">
        <f t="shared" si="49"/>
        <v>85212</v>
      </c>
      <c r="P75" s="60">
        <f t="shared" si="49"/>
        <v>42600</v>
      </c>
      <c r="Q75" s="285">
        <f t="shared" si="49"/>
        <v>42600</v>
      </c>
      <c r="R75" s="285">
        <f t="shared" si="49"/>
        <v>41892</v>
      </c>
      <c r="S75" s="60">
        <f t="shared" si="49"/>
        <v>0</v>
      </c>
      <c r="T75" s="285">
        <f t="shared" si="49"/>
        <v>85200</v>
      </c>
      <c r="U75" s="285">
        <f t="shared" si="49"/>
        <v>0</v>
      </c>
      <c r="V75" s="60">
        <f t="shared" si="49"/>
        <v>42600</v>
      </c>
      <c r="W75" s="60">
        <f t="shared" si="49"/>
        <v>42600</v>
      </c>
      <c r="X75" s="60">
        <f t="shared" si="49"/>
        <v>41844</v>
      </c>
      <c r="Y75" s="60">
        <f t="shared" si="49"/>
        <v>42252</v>
      </c>
      <c r="Z75" s="285">
        <f t="shared" si="49"/>
        <v>41112</v>
      </c>
      <c r="AA75" s="60">
        <f t="shared" si="49"/>
        <v>85212</v>
      </c>
      <c r="AB75" s="60">
        <f t="shared" si="49"/>
        <v>28200</v>
      </c>
      <c r="AC75" s="60">
        <f t="shared" si="49"/>
        <v>42600</v>
      </c>
      <c r="AD75" s="60">
        <f t="shared" si="49"/>
        <v>42600</v>
      </c>
      <c r="AE75" s="285">
        <f t="shared" si="49"/>
        <v>42600</v>
      </c>
      <c r="AF75" s="285">
        <f t="shared" si="49"/>
        <v>42600</v>
      </c>
      <c r="AG75" s="60">
        <f t="shared" si="49"/>
        <v>0</v>
      </c>
      <c r="AH75" s="60">
        <f t="shared" si="49"/>
        <v>85212</v>
      </c>
      <c r="AI75" s="60">
        <f t="shared" ref="AI75" si="50">AI72*12</f>
        <v>0</v>
      </c>
      <c r="AJ75" s="60">
        <f t="shared" si="49"/>
        <v>42252</v>
      </c>
      <c r="AK75" s="115"/>
      <c r="AL75" s="114">
        <f>AL72*12</f>
        <v>1222116</v>
      </c>
      <c r="AN75" s="116"/>
    </row>
    <row r="76" spans="2:81" s="1" customFormat="1" ht="13.8" hidden="1">
      <c r="B76" s="70"/>
      <c r="C76" s="196" t="s">
        <v>71</v>
      </c>
      <c r="D76" s="74"/>
      <c r="E76" s="203" t="s">
        <v>72</v>
      </c>
      <c r="F76" s="60">
        <f t="shared" ref="F76:AJ76" si="51">F73*6</f>
        <v>0</v>
      </c>
      <c r="G76" s="60">
        <f t="shared" si="51"/>
        <v>0</v>
      </c>
      <c r="H76" s="60">
        <v>0</v>
      </c>
      <c r="I76" s="285">
        <f t="shared" si="51"/>
        <v>42600</v>
      </c>
      <c r="J76" s="60">
        <f t="shared" si="51"/>
        <v>42600</v>
      </c>
      <c r="K76" s="60">
        <f t="shared" si="51"/>
        <v>41010</v>
      </c>
      <c r="L76" s="60">
        <f t="shared" si="51"/>
        <v>0</v>
      </c>
      <c r="M76" s="285">
        <f t="shared" si="51"/>
        <v>0</v>
      </c>
      <c r="N76" s="285">
        <f t="shared" si="51"/>
        <v>0</v>
      </c>
      <c r="O76" s="60">
        <f t="shared" si="51"/>
        <v>0</v>
      </c>
      <c r="P76" s="60">
        <f t="shared" si="51"/>
        <v>42612</v>
      </c>
      <c r="Q76" s="285">
        <f t="shared" si="51"/>
        <v>42618</v>
      </c>
      <c r="R76" s="285">
        <f t="shared" si="51"/>
        <v>42630</v>
      </c>
      <c r="S76" s="60">
        <f t="shared" si="51"/>
        <v>0</v>
      </c>
      <c r="T76" s="285">
        <f t="shared" si="51"/>
        <v>0</v>
      </c>
      <c r="U76" s="285">
        <f t="shared" si="51"/>
        <v>0</v>
      </c>
      <c r="V76" s="60">
        <f t="shared" si="51"/>
        <v>42624</v>
      </c>
      <c r="W76" s="60">
        <f t="shared" si="51"/>
        <v>42600</v>
      </c>
      <c r="X76" s="60">
        <f t="shared" si="51"/>
        <v>42600</v>
      </c>
      <c r="Y76" s="60">
        <f t="shared" si="51"/>
        <v>42600</v>
      </c>
      <c r="Z76" s="285">
        <f t="shared" si="51"/>
        <v>41106</v>
      </c>
      <c r="AA76" s="60">
        <f t="shared" si="51"/>
        <v>0</v>
      </c>
      <c r="AB76" s="60">
        <f t="shared" si="51"/>
        <v>28212</v>
      </c>
      <c r="AC76" s="60">
        <f t="shared" si="51"/>
        <v>35454</v>
      </c>
      <c r="AD76" s="60">
        <f t="shared" si="51"/>
        <v>42606</v>
      </c>
      <c r="AE76" s="285">
        <f t="shared" si="51"/>
        <v>42612</v>
      </c>
      <c r="AF76" s="285">
        <f t="shared" si="51"/>
        <v>41400</v>
      </c>
      <c r="AG76" s="60">
        <f t="shared" si="51"/>
        <v>0</v>
      </c>
      <c r="AH76" s="60">
        <f t="shared" si="51"/>
        <v>0</v>
      </c>
      <c r="AI76" s="60">
        <f t="shared" ref="AI76" si="52">AI73*6</f>
        <v>27000</v>
      </c>
      <c r="AJ76" s="60">
        <f t="shared" si="51"/>
        <v>42612</v>
      </c>
      <c r="AK76" s="115"/>
      <c r="AL76" s="114">
        <f>AL73*6</f>
        <v>759294</v>
      </c>
      <c r="AN76" s="116"/>
    </row>
    <row r="77" spans="2:81" s="1" customFormat="1" hidden="1">
      <c r="B77" s="70"/>
      <c r="C77" s="214" t="s">
        <v>73</v>
      </c>
      <c r="D77" s="74"/>
      <c r="E77" s="203" t="s">
        <v>74</v>
      </c>
      <c r="F77" s="144">
        <f>(F67*45)/1700</f>
        <v>0</v>
      </c>
      <c r="G77" s="144">
        <f>(G67*45)/1700</f>
        <v>0</v>
      </c>
      <c r="H77" s="144">
        <f t="shared" ref="H77:AH77" si="53">(H67*45)/1700</f>
        <v>2429.0307794117648</v>
      </c>
      <c r="I77" s="295">
        <f t="shared" si="53"/>
        <v>3061.7776323529411</v>
      </c>
      <c r="J77" s="144">
        <f t="shared" si="53"/>
        <v>3062.0651029411765</v>
      </c>
      <c r="K77" s="144">
        <f t="shared" si="53"/>
        <v>2986.1728676470589</v>
      </c>
      <c r="L77" s="144">
        <f t="shared" si="53"/>
        <v>0</v>
      </c>
      <c r="M77" s="295">
        <f t="shared" si="53"/>
        <v>2033.7346323529409</v>
      </c>
      <c r="N77" s="295">
        <f t="shared" si="53"/>
        <v>1351.4950588235292</v>
      </c>
      <c r="O77" s="144">
        <f t="shared" si="53"/>
        <v>2041.4963382352937</v>
      </c>
      <c r="P77" s="144">
        <f t="shared" si="53"/>
        <v>3062.3284852941174</v>
      </c>
      <c r="Q77" s="295">
        <f t="shared" si="53"/>
        <v>3062.640044117647</v>
      </c>
      <c r="R77" s="295">
        <f t="shared" si="53"/>
        <v>3046.2542205882351</v>
      </c>
      <c r="S77" s="144">
        <f t="shared" si="53"/>
        <v>0</v>
      </c>
      <c r="T77" s="295">
        <f t="shared" si="53"/>
        <v>2041.1849117647057</v>
      </c>
      <c r="U77" s="295">
        <f t="shared" si="53"/>
        <v>0</v>
      </c>
      <c r="V77" s="144">
        <f t="shared" si="53"/>
        <v>3062.9275147058825</v>
      </c>
      <c r="W77" s="144">
        <f t="shared" si="53"/>
        <v>3061.7776323529411</v>
      </c>
      <c r="X77" s="144">
        <f t="shared" si="53"/>
        <v>3043.6669852941177</v>
      </c>
      <c r="Y77" s="144">
        <f t="shared" si="53"/>
        <v>3053.4650735294117</v>
      </c>
      <c r="Z77" s="295">
        <f t="shared" si="53"/>
        <v>2954.5511029411764</v>
      </c>
      <c r="AA77" s="144">
        <f t="shared" si="53"/>
        <v>2041.4723823529412</v>
      </c>
      <c r="AB77" s="144">
        <f t="shared" si="53"/>
        <v>2027.3864558823529</v>
      </c>
      <c r="AC77" s="144">
        <f t="shared" si="53"/>
        <v>2719.3760735294118</v>
      </c>
      <c r="AD77" s="144">
        <f>(AD67*45)/1700</f>
        <v>3062.0651029411765</v>
      </c>
      <c r="AE77" s="295">
        <f t="shared" si="53"/>
        <v>3062.352573529412</v>
      </c>
      <c r="AF77" s="295">
        <f t="shared" si="53"/>
        <v>3004.2835147058822</v>
      </c>
      <c r="AG77" s="144">
        <f t="shared" si="53"/>
        <v>0</v>
      </c>
      <c r="AH77" s="144">
        <f t="shared" si="53"/>
        <v>2041.4723823529412</v>
      </c>
      <c r="AI77" s="144">
        <f t="shared" ref="AI77" si="54">(AI67*45)/1700</f>
        <v>1293.6176470588234</v>
      </c>
      <c r="AJ77" s="144">
        <f>(AJ67*45)/1700</f>
        <v>3054.0156617647053</v>
      </c>
      <c r="AK77" s="115"/>
      <c r="AL77" s="114">
        <f>SUM(F77:AJ77)</f>
        <v>65660.610176470596</v>
      </c>
      <c r="AN77" s="116"/>
    </row>
    <row r="78" spans="2:81" s="1" customFormat="1" hidden="1">
      <c r="B78" s="70"/>
      <c r="C78" s="214" t="s">
        <v>75</v>
      </c>
      <c r="D78" s="74"/>
      <c r="E78" s="203" t="s">
        <v>76</v>
      </c>
      <c r="F78" s="60">
        <f t="shared" ref="F78:AJ78" si="55">SUM(F72:F73)/500</f>
        <v>0</v>
      </c>
      <c r="G78" s="60">
        <f t="shared" si="55"/>
        <v>0</v>
      </c>
      <c r="H78" s="60">
        <f t="shared" si="55"/>
        <v>16.898</v>
      </c>
      <c r="I78" s="285">
        <f t="shared" si="55"/>
        <v>21.3</v>
      </c>
      <c r="J78" s="60">
        <f t="shared" si="55"/>
        <v>21.302</v>
      </c>
      <c r="K78" s="60">
        <f t="shared" si="55"/>
        <v>20.774000000000001</v>
      </c>
      <c r="L78" s="60">
        <f t="shared" si="55"/>
        <v>0</v>
      </c>
      <c r="M78" s="285">
        <f t="shared" si="55"/>
        <v>14.148</v>
      </c>
      <c r="N78" s="285">
        <f t="shared" si="55"/>
        <v>9.4019999999999992</v>
      </c>
      <c r="O78" s="60">
        <f t="shared" si="55"/>
        <v>14.202</v>
      </c>
      <c r="P78" s="60">
        <f t="shared" si="55"/>
        <v>21.303999999999998</v>
      </c>
      <c r="Q78" s="285">
        <f t="shared" si="55"/>
        <v>21.306000000000001</v>
      </c>
      <c r="R78" s="285">
        <f t="shared" si="55"/>
        <v>21.192</v>
      </c>
      <c r="S78" s="60">
        <f t="shared" si="55"/>
        <v>0</v>
      </c>
      <c r="T78" s="285">
        <f t="shared" si="55"/>
        <v>14.2</v>
      </c>
      <c r="U78" s="285">
        <f t="shared" si="55"/>
        <v>0</v>
      </c>
      <c r="V78" s="60">
        <f t="shared" si="55"/>
        <v>21.308</v>
      </c>
      <c r="W78" s="60">
        <f t="shared" si="55"/>
        <v>21.3</v>
      </c>
      <c r="X78" s="60">
        <f t="shared" si="55"/>
        <v>21.173999999999999</v>
      </c>
      <c r="Y78" s="60">
        <f t="shared" si="55"/>
        <v>21.242000000000001</v>
      </c>
      <c r="Z78" s="285">
        <f t="shared" si="55"/>
        <v>20.553999999999998</v>
      </c>
      <c r="AA78" s="60">
        <f t="shared" si="55"/>
        <v>14.202</v>
      </c>
      <c r="AB78" s="60">
        <f t="shared" si="55"/>
        <v>14.103999999999999</v>
      </c>
      <c r="AC78" s="60">
        <f t="shared" si="55"/>
        <v>18.917999999999999</v>
      </c>
      <c r="AD78" s="60">
        <f t="shared" si="55"/>
        <v>21.302</v>
      </c>
      <c r="AE78" s="285">
        <f t="shared" si="55"/>
        <v>21.303999999999998</v>
      </c>
      <c r="AF78" s="285">
        <f t="shared" si="55"/>
        <v>20.9</v>
      </c>
      <c r="AG78" s="60">
        <f t="shared" si="55"/>
        <v>0</v>
      </c>
      <c r="AH78" s="60">
        <f t="shared" si="55"/>
        <v>14.202</v>
      </c>
      <c r="AI78" s="60">
        <f>SUM(AI72:AI73)/500</f>
        <v>9</v>
      </c>
      <c r="AJ78" s="60">
        <f t="shared" si="55"/>
        <v>21.245999999999999</v>
      </c>
      <c r="AK78" s="115"/>
      <c r="AL78" s="114">
        <f>SUM(F78:AJ78)</f>
        <v>456.78399999999993</v>
      </c>
      <c r="AN78" s="116"/>
    </row>
    <row r="79" spans="2:81" hidden="1">
      <c r="B79" s="57"/>
      <c r="C79" s="36" t="s">
        <v>77</v>
      </c>
      <c r="D79" s="55"/>
      <c r="E79" s="55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101"/>
      <c r="AD79" s="56"/>
      <c r="AE79" s="56"/>
      <c r="AF79" s="56"/>
      <c r="AG79" s="56"/>
      <c r="AH79" s="101"/>
      <c r="AI79" s="101"/>
      <c r="AJ79" s="101"/>
      <c r="AK79" s="105"/>
      <c r="AL79" s="200" t="s">
        <v>78</v>
      </c>
    </row>
    <row r="80" spans="2:81" s="1" customFormat="1" hidden="1">
      <c r="B80" s="70"/>
      <c r="C80" s="214" t="s">
        <v>68</v>
      </c>
      <c r="D80" s="74"/>
      <c r="E80" s="70"/>
      <c r="F80" s="60"/>
      <c r="G80" s="60"/>
      <c r="H80" s="60"/>
      <c r="I80" s="285"/>
      <c r="J80" s="60"/>
      <c r="K80" s="60"/>
      <c r="L80" s="60"/>
      <c r="M80" s="285"/>
      <c r="N80" s="285"/>
      <c r="O80" s="60"/>
      <c r="P80" s="60"/>
      <c r="Q80" s="285"/>
      <c r="R80" s="285"/>
      <c r="S80" s="60"/>
      <c r="T80" s="285"/>
      <c r="U80" s="285"/>
      <c r="V80" s="60"/>
      <c r="W80" s="60"/>
      <c r="X80" s="60"/>
      <c r="Y80" s="60"/>
      <c r="Z80" s="285"/>
      <c r="AA80" s="60"/>
      <c r="AB80" s="60"/>
      <c r="AC80" s="60"/>
      <c r="AD80" s="60"/>
      <c r="AE80" s="285"/>
      <c r="AF80" s="285"/>
      <c r="AG80" s="60"/>
      <c r="AH80" s="60"/>
      <c r="AI80" s="60"/>
      <c r="AJ80" s="60"/>
      <c r="AK80" s="115"/>
      <c r="AL80" s="120" t="s">
        <v>68</v>
      </c>
      <c r="AN80" s="116"/>
    </row>
    <row r="81" spans="2:40 15093:15485" s="1" customFormat="1" ht="13.8" hidden="1">
      <c r="B81" s="70"/>
      <c r="C81" s="196" t="s">
        <v>69</v>
      </c>
      <c r="D81" s="74"/>
      <c r="E81" s="203" t="s">
        <v>70</v>
      </c>
      <c r="F81" s="60">
        <v>0</v>
      </c>
      <c r="G81" s="60">
        <v>0</v>
      </c>
      <c r="H81" s="60">
        <v>5</v>
      </c>
      <c r="I81" s="285">
        <v>5</v>
      </c>
      <c r="J81" s="60">
        <v>3</v>
      </c>
      <c r="K81" s="60">
        <v>0</v>
      </c>
      <c r="L81" s="60">
        <v>0</v>
      </c>
      <c r="M81" s="285">
        <v>9</v>
      </c>
      <c r="N81" s="285">
        <v>3</v>
      </c>
      <c r="O81" s="60">
        <v>11</v>
      </c>
      <c r="P81" s="60">
        <v>3</v>
      </c>
      <c r="Q81" s="285">
        <v>2</v>
      </c>
      <c r="R81" s="285">
        <v>0</v>
      </c>
      <c r="S81" s="60">
        <v>0</v>
      </c>
      <c r="T81" s="285">
        <v>4</v>
      </c>
      <c r="U81" s="285"/>
      <c r="V81" s="60">
        <v>2</v>
      </c>
      <c r="W81" s="60">
        <v>7</v>
      </c>
      <c r="X81" s="60">
        <v>3</v>
      </c>
      <c r="Y81" s="60">
        <v>4</v>
      </c>
      <c r="Z81" s="285">
        <v>8</v>
      </c>
      <c r="AA81" s="60">
        <v>11</v>
      </c>
      <c r="AB81" s="60">
        <v>13</v>
      </c>
      <c r="AC81" s="60">
        <v>7</v>
      </c>
      <c r="AD81" s="60">
        <v>10</v>
      </c>
      <c r="AE81" s="285">
        <v>13</v>
      </c>
      <c r="AF81" s="285">
        <v>4</v>
      </c>
      <c r="AG81" s="60">
        <v>0</v>
      </c>
      <c r="AH81" s="60">
        <v>5</v>
      </c>
      <c r="AI81" s="60">
        <v>0</v>
      </c>
      <c r="AJ81" s="60">
        <v>0</v>
      </c>
      <c r="AK81" s="115"/>
      <c r="AL81" s="114">
        <f>SUM(F81:AJ81)</f>
        <v>132</v>
      </c>
      <c r="AN81" s="116"/>
    </row>
    <row r="82" spans="2:40 15093:15485" s="1" customFormat="1" ht="13.8" hidden="1">
      <c r="B82" s="70"/>
      <c r="C82" s="196" t="s">
        <v>71</v>
      </c>
      <c r="D82" s="74"/>
      <c r="E82" s="203" t="s">
        <v>70</v>
      </c>
      <c r="F82" s="60">
        <v>0</v>
      </c>
      <c r="G82" s="60">
        <v>0</v>
      </c>
      <c r="H82" s="60">
        <v>6</v>
      </c>
      <c r="I82" s="285">
        <v>9</v>
      </c>
      <c r="J82" s="60">
        <v>15</v>
      </c>
      <c r="K82" s="60">
        <v>7</v>
      </c>
      <c r="L82" s="60">
        <v>0</v>
      </c>
      <c r="M82" s="285">
        <v>0</v>
      </c>
      <c r="N82" s="285">
        <v>0</v>
      </c>
      <c r="O82" s="60">
        <v>0</v>
      </c>
      <c r="P82" s="60">
        <v>8</v>
      </c>
      <c r="Q82" s="285">
        <v>7</v>
      </c>
      <c r="R82" s="285">
        <v>0</v>
      </c>
      <c r="S82" s="60">
        <v>0</v>
      </c>
      <c r="T82" s="285">
        <v>0</v>
      </c>
      <c r="U82" s="285">
        <v>0</v>
      </c>
      <c r="V82" s="60">
        <v>5</v>
      </c>
      <c r="W82" s="60">
        <v>2</v>
      </c>
      <c r="X82" s="60">
        <v>7</v>
      </c>
      <c r="Y82" s="60">
        <v>2</v>
      </c>
      <c r="Z82" s="285">
        <v>9</v>
      </c>
      <c r="AA82" s="60">
        <v>0</v>
      </c>
      <c r="AB82" s="60">
        <v>11</v>
      </c>
      <c r="AC82" s="60">
        <v>7</v>
      </c>
      <c r="AD82" s="60">
        <v>18</v>
      </c>
      <c r="AE82" s="285">
        <v>9</v>
      </c>
      <c r="AF82" s="285">
        <v>4</v>
      </c>
      <c r="AG82" s="60">
        <v>0</v>
      </c>
      <c r="AH82" s="60">
        <v>0</v>
      </c>
      <c r="AI82" s="60">
        <v>2</v>
      </c>
      <c r="AJ82" s="60">
        <v>2</v>
      </c>
      <c r="AK82" s="115"/>
      <c r="AL82" s="114">
        <f>SUM(F82:AJ82)</f>
        <v>130</v>
      </c>
      <c r="AN82" s="116"/>
    </row>
    <row r="83" spans="2:40 15093:15485" s="1" customFormat="1" hidden="1">
      <c r="B83" s="70"/>
      <c r="C83" s="214" t="s">
        <v>72</v>
      </c>
      <c r="D83" s="74"/>
      <c r="E83" s="70"/>
      <c r="F83" s="60"/>
      <c r="G83" s="60"/>
      <c r="H83" s="60"/>
      <c r="I83" s="285"/>
      <c r="J83" s="60"/>
      <c r="K83" s="60"/>
      <c r="L83" s="60"/>
      <c r="M83" s="285"/>
      <c r="N83" s="285"/>
      <c r="O83" s="60"/>
      <c r="P83" s="60"/>
      <c r="Q83" s="285"/>
      <c r="R83" s="285"/>
      <c r="S83" s="60"/>
      <c r="T83" s="285"/>
      <c r="U83" s="285"/>
      <c r="V83" s="60"/>
      <c r="W83" s="60"/>
      <c r="X83" s="60"/>
      <c r="Y83" s="60"/>
      <c r="Z83" s="285"/>
      <c r="AA83" s="60"/>
      <c r="AB83" s="60"/>
      <c r="AC83" s="60"/>
      <c r="AD83" s="60"/>
      <c r="AE83" s="285"/>
      <c r="AF83" s="285"/>
      <c r="AG83" s="60"/>
      <c r="AH83" s="60"/>
      <c r="AI83" s="60"/>
      <c r="AJ83" s="60"/>
      <c r="AK83" s="115"/>
      <c r="AL83" s="120" t="s">
        <v>72</v>
      </c>
      <c r="AN83" s="116"/>
    </row>
    <row r="84" spans="2:40 15093:15485" s="1" customFormat="1" ht="13.8" hidden="1">
      <c r="B84" s="70"/>
      <c r="C84" s="196" t="s">
        <v>69</v>
      </c>
      <c r="D84" s="74"/>
      <c r="E84" s="203" t="s">
        <v>72</v>
      </c>
      <c r="F84" s="60">
        <v>0</v>
      </c>
      <c r="G84" s="60">
        <v>0</v>
      </c>
      <c r="H84" s="143">
        <v>5</v>
      </c>
      <c r="I84" s="285">
        <v>14</v>
      </c>
      <c r="J84" s="60">
        <v>8</v>
      </c>
      <c r="K84" s="60">
        <v>3</v>
      </c>
      <c r="L84" s="60">
        <v>0</v>
      </c>
      <c r="M84" s="285">
        <v>33</v>
      </c>
      <c r="N84" s="285">
        <v>37</v>
      </c>
      <c r="O84" s="60">
        <v>41</v>
      </c>
      <c r="P84" s="60">
        <v>8</v>
      </c>
      <c r="Q84" s="285">
        <v>14</v>
      </c>
      <c r="R84" s="285">
        <v>13</v>
      </c>
      <c r="S84" s="60">
        <v>0</v>
      </c>
      <c r="T84" s="285">
        <v>37</v>
      </c>
      <c r="U84" s="285"/>
      <c r="V84" s="60">
        <v>20</v>
      </c>
      <c r="W84" s="60">
        <v>23</v>
      </c>
      <c r="X84" s="60">
        <v>21</v>
      </c>
      <c r="Y84" s="60">
        <v>38</v>
      </c>
      <c r="Z84" s="285">
        <v>25</v>
      </c>
      <c r="AA84" s="60">
        <v>35</v>
      </c>
      <c r="AB84" s="149">
        <v>6</v>
      </c>
      <c r="AC84" s="60">
        <v>28</v>
      </c>
      <c r="AD84" s="60">
        <v>45</v>
      </c>
      <c r="AE84" s="285">
        <v>15</v>
      </c>
      <c r="AF84" s="285">
        <v>19</v>
      </c>
      <c r="AG84" s="143">
        <v>0</v>
      </c>
      <c r="AH84" s="143">
        <v>51</v>
      </c>
      <c r="AI84" s="143">
        <v>0</v>
      </c>
      <c r="AJ84" s="60">
        <v>22</v>
      </c>
      <c r="AK84" s="115"/>
      <c r="AL84" s="114">
        <f>SUM(F84:AJ84)</f>
        <v>561</v>
      </c>
      <c r="AN84" s="116"/>
    </row>
    <row r="85" spans="2:40 15093:15485" s="1" customFormat="1" ht="13.8" hidden="1">
      <c r="B85" s="70"/>
      <c r="C85" s="196" t="s">
        <v>71</v>
      </c>
      <c r="D85" s="74"/>
      <c r="E85" s="203" t="s">
        <v>72</v>
      </c>
      <c r="F85" s="238">
        <v>0</v>
      </c>
      <c r="G85" s="238">
        <v>0</v>
      </c>
      <c r="H85" s="143">
        <v>8</v>
      </c>
      <c r="I85" s="294">
        <v>12</v>
      </c>
      <c r="J85" s="143">
        <v>6</v>
      </c>
      <c r="K85" s="60">
        <v>12</v>
      </c>
      <c r="L85" s="60">
        <v>0</v>
      </c>
      <c r="M85" s="285">
        <v>0</v>
      </c>
      <c r="N85" s="285">
        <v>0</v>
      </c>
      <c r="O85" s="60">
        <v>0</v>
      </c>
      <c r="P85" s="60">
        <v>7</v>
      </c>
      <c r="Q85" s="285">
        <v>7</v>
      </c>
      <c r="R85" s="285">
        <v>10</v>
      </c>
      <c r="S85" s="60"/>
      <c r="T85" s="285"/>
      <c r="U85" s="285"/>
      <c r="V85" s="60">
        <v>17</v>
      </c>
      <c r="W85" s="60">
        <v>11</v>
      </c>
      <c r="X85" s="60">
        <v>15</v>
      </c>
      <c r="Y85" s="60">
        <v>17</v>
      </c>
      <c r="Z85" s="285">
        <v>10</v>
      </c>
      <c r="AA85" s="60"/>
      <c r="AB85" s="149">
        <v>5</v>
      </c>
      <c r="AC85" s="60">
        <v>35</v>
      </c>
      <c r="AD85" s="60">
        <v>29</v>
      </c>
      <c r="AE85" s="285">
        <v>21</v>
      </c>
      <c r="AF85" s="285">
        <v>14</v>
      </c>
      <c r="AG85" s="229">
        <v>0</v>
      </c>
      <c r="AH85" s="143">
        <v>0</v>
      </c>
      <c r="AI85" s="143">
        <v>6</v>
      </c>
      <c r="AJ85" s="60">
        <v>20</v>
      </c>
      <c r="AK85" s="115"/>
      <c r="AL85" s="114">
        <f>SUM(F85:AJ85)</f>
        <v>262</v>
      </c>
      <c r="AN85" s="116"/>
    </row>
    <row r="86" spans="2:40 15093:15485" hidden="1">
      <c r="B86" s="57"/>
      <c r="C86" s="36" t="s">
        <v>79</v>
      </c>
      <c r="D86" s="55"/>
      <c r="E86" s="55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101"/>
      <c r="AD86" s="56"/>
      <c r="AE86" s="56"/>
      <c r="AF86" s="56"/>
      <c r="AG86" s="56"/>
      <c r="AH86" s="101"/>
      <c r="AI86" s="101"/>
      <c r="AJ86" s="101"/>
      <c r="AK86" s="105"/>
      <c r="AL86" s="200" t="s">
        <v>78</v>
      </c>
    </row>
    <row r="87" spans="2:40 15093:15485" s="1" customFormat="1" hidden="1">
      <c r="B87" s="70"/>
      <c r="C87" s="214" t="s">
        <v>68</v>
      </c>
      <c r="D87" s="74"/>
      <c r="E87" s="70"/>
      <c r="F87" s="60"/>
      <c r="G87" s="60"/>
      <c r="H87" s="60"/>
      <c r="I87" s="285"/>
      <c r="J87" s="60"/>
      <c r="K87" s="60"/>
      <c r="L87" s="60"/>
      <c r="M87" s="285"/>
      <c r="N87" s="285"/>
      <c r="O87" s="60"/>
      <c r="P87" s="60"/>
      <c r="Q87" s="285"/>
      <c r="R87" s="285"/>
      <c r="S87" s="60"/>
      <c r="T87" s="285"/>
      <c r="U87" s="285"/>
      <c r="V87" s="60"/>
      <c r="W87" s="60"/>
      <c r="X87" s="60"/>
      <c r="Y87" s="60"/>
      <c r="Z87" s="285"/>
      <c r="AA87" s="60"/>
      <c r="AB87" s="60"/>
      <c r="AC87" s="60"/>
      <c r="AD87" s="60"/>
      <c r="AE87" s="285"/>
      <c r="AF87" s="285"/>
      <c r="AG87" s="60"/>
      <c r="AH87" s="60"/>
      <c r="AI87" s="60"/>
      <c r="AJ87" s="60"/>
      <c r="AK87" s="115"/>
      <c r="AL87" s="120" t="s">
        <v>68</v>
      </c>
      <c r="AN87" s="116"/>
    </row>
    <row r="88" spans="2:40 15093:15485" s="1" customFormat="1" ht="13.8" hidden="1">
      <c r="B88" s="70"/>
      <c r="C88" s="196" t="s">
        <v>69</v>
      </c>
      <c r="D88" s="69">
        <v>0.3</v>
      </c>
      <c r="E88" s="203" t="s">
        <v>12</v>
      </c>
      <c r="F88" s="84" t="e">
        <f t="shared" ref="F88:AJ88" si="56">F81/F72*100</f>
        <v>#DIV/0!</v>
      </c>
      <c r="G88" s="84" t="e">
        <f t="shared" si="56"/>
        <v>#DIV/0!</v>
      </c>
      <c r="H88" s="84">
        <f t="shared" si="56"/>
        <v>0.17755681818181818</v>
      </c>
      <c r="I88" s="288">
        <f t="shared" si="56"/>
        <v>0.14084507042253522</v>
      </c>
      <c r="J88" s="84">
        <f t="shared" si="56"/>
        <v>8.4483244156575613E-2</v>
      </c>
      <c r="K88" s="84">
        <f t="shared" si="56"/>
        <v>0</v>
      </c>
      <c r="L88" s="84" t="e">
        <f t="shared" si="56"/>
        <v>#DIV/0!</v>
      </c>
      <c r="M88" s="288">
        <f t="shared" si="56"/>
        <v>0.1272264631043257</v>
      </c>
      <c r="N88" s="288">
        <f t="shared" si="56"/>
        <v>6.381620931716657E-2</v>
      </c>
      <c r="O88" s="84">
        <f t="shared" si="56"/>
        <v>0.15490775947049712</v>
      </c>
      <c r="P88" s="84">
        <f t="shared" si="56"/>
        <v>8.4507042253521125E-2</v>
      </c>
      <c r="Q88" s="288">
        <f t="shared" si="56"/>
        <v>5.6338028169014086E-2</v>
      </c>
      <c r="R88" s="288">
        <f t="shared" si="56"/>
        <v>0</v>
      </c>
      <c r="S88" s="84" t="e">
        <f t="shared" si="56"/>
        <v>#DIV/0!</v>
      </c>
      <c r="T88" s="288">
        <f t="shared" si="56"/>
        <v>5.6338028169014086E-2</v>
      </c>
      <c r="U88" s="288" t="e">
        <f t="shared" si="56"/>
        <v>#DIV/0!</v>
      </c>
      <c r="V88" s="84">
        <f t="shared" si="56"/>
        <v>5.6338028169014086E-2</v>
      </c>
      <c r="W88" s="84">
        <f t="shared" si="56"/>
        <v>0.19718309859154928</v>
      </c>
      <c r="X88" s="84">
        <f t="shared" si="56"/>
        <v>8.6033839977057644E-2</v>
      </c>
      <c r="Y88" s="84">
        <f t="shared" si="56"/>
        <v>0.11360408974723089</v>
      </c>
      <c r="Z88" s="288">
        <f t="shared" si="56"/>
        <v>0.23350846468184472</v>
      </c>
      <c r="AA88" s="84">
        <f t="shared" si="56"/>
        <v>0.15490775947049712</v>
      </c>
      <c r="AB88" s="84">
        <f t="shared" si="56"/>
        <v>0.55319148936170215</v>
      </c>
      <c r="AC88" s="84">
        <f t="shared" si="56"/>
        <v>0.19718309859154928</v>
      </c>
      <c r="AD88" s="84">
        <f t="shared" si="56"/>
        <v>0.28169014084507044</v>
      </c>
      <c r="AE88" s="288">
        <f t="shared" si="56"/>
        <v>0.36619718309859156</v>
      </c>
      <c r="AF88" s="288">
        <f t="shared" si="56"/>
        <v>0.11267605633802817</v>
      </c>
      <c r="AG88" s="84" t="e">
        <f t="shared" si="56"/>
        <v>#DIV/0!</v>
      </c>
      <c r="AH88" s="84">
        <f t="shared" si="56"/>
        <v>7.0412617941135042E-2</v>
      </c>
      <c r="AI88" s="84" t="e">
        <f t="shared" ref="AI88" si="57">AI81/AI72*100</f>
        <v>#DIV/0!</v>
      </c>
      <c r="AJ88" s="84">
        <f t="shared" si="56"/>
        <v>0</v>
      </c>
      <c r="AK88" s="115"/>
      <c r="AL88" s="117">
        <f>AL81/AL72*100</f>
        <v>0.12961126439716034</v>
      </c>
      <c r="AN88" s="116"/>
    </row>
    <row r="89" spans="2:40 15093:15485" s="1" customFormat="1" ht="13.8" hidden="1">
      <c r="B89" s="70"/>
      <c r="C89" s="196" t="s">
        <v>71</v>
      </c>
      <c r="D89" s="69">
        <v>0.3</v>
      </c>
      <c r="E89" s="203" t="s">
        <v>12</v>
      </c>
      <c r="F89" s="84" t="e">
        <f t="shared" ref="F89:AJ89" si="58">F82/F73*100</f>
        <v>#DIV/0!</v>
      </c>
      <c r="G89" s="84" t="e">
        <f t="shared" si="58"/>
        <v>#DIV/0!</v>
      </c>
      <c r="H89" s="84">
        <f t="shared" si="58"/>
        <v>0.10651517841292384</v>
      </c>
      <c r="I89" s="288">
        <f t="shared" si="58"/>
        <v>0.12676056338028169</v>
      </c>
      <c r="J89" s="84">
        <f t="shared" si="58"/>
        <v>0.21126760563380279</v>
      </c>
      <c r="K89" s="84">
        <f t="shared" si="58"/>
        <v>0.10241404535479151</v>
      </c>
      <c r="L89" s="84" t="e">
        <f t="shared" si="58"/>
        <v>#DIV/0!</v>
      </c>
      <c r="M89" s="288" t="e">
        <f t="shared" si="58"/>
        <v>#DIV/0!</v>
      </c>
      <c r="N89" s="288" t="e">
        <f t="shared" si="58"/>
        <v>#DIV/0!</v>
      </c>
      <c r="O89" s="84" t="e">
        <f t="shared" si="58"/>
        <v>#DIV/0!</v>
      </c>
      <c r="P89" s="84">
        <f t="shared" si="58"/>
        <v>0.11264432554210081</v>
      </c>
      <c r="Q89" s="288">
        <f t="shared" si="58"/>
        <v>9.8549908489370674E-2</v>
      </c>
      <c r="R89" s="288">
        <f t="shared" si="58"/>
        <v>0</v>
      </c>
      <c r="S89" s="84" t="e">
        <f t="shared" si="58"/>
        <v>#DIV/0!</v>
      </c>
      <c r="T89" s="288" t="e">
        <f t="shared" si="58"/>
        <v>#DIV/0!</v>
      </c>
      <c r="U89" s="288" t="e">
        <f t="shared" si="58"/>
        <v>#DIV/0!</v>
      </c>
      <c r="V89" s="84">
        <f t="shared" si="58"/>
        <v>7.0382882882882886E-2</v>
      </c>
      <c r="W89" s="84">
        <f t="shared" si="58"/>
        <v>2.8169014084507043E-2</v>
      </c>
      <c r="X89" s="84">
        <f t="shared" si="58"/>
        <v>9.8591549295774641E-2</v>
      </c>
      <c r="Y89" s="84">
        <f t="shared" si="58"/>
        <v>2.8169014084507043E-2</v>
      </c>
      <c r="Z89" s="288">
        <f t="shared" si="58"/>
        <v>0.13136768354984674</v>
      </c>
      <c r="AA89" s="84" t="e">
        <f t="shared" si="58"/>
        <v>#DIV/0!</v>
      </c>
      <c r="AB89" s="84">
        <f t="shared" si="58"/>
        <v>0.23394300297745638</v>
      </c>
      <c r="AC89" s="84">
        <f t="shared" si="58"/>
        <v>0.11846336097478423</v>
      </c>
      <c r="AD89" s="84">
        <f t="shared" si="58"/>
        <v>0.25348542458808615</v>
      </c>
      <c r="AE89" s="288">
        <f t="shared" si="58"/>
        <v>0.12672486623486343</v>
      </c>
      <c r="AF89" s="288">
        <f t="shared" si="58"/>
        <v>5.7971014492753624E-2</v>
      </c>
      <c r="AG89" s="84" t="e">
        <f t="shared" si="58"/>
        <v>#DIV/0!</v>
      </c>
      <c r="AH89" s="84" t="e">
        <f t="shared" si="58"/>
        <v>#DIV/0!</v>
      </c>
      <c r="AI89" s="84">
        <f t="shared" ref="AI89" si="59">AI82/AI73*100</f>
        <v>4.4444444444444446E-2</v>
      </c>
      <c r="AJ89" s="84">
        <f t="shared" si="58"/>
        <v>2.8161081385525203E-2</v>
      </c>
      <c r="AK89" s="115"/>
      <c r="AL89" s="117">
        <f>AL82/AL73*100</f>
        <v>0.10272700693012193</v>
      </c>
      <c r="AN89" s="116"/>
    </row>
    <row r="90" spans="2:40 15093:15485" s="1" customFormat="1" hidden="1">
      <c r="B90" s="70"/>
      <c r="C90" s="214" t="s">
        <v>72</v>
      </c>
      <c r="D90" s="69"/>
      <c r="E90" s="70"/>
      <c r="F90" s="84"/>
      <c r="G90" s="84"/>
      <c r="H90" s="84"/>
      <c r="I90" s="288"/>
      <c r="J90" s="84"/>
      <c r="K90" s="84"/>
      <c r="L90" s="84"/>
      <c r="M90" s="288"/>
      <c r="N90" s="288"/>
      <c r="O90" s="84"/>
      <c r="P90" s="84"/>
      <c r="Q90" s="288"/>
      <c r="R90" s="288"/>
      <c r="S90" s="84"/>
      <c r="T90" s="288"/>
      <c r="U90" s="288"/>
      <c r="V90" s="84"/>
      <c r="W90" s="84"/>
      <c r="X90" s="84"/>
      <c r="Y90" s="84"/>
      <c r="Z90" s="288"/>
      <c r="AA90" s="84"/>
      <c r="AB90" s="84"/>
      <c r="AC90" s="84"/>
      <c r="AD90" s="84"/>
      <c r="AE90" s="288"/>
      <c r="AF90" s="288"/>
      <c r="AG90" s="84"/>
      <c r="AH90" s="84"/>
      <c r="AI90" s="84"/>
      <c r="AJ90" s="84"/>
      <c r="AK90" s="115"/>
      <c r="AL90" s="120" t="s">
        <v>72</v>
      </c>
      <c r="AN90" s="116"/>
    </row>
    <row r="91" spans="2:40 15093:15485" s="1" customFormat="1" ht="13.8" hidden="1">
      <c r="B91" s="70"/>
      <c r="C91" s="196" t="s">
        <v>69</v>
      </c>
      <c r="D91" s="69">
        <v>0.5</v>
      </c>
      <c r="E91" s="203" t="s">
        <v>12</v>
      </c>
      <c r="F91" s="84" t="e">
        <f t="shared" ref="F91:AJ91" si="60">F84/F75*100</f>
        <v>#DIV/0!</v>
      </c>
      <c r="G91" s="84" t="e">
        <f t="shared" si="60"/>
        <v>#DIV/0!</v>
      </c>
      <c r="H91" s="84">
        <f t="shared" si="60"/>
        <v>1.4796401515151516E-2</v>
      </c>
      <c r="I91" s="288">
        <f t="shared" si="60"/>
        <v>3.2863849765258211E-2</v>
      </c>
      <c r="J91" s="84">
        <f t="shared" si="60"/>
        <v>1.8774054257016802E-2</v>
      </c>
      <c r="K91" s="84">
        <f t="shared" si="60"/>
        <v>7.0382882882882884E-3</v>
      </c>
      <c r="L91" s="84" t="e">
        <f t="shared" si="60"/>
        <v>#DIV/0!</v>
      </c>
      <c r="M91" s="288">
        <f t="shared" si="60"/>
        <v>3.8874752615210631E-2</v>
      </c>
      <c r="N91" s="288">
        <f t="shared" si="60"/>
        <v>6.5588881798198967E-2</v>
      </c>
      <c r="O91" s="84">
        <f t="shared" si="60"/>
        <v>4.8115288926442283E-2</v>
      </c>
      <c r="P91" s="84">
        <f t="shared" si="60"/>
        <v>1.8779342723004695E-2</v>
      </c>
      <c r="Q91" s="288">
        <f t="shared" si="60"/>
        <v>3.2863849765258211E-2</v>
      </c>
      <c r="R91" s="288">
        <f t="shared" si="60"/>
        <v>3.1032177981476176E-2</v>
      </c>
      <c r="S91" s="84" t="e">
        <f t="shared" si="60"/>
        <v>#DIV/0!</v>
      </c>
      <c r="T91" s="288">
        <f t="shared" si="60"/>
        <v>4.3427230046948359E-2</v>
      </c>
      <c r="U91" s="288" t="e">
        <f t="shared" si="60"/>
        <v>#DIV/0!</v>
      </c>
      <c r="V91" s="84">
        <f t="shared" si="60"/>
        <v>4.6948356807511735E-2</v>
      </c>
      <c r="W91" s="84">
        <f t="shared" si="60"/>
        <v>5.39906103286385E-2</v>
      </c>
      <c r="X91" s="84">
        <f t="shared" si="60"/>
        <v>5.0186406653283631E-2</v>
      </c>
      <c r="Y91" s="84">
        <f t="shared" si="60"/>
        <v>8.9936571049891126E-2</v>
      </c>
      <c r="Z91" s="288">
        <f t="shared" si="60"/>
        <v>6.0809496010897066E-2</v>
      </c>
      <c r="AA91" s="84">
        <f t="shared" si="60"/>
        <v>4.1074027132328786E-2</v>
      </c>
      <c r="AB91" s="84">
        <f t="shared" si="60"/>
        <v>2.1276595744680851E-2</v>
      </c>
      <c r="AC91" s="84">
        <f t="shared" si="60"/>
        <v>6.5727699530516423E-2</v>
      </c>
      <c r="AD91" s="84">
        <f t="shared" si="60"/>
        <v>0.10563380281690139</v>
      </c>
      <c r="AE91" s="288">
        <f t="shared" si="60"/>
        <v>3.5211267605633804E-2</v>
      </c>
      <c r="AF91" s="288">
        <f t="shared" si="60"/>
        <v>4.4600938967136149E-2</v>
      </c>
      <c r="AG91" s="84" t="e">
        <f t="shared" si="60"/>
        <v>#DIV/0!</v>
      </c>
      <c r="AH91" s="84">
        <f t="shared" si="60"/>
        <v>5.9850725249964792E-2</v>
      </c>
      <c r="AI91" s="84" t="e">
        <f t="shared" ref="AI91" si="61">AI84/AI75*100</f>
        <v>#DIV/0!</v>
      </c>
      <c r="AJ91" s="84">
        <f t="shared" si="60"/>
        <v>5.2068541134147502E-2</v>
      </c>
      <c r="AK91" s="115"/>
      <c r="AL91" s="117">
        <f>AL84/AL75*100</f>
        <v>4.5903989473994287E-2</v>
      </c>
      <c r="AN91" s="116"/>
    </row>
    <row r="92" spans="2:40 15093:15485" s="1" customFormat="1" ht="13.8" hidden="1">
      <c r="B92" s="70"/>
      <c r="C92" s="196" t="s">
        <v>71</v>
      </c>
      <c r="D92" s="69">
        <v>0.5</v>
      </c>
      <c r="E92" s="203" t="s">
        <v>12</v>
      </c>
      <c r="F92" s="84" t="e">
        <f t="shared" ref="F92:AJ92" si="62">F85/F76*100</f>
        <v>#DIV/0!</v>
      </c>
      <c r="G92" s="84" t="e">
        <f t="shared" si="62"/>
        <v>#DIV/0!</v>
      </c>
      <c r="H92" s="84" t="e">
        <f t="shared" si="62"/>
        <v>#DIV/0!</v>
      </c>
      <c r="I92" s="288">
        <f t="shared" si="62"/>
        <v>2.8169014084507043E-2</v>
      </c>
      <c r="J92" s="84">
        <f t="shared" si="62"/>
        <v>1.4084507042253521E-2</v>
      </c>
      <c r="K92" s="84">
        <f t="shared" si="62"/>
        <v>2.9261155815654721E-2</v>
      </c>
      <c r="L92" s="84" t="e">
        <f t="shared" si="62"/>
        <v>#DIV/0!</v>
      </c>
      <c r="M92" s="288" t="e">
        <f t="shared" si="62"/>
        <v>#DIV/0!</v>
      </c>
      <c r="N92" s="288" t="e">
        <f t="shared" si="62"/>
        <v>#DIV/0!</v>
      </c>
      <c r="O92" s="84" t="e">
        <f t="shared" si="62"/>
        <v>#DIV/0!</v>
      </c>
      <c r="P92" s="84">
        <f t="shared" si="62"/>
        <v>1.6427297474889701E-2</v>
      </c>
      <c r="Q92" s="288">
        <f t="shared" si="62"/>
        <v>1.6424984748228448E-2</v>
      </c>
      <c r="R92" s="288">
        <f t="shared" si="62"/>
        <v>2.3457658925639221E-2</v>
      </c>
      <c r="S92" s="84" t="e">
        <f t="shared" si="62"/>
        <v>#DIV/0!</v>
      </c>
      <c r="T92" s="288" t="e">
        <f t="shared" si="62"/>
        <v>#DIV/0!</v>
      </c>
      <c r="U92" s="288" t="e">
        <f t="shared" si="62"/>
        <v>#DIV/0!</v>
      </c>
      <c r="V92" s="84">
        <f t="shared" si="62"/>
        <v>3.9883633633633633E-2</v>
      </c>
      <c r="W92" s="84">
        <f t="shared" si="62"/>
        <v>2.5821596244131453E-2</v>
      </c>
      <c r="X92" s="84">
        <f t="shared" si="62"/>
        <v>3.5211267605633804E-2</v>
      </c>
      <c r="Y92" s="84">
        <f t="shared" si="62"/>
        <v>3.9906103286384977E-2</v>
      </c>
      <c r="Z92" s="288">
        <f t="shared" si="62"/>
        <v>2.4327348805527175E-2</v>
      </c>
      <c r="AA92" s="84" t="e">
        <f t="shared" si="62"/>
        <v>#DIV/0!</v>
      </c>
      <c r="AB92" s="84">
        <f t="shared" si="62"/>
        <v>1.7722954771019424E-2</v>
      </c>
      <c r="AC92" s="84">
        <f t="shared" si="62"/>
        <v>9.8719467478986855E-2</v>
      </c>
      <c r="AD92" s="84">
        <f t="shared" si="62"/>
        <v>6.806553067643055E-2</v>
      </c>
      <c r="AE92" s="288">
        <f t="shared" si="62"/>
        <v>4.9281892424669113E-2</v>
      </c>
      <c r="AF92" s="288">
        <f t="shared" si="62"/>
        <v>3.3816425120772951E-2</v>
      </c>
      <c r="AG92" s="84" t="e">
        <f t="shared" si="62"/>
        <v>#DIV/0!</v>
      </c>
      <c r="AH92" s="84" t="e">
        <f t="shared" si="62"/>
        <v>#DIV/0!</v>
      </c>
      <c r="AI92" s="84">
        <f t="shared" ref="AI92" si="63">AI85/AI76*100</f>
        <v>2.2222222222222223E-2</v>
      </c>
      <c r="AJ92" s="84">
        <f t="shared" si="62"/>
        <v>4.6935135642542009E-2</v>
      </c>
      <c r="AK92" s="115"/>
      <c r="AL92" s="117">
        <f>AL85/AL76*100</f>
        <v>3.450573822524608E-2</v>
      </c>
      <c r="AN92" s="116"/>
    </row>
    <row r="93" spans="2:40 15093:15485" s="1" customFormat="1" hidden="1">
      <c r="B93" s="54">
        <v>6</v>
      </c>
      <c r="C93" s="36" t="s">
        <v>80</v>
      </c>
      <c r="D93" s="55"/>
      <c r="E93" s="55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101"/>
      <c r="AD93" s="56"/>
      <c r="AE93" s="56"/>
      <c r="AF93" s="56"/>
      <c r="AG93" s="56"/>
      <c r="AH93" s="101"/>
      <c r="AI93" s="101"/>
      <c r="AJ93" s="101"/>
      <c r="AK93" s="105"/>
      <c r="AL93" s="200" t="s">
        <v>63</v>
      </c>
      <c r="AN93" s="29"/>
      <c r="VHM93"/>
      <c r="VHN93"/>
      <c r="VHO93"/>
      <c r="VHP93"/>
      <c r="VHQ93"/>
      <c r="VHR93"/>
      <c r="VHS93"/>
      <c r="VHT93"/>
      <c r="VHU93"/>
      <c r="VHV93"/>
      <c r="VHW93"/>
      <c r="VHX93"/>
      <c r="VHY93"/>
      <c r="VHZ93"/>
      <c r="VIA93"/>
      <c r="VIB93"/>
      <c r="VIC93"/>
      <c r="VID93"/>
      <c r="VIE93"/>
      <c r="VIF93"/>
      <c r="VIG93"/>
      <c r="VIH93"/>
      <c r="VII93"/>
      <c r="VIJ93"/>
      <c r="VIK93"/>
      <c r="VIL93"/>
      <c r="VIM93"/>
      <c r="VIN93"/>
      <c r="VIO93"/>
      <c r="VIP93"/>
      <c r="VIQ93"/>
      <c r="VIR93"/>
      <c r="VIS93"/>
      <c r="VIT93"/>
      <c r="VIU93"/>
      <c r="VIV93"/>
      <c r="VIW93"/>
      <c r="VIX93"/>
      <c r="VIY93"/>
      <c r="VIZ93"/>
      <c r="VJA93"/>
      <c r="VJB93"/>
      <c r="VJC93"/>
      <c r="VJD93"/>
      <c r="VJE93"/>
      <c r="VJF93"/>
      <c r="VJG93"/>
      <c r="VJH93"/>
      <c r="VJI93"/>
      <c r="VJJ93"/>
      <c r="VJK93"/>
      <c r="VJL93"/>
      <c r="VJM93"/>
      <c r="VJN93"/>
      <c r="VJO93"/>
      <c r="VJP93"/>
      <c r="VJQ93"/>
      <c r="VJR93"/>
      <c r="VJS93"/>
      <c r="VJT93"/>
      <c r="VJU93"/>
      <c r="VJV93"/>
      <c r="VJW93"/>
      <c r="VJX93"/>
      <c r="VJY93"/>
      <c r="VJZ93"/>
      <c r="VKA93"/>
      <c r="VKB93"/>
      <c r="VKC93"/>
      <c r="VKD93"/>
      <c r="VKE93"/>
      <c r="VKF93"/>
      <c r="VKG93"/>
      <c r="VKH93"/>
      <c r="VKI93"/>
      <c r="VKJ93"/>
      <c r="VKK93"/>
      <c r="VKL93"/>
      <c r="VKM93"/>
      <c r="VKN93"/>
      <c r="VKO93"/>
      <c r="VKP93"/>
      <c r="VKQ93"/>
      <c r="VKR93"/>
      <c r="VKS93"/>
      <c r="VKT93"/>
      <c r="VKU93"/>
      <c r="VKV93"/>
      <c r="VKW93"/>
      <c r="VKX93"/>
      <c r="VKY93"/>
      <c r="VKZ93"/>
      <c r="VLA93"/>
      <c r="VLB93"/>
      <c r="VLC93"/>
      <c r="VLD93"/>
      <c r="VLE93"/>
      <c r="VLF93"/>
      <c r="VLG93"/>
      <c r="VLH93"/>
      <c r="VLI93"/>
      <c r="VLJ93"/>
      <c r="VLK93"/>
      <c r="VLL93"/>
      <c r="VLM93"/>
      <c r="VLN93"/>
      <c r="VLO93"/>
      <c r="VLP93"/>
      <c r="VLQ93"/>
      <c r="VLR93"/>
      <c r="VLS93"/>
      <c r="VLT93"/>
      <c r="VLU93"/>
      <c r="VLV93"/>
      <c r="VLW93"/>
      <c r="VLX93"/>
      <c r="VLY93"/>
      <c r="VLZ93"/>
      <c r="VMA93"/>
      <c r="VMB93"/>
      <c r="VMC93"/>
      <c r="VMD93"/>
      <c r="VME93"/>
      <c r="VMF93"/>
      <c r="VMG93"/>
      <c r="VMH93"/>
      <c r="VMI93"/>
      <c r="VMJ93"/>
      <c r="VMK93"/>
      <c r="VML93"/>
      <c r="VMM93"/>
      <c r="VMN93"/>
      <c r="VMO93"/>
      <c r="VMP93"/>
      <c r="VMQ93"/>
      <c r="VMR93"/>
      <c r="VMS93"/>
      <c r="VMT93"/>
      <c r="VMU93"/>
      <c r="VMV93"/>
      <c r="VMW93"/>
      <c r="VMX93"/>
      <c r="VMY93"/>
      <c r="VMZ93"/>
      <c r="VNA93"/>
      <c r="VNB93"/>
      <c r="VNC93"/>
      <c r="VND93"/>
      <c r="VNE93"/>
      <c r="VNF93"/>
      <c r="VNG93"/>
      <c r="VNH93"/>
      <c r="VNI93"/>
      <c r="VNJ93"/>
      <c r="VNK93"/>
      <c r="VNL93"/>
      <c r="VNM93"/>
      <c r="VNN93"/>
      <c r="VNO93"/>
      <c r="VNP93"/>
      <c r="VNQ93"/>
      <c r="VNR93"/>
      <c r="VNS93"/>
      <c r="VNT93"/>
      <c r="VNU93"/>
      <c r="VNV93"/>
      <c r="VNW93"/>
      <c r="VNX93"/>
      <c r="VNY93"/>
      <c r="VNZ93"/>
      <c r="VOA93"/>
      <c r="VOB93"/>
      <c r="VOC93"/>
      <c r="VOD93"/>
      <c r="VOE93"/>
      <c r="VOF93"/>
      <c r="VOG93"/>
      <c r="VOH93"/>
      <c r="VOI93"/>
      <c r="VOJ93"/>
      <c r="VOK93"/>
      <c r="VOL93"/>
      <c r="VOM93"/>
      <c r="VON93"/>
      <c r="VOO93"/>
      <c r="VOP93"/>
      <c r="VOQ93"/>
      <c r="VOR93"/>
      <c r="VOS93"/>
      <c r="VOT93"/>
      <c r="VOU93"/>
      <c r="VOV93"/>
      <c r="VOW93"/>
      <c r="VOX93"/>
      <c r="VOY93"/>
      <c r="VOZ93"/>
      <c r="VPA93"/>
      <c r="VPB93"/>
      <c r="VPC93"/>
      <c r="VPD93"/>
      <c r="VPE93"/>
      <c r="VPF93"/>
      <c r="VPG93"/>
      <c r="VPH93"/>
      <c r="VPI93"/>
      <c r="VPJ93"/>
      <c r="VPK93"/>
      <c r="VPL93"/>
      <c r="VPM93"/>
      <c r="VPN93"/>
      <c r="VPO93"/>
      <c r="VPP93"/>
      <c r="VPQ93"/>
      <c r="VPR93"/>
      <c r="VPS93"/>
      <c r="VPT93"/>
      <c r="VPU93"/>
      <c r="VPV93"/>
      <c r="VPW93"/>
      <c r="VPX93"/>
      <c r="VPY93"/>
      <c r="VPZ93"/>
      <c r="VQA93"/>
      <c r="VQB93"/>
      <c r="VQC93"/>
      <c r="VQD93"/>
      <c r="VQE93"/>
      <c r="VQF93"/>
      <c r="VQG93"/>
      <c r="VQH93"/>
      <c r="VQI93"/>
      <c r="VQJ93"/>
      <c r="VQK93"/>
      <c r="VQL93"/>
      <c r="VQM93"/>
      <c r="VQN93"/>
      <c r="VQO93"/>
      <c r="VQP93"/>
      <c r="VQQ93"/>
      <c r="VQR93"/>
      <c r="VQS93"/>
      <c r="VQT93"/>
      <c r="VQU93"/>
      <c r="VQV93"/>
      <c r="VQW93"/>
      <c r="VQX93"/>
      <c r="VQY93"/>
      <c r="VQZ93"/>
      <c r="VRA93"/>
      <c r="VRB93"/>
      <c r="VRC93"/>
      <c r="VRD93"/>
      <c r="VRE93"/>
      <c r="VRF93"/>
      <c r="VRG93"/>
      <c r="VRH93"/>
      <c r="VRI93"/>
      <c r="VRJ93"/>
      <c r="VRK93"/>
      <c r="VRL93"/>
      <c r="VRM93"/>
      <c r="VRN93"/>
      <c r="VRO93"/>
      <c r="VRP93"/>
      <c r="VRQ93"/>
      <c r="VRR93"/>
      <c r="VRS93"/>
      <c r="VRT93"/>
      <c r="VRU93"/>
      <c r="VRV93"/>
      <c r="VRW93"/>
      <c r="VRX93"/>
      <c r="VRY93"/>
      <c r="VRZ93"/>
      <c r="VSA93"/>
      <c r="VSB93"/>
      <c r="VSC93"/>
      <c r="VSD93"/>
      <c r="VSE93"/>
      <c r="VSF93"/>
      <c r="VSG93"/>
      <c r="VSH93"/>
      <c r="VSI93"/>
      <c r="VSJ93"/>
      <c r="VSK93"/>
      <c r="VSL93"/>
      <c r="VSM93"/>
      <c r="VSN93"/>
      <c r="VSO93"/>
      <c r="VSP93"/>
      <c r="VSQ93"/>
      <c r="VSR93"/>
      <c r="VSS93"/>
      <c r="VST93"/>
      <c r="VSU93"/>
      <c r="VSV93"/>
      <c r="VSW93"/>
      <c r="VSX93"/>
      <c r="VSY93"/>
      <c r="VSZ93"/>
      <c r="VTA93"/>
      <c r="VTB93"/>
      <c r="VTC93"/>
      <c r="VTD93"/>
      <c r="VTE93"/>
      <c r="VTF93"/>
      <c r="VTG93"/>
      <c r="VTH93"/>
      <c r="VTI93"/>
      <c r="VTJ93"/>
      <c r="VTK93"/>
      <c r="VTL93"/>
      <c r="VTM93"/>
      <c r="VTN93"/>
      <c r="VTO93"/>
      <c r="VTP93"/>
      <c r="VTQ93"/>
      <c r="VTR93"/>
      <c r="VTS93"/>
      <c r="VTT93"/>
      <c r="VTU93"/>
      <c r="VTV93"/>
      <c r="VTW93"/>
      <c r="VTX93"/>
      <c r="VTY93"/>
      <c r="VTZ93"/>
      <c r="VUA93"/>
      <c r="VUB93"/>
      <c r="VUC93"/>
      <c r="VUD93"/>
      <c r="VUE93"/>
      <c r="VUF93"/>
      <c r="VUG93"/>
      <c r="VUH93"/>
      <c r="VUI93"/>
      <c r="VUJ93"/>
      <c r="VUK93"/>
      <c r="VUL93"/>
      <c r="VUM93"/>
      <c r="VUN93"/>
      <c r="VUO93"/>
      <c r="VUP93"/>
      <c r="VUQ93"/>
      <c r="VUR93"/>
      <c r="VUS93"/>
      <c r="VUT93"/>
      <c r="VUU93"/>
      <c r="VUV93"/>
      <c r="VUW93"/>
      <c r="VUX93"/>
      <c r="VUY93"/>
      <c r="VUZ93"/>
      <c r="VVA93"/>
      <c r="VVB93"/>
      <c r="VVC93"/>
      <c r="VVD93"/>
      <c r="VVE93"/>
      <c r="VVF93"/>
      <c r="VVG93"/>
      <c r="VVH93"/>
      <c r="VVI93"/>
      <c r="VVJ93"/>
      <c r="VVK93"/>
      <c r="VVL93"/>
      <c r="VVM93"/>
      <c r="VVN93"/>
      <c r="VVO93"/>
      <c r="VVP93"/>
      <c r="VVQ93"/>
      <c r="VVR93"/>
      <c r="VVS93"/>
      <c r="VVT93"/>
      <c r="VVU93"/>
      <c r="VVV93"/>
      <c r="VVW93"/>
      <c r="VVX93"/>
      <c r="VVY93"/>
      <c r="VVZ93"/>
      <c r="VWA93"/>
      <c r="VWB93"/>
      <c r="VWC93"/>
      <c r="VWD93"/>
      <c r="VWE93"/>
      <c r="VWF93"/>
      <c r="VWG93"/>
      <c r="VWH93"/>
      <c r="VWI93"/>
      <c r="VWJ93"/>
      <c r="VWK93"/>
      <c r="VWL93"/>
      <c r="VWM93"/>
      <c r="VWN93"/>
      <c r="VWO93"/>
    </row>
    <row r="94" spans="2:40 15093:15485" s="1" customFormat="1" ht="13.8" hidden="1">
      <c r="B94" s="70"/>
      <c r="C94" s="212" t="s">
        <v>65</v>
      </c>
      <c r="D94" s="141"/>
      <c r="E94" s="213" t="s">
        <v>9</v>
      </c>
      <c r="F94" s="142">
        <v>0</v>
      </c>
      <c r="G94" s="142">
        <v>0</v>
      </c>
      <c r="H94" s="142">
        <v>0</v>
      </c>
      <c r="I94" s="296">
        <v>0</v>
      </c>
      <c r="J94" s="142">
        <v>0</v>
      </c>
      <c r="K94" s="142">
        <v>0</v>
      </c>
      <c r="L94" s="142">
        <v>111604.605</v>
      </c>
      <c r="M94" s="296">
        <v>0</v>
      </c>
      <c r="N94" s="296">
        <v>0</v>
      </c>
      <c r="O94" s="142">
        <v>0</v>
      </c>
      <c r="P94" s="142">
        <v>0</v>
      </c>
      <c r="Q94" s="296">
        <v>0</v>
      </c>
      <c r="R94" s="296">
        <v>0</v>
      </c>
      <c r="S94" s="142">
        <v>111605.515</v>
      </c>
      <c r="T94" s="296">
        <v>0</v>
      </c>
      <c r="U94" s="296">
        <v>0</v>
      </c>
      <c r="V94" s="142">
        <v>0</v>
      </c>
      <c r="W94" s="142">
        <v>0</v>
      </c>
      <c r="X94" s="142">
        <v>0</v>
      </c>
      <c r="Y94" s="142">
        <v>0</v>
      </c>
      <c r="Z94" s="296">
        <v>0</v>
      </c>
      <c r="AA94" s="142">
        <v>0</v>
      </c>
      <c r="AB94" s="142">
        <v>0</v>
      </c>
      <c r="AC94" s="142">
        <v>0</v>
      </c>
      <c r="AD94" s="142">
        <v>0</v>
      </c>
      <c r="AE94" s="296">
        <v>0</v>
      </c>
      <c r="AF94" s="296">
        <v>2172</v>
      </c>
      <c r="AG94" s="142">
        <v>112430.875</v>
      </c>
      <c r="AH94" s="142">
        <v>0</v>
      </c>
      <c r="AI94" s="142">
        <v>27699.344999999998</v>
      </c>
      <c r="AJ94" s="142">
        <v>0</v>
      </c>
      <c r="AK94" s="156"/>
      <c r="AL94" s="154">
        <f>SUM(AL95:AL96)</f>
        <v>365512.33999999997</v>
      </c>
      <c r="AN94" s="116"/>
    </row>
    <row r="95" spans="2:40 15093:15485" s="1" customFormat="1" hidden="1">
      <c r="B95" s="70"/>
      <c r="C95" s="214" t="s">
        <v>66</v>
      </c>
      <c r="D95" s="74"/>
      <c r="E95" s="203" t="s">
        <v>9</v>
      </c>
      <c r="F95" s="84">
        <f t="shared" ref="F95:AJ95" si="64">SUM(F98:F99)*10.86</f>
        <v>0</v>
      </c>
      <c r="G95" s="84">
        <f t="shared" si="64"/>
        <v>0</v>
      </c>
      <c r="H95" s="84">
        <f t="shared" si="64"/>
        <v>0</v>
      </c>
      <c r="I95" s="288">
        <f t="shared" si="64"/>
        <v>0</v>
      </c>
      <c r="J95" s="84">
        <f t="shared" si="64"/>
        <v>0</v>
      </c>
      <c r="K95" s="84">
        <f t="shared" si="64"/>
        <v>0</v>
      </c>
      <c r="L95" s="84">
        <f t="shared" si="64"/>
        <v>111597.36</v>
      </c>
      <c r="M95" s="288">
        <f t="shared" si="64"/>
        <v>0</v>
      </c>
      <c r="N95" s="288">
        <f t="shared" si="64"/>
        <v>0</v>
      </c>
      <c r="O95" s="84">
        <f t="shared" si="64"/>
        <v>0</v>
      </c>
      <c r="P95" s="84">
        <f t="shared" si="64"/>
        <v>0</v>
      </c>
      <c r="Q95" s="288">
        <f>SUM(Q98:Q99)*10.86</f>
        <v>0</v>
      </c>
      <c r="R95" s="288">
        <f t="shared" si="64"/>
        <v>0</v>
      </c>
      <c r="S95" s="84">
        <f t="shared" si="64"/>
        <v>111597.36</v>
      </c>
      <c r="T95" s="288">
        <f t="shared" si="64"/>
        <v>0</v>
      </c>
      <c r="U95" s="288">
        <f t="shared" si="64"/>
        <v>0</v>
      </c>
      <c r="V95" s="84">
        <f t="shared" si="64"/>
        <v>0</v>
      </c>
      <c r="W95" s="84">
        <f t="shared" si="64"/>
        <v>0</v>
      </c>
      <c r="X95" s="84">
        <f t="shared" si="64"/>
        <v>0</v>
      </c>
      <c r="Y95" s="84">
        <f t="shared" si="64"/>
        <v>0</v>
      </c>
      <c r="Z95" s="288">
        <f t="shared" si="64"/>
        <v>0</v>
      </c>
      <c r="AA95" s="84">
        <f t="shared" si="64"/>
        <v>0</v>
      </c>
      <c r="AB95" s="84">
        <f t="shared" si="64"/>
        <v>0</v>
      </c>
      <c r="AC95" s="84">
        <f t="shared" si="64"/>
        <v>0</v>
      </c>
      <c r="AD95" s="84">
        <f t="shared" si="64"/>
        <v>0</v>
      </c>
      <c r="AE95" s="288">
        <f t="shared" si="64"/>
        <v>0</v>
      </c>
      <c r="AF95" s="288">
        <f t="shared" si="64"/>
        <v>2172</v>
      </c>
      <c r="AG95" s="84">
        <f t="shared" si="64"/>
        <v>112422.72</v>
      </c>
      <c r="AH95" s="84">
        <f t="shared" si="64"/>
        <v>0</v>
      </c>
      <c r="AI95" s="84">
        <f>SUM(AI98:AI99)*10.86</f>
        <v>27693</v>
      </c>
      <c r="AJ95" s="84">
        <f t="shared" si="64"/>
        <v>0</v>
      </c>
      <c r="AK95" s="115"/>
      <c r="AL95" s="117">
        <f>SUM(F95:AJ95)</f>
        <v>365482.44</v>
      </c>
      <c r="AN95" s="116"/>
    </row>
    <row r="96" spans="2:40 15093:15485" s="1" customFormat="1" hidden="1">
      <c r="B96" s="70"/>
      <c r="C96" s="214" t="s">
        <v>67</v>
      </c>
      <c r="D96" s="74"/>
      <c r="E96" s="203" t="s">
        <v>9</v>
      </c>
      <c r="F96" s="84">
        <f t="shared" ref="F96:AJ96" si="65">F94-F95</f>
        <v>0</v>
      </c>
      <c r="G96" s="84">
        <f t="shared" si="65"/>
        <v>0</v>
      </c>
      <c r="H96" s="84">
        <f t="shared" si="65"/>
        <v>0</v>
      </c>
      <c r="I96" s="288">
        <f t="shared" si="65"/>
        <v>0</v>
      </c>
      <c r="J96" s="84">
        <f t="shared" si="65"/>
        <v>0</v>
      </c>
      <c r="K96" s="84">
        <f t="shared" si="65"/>
        <v>0</v>
      </c>
      <c r="L96" s="84">
        <f t="shared" si="65"/>
        <v>7.2449999999953434</v>
      </c>
      <c r="M96" s="288">
        <f t="shared" si="65"/>
        <v>0</v>
      </c>
      <c r="N96" s="288">
        <f t="shared" si="65"/>
        <v>0</v>
      </c>
      <c r="O96" s="84">
        <f t="shared" si="65"/>
        <v>0</v>
      </c>
      <c r="P96" s="84">
        <f t="shared" si="65"/>
        <v>0</v>
      </c>
      <c r="Q96" s="288">
        <f t="shared" si="65"/>
        <v>0</v>
      </c>
      <c r="R96" s="288">
        <f t="shared" si="65"/>
        <v>0</v>
      </c>
      <c r="S96" s="84">
        <f t="shared" si="65"/>
        <v>8.1549999999988358</v>
      </c>
      <c r="T96" s="288">
        <f t="shared" si="65"/>
        <v>0</v>
      </c>
      <c r="U96" s="288">
        <f t="shared" si="65"/>
        <v>0</v>
      </c>
      <c r="V96" s="84">
        <f t="shared" si="65"/>
        <v>0</v>
      </c>
      <c r="W96" s="84">
        <f t="shared" si="65"/>
        <v>0</v>
      </c>
      <c r="X96" s="84">
        <f t="shared" si="65"/>
        <v>0</v>
      </c>
      <c r="Y96" s="84">
        <f t="shared" si="65"/>
        <v>0</v>
      </c>
      <c r="Z96" s="288">
        <f t="shared" si="65"/>
        <v>0</v>
      </c>
      <c r="AA96" s="84">
        <f t="shared" si="65"/>
        <v>0</v>
      </c>
      <c r="AB96" s="84">
        <f t="shared" si="65"/>
        <v>0</v>
      </c>
      <c r="AC96" s="84">
        <f t="shared" si="65"/>
        <v>0</v>
      </c>
      <c r="AD96" s="84">
        <f t="shared" si="65"/>
        <v>0</v>
      </c>
      <c r="AE96" s="288">
        <f t="shared" si="65"/>
        <v>0</v>
      </c>
      <c r="AF96" s="288">
        <f t="shared" si="65"/>
        <v>0</v>
      </c>
      <c r="AG96" s="84">
        <f t="shared" si="65"/>
        <v>8.1549999999988358</v>
      </c>
      <c r="AH96" s="84">
        <f t="shared" si="65"/>
        <v>0</v>
      </c>
      <c r="AI96" s="84">
        <f t="shared" ref="AI96" si="66">AI94-AI95</f>
        <v>6.3449999999975262</v>
      </c>
      <c r="AJ96" s="84">
        <f t="shared" si="65"/>
        <v>0</v>
      </c>
      <c r="AK96" s="115"/>
      <c r="AL96" s="117">
        <f>SUM(F96:AJ96)</f>
        <v>29.899999999990541</v>
      </c>
      <c r="AN96" s="116"/>
    </row>
    <row r="97" spans="2:40 15093:15485" s="1" customFormat="1" hidden="1">
      <c r="B97" s="70"/>
      <c r="C97" s="214" t="s">
        <v>68</v>
      </c>
      <c r="D97" s="74"/>
      <c r="E97" s="70"/>
      <c r="F97" s="60"/>
      <c r="G97" s="60"/>
      <c r="H97" s="60"/>
      <c r="I97" s="285"/>
      <c r="J97" s="60"/>
      <c r="K97" s="60"/>
      <c r="L97" s="60"/>
      <c r="M97" s="285"/>
      <c r="N97" s="285"/>
      <c r="O97" s="60"/>
      <c r="P97" s="60"/>
      <c r="Q97" s="285"/>
      <c r="R97" s="285"/>
      <c r="S97" s="60"/>
      <c r="T97" s="285"/>
      <c r="U97" s="285"/>
      <c r="V97" s="60"/>
      <c r="W97" s="60"/>
      <c r="X97" s="60"/>
      <c r="Y97" s="60"/>
      <c r="Z97" s="285"/>
      <c r="AA97" s="60"/>
      <c r="AB97" s="60"/>
      <c r="AC97" s="60"/>
      <c r="AD97" s="60"/>
      <c r="AE97" s="285"/>
      <c r="AF97" s="285"/>
      <c r="AG97" s="60"/>
      <c r="AH97" s="60"/>
      <c r="AI97" s="60"/>
      <c r="AJ97" s="60"/>
      <c r="AK97" s="115"/>
      <c r="AL97" s="120" t="s">
        <v>68</v>
      </c>
      <c r="AN97" s="116"/>
    </row>
    <row r="98" spans="2:40 15093:15485" s="6" customFormat="1" ht="13.8" hidden="1">
      <c r="B98" s="42"/>
      <c r="C98" s="40" t="s">
        <v>81</v>
      </c>
      <c r="D98" s="41"/>
      <c r="E98" s="216" t="s">
        <v>70</v>
      </c>
      <c r="F98" s="143">
        <v>0</v>
      </c>
      <c r="G98" s="143">
        <v>0</v>
      </c>
      <c r="H98" s="143">
        <v>0</v>
      </c>
      <c r="I98" s="294">
        <v>0</v>
      </c>
      <c r="J98" s="143">
        <v>0</v>
      </c>
      <c r="K98" s="143">
        <v>0</v>
      </c>
      <c r="L98" s="143">
        <v>3426</v>
      </c>
      <c r="M98" s="294">
        <v>0</v>
      </c>
      <c r="N98" s="294">
        <v>0</v>
      </c>
      <c r="O98" s="143">
        <v>0</v>
      </c>
      <c r="P98" s="143">
        <v>0</v>
      </c>
      <c r="Q98" s="294">
        <v>0</v>
      </c>
      <c r="R98" s="294">
        <v>0</v>
      </c>
      <c r="S98" s="143">
        <v>3426</v>
      </c>
      <c r="T98" s="294">
        <v>0</v>
      </c>
      <c r="U98" s="294">
        <v>0</v>
      </c>
      <c r="V98" s="143">
        <v>0</v>
      </c>
      <c r="W98" s="143">
        <v>0</v>
      </c>
      <c r="X98" s="143">
        <v>0</v>
      </c>
      <c r="Y98" s="143">
        <v>0</v>
      </c>
      <c r="Z98" s="294">
        <v>0</v>
      </c>
      <c r="AA98" s="143">
        <v>0</v>
      </c>
      <c r="AB98" s="143">
        <v>0</v>
      </c>
      <c r="AC98" s="143">
        <v>0</v>
      </c>
      <c r="AD98" s="143">
        <v>0</v>
      </c>
      <c r="AE98" s="294">
        <v>0</v>
      </c>
      <c r="AF98" s="294">
        <v>0</v>
      </c>
      <c r="AG98" s="143">
        <v>3760</v>
      </c>
      <c r="AH98" s="143">
        <v>0</v>
      </c>
      <c r="AI98" s="143">
        <v>2350</v>
      </c>
      <c r="AJ98" s="143">
        <v>0</v>
      </c>
      <c r="AK98" s="122"/>
      <c r="AL98" s="123">
        <f>SUM(F98:AJ98)</f>
        <v>12962</v>
      </c>
      <c r="AN98" s="157"/>
    </row>
    <row r="99" spans="2:40 15093:15485" s="6" customFormat="1" ht="13.8" hidden="1">
      <c r="B99" s="42"/>
      <c r="C99" s="40" t="s">
        <v>82</v>
      </c>
      <c r="D99" s="41"/>
      <c r="E99" s="216" t="s">
        <v>70</v>
      </c>
      <c r="F99" s="143">
        <v>0</v>
      </c>
      <c r="G99" s="143">
        <v>0</v>
      </c>
      <c r="H99" s="143">
        <v>0</v>
      </c>
      <c r="I99" s="294">
        <v>0</v>
      </c>
      <c r="J99" s="143">
        <v>0</v>
      </c>
      <c r="K99" s="143">
        <v>0</v>
      </c>
      <c r="L99" s="143">
        <v>6850</v>
      </c>
      <c r="M99" s="294">
        <v>0</v>
      </c>
      <c r="N99" s="294">
        <v>0</v>
      </c>
      <c r="O99" s="143">
        <v>0</v>
      </c>
      <c r="P99" s="143">
        <v>0</v>
      </c>
      <c r="Q99" s="294">
        <v>0</v>
      </c>
      <c r="R99" s="294">
        <v>0</v>
      </c>
      <c r="S99" s="143">
        <v>6850</v>
      </c>
      <c r="T99" s="294">
        <v>0</v>
      </c>
      <c r="U99" s="294">
        <v>0</v>
      </c>
      <c r="V99" s="143">
        <v>0</v>
      </c>
      <c r="W99" s="143">
        <v>0</v>
      </c>
      <c r="X99" s="143">
        <v>0</v>
      </c>
      <c r="Y99" s="143">
        <v>0</v>
      </c>
      <c r="Z99" s="294">
        <v>0</v>
      </c>
      <c r="AA99" s="143">
        <v>0</v>
      </c>
      <c r="AB99" s="143">
        <v>0</v>
      </c>
      <c r="AC99" s="143">
        <v>0</v>
      </c>
      <c r="AD99" s="143">
        <v>0</v>
      </c>
      <c r="AE99" s="294">
        <v>0</v>
      </c>
      <c r="AF99" s="294">
        <v>200</v>
      </c>
      <c r="AG99" s="143">
        <v>6592</v>
      </c>
      <c r="AH99" s="143">
        <v>0</v>
      </c>
      <c r="AI99" s="143">
        <v>200</v>
      </c>
      <c r="AJ99" s="143">
        <v>0</v>
      </c>
      <c r="AK99" s="122"/>
      <c r="AL99" s="123">
        <f>SUM(F99:AJ99)</f>
        <v>20692</v>
      </c>
      <c r="AN99" s="157"/>
    </row>
    <row r="100" spans="2:40 15093:15485" s="1" customFormat="1" hidden="1">
      <c r="B100" s="70"/>
      <c r="C100" s="214" t="s">
        <v>72</v>
      </c>
      <c r="D100" s="74"/>
      <c r="E100" s="70"/>
      <c r="F100" s="60"/>
      <c r="G100" s="60"/>
      <c r="H100" s="60"/>
      <c r="I100" s="285"/>
      <c r="J100" s="60"/>
      <c r="K100" s="60"/>
      <c r="L100" s="60"/>
      <c r="M100" s="285"/>
      <c r="N100" s="285"/>
      <c r="O100" s="60"/>
      <c r="P100" s="60"/>
      <c r="Q100" s="285"/>
      <c r="R100" s="285"/>
      <c r="S100" s="60"/>
      <c r="T100" s="285"/>
      <c r="U100" s="285"/>
      <c r="V100" s="60"/>
      <c r="W100" s="60"/>
      <c r="X100" s="60"/>
      <c r="Y100" s="60"/>
      <c r="Z100" s="285"/>
      <c r="AA100" s="60"/>
      <c r="AB100" s="60"/>
      <c r="AC100" s="60"/>
      <c r="AD100" s="60"/>
      <c r="AE100" s="285"/>
      <c r="AF100" s="285"/>
      <c r="AG100" s="60"/>
      <c r="AH100" s="60"/>
      <c r="AI100" s="60"/>
      <c r="AJ100" s="60"/>
      <c r="AK100" s="115"/>
      <c r="AL100" s="120" t="s">
        <v>72</v>
      </c>
      <c r="AN100" s="116"/>
    </row>
    <row r="101" spans="2:40 15093:15485" s="1" customFormat="1" ht="13.8" hidden="1">
      <c r="B101" s="70"/>
      <c r="C101" s="40" t="s">
        <v>81</v>
      </c>
      <c r="D101" s="74"/>
      <c r="E101" s="203" t="s">
        <v>72</v>
      </c>
      <c r="F101" s="60">
        <f t="shared" ref="F101:AJ101" si="67">F98*12</f>
        <v>0</v>
      </c>
      <c r="G101" s="60">
        <f t="shared" si="67"/>
        <v>0</v>
      </c>
      <c r="H101" s="60">
        <f t="shared" si="67"/>
        <v>0</v>
      </c>
      <c r="I101" s="285">
        <f t="shared" si="67"/>
        <v>0</v>
      </c>
      <c r="J101" s="60">
        <f t="shared" si="67"/>
        <v>0</v>
      </c>
      <c r="K101" s="60">
        <f t="shared" si="67"/>
        <v>0</v>
      </c>
      <c r="L101" s="60">
        <f t="shared" si="67"/>
        <v>41112</v>
      </c>
      <c r="M101" s="285">
        <f t="shared" si="67"/>
        <v>0</v>
      </c>
      <c r="N101" s="285">
        <f t="shared" si="67"/>
        <v>0</v>
      </c>
      <c r="O101" s="60">
        <f t="shared" si="67"/>
        <v>0</v>
      </c>
      <c r="P101" s="60">
        <f t="shared" si="67"/>
        <v>0</v>
      </c>
      <c r="Q101" s="285">
        <f t="shared" si="67"/>
        <v>0</v>
      </c>
      <c r="R101" s="285">
        <f t="shared" si="67"/>
        <v>0</v>
      </c>
      <c r="S101" s="60">
        <f t="shared" si="67"/>
        <v>41112</v>
      </c>
      <c r="T101" s="285">
        <f t="shared" si="67"/>
        <v>0</v>
      </c>
      <c r="U101" s="285">
        <f t="shared" si="67"/>
        <v>0</v>
      </c>
      <c r="V101" s="60">
        <f t="shared" si="67"/>
        <v>0</v>
      </c>
      <c r="W101" s="60">
        <f t="shared" si="67"/>
        <v>0</v>
      </c>
      <c r="X101" s="60">
        <f t="shared" si="67"/>
        <v>0</v>
      </c>
      <c r="Y101" s="60">
        <f t="shared" si="67"/>
        <v>0</v>
      </c>
      <c r="Z101" s="285">
        <f t="shared" si="67"/>
        <v>0</v>
      </c>
      <c r="AA101" s="60">
        <f t="shared" si="67"/>
        <v>0</v>
      </c>
      <c r="AB101" s="60">
        <f t="shared" si="67"/>
        <v>0</v>
      </c>
      <c r="AC101" s="60">
        <f t="shared" si="67"/>
        <v>0</v>
      </c>
      <c r="AD101" s="60">
        <f t="shared" si="67"/>
        <v>0</v>
      </c>
      <c r="AE101" s="285">
        <f t="shared" si="67"/>
        <v>0</v>
      </c>
      <c r="AF101" s="285">
        <f t="shared" si="67"/>
        <v>0</v>
      </c>
      <c r="AG101" s="60">
        <f t="shared" si="67"/>
        <v>45120</v>
      </c>
      <c r="AH101" s="60">
        <f t="shared" si="67"/>
        <v>0</v>
      </c>
      <c r="AI101" s="60">
        <f t="shared" ref="AI101" si="68">AI98*12</f>
        <v>28200</v>
      </c>
      <c r="AJ101" s="60">
        <f t="shared" si="67"/>
        <v>0</v>
      </c>
      <c r="AK101" s="115"/>
      <c r="AL101" s="114">
        <f>AL98*12</f>
        <v>155544</v>
      </c>
      <c r="AN101" s="116"/>
    </row>
    <row r="102" spans="2:40 15093:15485" s="1" customFormat="1" ht="13.8" hidden="1">
      <c r="B102" s="70"/>
      <c r="C102" s="40" t="s">
        <v>82</v>
      </c>
      <c r="D102" s="74"/>
      <c r="E102" s="203" t="s">
        <v>72</v>
      </c>
      <c r="F102" s="60">
        <f t="shared" ref="F102:AJ102" si="69">F99*6</f>
        <v>0</v>
      </c>
      <c r="G102" s="60">
        <f t="shared" si="69"/>
        <v>0</v>
      </c>
      <c r="H102" s="60">
        <f t="shared" si="69"/>
        <v>0</v>
      </c>
      <c r="I102" s="285">
        <f t="shared" si="69"/>
        <v>0</v>
      </c>
      <c r="J102" s="60">
        <f t="shared" si="69"/>
        <v>0</v>
      </c>
      <c r="K102" s="60">
        <f t="shared" si="69"/>
        <v>0</v>
      </c>
      <c r="L102" s="60">
        <f t="shared" si="69"/>
        <v>41100</v>
      </c>
      <c r="M102" s="285">
        <f t="shared" si="69"/>
        <v>0</v>
      </c>
      <c r="N102" s="285">
        <f t="shared" si="69"/>
        <v>0</v>
      </c>
      <c r="O102" s="60">
        <f t="shared" si="69"/>
        <v>0</v>
      </c>
      <c r="P102" s="60">
        <f t="shared" si="69"/>
        <v>0</v>
      </c>
      <c r="Q102" s="285">
        <f t="shared" si="69"/>
        <v>0</v>
      </c>
      <c r="R102" s="285">
        <f t="shared" si="69"/>
        <v>0</v>
      </c>
      <c r="S102" s="60">
        <f t="shared" si="69"/>
        <v>41100</v>
      </c>
      <c r="T102" s="285">
        <f t="shared" si="69"/>
        <v>0</v>
      </c>
      <c r="U102" s="285">
        <f t="shared" si="69"/>
        <v>0</v>
      </c>
      <c r="V102" s="60">
        <f t="shared" si="69"/>
        <v>0</v>
      </c>
      <c r="W102" s="60">
        <f t="shared" si="69"/>
        <v>0</v>
      </c>
      <c r="X102" s="60">
        <f t="shared" si="69"/>
        <v>0</v>
      </c>
      <c r="Y102" s="60">
        <f t="shared" si="69"/>
        <v>0</v>
      </c>
      <c r="Z102" s="285">
        <f t="shared" si="69"/>
        <v>0</v>
      </c>
      <c r="AA102" s="60">
        <f t="shared" si="69"/>
        <v>0</v>
      </c>
      <c r="AB102" s="60">
        <f t="shared" si="69"/>
        <v>0</v>
      </c>
      <c r="AC102" s="60">
        <f t="shared" si="69"/>
        <v>0</v>
      </c>
      <c r="AD102" s="60">
        <f t="shared" si="69"/>
        <v>0</v>
      </c>
      <c r="AE102" s="285">
        <f t="shared" si="69"/>
        <v>0</v>
      </c>
      <c r="AF102" s="285">
        <f t="shared" si="69"/>
        <v>1200</v>
      </c>
      <c r="AG102" s="60">
        <f t="shared" si="69"/>
        <v>39552</v>
      </c>
      <c r="AH102" s="60">
        <f t="shared" si="69"/>
        <v>0</v>
      </c>
      <c r="AI102" s="60">
        <f t="shared" ref="AI102" si="70">AI99*6</f>
        <v>1200</v>
      </c>
      <c r="AJ102" s="60">
        <f t="shared" si="69"/>
        <v>0</v>
      </c>
      <c r="AK102" s="115"/>
      <c r="AL102" s="114">
        <f>AL99*6</f>
        <v>124152</v>
      </c>
      <c r="AN102" s="116"/>
    </row>
    <row r="103" spans="2:40 15093:15485" s="1" customFormat="1" hidden="1">
      <c r="B103" s="70"/>
      <c r="C103" s="214" t="s">
        <v>73</v>
      </c>
      <c r="D103" s="74"/>
      <c r="E103" s="203" t="s">
        <v>74</v>
      </c>
      <c r="F103" s="60">
        <v>0</v>
      </c>
      <c r="G103" s="60">
        <f>(G94*45)/1700</f>
        <v>0</v>
      </c>
      <c r="H103" s="60">
        <f t="shared" ref="H103:Y103" si="71">(H94*45)/1700</f>
        <v>0</v>
      </c>
      <c r="I103" s="285">
        <f t="shared" si="71"/>
        <v>0</v>
      </c>
      <c r="J103" s="60">
        <f t="shared" si="71"/>
        <v>0</v>
      </c>
      <c r="K103" s="60">
        <f t="shared" si="71"/>
        <v>0</v>
      </c>
      <c r="L103" s="60">
        <f t="shared" si="71"/>
        <v>2954.2395441176468</v>
      </c>
      <c r="M103" s="285">
        <f t="shared" si="71"/>
        <v>0</v>
      </c>
      <c r="N103" s="285">
        <f t="shared" si="71"/>
        <v>0</v>
      </c>
      <c r="O103" s="60">
        <f t="shared" si="71"/>
        <v>0</v>
      </c>
      <c r="P103" s="60">
        <f t="shared" si="71"/>
        <v>0</v>
      </c>
      <c r="Q103" s="285">
        <f t="shared" si="71"/>
        <v>0</v>
      </c>
      <c r="R103" s="285">
        <f t="shared" si="71"/>
        <v>0</v>
      </c>
      <c r="S103" s="60">
        <f t="shared" si="71"/>
        <v>2954.2636323529409</v>
      </c>
      <c r="T103" s="285">
        <f t="shared" si="71"/>
        <v>0</v>
      </c>
      <c r="U103" s="285">
        <f t="shared" si="71"/>
        <v>0</v>
      </c>
      <c r="V103" s="60">
        <f t="shared" si="71"/>
        <v>0</v>
      </c>
      <c r="W103" s="60">
        <f t="shared" si="71"/>
        <v>0</v>
      </c>
      <c r="X103" s="60">
        <f t="shared" si="71"/>
        <v>0</v>
      </c>
      <c r="Y103" s="60">
        <f t="shared" si="71"/>
        <v>0</v>
      </c>
      <c r="Z103" s="285">
        <f t="shared" ref="Z103:AJ103" si="72">Z94*45/1700</f>
        <v>0</v>
      </c>
      <c r="AA103" s="60">
        <f t="shared" si="72"/>
        <v>0</v>
      </c>
      <c r="AB103" s="60">
        <f t="shared" si="72"/>
        <v>0</v>
      </c>
      <c r="AC103" s="60">
        <f t="shared" si="72"/>
        <v>0</v>
      </c>
      <c r="AD103" s="60">
        <f t="shared" si="72"/>
        <v>0</v>
      </c>
      <c r="AE103" s="285">
        <f t="shared" si="72"/>
        <v>0</v>
      </c>
      <c r="AF103" s="285">
        <f t="shared" si="72"/>
        <v>57.494117647058822</v>
      </c>
      <c r="AG103" s="60">
        <f t="shared" si="72"/>
        <v>2976.1113970588235</v>
      </c>
      <c r="AH103" s="60">
        <f t="shared" si="72"/>
        <v>0</v>
      </c>
      <c r="AI103" s="60">
        <f t="shared" ref="AI103" si="73">AI94*45/1700</f>
        <v>733.21795588235284</v>
      </c>
      <c r="AJ103" s="60">
        <f t="shared" si="72"/>
        <v>0</v>
      </c>
      <c r="AK103" s="115"/>
      <c r="AL103" s="114">
        <f>SUM(F103:AJ103)</f>
        <v>9675.3266470588223</v>
      </c>
      <c r="AN103" s="116"/>
    </row>
    <row r="104" spans="2:40 15093:15485" s="1" customFormat="1" hidden="1">
      <c r="B104" s="70"/>
      <c r="C104" s="214" t="s">
        <v>75</v>
      </c>
      <c r="D104" s="74"/>
      <c r="E104" s="203" t="s">
        <v>76</v>
      </c>
      <c r="F104" s="60">
        <f t="shared" ref="F104:AJ104" si="74">SUM(F98:F99)/500</f>
        <v>0</v>
      </c>
      <c r="G104" s="60">
        <f t="shared" si="74"/>
        <v>0</v>
      </c>
      <c r="H104" s="60">
        <f t="shared" si="74"/>
        <v>0</v>
      </c>
      <c r="I104" s="285">
        <f t="shared" si="74"/>
        <v>0</v>
      </c>
      <c r="J104" s="60">
        <f t="shared" si="74"/>
        <v>0</v>
      </c>
      <c r="K104" s="60">
        <f t="shared" si="74"/>
        <v>0</v>
      </c>
      <c r="L104" s="60">
        <f t="shared" si="74"/>
        <v>20.552</v>
      </c>
      <c r="M104" s="285">
        <f t="shared" si="74"/>
        <v>0</v>
      </c>
      <c r="N104" s="285">
        <f t="shared" si="74"/>
        <v>0</v>
      </c>
      <c r="O104" s="60">
        <f t="shared" si="74"/>
        <v>0</v>
      </c>
      <c r="P104" s="60">
        <f t="shared" si="74"/>
        <v>0</v>
      </c>
      <c r="Q104" s="285">
        <f t="shared" si="74"/>
        <v>0</v>
      </c>
      <c r="R104" s="285">
        <f t="shared" si="74"/>
        <v>0</v>
      </c>
      <c r="S104" s="60">
        <f t="shared" si="74"/>
        <v>20.552</v>
      </c>
      <c r="T104" s="285">
        <f t="shared" si="74"/>
        <v>0</v>
      </c>
      <c r="U104" s="285">
        <f t="shared" si="74"/>
        <v>0</v>
      </c>
      <c r="V104" s="60">
        <f t="shared" si="74"/>
        <v>0</v>
      </c>
      <c r="W104" s="60">
        <f t="shared" si="74"/>
        <v>0</v>
      </c>
      <c r="X104" s="60">
        <f t="shared" si="74"/>
        <v>0</v>
      </c>
      <c r="Y104" s="60">
        <f t="shared" si="74"/>
        <v>0</v>
      </c>
      <c r="Z104" s="285">
        <f t="shared" si="74"/>
        <v>0</v>
      </c>
      <c r="AA104" s="60">
        <f t="shared" si="74"/>
        <v>0</v>
      </c>
      <c r="AB104" s="60">
        <f t="shared" si="74"/>
        <v>0</v>
      </c>
      <c r="AC104" s="60">
        <f t="shared" si="74"/>
        <v>0</v>
      </c>
      <c r="AD104" s="60">
        <f t="shared" si="74"/>
        <v>0</v>
      </c>
      <c r="AE104" s="285">
        <f t="shared" si="74"/>
        <v>0</v>
      </c>
      <c r="AF104" s="310">
        <f t="shared" si="74"/>
        <v>0.4</v>
      </c>
      <c r="AG104" s="60">
        <f t="shared" si="74"/>
        <v>20.704000000000001</v>
      </c>
      <c r="AH104" s="60">
        <f t="shared" si="74"/>
        <v>0</v>
      </c>
      <c r="AI104" s="60">
        <f>SUM(AI98:AI99)/500</f>
        <v>5.0999999999999996</v>
      </c>
      <c r="AJ104" s="60">
        <f t="shared" si="74"/>
        <v>0</v>
      </c>
      <c r="AK104" s="115"/>
      <c r="AL104" s="114">
        <f>SUM(F104:AJ104)</f>
        <v>67.307999999999993</v>
      </c>
      <c r="AN104" s="116"/>
    </row>
    <row r="105" spans="2:40 15093:15485" s="1" customFormat="1" hidden="1">
      <c r="B105" s="57"/>
      <c r="C105" s="36" t="s">
        <v>77</v>
      </c>
      <c r="D105" s="55"/>
      <c r="E105" s="55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101"/>
      <c r="AD105" s="56"/>
      <c r="AE105" s="56"/>
      <c r="AF105" s="56"/>
      <c r="AG105" s="56"/>
      <c r="AH105" s="56"/>
      <c r="AI105" s="101"/>
      <c r="AJ105" s="101"/>
      <c r="AK105" s="105"/>
      <c r="AL105" s="200" t="s">
        <v>78</v>
      </c>
      <c r="AN105" s="29"/>
      <c r="VHM105"/>
      <c r="VHN105"/>
      <c r="VHO105"/>
      <c r="VHP105"/>
      <c r="VHQ105"/>
      <c r="VHR105"/>
      <c r="VHS105"/>
      <c r="VHT105"/>
      <c r="VHU105"/>
      <c r="VHV105"/>
      <c r="VHW105"/>
      <c r="VHX105"/>
      <c r="VHY105"/>
      <c r="VHZ105"/>
      <c r="VIA105"/>
      <c r="VIB105"/>
      <c r="VIC105"/>
      <c r="VID105"/>
      <c r="VIE105"/>
      <c r="VIF105"/>
      <c r="VIG105"/>
      <c r="VIH105"/>
      <c r="VII105"/>
      <c r="VIJ105"/>
      <c r="VIK105"/>
      <c r="VIL105"/>
      <c r="VIM105"/>
      <c r="VIN105"/>
      <c r="VIO105"/>
      <c r="VIP105"/>
      <c r="VIQ105"/>
      <c r="VIR105"/>
      <c r="VIS105"/>
      <c r="VIT105"/>
      <c r="VIU105"/>
      <c r="VIV105"/>
      <c r="VIW105"/>
      <c r="VIX105"/>
      <c r="VIY105"/>
      <c r="VIZ105"/>
      <c r="VJA105"/>
      <c r="VJB105"/>
      <c r="VJC105"/>
      <c r="VJD105"/>
      <c r="VJE105"/>
      <c r="VJF105"/>
      <c r="VJG105"/>
      <c r="VJH105"/>
      <c r="VJI105"/>
      <c r="VJJ105"/>
      <c r="VJK105"/>
      <c r="VJL105"/>
      <c r="VJM105"/>
      <c r="VJN105"/>
      <c r="VJO105"/>
      <c r="VJP105"/>
      <c r="VJQ105"/>
      <c r="VJR105"/>
      <c r="VJS105"/>
      <c r="VJT105"/>
      <c r="VJU105"/>
      <c r="VJV105"/>
      <c r="VJW105"/>
      <c r="VJX105"/>
      <c r="VJY105"/>
      <c r="VJZ105"/>
      <c r="VKA105"/>
      <c r="VKB105"/>
      <c r="VKC105"/>
      <c r="VKD105"/>
      <c r="VKE105"/>
      <c r="VKF105"/>
      <c r="VKG105"/>
      <c r="VKH105"/>
      <c r="VKI105"/>
      <c r="VKJ105"/>
      <c r="VKK105"/>
      <c r="VKL105"/>
      <c r="VKM105"/>
      <c r="VKN105"/>
      <c r="VKO105"/>
      <c r="VKP105"/>
      <c r="VKQ105"/>
      <c r="VKR105"/>
      <c r="VKS105"/>
      <c r="VKT105"/>
      <c r="VKU105"/>
      <c r="VKV105"/>
      <c r="VKW105"/>
      <c r="VKX105"/>
      <c r="VKY105"/>
      <c r="VKZ105"/>
      <c r="VLA105"/>
      <c r="VLB105"/>
      <c r="VLC105"/>
      <c r="VLD105"/>
      <c r="VLE105"/>
      <c r="VLF105"/>
      <c r="VLG105"/>
      <c r="VLH105"/>
      <c r="VLI105"/>
      <c r="VLJ105"/>
      <c r="VLK105"/>
      <c r="VLL105"/>
      <c r="VLM105"/>
      <c r="VLN105"/>
      <c r="VLO105"/>
      <c r="VLP105"/>
      <c r="VLQ105"/>
      <c r="VLR105"/>
      <c r="VLS105"/>
      <c r="VLT105"/>
      <c r="VLU105"/>
      <c r="VLV105"/>
      <c r="VLW105"/>
      <c r="VLX105"/>
      <c r="VLY105"/>
      <c r="VLZ105"/>
      <c r="VMA105"/>
      <c r="VMB105"/>
      <c r="VMC105"/>
      <c r="VMD105"/>
      <c r="VME105"/>
      <c r="VMF105"/>
      <c r="VMG105"/>
      <c r="VMH105"/>
      <c r="VMI105"/>
      <c r="VMJ105"/>
      <c r="VMK105"/>
      <c r="VML105"/>
      <c r="VMM105"/>
      <c r="VMN105"/>
      <c r="VMO105"/>
      <c r="VMP105"/>
      <c r="VMQ105"/>
      <c r="VMR105"/>
      <c r="VMS105"/>
      <c r="VMT105"/>
      <c r="VMU105"/>
      <c r="VMV105"/>
      <c r="VMW105"/>
      <c r="VMX105"/>
      <c r="VMY105"/>
      <c r="VMZ105"/>
      <c r="VNA105"/>
      <c r="VNB105"/>
      <c r="VNC105"/>
      <c r="VND105"/>
      <c r="VNE105"/>
      <c r="VNF105"/>
      <c r="VNG105"/>
      <c r="VNH105"/>
      <c r="VNI105"/>
      <c r="VNJ105"/>
      <c r="VNK105"/>
      <c r="VNL105"/>
      <c r="VNM105"/>
      <c r="VNN105"/>
      <c r="VNO105"/>
      <c r="VNP105"/>
      <c r="VNQ105"/>
      <c r="VNR105"/>
      <c r="VNS105"/>
      <c r="VNT105"/>
      <c r="VNU105"/>
      <c r="VNV105"/>
      <c r="VNW105"/>
      <c r="VNX105"/>
      <c r="VNY105"/>
      <c r="VNZ105"/>
      <c r="VOA105"/>
      <c r="VOB105"/>
      <c r="VOC105"/>
      <c r="VOD105"/>
      <c r="VOE105"/>
      <c r="VOF105"/>
      <c r="VOG105"/>
      <c r="VOH105"/>
      <c r="VOI105"/>
      <c r="VOJ105"/>
      <c r="VOK105"/>
      <c r="VOL105"/>
      <c r="VOM105"/>
      <c r="VON105"/>
      <c r="VOO105"/>
      <c r="VOP105"/>
      <c r="VOQ105"/>
      <c r="VOR105"/>
      <c r="VOS105"/>
      <c r="VOT105"/>
      <c r="VOU105"/>
      <c r="VOV105"/>
      <c r="VOW105"/>
      <c r="VOX105"/>
      <c r="VOY105"/>
      <c r="VOZ105"/>
      <c r="VPA105"/>
      <c r="VPB105"/>
      <c r="VPC105"/>
      <c r="VPD105"/>
      <c r="VPE105"/>
      <c r="VPF105"/>
      <c r="VPG105"/>
      <c r="VPH105"/>
      <c r="VPI105"/>
      <c r="VPJ105"/>
      <c r="VPK105"/>
      <c r="VPL105"/>
      <c r="VPM105"/>
      <c r="VPN105"/>
      <c r="VPO105"/>
      <c r="VPP105"/>
      <c r="VPQ105"/>
      <c r="VPR105"/>
      <c r="VPS105"/>
      <c r="VPT105"/>
      <c r="VPU105"/>
      <c r="VPV105"/>
      <c r="VPW105"/>
      <c r="VPX105"/>
      <c r="VPY105"/>
      <c r="VPZ105"/>
      <c r="VQA105"/>
      <c r="VQB105"/>
      <c r="VQC105"/>
      <c r="VQD105"/>
      <c r="VQE105"/>
      <c r="VQF105"/>
      <c r="VQG105"/>
      <c r="VQH105"/>
      <c r="VQI105"/>
      <c r="VQJ105"/>
      <c r="VQK105"/>
      <c r="VQL105"/>
      <c r="VQM105"/>
      <c r="VQN105"/>
      <c r="VQO105"/>
      <c r="VQP105"/>
      <c r="VQQ105"/>
      <c r="VQR105"/>
      <c r="VQS105"/>
      <c r="VQT105"/>
      <c r="VQU105"/>
      <c r="VQV105"/>
      <c r="VQW105"/>
      <c r="VQX105"/>
      <c r="VQY105"/>
      <c r="VQZ105"/>
      <c r="VRA105"/>
      <c r="VRB105"/>
      <c r="VRC105"/>
      <c r="VRD105"/>
      <c r="VRE105"/>
      <c r="VRF105"/>
      <c r="VRG105"/>
      <c r="VRH105"/>
      <c r="VRI105"/>
      <c r="VRJ105"/>
      <c r="VRK105"/>
      <c r="VRL105"/>
      <c r="VRM105"/>
      <c r="VRN105"/>
      <c r="VRO105"/>
      <c r="VRP105"/>
      <c r="VRQ105"/>
      <c r="VRR105"/>
      <c r="VRS105"/>
      <c r="VRT105"/>
      <c r="VRU105"/>
      <c r="VRV105"/>
      <c r="VRW105"/>
      <c r="VRX105"/>
      <c r="VRY105"/>
      <c r="VRZ105"/>
      <c r="VSA105"/>
      <c r="VSB105"/>
      <c r="VSC105"/>
      <c r="VSD105"/>
      <c r="VSE105"/>
      <c r="VSF105"/>
      <c r="VSG105"/>
      <c r="VSH105"/>
      <c r="VSI105"/>
      <c r="VSJ105"/>
      <c r="VSK105"/>
      <c r="VSL105"/>
      <c r="VSM105"/>
      <c r="VSN105"/>
      <c r="VSO105"/>
      <c r="VSP105"/>
      <c r="VSQ105"/>
      <c r="VSR105"/>
      <c r="VSS105"/>
      <c r="VST105"/>
      <c r="VSU105"/>
      <c r="VSV105"/>
      <c r="VSW105"/>
      <c r="VSX105"/>
      <c r="VSY105"/>
      <c r="VSZ105"/>
      <c r="VTA105"/>
      <c r="VTB105"/>
      <c r="VTC105"/>
      <c r="VTD105"/>
      <c r="VTE105"/>
      <c r="VTF105"/>
      <c r="VTG105"/>
      <c r="VTH105"/>
      <c r="VTI105"/>
      <c r="VTJ105"/>
      <c r="VTK105"/>
      <c r="VTL105"/>
      <c r="VTM105"/>
      <c r="VTN105"/>
      <c r="VTO105"/>
      <c r="VTP105"/>
      <c r="VTQ105"/>
      <c r="VTR105"/>
      <c r="VTS105"/>
      <c r="VTT105"/>
      <c r="VTU105"/>
      <c r="VTV105"/>
      <c r="VTW105"/>
      <c r="VTX105"/>
      <c r="VTY105"/>
      <c r="VTZ105"/>
      <c r="VUA105"/>
      <c r="VUB105"/>
      <c r="VUC105"/>
      <c r="VUD105"/>
      <c r="VUE105"/>
      <c r="VUF105"/>
      <c r="VUG105"/>
      <c r="VUH105"/>
      <c r="VUI105"/>
      <c r="VUJ105"/>
      <c r="VUK105"/>
      <c r="VUL105"/>
      <c r="VUM105"/>
      <c r="VUN105"/>
      <c r="VUO105"/>
      <c r="VUP105"/>
      <c r="VUQ105"/>
      <c r="VUR105"/>
      <c r="VUS105"/>
      <c r="VUT105"/>
      <c r="VUU105"/>
      <c r="VUV105"/>
      <c r="VUW105"/>
      <c r="VUX105"/>
      <c r="VUY105"/>
      <c r="VUZ105"/>
      <c r="VVA105"/>
      <c r="VVB105"/>
      <c r="VVC105"/>
      <c r="VVD105"/>
      <c r="VVE105"/>
      <c r="VVF105"/>
      <c r="VVG105"/>
      <c r="VVH105"/>
      <c r="VVI105"/>
      <c r="VVJ105"/>
      <c r="VVK105"/>
      <c r="VVL105"/>
      <c r="VVM105"/>
      <c r="VVN105"/>
      <c r="VVO105"/>
      <c r="VVP105"/>
      <c r="VVQ105"/>
      <c r="VVR105"/>
      <c r="VVS105"/>
      <c r="VVT105"/>
      <c r="VVU105"/>
      <c r="VVV105"/>
      <c r="VVW105"/>
      <c r="VVX105"/>
      <c r="VVY105"/>
      <c r="VVZ105"/>
      <c r="VWA105"/>
      <c r="VWB105"/>
      <c r="VWC105"/>
      <c r="VWD105"/>
      <c r="VWE105"/>
      <c r="VWF105"/>
      <c r="VWG105"/>
      <c r="VWH105"/>
      <c r="VWI105"/>
      <c r="VWJ105"/>
      <c r="VWK105"/>
      <c r="VWL105"/>
      <c r="VWM105"/>
      <c r="VWN105"/>
      <c r="VWO105"/>
    </row>
    <row r="106" spans="2:40 15093:15485" s="1" customFormat="1" hidden="1">
      <c r="B106" s="70"/>
      <c r="C106" s="214" t="s">
        <v>68</v>
      </c>
      <c r="D106" s="74"/>
      <c r="E106" s="70"/>
      <c r="F106" s="60"/>
      <c r="G106" s="60"/>
      <c r="H106" s="60"/>
      <c r="I106" s="285"/>
      <c r="J106" s="60"/>
      <c r="K106" s="60"/>
      <c r="L106" s="60"/>
      <c r="M106" s="285"/>
      <c r="N106" s="285"/>
      <c r="O106" s="60"/>
      <c r="P106" s="60"/>
      <c r="Q106" s="285"/>
      <c r="R106" s="285"/>
      <c r="S106" s="60"/>
      <c r="T106" s="285"/>
      <c r="U106" s="285"/>
      <c r="V106" s="60"/>
      <c r="W106" s="60"/>
      <c r="X106" s="60"/>
      <c r="Y106" s="60"/>
      <c r="Z106" s="285"/>
      <c r="AA106" s="60"/>
      <c r="AB106" s="60"/>
      <c r="AC106" s="60"/>
      <c r="AD106" s="60"/>
      <c r="AE106" s="285"/>
      <c r="AF106" s="285"/>
      <c r="AG106" s="60"/>
      <c r="AH106" s="60"/>
      <c r="AI106" s="60"/>
      <c r="AJ106" s="60"/>
      <c r="AK106" s="115"/>
      <c r="AL106" s="120" t="s">
        <v>68</v>
      </c>
      <c r="AN106" s="116"/>
    </row>
    <row r="107" spans="2:40 15093:15485" s="1" customFormat="1" ht="13.8" hidden="1">
      <c r="B107" s="70"/>
      <c r="C107" s="40" t="s">
        <v>81</v>
      </c>
      <c r="D107" s="74"/>
      <c r="E107" s="203" t="s">
        <v>70</v>
      </c>
      <c r="F107" s="60">
        <v>0</v>
      </c>
      <c r="G107" s="60">
        <v>0</v>
      </c>
      <c r="H107" s="60">
        <v>0</v>
      </c>
      <c r="I107" s="285">
        <v>0</v>
      </c>
      <c r="J107" s="60">
        <v>0</v>
      </c>
      <c r="K107" s="60">
        <v>0</v>
      </c>
      <c r="L107" s="60">
        <v>3</v>
      </c>
      <c r="M107" s="285">
        <v>0</v>
      </c>
      <c r="N107" s="285">
        <v>0</v>
      </c>
      <c r="O107" s="60">
        <v>0</v>
      </c>
      <c r="P107" s="60">
        <v>0</v>
      </c>
      <c r="Q107" s="285">
        <v>0</v>
      </c>
      <c r="R107" s="285">
        <v>0</v>
      </c>
      <c r="S107" s="60">
        <v>1</v>
      </c>
      <c r="T107" s="285">
        <v>0</v>
      </c>
      <c r="U107" s="285">
        <v>0</v>
      </c>
      <c r="V107" s="60">
        <v>0</v>
      </c>
      <c r="W107" s="60">
        <v>0</v>
      </c>
      <c r="X107" s="60">
        <v>0</v>
      </c>
      <c r="Y107" s="60">
        <v>0</v>
      </c>
      <c r="Z107" s="285">
        <v>0</v>
      </c>
      <c r="AA107" s="60">
        <v>0</v>
      </c>
      <c r="AB107" s="60">
        <v>0</v>
      </c>
      <c r="AC107" s="60">
        <v>0</v>
      </c>
      <c r="AD107" s="60">
        <v>0</v>
      </c>
      <c r="AE107" s="285">
        <v>0</v>
      </c>
      <c r="AF107" s="285">
        <v>0</v>
      </c>
      <c r="AG107" s="60">
        <v>2</v>
      </c>
      <c r="AH107" s="60">
        <v>0</v>
      </c>
      <c r="AI107" s="60">
        <v>0</v>
      </c>
      <c r="AJ107" s="60">
        <v>0</v>
      </c>
      <c r="AK107" s="115"/>
      <c r="AL107" s="114">
        <f t="shared" ref="AL107:AL111" si="75">SUM(F107:AJ107)</f>
        <v>6</v>
      </c>
      <c r="AN107" s="116"/>
    </row>
    <row r="108" spans="2:40 15093:15485" s="1" customFormat="1" ht="13.8" hidden="1">
      <c r="B108" s="70"/>
      <c r="C108" s="40" t="s">
        <v>82</v>
      </c>
      <c r="D108" s="74"/>
      <c r="E108" s="203" t="s">
        <v>70</v>
      </c>
      <c r="F108" s="60">
        <v>0</v>
      </c>
      <c r="G108" s="60">
        <v>0</v>
      </c>
      <c r="H108" s="60">
        <v>0</v>
      </c>
      <c r="I108" s="285">
        <v>0</v>
      </c>
      <c r="J108" s="60">
        <v>0</v>
      </c>
      <c r="K108" s="60">
        <v>0</v>
      </c>
      <c r="L108" s="60">
        <v>7</v>
      </c>
      <c r="M108" s="285">
        <v>0</v>
      </c>
      <c r="N108" s="285">
        <v>0</v>
      </c>
      <c r="O108" s="60">
        <v>0</v>
      </c>
      <c r="P108" s="60">
        <v>0</v>
      </c>
      <c r="Q108" s="285">
        <v>0</v>
      </c>
      <c r="R108" s="285">
        <v>0</v>
      </c>
      <c r="S108" s="60">
        <v>2</v>
      </c>
      <c r="T108" s="285">
        <v>0</v>
      </c>
      <c r="U108" s="285">
        <v>0</v>
      </c>
      <c r="V108" s="60">
        <v>0</v>
      </c>
      <c r="W108" s="60">
        <v>0</v>
      </c>
      <c r="X108" s="60">
        <v>0</v>
      </c>
      <c r="Y108" s="60">
        <v>0</v>
      </c>
      <c r="Z108" s="285">
        <v>0</v>
      </c>
      <c r="AA108" s="60">
        <v>0</v>
      </c>
      <c r="AB108" s="60">
        <v>0</v>
      </c>
      <c r="AC108" s="60">
        <v>0</v>
      </c>
      <c r="AD108" s="60">
        <v>0</v>
      </c>
      <c r="AE108" s="285">
        <v>0</v>
      </c>
      <c r="AF108" s="285">
        <v>1</v>
      </c>
      <c r="AG108" s="60">
        <v>4</v>
      </c>
      <c r="AH108" s="60">
        <v>0</v>
      </c>
      <c r="AI108" s="60">
        <v>0</v>
      </c>
      <c r="AJ108" s="60">
        <v>0</v>
      </c>
      <c r="AK108" s="115"/>
      <c r="AL108" s="114">
        <f t="shared" si="75"/>
        <v>14</v>
      </c>
      <c r="AN108" s="116"/>
    </row>
    <row r="109" spans="2:40 15093:15485" s="1" customFormat="1" hidden="1">
      <c r="B109" s="70"/>
      <c r="C109" s="214" t="s">
        <v>72</v>
      </c>
      <c r="D109" s="74"/>
      <c r="E109" s="70"/>
      <c r="F109" s="60"/>
      <c r="G109" s="60"/>
      <c r="H109" s="60"/>
      <c r="I109" s="285"/>
      <c r="J109" s="60"/>
      <c r="K109" s="60"/>
      <c r="L109" s="60"/>
      <c r="M109" s="285"/>
      <c r="N109" s="285"/>
      <c r="O109" s="60"/>
      <c r="P109" s="60"/>
      <c r="Q109" s="285"/>
      <c r="R109" s="285"/>
      <c r="S109" s="60"/>
      <c r="T109" s="285"/>
      <c r="U109" s="285"/>
      <c r="V109" s="60"/>
      <c r="W109" s="60"/>
      <c r="X109" s="60"/>
      <c r="Y109" s="60"/>
      <c r="Z109" s="285"/>
      <c r="AA109" s="60"/>
      <c r="AB109" s="60"/>
      <c r="AC109" s="60"/>
      <c r="AD109" s="60"/>
      <c r="AE109" s="285"/>
      <c r="AF109" s="285"/>
      <c r="AG109" s="60"/>
      <c r="AH109" s="60"/>
      <c r="AI109" s="60"/>
      <c r="AJ109" s="60"/>
      <c r="AK109" s="115"/>
      <c r="AL109" s="120" t="s">
        <v>72</v>
      </c>
      <c r="AN109" s="116"/>
    </row>
    <row r="110" spans="2:40 15093:15485" s="1" customFormat="1" ht="13.8" hidden="1">
      <c r="B110" s="70"/>
      <c r="C110" s="40" t="s">
        <v>81</v>
      </c>
      <c r="D110" s="74"/>
      <c r="E110" s="203" t="s">
        <v>72</v>
      </c>
      <c r="F110" s="60">
        <v>0</v>
      </c>
      <c r="G110" s="60">
        <v>0</v>
      </c>
      <c r="H110" s="60">
        <v>0</v>
      </c>
      <c r="I110" s="285">
        <v>0</v>
      </c>
      <c r="J110" s="60">
        <v>0</v>
      </c>
      <c r="K110" s="60">
        <v>0</v>
      </c>
      <c r="L110" s="60">
        <v>12</v>
      </c>
      <c r="M110" s="285">
        <v>0</v>
      </c>
      <c r="N110" s="285">
        <v>0</v>
      </c>
      <c r="O110" s="60">
        <v>0</v>
      </c>
      <c r="P110" s="60">
        <v>0</v>
      </c>
      <c r="Q110" s="285">
        <v>0</v>
      </c>
      <c r="R110" s="285">
        <v>0</v>
      </c>
      <c r="S110" s="60">
        <v>9</v>
      </c>
      <c r="T110" s="285">
        <v>0</v>
      </c>
      <c r="U110" s="285">
        <v>0</v>
      </c>
      <c r="V110" s="60">
        <v>0</v>
      </c>
      <c r="W110" s="60">
        <v>0</v>
      </c>
      <c r="X110" s="60">
        <v>0</v>
      </c>
      <c r="Y110" s="60">
        <v>0</v>
      </c>
      <c r="Z110" s="285">
        <v>0</v>
      </c>
      <c r="AA110" s="60">
        <v>0</v>
      </c>
      <c r="AB110" s="60">
        <v>0</v>
      </c>
      <c r="AC110" s="60">
        <v>0</v>
      </c>
      <c r="AD110" s="60">
        <v>0</v>
      </c>
      <c r="AE110" s="285">
        <v>0</v>
      </c>
      <c r="AF110" s="285">
        <v>0</v>
      </c>
      <c r="AG110" s="60">
        <v>0</v>
      </c>
      <c r="AH110" s="60">
        <v>0</v>
      </c>
      <c r="AI110" s="60">
        <v>0</v>
      </c>
      <c r="AJ110" s="60">
        <v>0</v>
      </c>
      <c r="AK110" s="115"/>
      <c r="AL110" s="114">
        <f t="shared" si="75"/>
        <v>21</v>
      </c>
      <c r="AN110" s="116"/>
    </row>
    <row r="111" spans="2:40 15093:15485" s="1" customFormat="1" ht="13.8" hidden="1">
      <c r="B111" s="70"/>
      <c r="C111" s="40" t="s">
        <v>82</v>
      </c>
      <c r="D111" s="74"/>
      <c r="E111" s="203" t="s">
        <v>72</v>
      </c>
      <c r="F111" s="60">
        <v>0</v>
      </c>
      <c r="G111" s="60">
        <v>0</v>
      </c>
      <c r="H111" s="60">
        <v>0</v>
      </c>
      <c r="I111" s="285">
        <v>0</v>
      </c>
      <c r="J111" s="60">
        <v>0</v>
      </c>
      <c r="K111" s="60">
        <v>0</v>
      </c>
      <c r="L111" s="60">
        <v>11</v>
      </c>
      <c r="M111" s="285">
        <v>0</v>
      </c>
      <c r="N111" s="285">
        <v>0</v>
      </c>
      <c r="O111" s="60">
        <v>0</v>
      </c>
      <c r="P111" s="60">
        <v>0</v>
      </c>
      <c r="Q111" s="285">
        <v>0</v>
      </c>
      <c r="R111" s="285">
        <v>0</v>
      </c>
      <c r="S111" s="60">
        <v>9</v>
      </c>
      <c r="T111" s="285">
        <v>0</v>
      </c>
      <c r="U111" s="285">
        <v>0</v>
      </c>
      <c r="V111" s="60">
        <v>0</v>
      </c>
      <c r="W111" s="60">
        <v>0</v>
      </c>
      <c r="X111" s="60">
        <v>0</v>
      </c>
      <c r="Y111" s="60">
        <v>0</v>
      </c>
      <c r="Z111" s="285">
        <v>0</v>
      </c>
      <c r="AA111" s="60">
        <v>0</v>
      </c>
      <c r="AB111" s="60">
        <v>0</v>
      </c>
      <c r="AC111" s="60">
        <v>0</v>
      </c>
      <c r="AD111" s="60">
        <v>0</v>
      </c>
      <c r="AE111" s="285">
        <v>0</v>
      </c>
      <c r="AF111" s="285">
        <v>0</v>
      </c>
      <c r="AG111" s="60">
        <v>12</v>
      </c>
      <c r="AH111" s="60">
        <v>0</v>
      </c>
      <c r="AI111" s="60">
        <v>0</v>
      </c>
      <c r="AJ111" s="60">
        <v>0</v>
      </c>
      <c r="AK111" s="115"/>
      <c r="AL111" s="114">
        <f t="shared" si="75"/>
        <v>32</v>
      </c>
      <c r="AN111" s="116"/>
    </row>
    <row r="112" spans="2:40 15093:15485" s="1" customFormat="1" hidden="1">
      <c r="B112" s="57"/>
      <c r="C112" s="36" t="s">
        <v>79</v>
      </c>
      <c r="D112" s="55"/>
      <c r="E112" s="55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101"/>
      <c r="AD112" s="56"/>
      <c r="AE112" s="56"/>
      <c r="AF112" s="56"/>
      <c r="AG112" s="56"/>
      <c r="AH112" s="101"/>
      <c r="AI112" s="101"/>
      <c r="AJ112" s="101"/>
      <c r="AK112" s="105"/>
      <c r="AL112" s="200" t="s">
        <v>78</v>
      </c>
      <c r="AN112" s="29"/>
      <c r="VHM112"/>
      <c r="VHN112"/>
      <c r="VHO112"/>
      <c r="VHP112"/>
      <c r="VHQ112"/>
      <c r="VHR112"/>
      <c r="VHS112"/>
      <c r="VHT112"/>
      <c r="VHU112"/>
      <c r="VHV112"/>
      <c r="VHW112"/>
      <c r="VHX112"/>
      <c r="VHY112"/>
      <c r="VHZ112"/>
      <c r="VIA112"/>
      <c r="VIB112"/>
      <c r="VIC112"/>
      <c r="VID112"/>
      <c r="VIE112"/>
      <c r="VIF112"/>
      <c r="VIG112"/>
      <c r="VIH112"/>
      <c r="VII112"/>
      <c r="VIJ112"/>
      <c r="VIK112"/>
      <c r="VIL112"/>
      <c r="VIM112"/>
      <c r="VIN112"/>
      <c r="VIO112"/>
      <c r="VIP112"/>
      <c r="VIQ112"/>
      <c r="VIR112"/>
      <c r="VIS112"/>
      <c r="VIT112"/>
      <c r="VIU112"/>
      <c r="VIV112"/>
      <c r="VIW112"/>
      <c r="VIX112"/>
      <c r="VIY112"/>
      <c r="VIZ112"/>
      <c r="VJA112"/>
      <c r="VJB112"/>
      <c r="VJC112"/>
      <c r="VJD112"/>
      <c r="VJE112"/>
      <c r="VJF112"/>
      <c r="VJG112"/>
      <c r="VJH112"/>
      <c r="VJI112"/>
      <c r="VJJ112"/>
      <c r="VJK112"/>
      <c r="VJL112"/>
      <c r="VJM112"/>
      <c r="VJN112"/>
      <c r="VJO112"/>
      <c r="VJP112"/>
      <c r="VJQ112"/>
      <c r="VJR112"/>
      <c r="VJS112"/>
      <c r="VJT112"/>
      <c r="VJU112"/>
      <c r="VJV112"/>
      <c r="VJW112"/>
      <c r="VJX112"/>
      <c r="VJY112"/>
      <c r="VJZ112"/>
      <c r="VKA112"/>
      <c r="VKB112"/>
      <c r="VKC112"/>
      <c r="VKD112"/>
      <c r="VKE112"/>
      <c r="VKF112"/>
      <c r="VKG112"/>
      <c r="VKH112"/>
      <c r="VKI112"/>
      <c r="VKJ112"/>
      <c r="VKK112"/>
      <c r="VKL112"/>
      <c r="VKM112"/>
      <c r="VKN112"/>
      <c r="VKO112"/>
      <c r="VKP112"/>
      <c r="VKQ112"/>
      <c r="VKR112"/>
      <c r="VKS112"/>
      <c r="VKT112"/>
      <c r="VKU112"/>
      <c r="VKV112"/>
      <c r="VKW112"/>
      <c r="VKX112"/>
      <c r="VKY112"/>
      <c r="VKZ112"/>
      <c r="VLA112"/>
      <c r="VLB112"/>
      <c r="VLC112"/>
      <c r="VLD112"/>
      <c r="VLE112"/>
      <c r="VLF112"/>
      <c r="VLG112"/>
      <c r="VLH112"/>
      <c r="VLI112"/>
      <c r="VLJ112"/>
      <c r="VLK112"/>
      <c r="VLL112"/>
      <c r="VLM112"/>
      <c r="VLN112"/>
      <c r="VLO112"/>
      <c r="VLP112"/>
      <c r="VLQ112"/>
      <c r="VLR112"/>
      <c r="VLS112"/>
      <c r="VLT112"/>
      <c r="VLU112"/>
      <c r="VLV112"/>
      <c r="VLW112"/>
      <c r="VLX112"/>
      <c r="VLY112"/>
      <c r="VLZ112"/>
      <c r="VMA112"/>
      <c r="VMB112"/>
      <c r="VMC112"/>
      <c r="VMD112"/>
      <c r="VME112"/>
      <c r="VMF112"/>
      <c r="VMG112"/>
      <c r="VMH112"/>
      <c r="VMI112"/>
      <c r="VMJ112"/>
      <c r="VMK112"/>
      <c r="VML112"/>
      <c r="VMM112"/>
      <c r="VMN112"/>
      <c r="VMO112"/>
      <c r="VMP112"/>
      <c r="VMQ112"/>
      <c r="VMR112"/>
      <c r="VMS112"/>
      <c r="VMT112"/>
      <c r="VMU112"/>
      <c r="VMV112"/>
      <c r="VMW112"/>
      <c r="VMX112"/>
      <c r="VMY112"/>
      <c r="VMZ112"/>
      <c r="VNA112"/>
      <c r="VNB112"/>
      <c r="VNC112"/>
      <c r="VND112"/>
      <c r="VNE112"/>
      <c r="VNF112"/>
      <c r="VNG112"/>
      <c r="VNH112"/>
      <c r="VNI112"/>
      <c r="VNJ112"/>
      <c r="VNK112"/>
      <c r="VNL112"/>
      <c r="VNM112"/>
      <c r="VNN112"/>
      <c r="VNO112"/>
      <c r="VNP112"/>
      <c r="VNQ112"/>
      <c r="VNR112"/>
      <c r="VNS112"/>
      <c r="VNT112"/>
      <c r="VNU112"/>
      <c r="VNV112"/>
      <c r="VNW112"/>
      <c r="VNX112"/>
      <c r="VNY112"/>
      <c r="VNZ112"/>
      <c r="VOA112"/>
      <c r="VOB112"/>
      <c r="VOC112"/>
      <c r="VOD112"/>
      <c r="VOE112"/>
      <c r="VOF112"/>
      <c r="VOG112"/>
      <c r="VOH112"/>
      <c r="VOI112"/>
      <c r="VOJ112"/>
      <c r="VOK112"/>
      <c r="VOL112"/>
      <c r="VOM112"/>
      <c r="VON112"/>
      <c r="VOO112"/>
      <c r="VOP112"/>
      <c r="VOQ112"/>
      <c r="VOR112"/>
      <c r="VOS112"/>
      <c r="VOT112"/>
      <c r="VOU112"/>
      <c r="VOV112"/>
      <c r="VOW112"/>
      <c r="VOX112"/>
      <c r="VOY112"/>
      <c r="VOZ112"/>
      <c r="VPA112"/>
      <c r="VPB112"/>
      <c r="VPC112"/>
      <c r="VPD112"/>
      <c r="VPE112"/>
      <c r="VPF112"/>
      <c r="VPG112"/>
      <c r="VPH112"/>
      <c r="VPI112"/>
      <c r="VPJ112"/>
      <c r="VPK112"/>
      <c r="VPL112"/>
      <c r="VPM112"/>
      <c r="VPN112"/>
      <c r="VPO112"/>
      <c r="VPP112"/>
      <c r="VPQ112"/>
      <c r="VPR112"/>
      <c r="VPS112"/>
      <c r="VPT112"/>
      <c r="VPU112"/>
      <c r="VPV112"/>
      <c r="VPW112"/>
      <c r="VPX112"/>
      <c r="VPY112"/>
      <c r="VPZ112"/>
      <c r="VQA112"/>
      <c r="VQB112"/>
      <c r="VQC112"/>
      <c r="VQD112"/>
      <c r="VQE112"/>
      <c r="VQF112"/>
      <c r="VQG112"/>
      <c r="VQH112"/>
      <c r="VQI112"/>
      <c r="VQJ112"/>
      <c r="VQK112"/>
      <c r="VQL112"/>
      <c r="VQM112"/>
      <c r="VQN112"/>
      <c r="VQO112"/>
      <c r="VQP112"/>
      <c r="VQQ112"/>
      <c r="VQR112"/>
      <c r="VQS112"/>
      <c r="VQT112"/>
      <c r="VQU112"/>
      <c r="VQV112"/>
      <c r="VQW112"/>
      <c r="VQX112"/>
      <c r="VQY112"/>
      <c r="VQZ112"/>
      <c r="VRA112"/>
      <c r="VRB112"/>
      <c r="VRC112"/>
      <c r="VRD112"/>
      <c r="VRE112"/>
      <c r="VRF112"/>
      <c r="VRG112"/>
      <c r="VRH112"/>
      <c r="VRI112"/>
      <c r="VRJ112"/>
      <c r="VRK112"/>
      <c r="VRL112"/>
      <c r="VRM112"/>
      <c r="VRN112"/>
      <c r="VRO112"/>
      <c r="VRP112"/>
      <c r="VRQ112"/>
      <c r="VRR112"/>
      <c r="VRS112"/>
      <c r="VRT112"/>
      <c r="VRU112"/>
      <c r="VRV112"/>
      <c r="VRW112"/>
      <c r="VRX112"/>
      <c r="VRY112"/>
      <c r="VRZ112"/>
      <c r="VSA112"/>
      <c r="VSB112"/>
      <c r="VSC112"/>
      <c r="VSD112"/>
      <c r="VSE112"/>
      <c r="VSF112"/>
      <c r="VSG112"/>
      <c r="VSH112"/>
      <c r="VSI112"/>
      <c r="VSJ112"/>
      <c r="VSK112"/>
      <c r="VSL112"/>
      <c r="VSM112"/>
      <c r="VSN112"/>
      <c r="VSO112"/>
      <c r="VSP112"/>
      <c r="VSQ112"/>
      <c r="VSR112"/>
      <c r="VSS112"/>
      <c r="VST112"/>
      <c r="VSU112"/>
      <c r="VSV112"/>
      <c r="VSW112"/>
      <c r="VSX112"/>
      <c r="VSY112"/>
      <c r="VSZ112"/>
      <c r="VTA112"/>
      <c r="VTB112"/>
      <c r="VTC112"/>
      <c r="VTD112"/>
      <c r="VTE112"/>
      <c r="VTF112"/>
      <c r="VTG112"/>
      <c r="VTH112"/>
      <c r="VTI112"/>
      <c r="VTJ112"/>
      <c r="VTK112"/>
      <c r="VTL112"/>
      <c r="VTM112"/>
      <c r="VTN112"/>
      <c r="VTO112"/>
      <c r="VTP112"/>
      <c r="VTQ112"/>
      <c r="VTR112"/>
      <c r="VTS112"/>
      <c r="VTT112"/>
      <c r="VTU112"/>
      <c r="VTV112"/>
      <c r="VTW112"/>
      <c r="VTX112"/>
      <c r="VTY112"/>
      <c r="VTZ112"/>
      <c r="VUA112"/>
      <c r="VUB112"/>
      <c r="VUC112"/>
      <c r="VUD112"/>
      <c r="VUE112"/>
      <c r="VUF112"/>
      <c r="VUG112"/>
      <c r="VUH112"/>
      <c r="VUI112"/>
      <c r="VUJ112"/>
      <c r="VUK112"/>
      <c r="VUL112"/>
      <c r="VUM112"/>
      <c r="VUN112"/>
      <c r="VUO112"/>
      <c r="VUP112"/>
      <c r="VUQ112"/>
      <c r="VUR112"/>
      <c r="VUS112"/>
      <c r="VUT112"/>
      <c r="VUU112"/>
      <c r="VUV112"/>
      <c r="VUW112"/>
      <c r="VUX112"/>
      <c r="VUY112"/>
      <c r="VUZ112"/>
      <c r="VVA112"/>
      <c r="VVB112"/>
      <c r="VVC112"/>
      <c r="VVD112"/>
      <c r="VVE112"/>
      <c r="VVF112"/>
      <c r="VVG112"/>
      <c r="VVH112"/>
      <c r="VVI112"/>
      <c r="VVJ112"/>
      <c r="VVK112"/>
      <c r="VVL112"/>
      <c r="VVM112"/>
      <c r="VVN112"/>
      <c r="VVO112"/>
      <c r="VVP112"/>
      <c r="VVQ112"/>
      <c r="VVR112"/>
      <c r="VVS112"/>
      <c r="VVT112"/>
      <c r="VVU112"/>
      <c r="VVV112"/>
      <c r="VVW112"/>
      <c r="VVX112"/>
      <c r="VVY112"/>
      <c r="VVZ112"/>
      <c r="VWA112"/>
      <c r="VWB112"/>
      <c r="VWC112"/>
      <c r="VWD112"/>
      <c r="VWE112"/>
      <c r="VWF112"/>
      <c r="VWG112"/>
      <c r="VWH112"/>
      <c r="VWI112"/>
      <c r="VWJ112"/>
      <c r="VWK112"/>
      <c r="VWL112"/>
      <c r="VWM112"/>
      <c r="VWN112"/>
      <c r="VWO112"/>
    </row>
    <row r="113" spans="2:80 15093:15485" s="1" customFormat="1" hidden="1">
      <c r="B113" s="70"/>
      <c r="C113" s="214" t="s">
        <v>68</v>
      </c>
      <c r="D113" s="74"/>
      <c r="E113" s="70"/>
      <c r="F113" s="60"/>
      <c r="G113" s="60"/>
      <c r="H113" s="60"/>
      <c r="I113" s="285"/>
      <c r="J113" s="60"/>
      <c r="K113" s="60"/>
      <c r="L113" s="60"/>
      <c r="M113" s="285"/>
      <c r="N113" s="285"/>
      <c r="O113" s="60"/>
      <c r="P113" s="60"/>
      <c r="Q113" s="285"/>
      <c r="R113" s="285"/>
      <c r="S113" s="60"/>
      <c r="T113" s="285"/>
      <c r="U113" s="285"/>
      <c r="V113" s="60"/>
      <c r="W113" s="60"/>
      <c r="X113" s="60"/>
      <c r="Y113" s="60"/>
      <c r="Z113" s="285"/>
      <c r="AA113" s="60"/>
      <c r="AB113" s="60"/>
      <c r="AC113" s="60"/>
      <c r="AD113" s="60"/>
      <c r="AE113" s="285"/>
      <c r="AF113" s="285"/>
      <c r="AG113" s="60"/>
      <c r="AH113" s="60"/>
      <c r="AI113" s="60"/>
      <c r="AJ113" s="60"/>
      <c r="AK113" s="115"/>
      <c r="AL113" s="120" t="s">
        <v>68</v>
      </c>
      <c r="AN113" s="116"/>
    </row>
    <row r="114" spans="2:80 15093:15485" s="1" customFormat="1" ht="13.8" hidden="1">
      <c r="B114" s="70"/>
      <c r="C114" s="40" t="s">
        <v>81</v>
      </c>
      <c r="D114" s="69">
        <v>0.3</v>
      </c>
      <c r="E114" s="203" t="s">
        <v>12</v>
      </c>
      <c r="F114" s="84" t="e">
        <f t="shared" ref="F114:AJ114" si="76">F107/F98*100</f>
        <v>#DIV/0!</v>
      </c>
      <c r="G114" s="84" t="e">
        <f t="shared" si="76"/>
        <v>#DIV/0!</v>
      </c>
      <c r="H114" s="84" t="e">
        <f t="shared" si="76"/>
        <v>#DIV/0!</v>
      </c>
      <c r="I114" s="288" t="e">
        <f t="shared" si="76"/>
        <v>#DIV/0!</v>
      </c>
      <c r="J114" s="84" t="e">
        <f t="shared" si="76"/>
        <v>#DIV/0!</v>
      </c>
      <c r="K114" s="84" t="e">
        <f t="shared" si="76"/>
        <v>#DIV/0!</v>
      </c>
      <c r="L114" s="84">
        <f t="shared" si="76"/>
        <v>8.7565674255691769E-2</v>
      </c>
      <c r="M114" s="288" t="e">
        <f t="shared" si="76"/>
        <v>#DIV/0!</v>
      </c>
      <c r="N114" s="288" t="e">
        <f t="shared" si="76"/>
        <v>#DIV/0!</v>
      </c>
      <c r="O114" s="84" t="e">
        <f t="shared" si="76"/>
        <v>#DIV/0!</v>
      </c>
      <c r="P114" s="84" t="e">
        <f t="shared" si="76"/>
        <v>#DIV/0!</v>
      </c>
      <c r="Q114" s="288" t="e">
        <f t="shared" si="76"/>
        <v>#DIV/0!</v>
      </c>
      <c r="R114" s="288" t="e">
        <f t="shared" si="76"/>
        <v>#DIV/0!</v>
      </c>
      <c r="S114" s="84">
        <f t="shared" si="76"/>
        <v>2.918855808523059E-2</v>
      </c>
      <c r="T114" s="288" t="e">
        <f t="shared" si="76"/>
        <v>#DIV/0!</v>
      </c>
      <c r="U114" s="288" t="e">
        <f t="shared" si="76"/>
        <v>#DIV/0!</v>
      </c>
      <c r="V114" s="84" t="e">
        <f t="shared" si="76"/>
        <v>#DIV/0!</v>
      </c>
      <c r="W114" s="84" t="e">
        <f t="shared" si="76"/>
        <v>#DIV/0!</v>
      </c>
      <c r="X114" s="84" t="e">
        <f t="shared" si="76"/>
        <v>#DIV/0!</v>
      </c>
      <c r="Y114" s="84" t="e">
        <f t="shared" si="76"/>
        <v>#DIV/0!</v>
      </c>
      <c r="Z114" s="288" t="e">
        <f t="shared" si="76"/>
        <v>#DIV/0!</v>
      </c>
      <c r="AA114" s="84" t="e">
        <f t="shared" si="76"/>
        <v>#DIV/0!</v>
      </c>
      <c r="AB114" s="84" t="e">
        <f t="shared" si="76"/>
        <v>#DIV/0!</v>
      </c>
      <c r="AC114" s="84" t="e">
        <f t="shared" si="76"/>
        <v>#DIV/0!</v>
      </c>
      <c r="AD114" s="84" t="e">
        <f t="shared" si="76"/>
        <v>#DIV/0!</v>
      </c>
      <c r="AE114" s="288" t="e">
        <f t="shared" si="76"/>
        <v>#DIV/0!</v>
      </c>
      <c r="AF114" s="288" t="e">
        <f t="shared" si="76"/>
        <v>#DIV/0!</v>
      </c>
      <c r="AG114" s="84">
        <f t="shared" si="76"/>
        <v>5.3191489361702128E-2</v>
      </c>
      <c r="AH114" s="84" t="e">
        <f t="shared" si="76"/>
        <v>#DIV/0!</v>
      </c>
      <c r="AI114" s="84">
        <f t="shared" ref="AI114" si="77">AI107/AI98*100</f>
        <v>0</v>
      </c>
      <c r="AJ114" s="84" t="e">
        <f t="shared" si="76"/>
        <v>#DIV/0!</v>
      </c>
      <c r="AK114" s="115"/>
      <c r="AL114" s="117">
        <f>AL107/AL98*100</f>
        <v>4.6289152908501774E-2</v>
      </c>
      <c r="AN114" s="116"/>
    </row>
    <row r="115" spans="2:80 15093:15485" s="1" customFormat="1" ht="13.8" hidden="1">
      <c r="B115" s="70"/>
      <c r="C115" s="40" t="s">
        <v>82</v>
      </c>
      <c r="D115" s="69">
        <v>0.3</v>
      </c>
      <c r="E115" s="203" t="s">
        <v>12</v>
      </c>
      <c r="F115" s="84" t="e">
        <f t="shared" ref="F115:AJ115" si="78">F108/F99*100</f>
        <v>#DIV/0!</v>
      </c>
      <c r="G115" s="84" t="e">
        <f t="shared" si="78"/>
        <v>#DIV/0!</v>
      </c>
      <c r="H115" s="84" t="e">
        <f t="shared" si="78"/>
        <v>#DIV/0!</v>
      </c>
      <c r="I115" s="288" t="e">
        <f t="shared" si="78"/>
        <v>#DIV/0!</v>
      </c>
      <c r="J115" s="84" t="e">
        <f t="shared" si="78"/>
        <v>#DIV/0!</v>
      </c>
      <c r="K115" s="84" t="e">
        <f t="shared" si="78"/>
        <v>#DIV/0!</v>
      </c>
      <c r="L115" s="84">
        <f t="shared" si="78"/>
        <v>0.10218978102189782</v>
      </c>
      <c r="M115" s="288" t="e">
        <f t="shared" si="78"/>
        <v>#DIV/0!</v>
      </c>
      <c r="N115" s="288" t="e">
        <f t="shared" si="78"/>
        <v>#DIV/0!</v>
      </c>
      <c r="O115" s="84" t="e">
        <f t="shared" si="78"/>
        <v>#DIV/0!</v>
      </c>
      <c r="P115" s="84" t="e">
        <f t="shared" si="78"/>
        <v>#DIV/0!</v>
      </c>
      <c r="Q115" s="288" t="e">
        <f t="shared" si="78"/>
        <v>#DIV/0!</v>
      </c>
      <c r="R115" s="288" t="e">
        <f t="shared" si="78"/>
        <v>#DIV/0!</v>
      </c>
      <c r="S115" s="84">
        <f t="shared" si="78"/>
        <v>2.9197080291970805E-2</v>
      </c>
      <c r="T115" s="288" t="e">
        <f t="shared" si="78"/>
        <v>#DIV/0!</v>
      </c>
      <c r="U115" s="288" t="e">
        <f t="shared" si="78"/>
        <v>#DIV/0!</v>
      </c>
      <c r="V115" s="84" t="e">
        <f t="shared" si="78"/>
        <v>#DIV/0!</v>
      </c>
      <c r="W115" s="84" t="e">
        <f t="shared" si="78"/>
        <v>#DIV/0!</v>
      </c>
      <c r="X115" s="84" t="e">
        <f t="shared" si="78"/>
        <v>#DIV/0!</v>
      </c>
      <c r="Y115" s="84" t="e">
        <f t="shared" si="78"/>
        <v>#DIV/0!</v>
      </c>
      <c r="Z115" s="288" t="e">
        <f t="shared" si="78"/>
        <v>#DIV/0!</v>
      </c>
      <c r="AA115" s="84" t="e">
        <f t="shared" si="78"/>
        <v>#DIV/0!</v>
      </c>
      <c r="AB115" s="84" t="e">
        <f t="shared" si="78"/>
        <v>#DIV/0!</v>
      </c>
      <c r="AC115" s="84" t="e">
        <f t="shared" si="78"/>
        <v>#DIV/0!</v>
      </c>
      <c r="AD115" s="84" t="e">
        <f t="shared" si="78"/>
        <v>#DIV/0!</v>
      </c>
      <c r="AE115" s="288" t="e">
        <f t="shared" si="78"/>
        <v>#DIV/0!</v>
      </c>
      <c r="AF115" s="288">
        <f t="shared" si="78"/>
        <v>0.5</v>
      </c>
      <c r="AG115" s="84">
        <f t="shared" si="78"/>
        <v>6.0679611650485431E-2</v>
      </c>
      <c r="AH115" s="84" t="e">
        <f t="shared" si="78"/>
        <v>#DIV/0!</v>
      </c>
      <c r="AI115" s="84">
        <f t="shared" ref="AI115" si="79">AI108/AI99*100</f>
        <v>0</v>
      </c>
      <c r="AJ115" s="84" t="e">
        <f t="shared" si="78"/>
        <v>#DIV/0!</v>
      </c>
      <c r="AK115" s="115"/>
      <c r="AL115" s="117">
        <f>AL108/AL99*100</f>
        <v>6.7658998646820026E-2</v>
      </c>
      <c r="AN115" s="116"/>
    </row>
    <row r="116" spans="2:80 15093:15485" s="1" customFormat="1" hidden="1">
      <c r="B116" s="70"/>
      <c r="C116" s="214" t="s">
        <v>72</v>
      </c>
      <c r="D116" s="69"/>
      <c r="E116" s="70"/>
      <c r="F116" s="84"/>
      <c r="G116" s="84"/>
      <c r="H116" s="84"/>
      <c r="I116" s="288"/>
      <c r="J116" s="84"/>
      <c r="K116" s="84"/>
      <c r="L116" s="84"/>
      <c r="M116" s="288"/>
      <c r="N116" s="288"/>
      <c r="O116" s="84"/>
      <c r="P116" s="84"/>
      <c r="Q116" s="288"/>
      <c r="R116" s="288"/>
      <c r="S116" s="84"/>
      <c r="T116" s="288"/>
      <c r="U116" s="288"/>
      <c r="V116" s="84"/>
      <c r="W116" s="84"/>
      <c r="X116" s="84"/>
      <c r="Y116" s="84"/>
      <c r="Z116" s="288"/>
      <c r="AA116" s="84"/>
      <c r="AB116" s="84"/>
      <c r="AC116" s="84"/>
      <c r="AD116" s="84"/>
      <c r="AE116" s="288"/>
      <c r="AF116" s="288"/>
      <c r="AG116" s="84"/>
      <c r="AH116" s="84"/>
      <c r="AI116" s="84"/>
      <c r="AJ116" s="84"/>
      <c r="AK116" s="115"/>
      <c r="AL116" s="120" t="s">
        <v>72</v>
      </c>
      <c r="AN116" s="116"/>
    </row>
    <row r="117" spans="2:80 15093:15485" s="1" customFormat="1" ht="13.8" hidden="1">
      <c r="B117" s="70"/>
      <c r="C117" s="40" t="s">
        <v>81</v>
      </c>
      <c r="D117" s="69">
        <v>0.5</v>
      </c>
      <c r="E117" s="203" t="s">
        <v>12</v>
      </c>
      <c r="F117" s="84" t="e">
        <f t="shared" ref="F117:AJ117" si="80">F110/F101*100</f>
        <v>#DIV/0!</v>
      </c>
      <c r="G117" s="84" t="e">
        <f t="shared" si="80"/>
        <v>#DIV/0!</v>
      </c>
      <c r="H117" s="84" t="e">
        <f t="shared" si="80"/>
        <v>#DIV/0!</v>
      </c>
      <c r="I117" s="288" t="e">
        <f t="shared" si="80"/>
        <v>#DIV/0!</v>
      </c>
      <c r="J117" s="84" t="e">
        <f t="shared" si="80"/>
        <v>#DIV/0!</v>
      </c>
      <c r="K117" s="84" t="e">
        <f t="shared" si="80"/>
        <v>#DIV/0!</v>
      </c>
      <c r="L117" s="84">
        <f t="shared" si="80"/>
        <v>2.918855808523059E-2</v>
      </c>
      <c r="M117" s="288" t="e">
        <f t="shared" si="80"/>
        <v>#DIV/0!</v>
      </c>
      <c r="N117" s="288" t="e">
        <f t="shared" si="80"/>
        <v>#DIV/0!</v>
      </c>
      <c r="O117" s="84" t="e">
        <f t="shared" si="80"/>
        <v>#DIV/0!</v>
      </c>
      <c r="P117" s="84" t="e">
        <f t="shared" si="80"/>
        <v>#DIV/0!</v>
      </c>
      <c r="Q117" s="288" t="e">
        <f t="shared" si="80"/>
        <v>#DIV/0!</v>
      </c>
      <c r="R117" s="288" t="e">
        <f t="shared" si="80"/>
        <v>#DIV/0!</v>
      </c>
      <c r="S117" s="84">
        <f t="shared" si="80"/>
        <v>2.1891418563922942E-2</v>
      </c>
      <c r="T117" s="288" t="e">
        <f t="shared" si="80"/>
        <v>#DIV/0!</v>
      </c>
      <c r="U117" s="288" t="e">
        <f t="shared" si="80"/>
        <v>#DIV/0!</v>
      </c>
      <c r="V117" s="84" t="e">
        <f t="shared" si="80"/>
        <v>#DIV/0!</v>
      </c>
      <c r="W117" s="84" t="e">
        <f t="shared" si="80"/>
        <v>#DIV/0!</v>
      </c>
      <c r="X117" s="84" t="e">
        <f t="shared" si="80"/>
        <v>#DIV/0!</v>
      </c>
      <c r="Y117" s="84" t="e">
        <f t="shared" si="80"/>
        <v>#DIV/0!</v>
      </c>
      <c r="Z117" s="288" t="e">
        <f t="shared" si="80"/>
        <v>#DIV/0!</v>
      </c>
      <c r="AA117" s="84" t="e">
        <f t="shared" si="80"/>
        <v>#DIV/0!</v>
      </c>
      <c r="AB117" s="84" t="e">
        <f t="shared" si="80"/>
        <v>#DIV/0!</v>
      </c>
      <c r="AC117" s="84" t="e">
        <f t="shared" si="80"/>
        <v>#DIV/0!</v>
      </c>
      <c r="AD117" s="84" t="e">
        <f t="shared" si="80"/>
        <v>#DIV/0!</v>
      </c>
      <c r="AE117" s="288" t="e">
        <f t="shared" si="80"/>
        <v>#DIV/0!</v>
      </c>
      <c r="AF117" s="288" t="e">
        <f t="shared" si="80"/>
        <v>#DIV/0!</v>
      </c>
      <c r="AG117" s="84">
        <f t="shared" si="80"/>
        <v>0</v>
      </c>
      <c r="AH117" s="84" t="e">
        <f t="shared" si="80"/>
        <v>#DIV/0!</v>
      </c>
      <c r="AI117" s="84">
        <f t="shared" ref="AI117" si="81">AI110/AI101*100</f>
        <v>0</v>
      </c>
      <c r="AJ117" s="84" t="e">
        <f t="shared" si="80"/>
        <v>#DIV/0!</v>
      </c>
      <c r="AK117" s="115"/>
      <c r="AL117" s="117">
        <f>AL110/AL101*100</f>
        <v>1.350100293164635E-2</v>
      </c>
      <c r="AN117" s="116"/>
    </row>
    <row r="118" spans="2:80 15093:15485" s="1" customFormat="1" ht="13.8" hidden="1">
      <c r="B118" s="70"/>
      <c r="C118" s="40" t="s">
        <v>82</v>
      </c>
      <c r="D118" s="69">
        <v>0.5</v>
      </c>
      <c r="E118" s="203" t="s">
        <v>12</v>
      </c>
      <c r="F118" s="84" t="e">
        <f t="shared" ref="F118:AJ118" si="82">F111/F102*100</f>
        <v>#DIV/0!</v>
      </c>
      <c r="G118" s="84" t="e">
        <f t="shared" si="82"/>
        <v>#DIV/0!</v>
      </c>
      <c r="H118" s="84" t="e">
        <f t="shared" si="82"/>
        <v>#DIV/0!</v>
      </c>
      <c r="I118" s="288" t="e">
        <f t="shared" si="82"/>
        <v>#DIV/0!</v>
      </c>
      <c r="J118" s="84" t="e">
        <f t="shared" si="82"/>
        <v>#DIV/0!</v>
      </c>
      <c r="K118" s="84" t="e">
        <f t="shared" si="82"/>
        <v>#DIV/0!</v>
      </c>
      <c r="L118" s="84">
        <f t="shared" si="82"/>
        <v>2.6763990267639905E-2</v>
      </c>
      <c r="M118" s="288" t="e">
        <f t="shared" si="82"/>
        <v>#DIV/0!</v>
      </c>
      <c r="N118" s="288" t="e">
        <f t="shared" si="82"/>
        <v>#DIV/0!</v>
      </c>
      <c r="O118" s="84" t="e">
        <f t="shared" si="82"/>
        <v>#DIV/0!</v>
      </c>
      <c r="P118" s="84" t="e">
        <f t="shared" si="82"/>
        <v>#DIV/0!</v>
      </c>
      <c r="Q118" s="288" t="e">
        <f t="shared" si="82"/>
        <v>#DIV/0!</v>
      </c>
      <c r="R118" s="288" t="e">
        <f t="shared" si="82"/>
        <v>#DIV/0!</v>
      </c>
      <c r="S118" s="84">
        <f t="shared" si="82"/>
        <v>2.18978102189781E-2</v>
      </c>
      <c r="T118" s="288" t="e">
        <f t="shared" si="82"/>
        <v>#DIV/0!</v>
      </c>
      <c r="U118" s="288" t="e">
        <f t="shared" si="82"/>
        <v>#DIV/0!</v>
      </c>
      <c r="V118" s="84" t="e">
        <f t="shared" si="82"/>
        <v>#DIV/0!</v>
      </c>
      <c r="W118" s="84" t="e">
        <f t="shared" si="82"/>
        <v>#DIV/0!</v>
      </c>
      <c r="X118" s="84" t="e">
        <f t="shared" si="82"/>
        <v>#DIV/0!</v>
      </c>
      <c r="Y118" s="84" t="e">
        <f t="shared" si="82"/>
        <v>#DIV/0!</v>
      </c>
      <c r="Z118" s="288" t="e">
        <f t="shared" si="82"/>
        <v>#DIV/0!</v>
      </c>
      <c r="AA118" s="84" t="e">
        <f t="shared" si="82"/>
        <v>#DIV/0!</v>
      </c>
      <c r="AB118" s="84" t="e">
        <f t="shared" si="82"/>
        <v>#DIV/0!</v>
      </c>
      <c r="AC118" s="84" t="e">
        <f t="shared" si="82"/>
        <v>#DIV/0!</v>
      </c>
      <c r="AD118" s="84" t="e">
        <f t="shared" si="82"/>
        <v>#DIV/0!</v>
      </c>
      <c r="AE118" s="288" t="e">
        <f t="shared" si="82"/>
        <v>#DIV/0!</v>
      </c>
      <c r="AF118" s="288">
        <f t="shared" si="82"/>
        <v>0</v>
      </c>
      <c r="AG118" s="84">
        <f t="shared" si="82"/>
        <v>3.0339805825242715E-2</v>
      </c>
      <c r="AH118" s="84" t="e">
        <f t="shared" si="82"/>
        <v>#DIV/0!</v>
      </c>
      <c r="AI118" s="84">
        <f t="shared" ref="AI118" si="83">AI111/AI102*100</f>
        <v>0</v>
      </c>
      <c r="AJ118" s="84" t="e">
        <f t="shared" si="82"/>
        <v>#DIV/0!</v>
      </c>
      <c r="AK118" s="115"/>
      <c r="AL118" s="117">
        <f>AL111/AL102*100</f>
        <v>2.577485662736001E-2</v>
      </c>
      <c r="AN118" s="116"/>
    </row>
    <row r="119" spans="2:80 15093:15485" s="1" customFormat="1" hidden="1">
      <c r="B119" s="54">
        <v>7</v>
      </c>
      <c r="C119" s="36" t="s">
        <v>134</v>
      </c>
      <c r="D119" s="55"/>
      <c r="E119" s="55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101"/>
      <c r="AD119" s="56"/>
      <c r="AE119" s="56"/>
      <c r="AF119" s="56"/>
      <c r="AG119" s="56"/>
      <c r="AH119" s="101"/>
      <c r="AI119" s="101"/>
      <c r="AJ119" s="101"/>
      <c r="AK119" s="105"/>
      <c r="AL119" s="200" t="s">
        <v>63</v>
      </c>
      <c r="AN119" s="29"/>
      <c r="BZ119" s="1">
        <v>5121.8861000000006</v>
      </c>
      <c r="VHM119"/>
      <c r="VHN119"/>
      <c r="VHO119"/>
      <c r="VHP119"/>
      <c r="VHQ119"/>
      <c r="VHR119"/>
      <c r="VHS119"/>
      <c r="VHT119"/>
      <c r="VHU119"/>
      <c r="VHV119"/>
      <c r="VHW119"/>
      <c r="VHX119"/>
      <c r="VHY119"/>
      <c r="VHZ119"/>
      <c r="VIA119"/>
      <c r="VIB119"/>
      <c r="VIC119"/>
      <c r="VID119"/>
      <c r="VIE119"/>
      <c r="VIF119"/>
      <c r="VIG119"/>
      <c r="VIH119"/>
      <c r="VII119"/>
      <c r="VIJ119"/>
      <c r="VIK119"/>
      <c r="VIL119"/>
      <c r="VIM119"/>
      <c r="VIN119"/>
      <c r="VIO119"/>
      <c r="VIP119"/>
      <c r="VIQ119"/>
      <c r="VIR119"/>
      <c r="VIS119"/>
      <c r="VIT119"/>
      <c r="VIU119"/>
      <c r="VIV119"/>
      <c r="VIW119"/>
      <c r="VIX119"/>
      <c r="VIY119"/>
      <c r="VIZ119"/>
      <c r="VJA119"/>
      <c r="VJB119"/>
      <c r="VJC119"/>
      <c r="VJD119"/>
      <c r="VJE119"/>
      <c r="VJF119"/>
      <c r="VJG119"/>
      <c r="VJH119"/>
      <c r="VJI119"/>
      <c r="VJJ119"/>
      <c r="VJK119"/>
      <c r="VJL119"/>
      <c r="VJM119"/>
      <c r="VJN119"/>
      <c r="VJO119"/>
      <c r="VJP119"/>
      <c r="VJQ119"/>
      <c r="VJR119"/>
      <c r="VJS119"/>
      <c r="VJT119"/>
      <c r="VJU119"/>
      <c r="VJV119"/>
      <c r="VJW119"/>
      <c r="VJX119"/>
      <c r="VJY119"/>
      <c r="VJZ119"/>
      <c r="VKA119"/>
      <c r="VKB119"/>
      <c r="VKC119"/>
      <c r="VKD119"/>
      <c r="VKE119"/>
      <c r="VKF119"/>
      <c r="VKG119"/>
      <c r="VKH119"/>
      <c r="VKI119"/>
      <c r="VKJ119"/>
      <c r="VKK119"/>
      <c r="VKL119"/>
      <c r="VKM119"/>
      <c r="VKN119"/>
      <c r="VKO119"/>
      <c r="VKP119"/>
      <c r="VKQ119"/>
      <c r="VKR119"/>
      <c r="VKS119"/>
      <c r="VKT119"/>
      <c r="VKU119"/>
      <c r="VKV119"/>
      <c r="VKW119"/>
      <c r="VKX119"/>
      <c r="VKY119"/>
      <c r="VKZ119"/>
      <c r="VLA119"/>
      <c r="VLB119"/>
      <c r="VLC119"/>
      <c r="VLD119"/>
      <c r="VLE119"/>
      <c r="VLF119"/>
      <c r="VLG119"/>
      <c r="VLH119"/>
      <c r="VLI119"/>
      <c r="VLJ119"/>
      <c r="VLK119"/>
      <c r="VLL119"/>
      <c r="VLM119"/>
      <c r="VLN119"/>
      <c r="VLO119"/>
      <c r="VLP119"/>
      <c r="VLQ119"/>
      <c r="VLR119"/>
      <c r="VLS119"/>
      <c r="VLT119"/>
      <c r="VLU119"/>
      <c r="VLV119"/>
      <c r="VLW119"/>
      <c r="VLX119"/>
      <c r="VLY119"/>
      <c r="VLZ119"/>
      <c r="VMA119"/>
      <c r="VMB119"/>
      <c r="VMC119"/>
      <c r="VMD119"/>
      <c r="VME119"/>
      <c r="VMF119"/>
      <c r="VMG119"/>
      <c r="VMH119"/>
      <c r="VMI119"/>
      <c r="VMJ119"/>
      <c r="VMK119"/>
      <c r="VML119"/>
      <c r="VMM119"/>
      <c r="VMN119"/>
      <c r="VMO119"/>
      <c r="VMP119"/>
      <c r="VMQ119"/>
      <c r="VMR119"/>
      <c r="VMS119"/>
      <c r="VMT119"/>
      <c r="VMU119"/>
      <c r="VMV119"/>
      <c r="VMW119"/>
      <c r="VMX119"/>
      <c r="VMY119"/>
      <c r="VMZ119"/>
      <c r="VNA119"/>
      <c r="VNB119"/>
      <c r="VNC119"/>
      <c r="VND119"/>
      <c r="VNE119"/>
      <c r="VNF119"/>
      <c r="VNG119"/>
      <c r="VNH119"/>
      <c r="VNI119"/>
      <c r="VNJ119"/>
      <c r="VNK119"/>
      <c r="VNL119"/>
      <c r="VNM119"/>
      <c r="VNN119"/>
      <c r="VNO119"/>
      <c r="VNP119"/>
      <c r="VNQ119"/>
      <c r="VNR119"/>
      <c r="VNS119"/>
      <c r="VNT119"/>
      <c r="VNU119"/>
      <c r="VNV119"/>
      <c r="VNW119"/>
      <c r="VNX119"/>
      <c r="VNY119"/>
      <c r="VNZ119"/>
      <c r="VOA119"/>
      <c r="VOB119"/>
      <c r="VOC119"/>
      <c r="VOD119"/>
      <c r="VOE119"/>
      <c r="VOF119"/>
      <c r="VOG119"/>
      <c r="VOH119"/>
      <c r="VOI119"/>
      <c r="VOJ119"/>
      <c r="VOK119"/>
      <c r="VOL119"/>
      <c r="VOM119"/>
      <c r="VON119"/>
      <c r="VOO119"/>
      <c r="VOP119"/>
      <c r="VOQ119"/>
      <c r="VOR119"/>
      <c r="VOS119"/>
      <c r="VOT119"/>
      <c r="VOU119"/>
      <c r="VOV119"/>
      <c r="VOW119"/>
      <c r="VOX119"/>
      <c r="VOY119"/>
      <c r="VOZ119"/>
      <c r="VPA119"/>
      <c r="VPB119"/>
      <c r="VPC119"/>
      <c r="VPD119"/>
      <c r="VPE119"/>
      <c r="VPF119"/>
      <c r="VPG119"/>
      <c r="VPH119"/>
      <c r="VPI119"/>
      <c r="VPJ119"/>
      <c r="VPK119"/>
      <c r="VPL119"/>
      <c r="VPM119"/>
      <c r="VPN119"/>
      <c r="VPO119"/>
      <c r="VPP119"/>
      <c r="VPQ119"/>
      <c r="VPR119"/>
      <c r="VPS119"/>
      <c r="VPT119"/>
      <c r="VPU119"/>
      <c r="VPV119"/>
      <c r="VPW119"/>
      <c r="VPX119"/>
      <c r="VPY119"/>
      <c r="VPZ119"/>
      <c r="VQA119"/>
      <c r="VQB119"/>
      <c r="VQC119"/>
      <c r="VQD119"/>
      <c r="VQE119"/>
      <c r="VQF119"/>
      <c r="VQG119"/>
      <c r="VQH119"/>
      <c r="VQI119"/>
      <c r="VQJ119"/>
      <c r="VQK119"/>
      <c r="VQL119"/>
      <c r="VQM119"/>
      <c r="VQN119"/>
      <c r="VQO119"/>
      <c r="VQP119"/>
      <c r="VQQ119"/>
      <c r="VQR119"/>
      <c r="VQS119"/>
      <c r="VQT119"/>
      <c r="VQU119"/>
      <c r="VQV119"/>
      <c r="VQW119"/>
      <c r="VQX119"/>
      <c r="VQY119"/>
      <c r="VQZ119"/>
      <c r="VRA119"/>
      <c r="VRB119"/>
      <c r="VRC119"/>
      <c r="VRD119"/>
      <c r="VRE119"/>
      <c r="VRF119"/>
      <c r="VRG119"/>
      <c r="VRH119"/>
      <c r="VRI119"/>
      <c r="VRJ119"/>
      <c r="VRK119"/>
      <c r="VRL119"/>
      <c r="VRM119"/>
      <c r="VRN119"/>
      <c r="VRO119"/>
      <c r="VRP119"/>
      <c r="VRQ119"/>
      <c r="VRR119"/>
      <c r="VRS119"/>
      <c r="VRT119"/>
      <c r="VRU119"/>
      <c r="VRV119"/>
      <c r="VRW119"/>
      <c r="VRX119"/>
      <c r="VRY119"/>
      <c r="VRZ119"/>
      <c r="VSA119"/>
      <c r="VSB119"/>
      <c r="VSC119"/>
      <c r="VSD119"/>
      <c r="VSE119"/>
      <c r="VSF119"/>
      <c r="VSG119"/>
      <c r="VSH119"/>
      <c r="VSI119"/>
      <c r="VSJ119"/>
      <c r="VSK119"/>
      <c r="VSL119"/>
      <c r="VSM119"/>
      <c r="VSN119"/>
      <c r="VSO119"/>
      <c r="VSP119"/>
      <c r="VSQ119"/>
      <c r="VSR119"/>
      <c r="VSS119"/>
      <c r="VST119"/>
      <c r="VSU119"/>
      <c r="VSV119"/>
      <c r="VSW119"/>
      <c r="VSX119"/>
      <c r="VSY119"/>
      <c r="VSZ119"/>
      <c r="VTA119"/>
      <c r="VTB119"/>
      <c r="VTC119"/>
      <c r="VTD119"/>
      <c r="VTE119"/>
      <c r="VTF119"/>
      <c r="VTG119"/>
      <c r="VTH119"/>
      <c r="VTI119"/>
      <c r="VTJ119"/>
      <c r="VTK119"/>
      <c r="VTL119"/>
      <c r="VTM119"/>
      <c r="VTN119"/>
      <c r="VTO119"/>
      <c r="VTP119"/>
      <c r="VTQ119"/>
      <c r="VTR119"/>
      <c r="VTS119"/>
      <c r="VTT119"/>
      <c r="VTU119"/>
      <c r="VTV119"/>
      <c r="VTW119"/>
      <c r="VTX119"/>
      <c r="VTY119"/>
      <c r="VTZ119"/>
      <c r="VUA119"/>
      <c r="VUB119"/>
      <c r="VUC119"/>
      <c r="VUD119"/>
      <c r="VUE119"/>
      <c r="VUF119"/>
      <c r="VUG119"/>
      <c r="VUH119"/>
      <c r="VUI119"/>
      <c r="VUJ119"/>
      <c r="VUK119"/>
      <c r="VUL119"/>
      <c r="VUM119"/>
      <c r="VUN119"/>
      <c r="VUO119"/>
      <c r="VUP119"/>
      <c r="VUQ119"/>
      <c r="VUR119"/>
      <c r="VUS119"/>
      <c r="VUT119"/>
      <c r="VUU119"/>
      <c r="VUV119"/>
      <c r="VUW119"/>
      <c r="VUX119"/>
      <c r="VUY119"/>
      <c r="VUZ119"/>
      <c r="VVA119"/>
      <c r="VVB119"/>
      <c r="VVC119"/>
      <c r="VVD119"/>
      <c r="VVE119"/>
      <c r="VVF119"/>
      <c r="VVG119"/>
      <c r="VVH119"/>
      <c r="VVI119"/>
      <c r="VVJ119"/>
      <c r="VVK119"/>
      <c r="VVL119"/>
      <c r="VVM119"/>
      <c r="VVN119"/>
      <c r="VVO119"/>
      <c r="VVP119"/>
      <c r="VVQ119"/>
      <c r="VVR119"/>
      <c r="VVS119"/>
      <c r="VVT119"/>
      <c r="VVU119"/>
      <c r="VVV119"/>
      <c r="VVW119"/>
      <c r="VVX119"/>
      <c r="VVY119"/>
      <c r="VVZ119"/>
      <c r="VWA119"/>
      <c r="VWB119"/>
      <c r="VWC119"/>
      <c r="VWD119"/>
      <c r="VWE119"/>
      <c r="VWF119"/>
      <c r="VWG119"/>
      <c r="VWH119"/>
      <c r="VWI119"/>
      <c r="VWJ119"/>
      <c r="VWK119"/>
      <c r="VWL119"/>
      <c r="VWM119"/>
      <c r="VWN119"/>
      <c r="VWO119"/>
    </row>
    <row r="120" spans="2:80 15093:15485" s="1" customFormat="1" ht="13.8" hidden="1">
      <c r="B120" s="70"/>
      <c r="C120" s="212" t="s">
        <v>138</v>
      </c>
      <c r="D120" s="141"/>
      <c r="E120" s="213" t="s">
        <v>9</v>
      </c>
      <c r="F120" s="142">
        <v>0</v>
      </c>
      <c r="G120" s="142">
        <v>0</v>
      </c>
      <c r="H120" s="142">
        <v>10041</v>
      </c>
      <c r="I120" s="296">
        <v>10393</v>
      </c>
      <c r="J120" s="142">
        <v>3201</v>
      </c>
      <c r="K120" s="142">
        <v>3232</v>
      </c>
      <c r="L120" s="142">
        <v>4624</v>
      </c>
      <c r="M120" s="296">
        <v>0</v>
      </c>
      <c r="N120" s="296"/>
      <c r="O120" s="142">
        <v>15414</v>
      </c>
      <c r="P120" s="142">
        <v>15054</v>
      </c>
      <c r="Q120" s="296">
        <v>15074</v>
      </c>
      <c r="R120" s="296">
        <v>14961</v>
      </c>
      <c r="S120" s="142">
        <v>14961</v>
      </c>
      <c r="T120" s="296">
        <v>96513</v>
      </c>
      <c r="U120" s="296">
        <v>16149</v>
      </c>
      <c r="V120" s="142"/>
      <c r="W120" s="142">
        <v>10259</v>
      </c>
      <c r="X120" s="142">
        <v>0</v>
      </c>
      <c r="Y120" s="142">
        <v>10239</v>
      </c>
      <c r="Z120" s="296">
        <v>10106</v>
      </c>
      <c r="AA120" s="142">
        <v>15218</v>
      </c>
      <c r="AB120" s="142"/>
      <c r="AC120" s="142">
        <v>14718</v>
      </c>
      <c r="AD120" s="142">
        <v>15100</v>
      </c>
      <c r="AE120" s="296">
        <v>5135</v>
      </c>
      <c r="AF120" s="296">
        <v>5167</v>
      </c>
      <c r="AG120" s="142">
        <v>5163</v>
      </c>
      <c r="AH120" s="142">
        <v>57101</v>
      </c>
      <c r="AI120" s="142">
        <v>0</v>
      </c>
      <c r="AJ120" s="142">
        <v>0</v>
      </c>
      <c r="AK120" s="156"/>
      <c r="AL120" s="154">
        <f>SUM(F120:AJ120)</f>
        <v>367823</v>
      </c>
      <c r="AN120" s="116"/>
      <c r="BH120" s="237"/>
      <c r="BZ120" s="1">
        <v>5170.6535000000003</v>
      </c>
    </row>
    <row r="121" spans="2:80 15093:15485" s="1" customFormat="1" ht="13.8" hidden="1">
      <c r="B121" s="70"/>
      <c r="C121" s="212" t="s">
        <v>135</v>
      </c>
      <c r="D121" s="141"/>
      <c r="E121" s="213" t="s">
        <v>9</v>
      </c>
      <c r="F121" s="142">
        <v>0</v>
      </c>
      <c r="G121" s="142">
        <v>0</v>
      </c>
      <c r="H121" s="142">
        <v>4603.5540000000001</v>
      </c>
      <c r="I121" s="296">
        <v>10096.541999999999</v>
      </c>
      <c r="J121" s="142">
        <v>10712.304000000002</v>
      </c>
      <c r="K121" s="142">
        <v>3196.098</v>
      </c>
      <c r="L121" s="142">
        <v>2443.5</v>
      </c>
      <c r="M121" s="296">
        <v>2443.5</v>
      </c>
      <c r="N121" s="296">
        <v>0</v>
      </c>
      <c r="O121" s="142">
        <v>2932.2000000000003</v>
      </c>
      <c r="P121" s="142">
        <v>14661.815000000001</v>
      </c>
      <c r="Q121" s="296">
        <v>15844.469000000001</v>
      </c>
      <c r="R121" s="296">
        <v>15082.097000000002</v>
      </c>
      <c r="S121" s="142">
        <v>14955.035000000002</v>
      </c>
      <c r="T121" s="296">
        <v>14943.146360000002</v>
      </c>
      <c r="U121" s="296">
        <v>83944.593880000015</v>
      </c>
      <c r="V121" s="142">
        <v>14670.95002</v>
      </c>
      <c r="W121" s="142">
        <v>14068.040260000002</v>
      </c>
      <c r="X121" s="142">
        <v>5316.9557000000004</v>
      </c>
      <c r="Y121" s="142">
        <v>4936.5699800000002</v>
      </c>
      <c r="Z121" s="296">
        <v>5014.59782</v>
      </c>
      <c r="AA121" s="142">
        <v>15326.23918</v>
      </c>
      <c r="AB121" s="142">
        <v>0</v>
      </c>
      <c r="AC121" s="142">
        <v>15062.89522</v>
      </c>
      <c r="AD121" s="142">
        <v>14886.429680000001</v>
      </c>
      <c r="AE121" s="296">
        <v>15091.252760000003</v>
      </c>
      <c r="AF121" s="296">
        <v>5121.8861000000006</v>
      </c>
      <c r="AG121" s="142">
        <v>5170.6535000000003</v>
      </c>
      <c r="AH121" s="142">
        <v>5160.90002</v>
      </c>
      <c r="AI121" s="142">
        <v>0</v>
      </c>
      <c r="AJ121" s="142">
        <v>14633.742099999999</v>
      </c>
      <c r="AK121" s="156"/>
      <c r="AL121" s="154">
        <f>SUM(F121:AJ121)</f>
        <v>330319.96658000001</v>
      </c>
      <c r="AN121" s="116"/>
      <c r="BZ121" s="1">
        <v>5160.90002</v>
      </c>
    </row>
    <row r="122" spans="2:80 15093:15485" s="1" customFormat="1" hidden="1">
      <c r="B122" s="70"/>
      <c r="C122" s="214" t="s">
        <v>66</v>
      </c>
      <c r="D122" s="74"/>
      <c r="E122" s="203" t="s">
        <v>9</v>
      </c>
      <c r="F122" s="84">
        <f>SUM(F125:F127)*9.774</f>
        <v>0</v>
      </c>
      <c r="G122" s="84">
        <f t="shared" ref="G122:Q122" si="84">SUM(G125:G127)*9.774</f>
        <v>0</v>
      </c>
      <c r="H122" s="84">
        <f t="shared" si="84"/>
        <v>4603.5539999999992</v>
      </c>
      <c r="I122" s="288">
        <f t="shared" si="84"/>
        <v>10096.541999999999</v>
      </c>
      <c r="J122" s="84">
        <f t="shared" si="84"/>
        <v>10712.303999999998</v>
      </c>
      <c r="K122" s="84">
        <f t="shared" si="84"/>
        <v>3196.0979999999995</v>
      </c>
      <c r="L122" s="84">
        <f t="shared" si="84"/>
        <v>2443.5</v>
      </c>
      <c r="M122" s="288">
        <f t="shared" si="84"/>
        <v>2443.5</v>
      </c>
      <c r="N122" s="288">
        <f t="shared" si="84"/>
        <v>0</v>
      </c>
      <c r="O122" s="84">
        <f t="shared" si="84"/>
        <v>2932.2</v>
      </c>
      <c r="P122" s="84">
        <f t="shared" si="84"/>
        <v>14660.999999999998</v>
      </c>
      <c r="Q122" s="288">
        <f t="shared" si="84"/>
        <v>15843.653999999999</v>
      </c>
      <c r="R122" s="288">
        <f>SUM(R125:R127)*9.774</f>
        <v>15081.281999999999</v>
      </c>
      <c r="S122" s="84">
        <f>SUM(S125:S127)*9.774</f>
        <v>14954.22</v>
      </c>
      <c r="T122" s="288">
        <f>SUM(T125:T127)*9.75348</f>
        <v>14942.33136</v>
      </c>
      <c r="U122" s="288">
        <f t="shared" ref="U122:AJ122" si="85">SUM(U125:U127)*9.75348</f>
        <v>83938.448879999996</v>
      </c>
      <c r="V122" s="84">
        <f t="shared" si="85"/>
        <v>14669.233919999999</v>
      </c>
      <c r="W122" s="84">
        <f t="shared" si="85"/>
        <v>14064.51816</v>
      </c>
      <c r="X122" s="84">
        <f t="shared" si="85"/>
        <v>5315.6466</v>
      </c>
      <c r="Y122" s="84">
        <f t="shared" si="85"/>
        <v>4935.2608799999998</v>
      </c>
      <c r="Z122" s="288">
        <f t="shared" si="85"/>
        <v>5013.2887199999996</v>
      </c>
      <c r="AA122" s="84">
        <f t="shared" si="85"/>
        <v>15322.71708</v>
      </c>
      <c r="AB122" s="84">
        <f t="shared" si="85"/>
        <v>0</v>
      </c>
      <c r="AC122" s="84">
        <f t="shared" si="85"/>
        <v>15059.37312</v>
      </c>
      <c r="AD122" s="84">
        <f t="shared" si="85"/>
        <v>14883.81048</v>
      </c>
      <c r="AE122" s="288">
        <f t="shared" si="85"/>
        <v>15088.63356</v>
      </c>
      <c r="AF122" s="288">
        <f t="shared" si="85"/>
        <v>5120.5770000000002</v>
      </c>
      <c r="AG122" s="84">
        <f t="shared" si="85"/>
        <v>5169.3444</v>
      </c>
      <c r="AH122" s="84">
        <f t="shared" si="85"/>
        <v>5159.5909199999996</v>
      </c>
      <c r="AI122" s="84">
        <f t="shared" si="85"/>
        <v>0</v>
      </c>
      <c r="AJ122" s="84">
        <f t="shared" si="85"/>
        <v>14630.22</v>
      </c>
      <c r="AK122" s="115"/>
      <c r="AL122" s="117">
        <f>SUM(F122:AJ122)</f>
        <v>330280.8490799999</v>
      </c>
      <c r="AN122" s="116"/>
    </row>
    <row r="123" spans="2:80 15093:15485" s="1" customFormat="1" hidden="1">
      <c r="B123" s="70"/>
      <c r="C123" s="214" t="s">
        <v>67</v>
      </c>
      <c r="D123" s="74"/>
      <c r="E123" s="203" t="s">
        <v>9</v>
      </c>
      <c r="F123" s="84">
        <f t="shared" ref="F123:AJ123" si="86">F121-F122</f>
        <v>0</v>
      </c>
      <c r="G123" s="84">
        <f t="shared" si="86"/>
        <v>0</v>
      </c>
      <c r="H123" s="84">
        <f t="shared" si="86"/>
        <v>0</v>
      </c>
      <c r="I123" s="288">
        <f t="shared" si="86"/>
        <v>0</v>
      </c>
      <c r="J123" s="84">
        <f t="shared" si="86"/>
        <v>0</v>
      </c>
      <c r="K123" s="84">
        <f t="shared" si="86"/>
        <v>0</v>
      </c>
      <c r="L123" s="84">
        <f t="shared" si="86"/>
        <v>0</v>
      </c>
      <c r="M123" s="288">
        <f t="shared" si="86"/>
        <v>0</v>
      </c>
      <c r="N123" s="288">
        <f t="shared" si="86"/>
        <v>0</v>
      </c>
      <c r="O123" s="84">
        <f t="shared" si="86"/>
        <v>0</v>
      </c>
      <c r="P123" s="84">
        <f t="shared" si="86"/>
        <v>0.81500000000232831</v>
      </c>
      <c r="Q123" s="288">
        <f t="shared" si="86"/>
        <v>0.81500000000232831</v>
      </c>
      <c r="R123" s="285">
        <v>0</v>
      </c>
      <c r="S123" s="60">
        <v>0</v>
      </c>
      <c r="T123" s="288">
        <f t="shared" si="86"/>
        <v>0.81500000000232831</v>
      </c>
      <c r="U123" s="288">
        <f t="shared" si="86"/>
        <v>6.1450000000186265</v>
      </c>
      <c r="V123" s="84">
        <f t="shared" si="86"/>
        <v>1.716100000001461</v>
      </c>
      <c r="W123" s="84">
        <f t="shared" si="86"/>
        <v>3.5221000000019558</v>
      </c>
      <c r="X123" s="84">
        <f t="shared" si="86"/>
        <v>1.3091000000003987</v>
      </c>
      <c r="Y123" s="84">
        <f t="shared" si="86"/>
        <v>1.3091000000003987</v>
      </c>
      <c r="Z123" s="288">
        <f t="shared" si="86"/>
        <v>1.3091000000003987</v>
      </c>
      <c r="AA123" s="84">
        <f t="shared" si="86"/>
        <v>3.5221000000001368</v>
      </c>
      <c r="AB123" s="84">
        <f t="shared" si="86"/>
        <v>0</v>
      </c>
      <c r="AC123" s="84">
        <f t="shared" si="86"/>
        <v>3.5221000000001368</v>
      </c>
      <c r="AD123" s="84">
        <f t="shared" si="86"/>
        <v>2.6192000000010012</v>
      </c>
      <c r="AE123" s="288">
        <f t="shared" si="86"/>
        <v>2.6192000000028202</v>
      </c>
      <c r="AF123" s="288">
        <f t="shared" si="86"/>
        <v>1.3091000000003987</v>
      </c>
      <c r="AG123" s="84">
        <f t="shared" si="86"/>
        <v>1.3091000000003987</v>
      </c>
      <c r="AH123" s="84">
        <f t="shared" si="86"/>
        <v>1.3091000000003987</v>
      </c>
      <c r="AI123" s="84">
        <f t="shared" ref="AI123" si="87">AI121-AI122</f>
        <v>0</v>
      </c>
      <c r="AJ123" s="84">
        <f t="shared" si="86"/>
        <v>3.5221000000001368</v>
      </c>
      <c r="AK123" s="115"/>
      <c r="AL123" s="117">
        <f>SUM(F123:AJ123)</f>
        <v>37.487500000035652</v>
      </c>
      <c r="AN123" s="241"/>
      <c r="BZ123" s="1">
        <v>5121.8861000000006</v>
      </c>
      <c r="CA123" s="1">
        <v>5170.6535000000003</v>
      </c>
      <c r="CB123" s="1">
        <v>5160.90002</v>
      </c>
    </row>
    <row r="124" spans="2:80 15093:15485" s="1" customFormat="1" hidden="1">
      <c r="B124" s="70"/>
      <c r="C124" s="214" t="s">
        <v>68</v>
      </c>
      <c r="D124" s="74"/>
      <c r="E124" s="70"/>
      <c r="F124" s="60"/>
      <c r="G124" s="60"/>
      <c r="H124" s="60"/>
      <c r="I124" s="285"/>
      <c r="J124" s="60"/>
      <c r="K124" s="60"/>
      <c r="L124" s="60"/>
      <c r="M124" s="285"/>
      <c r="N124" s="285"/>
      <c r="O124" s="60"/>
      <c r="P124" s="60"/>
      <c r="Q124" s="285"/>
      <c r="R124" s="285"/>
      <c r="S124" s="60"/>
      <c r="T124" s="285"/>
      <c r="U124" s="285"/>
      <c r="V124" s="60"/>
      <c r="W124" s="60"/>
      <c r="X124" s="60"/>
      <c r="Y124" s="60"/>
      <c r="Z124" s="285"/>
      <c r="AA124" s="60"/>
      <c r="AB124" s="60"/>
      <c r="AC124" s="60"/>
      <c r="AD124" s="60"/>
      <c r="AE124" s="285"/>
      <c r="AF124" s="285"/>
      <c r="AG124" s="60"/>
      <c r="AH124" s="60"/>
      <c r="AI124" s="60"/>
      <c r="AJ124" s="60"/>
      <c r="AK124" s="115"/>
      <c r="AL124" s="120" t="s">
        <v>68</v>
      </c>
      <c r="AN124" s="116"/>
    </row>
    <row r="125" spans="2:80 15093:15485" s="6" customFormat="1" ht="13.8" hidden="1">
      <c r="B125" s="42"/>
      <c r="C125" s="40" t="s">
        <v>136</v>
      </c>
      <c r="D125" s="41"/>
      <c r="E125" s="216" t="s">
        <v>70</v>
      </c>
      <c r="F125" s="143">
        <v>0</v>
      </c>
      <c r="G125" s="143">
        <v>0</v>
      </c>
      <c r="H125" s="143">
        <v>0</v>
      </c>
      <c r="I125" s="294">
        <v>0</v>
      </c>
      <c r="J125" s="143">
        <v>0</v>
      </c>
      <c r="K125" s="143">
        <v>327</v>
      </c>
      <c r="L125" s="143">
        <v>250</v>
      </c>
      <c r="M125" s="294">
        <v>250</v>
      </c>
      <c r="N125" s="294">
        <v>0</v>
      </c>
      <c r="O125" s="143">
        <v>300</v>
      </c>
      <c r="P125" s="143">
        <v>0</v>
      </c>
      <c r="Q125" s="294">
        <v>0</v>
      </c>
      <c r="R125" s="294">
        <v>0</v>
      </c>
      <c r="S125" s="143">
        <v>0</v>
      </c>
      <c r="T125" s="294">
        <v>0</v>
      </c>
      <c r="U125" s="294">
        <v>0</v>
      </c>
      <c r="V125" s="143">
        <v>0</v>
      </c>
      <c r="W125" s="143">
        <v>0</v>
      </c>
      <c r="X125" s="143">
        <v>545</v>
      </c>
      <c r="Y125" s="143">
        <v>506</v>
      </c>
      <c r="Z125" s="294">
        <v>514</v>
      </c>
      <c r="AA125" s="143">
        <v>0</v>
      </c>
      <c r="AB125" s="143">
        <v>0</v>
      </c>
      <c r="AC125" s="143">
        <v>0</v>
      </c>
      <c r="AD125" s="143">
        <v>0</v>
      </c>
      <c r="AE125" s="294">
        <v>0</v>
      </c>
      <c r="AF125" s="294">
        <v>525</v>
      </c>
      <c r="AG125" s="143">
        <v>530</v>
      </c>
      <c r="AH125" s="143">
        <v>529</v>
      </c>
      <c r="AI125" s="143">
        <v>0</v>
      </c>
      <c r="AJ125" s="143">
        <v>0</v>
      </c>
      <c r="AK125" s="122"/>
      <c r="AL125" s="123">
        <f>SUM(F125:AJ125)</f>
        <v>4276</v>
      </c>
      <c r="AN125" s="157"/>
    </row>
    <row r="126" spans="2:80 15093:15485" s="6" customFormat="1" ht="13.8" hidden="1">
      <c r="B126" s="42"/>
      <c r="C126" s="40" t="s">
        <v>137</v>
      </c>
      <c r="D126" s="41"/>
      <c r="E126" s="216" t="s">
        <v>70</v>
      </c>
      <c r="F126" s="143">
        <v>0</v>
      </c>
      <c r="G126" s="143">
        <v>0</v>
      </c>
      <c r="H126" s="143">
        <v>471</v>
      </c>
      <c r="I126" s="294">
        <v>1033</v>
      </c>
      <c r="J126" s="143">
        <v>1096</v>
      </c>
      <c r="K126" s="143"/>
      <c r="L126" s="143"/>
      <c r="M126" s="294"/>
      <c r="N126" s="294"/>
      <c r="O126" s="143"/>
      <c r="P126" s="143">
        <v>1500</v>
      </c>
      <c r="Q126" s="294">
        <v>1621</v>
      </c>
      <c r="R126" s="294">
        <v>1543</v>
      </c>
      <c r="S126" s="143">
        <v>1530</v>
      </c>
      <c r="T126" s="294">
        <v>1532</v>
      </c>
      <c r="U126" s="294">
        <v>0</v>
      </c>
      <c r="V126" s="143">
        <v>1504</v>
      </c>
      <c r="W126" s="143">
        <v>1442</v>
      </c>
      <c r="X126" s="143">
        <v>0</v>
      </c>
      <c r="Y126" s="143">
        <v>0</v>
      </c>
      <c r="Z126" s="294">
        <v>0</v>
      </c>
      <c r="AA126" s="143">
        <v>1571</v>
      </c>
      <c r="AB126" s="143"/>
      <c r="AC126" s="143">
        <v>1544</v>
      </c>
      <c r="AD126" s="143">
        <v>1526</v>
      </c>
      <c r="AE126" s="294">
        <v>1547</v>
      </c>
      <c r="AF126" s="294">
        <v>0</v>
      </c>
      <c r="AG126" s="143">
        <v>0</v>
      </c>
      <c r="AH126" s="143">
        <v>0</v>
      </c>
      <c r="AI126" s="143">
        <v>0</v>
      </c>
      <c r="AJ126" s="143">
        <v>1500</v>
      </c>
      <c r="AK126" s="122"/>
      <c r="AL126" s="123">
        <f>SUM(F126:AJ126)</f>
        <v>20960</v>
      </c>
      <c r="AN126" s="157"/>
    </row>
    <row r="127" spans="2:80 15093:15485" s="6" customFormat="1" ht="13.8" hidden="1">
      <c r="B127" s="42"/>
      <c r="C127" s="40" t="s">
        <v>142</v>
      </c>
      <c r="D127" s="41"/>
      <c r="E127" s="216" t="s">
        <v>70</v>
      </c>
      <c r="F127" s="143">
        <v>0</v>
      </c>
      <c r="G127" s="143">
        <v>0</v>
      </c>
      <c r="H127" s="143">
        <v>0</v>
      </c>
      <c r="I127" s="294">
        <v>0</v>
      </c>
      <c r="J127" s="143">
        <v>0</v>
      </c>
      <c r="K127" s="143">
        <v>0</v>
      </c>
      <c r="L127" s="143">
        <v>0</v>
      </c>
      <c r="M127" s="294">
        <v>0</v>
      </c>
      <c r="N127" s="294">
        <v>0</v>
      </c>
      <c r="O127" s="143">
        <v>0</v>
      </c>
      <c r="P127" s="143">
        <v>0</v>
      </c>
      <c r="Q127" s="294">
        <v>0</v>
      </c>
      <c r="R127" s="294">
        <v>0</v>
      </c>
      <c r="S127" s="143">
        <v>0</v>
      </c>
      <c r="T127" s="294">
        <v>0</v>
      </c>
      <c r="U127" s="294">
        <v>8606</v>
      </c>
      <c r="V127" s="143">
        <v>0</v>
      </c>
      <c r="W127" s="143">
        <v>0</v>
      </c>
      <c r="X127" s="143">
        <v>0</v>
      </c>
      <c r="Y127" s="143">
        <v>0</v>
      </c>
      <c r="Z127" s="294">
        <v>0</v>
      </c>
      <c r="AA127" s="143">
        <v>0</v>
      </c>
      <c r="AB127" s="143">
        <v>0</v>
      </c>
      <c r="AC127" s="143">
        <v>0</v>
      </c>
      <c r="AD127" s="143">
        <v>0</v>
      </c>
      <c r="AE127" s="294">
        <v>0</v>
      </c>
      <c r="AF127" s="294">
        <v>0</v>
      </c>
      <c r="AG127" s="143">
        <v>0</v>
      </c>
      <c r="AH127" s="143">
        <v>0</v>
      </c>
      <c r="AI127" s="143">
        <v>0</v>
      </c>
      <c r="AJ127" s="143">
        <v>0</v>
      </c>
      <c r="AK127" s="122"/>
      <c r="AL127" s="123">
        <f>SUM(F127:AJ127)</f>
        <v>8606</v>
      </c>
      <c r="AN127" s="157"/>
    </row>
    <row r="128" spans="2:80 15093:15485" s="1" customFormat="1" hidden="1">
      <c r="B128" s="70"/>
      <c r="C128" s="214" t="s">
        <v>72</v>
      </c>
      <c r="D128" s="74"/>
      <c r="E128" s="70"/>
      <c r="F128" s="60"/>
      <c r="G128" s="60"/>
      <c r="H128" s="60"/>
      <c r="I128" s="285"/>
      <c r="J128" s="60"/>
      <c r="K128" s="60"/>
      <c r="L128" s="60"/>
      <c r="M128" s="285"/>
      <c r="N128" s="285"/>
      <c r="O128" s="60"/>
      <c r="P128" s="60"/>
      <c r="Q128" s="285"/>
      <c r="R128" s="285"/>
      <c r="S128" s="60"/>
      <c r="T128" s="285"/>
      <c r="U128" s="285"/>
      <c r="V128" s="60"/>
      <c r="W128" s="60"/>
      <c r="X128" s="60"/>
      <c r="Y128" s="60"/>
      <c r="Z128" s="285"/>
      <c r="AA128" s="60"/>
      <c r="AB128" s="60"/>
      <c r="AC128" s="60"/>
      <c r="AD128" s="60"/>
      <c r="AE128" s="285"/>
      <c r="AF128" s="285"/>
      <c r="AG128" s="60"/>
      <c r="AH128" s="60"/>
      <c r="AI128" s="60"/>
      <c r="AJ128" s="60"/>
      <c r="AK128" s="115"/>
      <c r="AL128" s="120" t="s">
        <v>72</v>
      </c>
      <c r="AN128" s="116"/>
    </row>
    <row r="129" spans="2:40 15093:15485" s="1" customFormat="1" ht="13.8" hidden="1">
      <c r="B129" s="70"/>
      <c r="C129" s="40" t="s">
        <v>136</v>
      </c>
      <c r="D129" s="74"/>
      <c r="E129" s="203" t="s">
        <v>72</v>
      </c>
      <c r="F129" s="60">
        <f>F125*24</f>
        <v>0</v>
      </c>
      <c r="G129" s="60">
        <f t="shared" ref="G129:AJ129" si="88">G125*24</f>
        <v>0</v>
      </c>
      <c r="H129" s="60">
        <f t="shared" si="88"/>
        <v>0</v>
      </c>
      <c r="I129" s="285">
        <f t="shared" si="88"/>
        <v>0</v>
      </c>
      <c r="J129" s="60">
        <f t="shared" si="88"/>
        <v>0</v>
      </c>
      <c r="K129" s="60">
        <f t="shared" si="88"/>
        <v>7848</v>
      </c>
      <c r="L129" s="60">
        <f t="shared" si="88"/>
        <v>6000</v>
      </c>
      <c r="M129" s="285">
        <f t="shared" si="88"/>
        <v>6000</v>
      </c>
      <c r="N129" s="285">
        <f t="shared" si="88"/>
        <v>0</v>
      </c>
      <c r="O129" s="60">
        <f t="shared" si="88"/>
        <v>7200</v>
      </c>
      <c r="P129" s="60">
        <f t="shared" si="88"/>
        <v>0</v>
      </c>
      <c r="Q129" s="285">
        <f t="shared" si="88"/>
        <v>0</v>
      </c>
      <c r="R129" s="285">
        <f t="shared" si="88"/>
        <v>0</v>
      </c>
      <c r="S129" s="60">
        <f t="shared" si="88"/>
        <v>0</v>
      </c>
      <c r="T129" s="285">
        <f t="shared" si="88"/>
        <v>0</v>
      </c>
      <c r="U129" s="285">
        <f t="shared" si="88"/>
        <v>0</v>
      </c>
      <c r="V129" s="60">
        <f t="shared" si="88"/>
        <v>0</v>
      </c>
      <c r="W129" s="60">
        <f t="shared" si="88"/>
        <v>0</v>
      </c>
      <c r="X129" s="60">
        <f t="shared" si="88"/>
        <v>13080</v>
      </c>
      <c r="Y129" s="60">
        <f t="shared" si="88"/>
        <v>12144</v>
      </c>
      <c r="Z129" s="285">
        <f t="shared" si="88"/>
        <v>12336</v>
      </c>
      <c r="AA129" s="60">
        <f t="shared" si="88"/>
        <v>0</v>
      </c>
      <c r="AB129" s="60">
        <f t="shared" si="88"/>
        <v>0</v>
      </c>
      <c r="AC129" s="60">
        <f t="shared" si="88"/>
        <v>0</v>
      </c>
      <c r="AD129" s="60">
        <f t="shared" si="88"/>
        <v>0</v>
      </c>
      <c r="AE129" s="285">
        <f t="shared" si="88"/>
        <v>0</v>
      </c>
      <c r="AF129" s="285">
        <f t="shared" si="88"/>
        <v>12600</v>
      </c>
      <c r="AG129" s="60">
        <f t="shared" si="88"/>
        <v>12720</v>
      </c>
      <c r="AH129" s="60">
        <f t="shared" si="88"/>
        <v>12696</v>
      </c>
      <c r="AI129" s="60">
        <f t="shared" si="88"/>
        <v>0</v>
      </c>
      <c r="AJ129" s="60">
        <f t="shared" si="88"/>
        <v>0</v>
      </c>
      <c r="AK129" s="115"/>
      <c r="AL129" s="114">
        <f>AL125*24</f>
        <v>102624</v>
      </c>
      <c r="AN129" s="241"/>
    </row>
    <row r="130" spans="2:40 15093:15485" s="1" customFormat="1" ht="13.8" hidden="1">
      <c r="B130" s="70"/>
      <c r="C130" s="40" t="s">
        <v>137</v>
      </c>
      <c r="D130" s="74"/>
      <c r="E130" s="203" t="s">
        <v>72</v>
      </c>
      <c r="F130" s="60">
        <f>F126*12</f>
        <v>0</v>
      </c>
      <c r="G130" s="60">
        <f t="shared" ref="G130:AJ131" si="89">G126*12</f>
        <v>0</v>
      </c>
      <c r="H130" s="60">
        <f t="shared" si="89"/>
        <v>5652</v>
      </c>
      <c r="I130" s="285">
        <f t="shared" si="89"/>
        <v>12396</v>
      </c>
      <c r="J130" s="60">
        <f t="shared" si="89"/>
        <v>13152</v>
      </c>
      <c r="K130" s="60">
        <f t="shared" si="89"/>
        <v>0</v>
      </c>
      <c r="L130" s="60">
        <f t="shared" si="89"/>
        <v>0</v>
      </c>
      <c r="M130" s="285">
        <f t="shared" si="89"/>
        <v>0</v>
      </c>
      <c r="N130" s="285">
        <f t="shared" si="89"/>
        <v>0</v>
      </c>
      <c r="O130" s="60">
        <f t="shared" si="89"/>
        <v>0</v>
      </c>
      <c r="P130" s="60">
        <f t="shared" si="89"/>
        <v>18000</v>
      </c>
      <c r="Q130" s="285">
        <f t="shared" si="89"/>
        <v>19452</v>
      </c>
      <c r="R130" s="285">
        <f t="shared" si="89"/>
        <v>18516</v>
      </c>
      <c r="S130" s="60">
        <f t="shared" si="89"/>
        <v>18360</v>
      </c>
      <c r="T130" s="285">
        <f t="shared" si="89"/>
        <v>18384</v>
      </c>
      <c r="U130" s="285">
        <f t="shared" si="89"/>
        <v>0</v>
      </c>
      <c r="V130" s="60">
        <f t="shared" si="89"/>
        <v>18048</v>
      </c>
      <c r="W130" s="60">
        <f t="shared" si="89"/>
        <v>17304</v>
      </c>
      <c r="X130" s="60">
        <f t="shared" si="89"/>
        <v>0</v>
      </c>
      <c r="Y130" s="60">
        <f t="shared" si="89"/>
        <v>0</v>
      </c>
      <c r="Z130" s="285">
        <f t="shared" si="89"/>
        <v>0</v>
      </c>
      <c r="AA130" s="60">
        <f t="shared" si="89"/>
        <v>18852</v>
      </c>
      <c r="AB130" s="60">
        <f t="shared" si="89"/>
        <v>0</v>
      </c>
      <c r="AC130" s="60">
        <f t="shared" si="89"/>
        <v>18528</v>
      </c>
      <c r="AD130" s="60">
        <f t="shared" si="89"/>
        <v>18312</v>
      </c>
      <c r="AE130" s="285">
        <f t="shared" si="89"/>
        <v>18564</v>
      </c>
      <c r="AF130" s="285">
        <f t="shared" si="89"/>
        <v>0</v>
      </c>
      <c r="AG130" s="60">
        <f t="shared" si="89"/>
        <v>0</v>
      </c>
      <c r="AH130" s="60">
        <f t="shared" si="89"/>
        <v>0</v>
      </c>
      <c r="AI130" s="60">
        <f t="shared" si="89"/>
        <v>0</v>
      </c>
      <c r="AJ130" s="60">
        <f t="shared" si="89"/>
        <v>18000</v>
      </c>
      <c r="AK130" s="115"/>
      <c r="AL130" s="114">
        <f>AL126*12</f>
        <v>251520</v>
      </c>
      <c r="AN130" s="116"/>
    </row>
    <row r="131" spans="2:40 15093:15485" s="1" customFormat="1" ht="13.8" hidden="1">
      <c r="B131" s="70"/>
      <c r="C131" s="40" t="s">
        <v>142</v>
      </c>
      <c r="D131" s="74"/>
      <c r="E131" s="203" t="s">
        <v>72</v>
      </c>
      <c r="F131" s="60">
        <f>F127*6</f>
        <v>0</v>
      </c>
      <c r="G131" s="60">
        <f t="shared" ref="G131:AC131" si="90">G127*6</f>
        <v>0</v>
      </c>
      <c r="H131" s="60">
        <f t="shared" si="90"/>
        <v>0</v>
      </c>
      <c r="I131" s="285">
        <f t="shared" si="90"/>
        <v>0</v>
      </c>
      <c r="J131" s="60">
        <f t="shared" si="90"/>
        <v>0</v>
      </c>
      <c r="K131" s="60">
        <f t="shared" si="90"/>
        <v>0</v>
      </c>
      <c r="L131" s="60">
        <f t="shared" si="90"/>
        <v>0</v>
      </c>
      <c r="M131" s="285">
        <f t="shared" si="90"/>
        <v>0</v>
      </c>
      <c r="N131" s="285">
        <f t="shared" si="90"/>
        <v>0</v>
      </c>
      <c r="O131" s="60">
        <f t="shared" si="90"/>
        <v>0</v>
      </c>
      <c r="P131" s="60">
        <f t="shared" si="90"/>
        <v>0</v>
      </c>
      <c r="Q131" s="285">
        <f t="shared" si="90"/>
        <v>0</v>
      </c>
      <c r="R131" s="285">
        <f t="shared" si="90"/>
        <v>0</v>
      </c>
      <c r="S131" s="60">
        <f t="shared" si="90"/>
        <v>0</v>
      </c>
      <c r="T131" s="285">
        <f t="shared" si="90"/>
        <v>0</v>
      </c>
      <c r="U131" s="285">
        <f t="shared" si="90"/>
        <v>51636</v>
      </c>
      <c r="V131" s="60">
        <f t="shared" si="90"/>
        <v>0</v>
      </c>
      <c r="W131" s="60">
        <f t="shared" si="90"/>
        <v>0</v>
      </c>
      <c r="X131" s="60">
        <f t="shared" si="90"/>
        <v>0</v>
      </c>
      <c r="Y131" s="60">
        <f t="shared" si="90"/>
        <v>0</v>
      </c>
      <c r="Z131" s="285">
        <f t="shared" si="90"/>
        <v>0</v>
      </c>
      <c r="AA131" s="60">
        <f t="shared" si="90"/>
        <v>0</v>
      </c>
      <c r="AB131" s="60">
        <f t="shared" si="90"/>
        <v>0</v>
      </c>
      <c r="AC131" s="60">
        <f t="shared" si="90"/>
        <v>0</v>
      </c>
      <c r="AD131" s="60">
        <f t="shared" si="89"/>
        <v>0</v>
      </c>
      <c r="AE131" s="285">
        <f t="shared" si="89"/>
        <v>0</v>
      </c>
      <c r="AF131" s="285">
        <f t="shared" si="89"/>
        <v>0</v>
      </c>
      <c r="AG131" s="60">
        <f t="shared" si="89"/>
        <v>0</v>
      </c>
      <c r="AH131" s="60">
        <f t="shared" si="89"/>
        <v>0</v>
      </c>
      <c r="AI131" s="60">
        <f t="shared" si="89"/>
        <v>0</v>
      </c>
      <c r="AJ131" s="60">
        <f t="shared" si="89"/>
        <v>0</v>
      </c>
      <c r="AK131" s="115"/>
      <c r="AL131" s="114">
        <f>AL127*6</f>
        <v>51636</v>
      </c>
      <c r="AN131" s="116"/>
    </row>
    <row r="132" spans="2:40 15093:15485" s="1" customFormat="1" hidden="1">
      <c r="B132" s="70"/>
      <c r="C132" s="214" t="s">
        <v>73</v>
      </c>
      <c r="D132" s="74"/>
      <c r="E132" s="203" t="s">
        <v>74</v>
      </c>
      <c r="F132" s="60">
        <f>F121*45/1700</f>
        <v>0</v>
      </c>
      <c r="G132" s="60">
        <f t="shared" ref="G132:AI132" si="91">G121*45/1700</f>
        <v>0</v>
      </c>
      <c r="H132" s="60">
        <f t="shared" si="91"/>
        <v>121.85878235294118</v>
      </c>
      <c r="I132" s="285">
        <f t="shared" si="91"/>
        <v>267.2614058823529</v>
      </c>
      <c r="J132" s="60">
        <f t="shared" si="91"/>
        <v>283.56098823529419</v>
      </c>
      <c r="K132" s="60">
        <f t="shared" si="91"/>
        <v>84.602594117647058</v>
      </c>
      <c r="L132" s="60">
        <f t="shared" si="91"/>
        <v>64.680882352941182</v>
      </c>
      <c r="M132" s="285">
        <f t="shared" si="91"/>
        <v>64.680882352941182</v>
      </c>
      <c r="N132" s="285">
        <f t="shared" si="91"/>
        <v>0</v>
      </c>
      <c r="O132" s="60">
        <f t="shared" si="91"/>
        <v>77.617058823529405</v>
      </c>
      <c r="P132" s="60">
        <f t="shared" si="91"/>
        <v>388.10686764705883</v>
      </c>
      <c r="Q132" s="285">
        <f t="shared" si="91"/>
        <v>419.41241470588238</v>
      </c>
      <c r="R132" s="285">
        <f t="shared" si="91"/>
        <v>399.23197941176477</v>
      </c>
      <c r="S132" s="60">
        <f t="shared" si="91"/>
        <v>395.86857352941183</v>
      </c>
      <c r="T132" s="285">
        <f t="shared" si="91"/>
        <v>395.55387423529419</v>
      </c>
      <c r="U132" s="285">
        <f t="shared" si="91"/>
        <v>2222.0627791764709</v>
      </c>
      <c r="V132" s="60">
        <f t="shared" si="91"/>
        <v>388.34867700000001</v>
      </c>
      <c r="W132" s="60">
        <f t="shared" si="91"/>
        <v>372.38930100000005</v>
      </c>
      <c r="X132" s="60">
        <f>X121*45/1700</f>
        <v>140.74294500000002</v>
      </c>
      <c r="Y132" s="60">
        <f>Y121*45/1700</f>
        <v>130.67391123529413</v>
      </c>
      <c r="Z132" s="285">
        <f t="shared" si="91"/>
        <v>132.73935405882352</v>
      </c>
      <c r="AA132" s="60">
        <f t="shared" si="91"/>
        <v>405.69456652941176</v>
      </c>
      <c r="AB132" s="60">
        <f t="shared" si="91"/>
        <v>0</v>
      </c>
      <c r="AC132" s="60">
        <f t="shared" si="91"/>
        <v>398.72369699999996</v>
      </c>
      <c r="AD132" s="60">
        <f t="shared" si="91"/>
        <v>394.05255035294124</v>
      </c>
      <c r="AE132" s="285">
        <f t="shared" si="91"/>
        <v>399.47433776470598</v>
      </c>
      <c r="AF132" s="285">
        <f t="shared" si="91"/>
        <v>135.5793379411765</v>
      </c>
      <c r="AG132" s="60">
        <f t="shared" si="91"/>
        <v>136.87023970588237</v>
      </c>
      <c r="AH132" s="60">
        <f t="shared" si="91"/>
        <v>136.61205935294117</v>
      </c>
      <c r="AI132" s="60">
        <f t="shared" si="91"/>
        <v>0</v>
      </c>
      <c r="AJ132" s="60">
        <f>AJ121*45/1700</f>
        <v>387.3637614705882</v>
      </c>
      <c r="AK132" s="115"/>
      <c r="AL132" s="114">
        <f>SUM(F132:AJ132)</f>
        <v>8743.7638212352958</v>
      </c>
      <c r="AN132" s="116"/>
    </row>
    <row r="133" spans="2:40 15093:15485" s="1" customFormat="1" hidden="1">
      <c r="B133" s="70"/>
      <c r="C133" s="214" t="s">
        <v>75</v>
      </c>
      <c r="D133" s="74"/>
      <c r="E133" s="203" t="s">
        <v>76</v>
      </c>
      <c r="F133" s="60">
        <f t="shared" ref="F133:AG133" si="92">SUM(F125:F127)/500</f>
        <v>0</v>
      </c>
      <c r="G133" s="60">
        <f t="shared" si="92"/>
        <v>0</v>
      </c>
      <c r="H133" s="60">
        <f t="shared" si="92"/>
        <v>0.94199999999999995</v>
      </c>
      <c r="I133" s="285">
        <f t="shared" si="92"/>
        <v>2.0659999999999998</v>
      </c>
      <c r="J133" s="60">
        <f t="shared" si="92"/>
        <v>2.1920000000000002</v>
      </c>
      <c r="K133" s="60">
        <f t="shared" si="92"/>
        <v>0.65400000000000003</v>
      </c>
      <c r="L133" s="60">
        <f t="shared" si="92"/>
        <v>0.5</v>
      </c>
      <c r="M133" s="285">
        <f t="shared" si="92"/>
        <v>0.5</v>
      </c>
      <c r="N133" s="285">
        <f t="shared" si="92"/>
        <v>0</v>
      </c>
      <c r="O133" s="60">
        <f t="shared" si="92"/>
        <v>0.6</v>
      </c>
      <c r="P133" s="60">
        <f>SUM(P125:P127)/500</f>
        <v>3</v>
      </c>
      <c r="Q133" s="285">
        <f t="shared" si="92"/>
        <v>3.242</v>
      </c>
      <c r="R133" s="285">
        <f t="shared" si="92"/>
        <v>3.0859999999999999</v>
      </c>
      <c r="S133" s="60">
        <f t="shared" si="92"/>
        <v>3.06</v>
      </c>
      <c r="T133" s="285">
        <f t="shared" si="92"/>
        <v>3.0640000000000001</v>
      </c>
      <c r="U133" s="285">
        <f t="shared" si="92"/>
        <v>17.212</v>
      </c>
      <c r="V133" s="60">
        <f>SUM(V125:V127)/500</f>
        <v>3.008</v>
      </c>
      <c r="W133" s="60">
        <f t="shared" si="92"/>
        <v>2.8839999999999999</v>
      </c>
      <c r="X133" s="60">
        <f>SUM(X125:X127)/500</f>
        <v>1.0900000000000001</v>
      </c>
      <c r="Y133" s="60">
        <f t="shared" si="92"/>
        <v>1.012</v>
      </c>
      <c r="Z133" s="285">
        <f t="shared" si="92"/>
        <v>1.028</v>
      </c>
      <c r="AA133" s="60">
        <f t="shared" si="92"/>
        <v>3.1419999999999999</v>
      </c>
      <c r="AB133" s="60">
        <f t="shared" si="92"/>
        <v>0</v>
      </c>
      <c r="AC133" s="60">
        <f t="shared" si="92"/>
        <v>3.0880000000000001</v>
      </c>
      <c r="AD133" s="60">
        <f t="shared" si="92"/>
        <v>3.052</v>
      </c>
      <c r="AE133" s="285">
        <f t="shared" si="92"/>
        <v>3.0939999999999999</v>
      </c>
      <c r="AF133" s="285">
        <f t="shared" si="92"/>
        <v>1.05</v>
      </c>
      <c r="AG133" s="60">
        <f t="shared" si="92"/>
        <v>1.06</v>
      </c>
      <c r="AH133" s="60">
        <f>SUM(AH125:AH127)/500</f>
        <v>1.0580000000000001</v>
      </c>
      <c r="AI133" s="60">
        <f t="shared" ref="AI133" si="93">SUM(AI125:AI127)/500</f>
        <v>0</v>
      </c>
      <c r="AJ133" s="60">
        <f>SUM(AJ125:AJ127)/500</f>
        <v>3</v>
      </c>
      <c r="AK133" s="115"/>
      <c r="AL133" s="114">
        <f>SUM(F133:AJ133)</f>
        <v>67.684000000000012</v>
      </c>
      <c r="AN133" s="116"/>
    </row>
    <row r="134" spans="2:40 15093:15485" s="1" customFormat="1" hidden="1">
      <c r="B134" s="57"/>
      <c r="C134" s="36" t="s">
        <v>77</v>
      </c>
      <c r="D134" s="55"/>
      <c r="E134" s="55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101"/>
      <c r="AD134" s="56"/>
      <c r="AE134" s="56"/>
      <c r="AF134" s="56"/>
      <c r="AG134" s="56"/>
      <c r="AH134" s="56"/>
      <c r="AI134" s="101"/>
      <c r="AJ134" s="101"/>
      <c r="AK134" s="105"/>
      <c r="AL134" s="200" t="s">
        <v>78</v>
      </c>
      <c r="AN134" s="29"/>
      <c r="VHM134"/>
      <c r="VHN134"/>
      <c r="VHO134"/>
      <c r="VHP134"/>
      <c r="VHQ134"/>
      <c r="VHR134"/>
      <c r="VHS134"/>
      <c r="VHT134"/>
      <c r="VHU134"/>
      <c r="VHV134"/>
      <c r="VHW134"/>
      <c r="VHX134"/>
      <c r="VHY134"/>
      <c r="VHZ134"/>
      <c r="VIA134"/>
      <c r="VIB134"/>
      <c r="VIC134"/>
      <c r="VID134"/>
      <c r="VIE134"/>
      <c r="VIF134"/>
      <c r="VIG134"/>
      <c r="VIH134"/>
      <c r="VII134"/>
      <c r="VIJ134"/>
      <c r="VIK134"/>
      <c r="VIL134"/>
      <c r="VIM134"/>
      <c r="VIN134"/>
      <c r="VIO134"/>
      <c r="VIP134"/>
      <c r="VIQ134"/>
      <c r="VIR134"/>
      <c r="VIS134"/>
      <c r="VIT134"/>
      <c r="VIU134"/>
      <c r="VIV134"/>
      <c r="VIW134"/>
      <c r="VIX134"/>
      <c r="VIY134"/>
      <c r="VIZ134"/>
      <c r="VJA134"/>
      <c r="VJB134"/>
      <c r="VJC134"/>
      <c r="VJD134"/>
      <c r="VJE134"/>
      <c r="VJF134"/>
      <c r="VJG134"/>
      <c r="VJH134"/>
      <c r="VJI134"/>
      <c r="VJJ134"/>
      <c r="VJK134"/>
      <c r="VJL134"/>
      <c r="VJM134"/>
      <c r="VJN134"/>
      <c r="VJO134"/>
      <c r="VJP134"/>
      <c r="VJQ134"/>
      <c r="VJR134"/>
      <c r="VJS134"/>
      <c r="VJT134"/>
      <c r="VJU134"/>
      <c r="VJV134"/>
      <c r="VJW134"/>
      <c r="VJX134"/>
      <c r="VJY134"/>
      <c r="VJZ134"/>
      <c r="VKA134"/>
      <c r="VKB134"/>
      <c r="VKC134"/>
      <c r="VKD134"/>
      <c r="VKE134"/>
      <c r="VKF134"/>
      <c r="VKG134"/>
      <c r="VKH134"/>
      <c r="VKI134"/>
      <c r="VKJ134"/>
      <c r="VKK134"/>
      <c r="VKL134"/>
      <c r="VKM134"/>
      <c r="VKN134"/>
      <c r="VKO134"/>
      <c r="VKP134"/>
      <c r="VKQ134"/>
      <c r="VKR134"/>
      <c r="VKS134"/>
      <c r="VKT134"/>
      <c r="VKU134"/>
      <c r="VKV134"/>
      <c r="VKW134"/>
      <c r="VKX134"/>
      <c r="VKY134"/>
      <c r="VKZ134"/>
      <c r="VLA134"/>
      <c r="VLB134"/>
      <c r="VLC134"/>
      <c r="VLD134"/>
      <c r="VLE134"/>
      <c r="VLF134"/>
      <c r="VLG134"/>
      <c r="VLH134"/>
      <c r="VLI134"/>
      <c r="VLJ134"/>
      <c r="VLK134"/>
      <c r="VLL134"/>
      <c r="VLM134"/>
      <c r="VLN134"/>
      <c r="VLO134"/>
      <c r="VLP134"/>
      <c r="VLQ134"/>
      <c r="VLR134"/>
      <c r="VLS134"/>
      <c r="VLT134"/>
      <c r="VLU134"/>
      <c r="VLV134"/>
      <c r="VLW134"/>
      <c r="VLX134"/>
      <c r="VLY134"/>
      <c r="VLZ134"/>
      <c r="VMA134"/>
      <c r="VMB134"/>
      <c r="VMC134"/>
      <c r="VMD134"/>
      <c r="VME134"/>
      <c r="VMF134"/>
      <c r="VMG134"/>
      <c r="VMH134"/>
      <c r="VMI134"/>
      <c r="VMJ134"/>
      <c r="VMK134"/>
      <c r="VML134"/>
      <c r="VMM134"/>
      <c r="VMN134"/>
      <c r="VMO134"/>
      <c r="VMP134"/>
      <c r="VMQ134"/>
      <c r="VMR134"/>
      <c r="VMS134"/>
      <c r="VMT134"/>
      <c r="VMU134"/>
      <c r="VMV134"/>
      <c r="VMW134"/>
      <c r="VMX134"/>
      <c r="VMY134"/>
      <c r="VMZ134"/>
      <c r="VNA134"/>
      <c r="VNB134"/>
      <c r="VNC134"/>
      <c r="VND134"/>
      <c r="VNE134"/>
      <c r="VNF134"/>
      <c r="VNG134"/>
      <c r="VNH134"/>
      <c r="VNI134"/>
      <c r="VNJ134"/>
      <c r="VNK134"/>
      <c r="VNL134"/>
      <c r="VNM134"/>
      <c r="VNN134"/>
      <c r="VNO134"/>
      <c r="VNP134"/>
      <c r="VNQ134"/>
      <c r="VNR134"/>
      <c r="VNS134"/>
      <c r="VNT134"/>
      <c r="VNU134"/>
      <c r="VNV134"/>
      <c r="VNW134"/>
      <c r="VNX134"/>
      <c r="VNY134"/>
      <c r="VNZ134"/>
      <c r="VOA134"/>
      <c r="VOB134"/>
      <c r="VOC134"/>
      <c r="VOD134"/>
      <c r="VOE134"/>
      <c r="VOF134"/>
      <c r="VOG134"/>
      <c r="VOH134"/>
      <c r="VOI134"/>
      <c r="VOJ134"/>
      <c r="VOK134"/>
      <c r="VOL134"/>
      <c r="VOM134"/>
      <c r="VON134"/>
      <c r="VOO134"/>
      <c r="VOP134"/>
      <c r="VOQ134"/>
      <c r="VOR134"/>
      <c r="VOS134"/>
      <c r="VOT134"/>
      <c r="VOU134"/>
      <c r="VOV134"/>
      <c r="VOW134"/>
      <c r="VOX134"/>
      <c r="VOY134"/>
      <c r="VOZ134"/>
      <c r="VPA134"/>
      <c r="VPB134"/>
      <c r="VPC134"/>
      <c r="VPD134"/>
      <c r="VPE134"/>
      <c r="VPF134"/>
      <c r="VPG134"/>
      <c r="VPH134"/>
      <c r="VPI134"/>
      <c r="VPJ134"/>
      <c r="VPK134"/>
      <c r="VPL134"/>
      <c r="VPM134"/>
      <c r="VPN134"/>
      <c r="VPO134"/>
      <c r="VPP134"/>
      <c r="VPQ134"/>
      <c r="VPR134"/>
      <c r="VPS134"/>
      <c r="VPT134"/>
      <c r="VPU134"/>
      <c r="VPV134"/>
      <c r="VPW134"/>
      <c r="VPX134"/>
      <c r="VPY134"/>
      <c r="VPZ134"/>
      <c r="VQA134"/>
      <c r="VQB134"/>
      <c r="VQC134"/>
      <c r="VQD134"/>
      <c r="VQE134"/>
      <c r="VQF134"/>
      <c r="VQG134"/>
      <c r="VQH134"/>
      <c r="VQI134"/>
      <c r="VQJ134"/>
      <c r="VQK134"/>
      <c r="VQL134"/>
      <c r="VQM134"/>
      <c r="VQN134"/>
      <c r="VQO134"/>
      <c r="VQP134"/>
      <c r="VQQ134"/>
      <c r="VQR134"/>
      <c r="VQS134"/>
      <c r="VQT134"/>
      <c r="VQU134"/>
      <c r="VQV134"/>
      <c r="VQW134"/>
      <c r="VQX134"/>
      <c r="VQY134"/>
      <c r="VQZ134"/>
      <c r="VRA134"/>
      <c r="VRB134"/>
      <c r="VRC134"/>
      <c r="VRD134"/>
      <c r="VRE134"/>
      <c r="VRF134"/>
      <c r="VRG134"/>
      <c r="VRH134"/>
      <c r="VRI134"/>
      <c r="VRJ134"/>
      <c r="VRK134"/>
      <c r="VRL134"/>
      <c r="VRM134"/>
      <c r="VRN134"/>
      <c r="VRO134"/>
      <c r="VRP134"/>
      <c r="VRQ134"/>
      <c r="VRR134"/>
      <c r="VRS134"/>
      <c r="VRT134"/>
      <c r="VRU134"/>
      <c r="VRV134"/>
      <c r="VRW134"/>
      <c r="VRX134"/>
      <c r="VRY134"/>
      <c r="VRZ134"/>
      <c r="VSA134"/>
      <c r="VSB134"/>
      <c r="VSC134"/>
      <c r="VSD134"/>
      <c r="VSE134"/>
      <c r="VSF134"/>
      <c r="VSG134"/>
      <c r="VSH134"/>
      <c r="VSI134"/>
      <c r="VSJ134"/>
      <c r="VSK134"/>
      <c r="VSL134"/>
      <c r="VSM134"/>
      <c r="VSN134"/>
      <c r="VSO134"/>
      <c r="VSP134"/>
      <c r="VSQ134"/>
      <c r="VSR134"/>
      <c r="VSS134"/>
      <c r="VST134"/>
      <c r="VSU134"/>
      <c r="VSV134"/>
      <c r="VSW134"/>
      <c r="VSX134"/>
      <c r="VSY134"/>
      <c r="VSZ134"/>
      <c r="VTA134"/>
      <c r="VTB134"/>
      <c r="VTC134"/>
      <c r="VTD134"/>
      <c r="VTE134"/>
      <c r="VTF134"/>
      <c r="VTG134"/>
      <c r="VTH134"/>
      <c r="VTI134"/>
      <c r="VTJ134"/>
      <c r="VTK134"/>
      <c r="VTL134"/>
      <c r="VTM134"/>
      <c r="VTN134"/>
      <c r="VTO134"/>
      <c r="VTP134"/>
      <c r="VTQ134"/>
      <c r="VTR134"/>
      <c r="VTS134"/>
      <c r="VTT134"/>
      <c r="VTU134"/>
      <c r="VTV134"/>
      <c r="VTW134"/>
      <c r="VTX134"/>
      <c r="VTY134"/>
      <c r="VTZ134"/>
      <c r="VUA134"/>
      <c r="VUB134"/>
      <c r="VUC134"/>
      <c r="VUD134"/>
      <c r="VUE134"/>
      <c r="VUF134"/>
      <c r="VUG134"/>
      <c r="VUH134"/>
      <c r="VUI134"/>
      <c r="VUJ134"/>
      <c r="VUK134"/>
      <c r="VUL134"/>
      <c r="VUM134"/>
      <c r="VUN134"/>
      <c r="VUO134"/>
      <c r="VUP134"/>
      <c r="VUQ134"/>
      <c r="VUR134"/>
      <c r="VUS134"/>
      <c r="VUT134"/>
      <c r="VUU134"/>
      <c r="VUV134"/>
      <c r="VUW134"/>
      <c r="VUX134"/>
      <c r="VUY134"/>
      <c r="VUZ134"/>
      <c r="VVA134"/>
      <c r="VVB134"/>
      <c r="VVC134"/>
      <c r="VVD134"/>
      <c r="VVE134"/>
      <c r="VVF134"/>
      <c r="VVG134"/>
      <c r="VVH134"/>
      <c r="VVI134"/>
      <c r="VVJ134"/>
      <c r="VVK134"/>
      <c r="VVL134"/>
      <c r="VVM134"/>
      <c r="VVN134"/>
      <c r="VVO134"/>
      <c r="VVP134"/>
      <c r="VVQ134"/>
      <c r="VVR134"/>
      <c r="VVS134"/>
      <c r="VVT134"/>
      <c r="VVU134"/>
      <c r="VVV134"/>
      <c r="VVW134"/>
      <c r="VVX134"/>
      <c r="VVY134"/>
      <c r="VVZ134"/>
      <c r="VWA134"/>
      <c r="VWB134"/>
      <c r="VWC134"/>
      <c r="VWD134"/>
      <c r="VWE134"/>
      <c r="VWF134"/>
      <c r="VWG134"/>
      <c r="VWH134"/>
      <c r="VWI134"/>
      <c r="VWJ134"/>
      <c r="VWK134"/>
      <c r="VWL134"/>
      <c r="VWM134"/>
      <c r="VWN134"/>
      <c r="VWO134"/>
    </row>
    <row r="135" spans="2:40 15093:15485" s="1" customFormat="1" hidden="1">
      <c r="B135" s="70"/>
      <c r="C135" s="214" t="s">
        <v>68</v>
      </c>
      <c r="D135" s="74"/>
      <c r="E135" s="70"/>
      <c r="F135" s="60"/>
      <c r="G135" s="60"/>
      <c r="H135" s="60"/>
      <c r="I135" s="285"/>
      <c r="J135" s="60"/>
      <c r="K135" s="60"/>
      <c r="L135" s="60"/>
      <c r="M135" s="285"/>
      <c r="N135" s="285"/>
      <c r="O135" s="60"/>
      <c r="P135" s="60"/>
      <c r="Q135" s="285"/>
      <c r="R135" s="285"/>
      <c r="S135" s="60"/>
      <c r="T135" s="285"/>
      <c r="U135" s="285"/>
      <c r="V135" s="60"/>
      <c r="W135" s="60"/>
      <c r="X135" s="60"/>
      <c r="Y135" s="60"/>
      <c r="Z135" s="285"/>
      <c r="AA135" s="60"/>
      <c r="AB135" s="60"/>
      <c r="AC135" s="60"/>
      <c r="AD135" s="60"/>
      <c r="AE135" s="285"/>
      <c r="AF135" s="285"/>
      <c r="AG135" s="60"/>
      <c r="AH135" s="60"/>
      <c r="AI135" s="60"/>
      <c r="AJ135" s="60"/>
      <c r="AK135" s="115"/>
      <c r="AL135" s="120" t="s">
        <v>68</v>
      </c>
      <c r="AN135" s="116"/>
    </row>
    <row r="136" spans="2:40 15093:15485" s="1" customFormat="1" ht="13.8" hidden="1">
      <c r="B136" s="70"/>
      <c r="C136" s="40" t="s">
        <v>136</v>
      </c>
      <c r="D136" s="74"/>
      <c r="E136" s="203" t="s">
        <v>70</v>
      </c>
      <c r="F136" s="60">
        <v>0</v>
      </c>
      <c r="G136" s="60"/>
      <c r="H136" s="60"/>
      <c r="I136" s="285"/>
      <c r="J136" s="60"/>
      <c r="K136" s="60"/>
      <c r="L136" s="60"/>
      <c r="M136" s="285"/>
      <c r="N136" s="285"/>
      <c r="O136" s="60"/>
      <c r="P136" s="60"/>
      <c r="Q136" s="285"/>
      <c r="R136" s="285"/>
      <c r="S136" s="60"/>
      <c r="T136" s="285"/>
      <c r="U136" s="285"/>
      <c r="V136" s="60"/>
      <c r="W136" s="60"/>
      <c r="X136" s="60"/>
      <c r="Y136" s="60"/>
      <c r="Z136" s="285"/>
      <c r="AA136" s="60"/>
      <c r="AB136" s="60"/>
      <c r="AC136" s="60"/>
      <c r="AD136" s="60"/>
      <c r="AE136" s="285"/>
      <c r="AF136" s="285"/>
      <c r="AG136" s="60"/>
      <c r="AH136" s="60"/>
      <c r="AI136" s="60"/>
      <c r="AJ136" s="60"/>
      <c r="AK136" s="115"/>
      <c r="AL136" s="114">
        <f t="shared" ref="AL136:AL137" si="94">SUM(F136:AJ136)</f>
        <v>0</v>
      </c>
      <c r="AN136" s="116"/>
    </row>
    <row r="137" spans="2:40 15093:15485" s="1" customFormat="1" ht="13.8" hidden="1">
      <c r="B137" s="70"/>
      <c r="C137" s="40" t="s">
        <v>137</v>
      </c>
      <c r="D137" s="74"/>
      <c r="E137" s="203" t="s">
        <v>70</v>
      </c>
      <c r="F137" s="60">
        <v>0</v>
      </c>
      <c r="G137" s="60"/>
      <c r="H137" s="60"/>
      <c r="I137" s="285"/>
      <c r="J137" s="60"/>
      <c r="K137" s="60"/>
      <c r="L137" s="60"/>
      <c r="M137" s="285"/>
      <c r="N137" s="285"/>
      <c r="O137" s="60"/>
      <c r="P137" s="60"/>
      <c r="Q137" s="285"/>
      <c r="R137" s="285"/>
      <c r="S137" s="60"/>
      <c r="T137" s="285"/>
      <c r="U137" s="285"/>
      <c r="V137" s="60"/>
      <c r="W137" s="60"/>
      <c r="X137" s="60"/>
      <c r="Y137" s="60"/>
      <c r="Z137" s="285"/>
      <c r="AA137" s="60"/>
      <c r="AB137" s="60"/>
      <c r="AC137" s="60"/>
      <c r="AD137" s="60"/>
      <c r="AE137" s="285"/>
      <c r="AF137" s="285"/>
      <c r="AG137" s="60"/>
      <c r="AH137" s="60"/>
      <c r="AI137" s="60"/>
      <c r="AJ137" s="60"/>
      <c r="AK137" s="115"/>
      <c r="AL137" s="114">
        <f t="shared" si="94"/>
        <v>0</v>
      </c>
      <c r="AN137" s="116"/>
    </row>
    <row r="138" spans="2:40 15093:15485" s="1" customFormat="1" hidden="1">
      <c r="B138" s="70"/>
      <c r="C138" s="214" t="s">
        <v>72</v>
      </c>
      <c r="D138" s="74"/>
      <c r="E138" s="70"/>
      <c r="F138" s="60"/>
      <c r="G138" s="60"/>
      <c r="H138" s="60"/>
      <c r="I138" s="285"/>
      <c r="J138" s="60"/>
      <c r="K138" s="60"/>
      <c r="L138" s="60"/>
      <c r="M138" s="285"/>
      <c r="N138" s="285"/>
      <c r="O138" s="60"/>
      <c r="P138" s="60"/>
      <c r="Q138" s="285"/>
      <c r="R138" s="285"/>
      <c r="S138" s="60"/>
      <c r="T138" s="285"/>
      <c r="U138" s="285"/>
      <c r="V138" s="60"/>
      <c r="W138" s="60"/>
      <c r="X138" s="60"/>
      <c r="Y138" s="60"/>
      <c r="Z138" s="285"/>
      <c r="AA138" s="60"/>
      <c r="AB138" s="60"/>
      <c r="AC138" s="60"/>
      <c r="AD138" s="60"/>
      <c r="AE138" s="285"/>
      <c r="AF138" s="285"/>
      <c r="AG138" s="60"/>
      <c r="AH138" s="60"/>
      <c r="AI138" s="60"/>
      <c r="AJ138" s="60"/>
      <c r="AK138" s="115"/>
      <c r="AL138" s="120" t="s">
        <v>72</v>
      </c>
      <c r="AN138" s="116"/>
    </row>
    <row r="139" spans="2:40 15093:15485" s="1" customFormat="1" ht="13.8" hidden="1">
      <c r="B139" s="70"/>
      <c r="C139" s="40" t="s">
        <v>136</v>
      </c>
      <c r="D139" s="74"/>
      <c r="E139" s="203" t="s">
        <v>72</v>
      </c>
      <c r="F139" s="60">
        <v>0</v>
      </c>
      <c r="G139" s="60"/>
      <c r="H139" s="60"/>
      <c r="I139" s="285"/>
      <c r="J139" s="60"/>
      <c r="K139" s="60"/>
      <c r="L139" s="60"/>
      <c r="M139" s="285"/>
      <c r="N139" s="285"/>
      <c r="O139" s="60"/>
      <c r="P139" s="60"/>
      <c r="Q139" s="285"/>
      <c r="R139" s="285"/>
      <c r="S139" s="60"/>
      <c r="T139" s="285"/>
      <c r="U139" s="285"/>
      <c r="V139" s="60"/>
      <c r="W139" s="60"/>
      <c r="X139" s="60"/>
      <c r="Y139" s="60"/>
      <c r="Z139" s="285"/>
      <c r="AA139" s="60"/>
      <c r="AB139" s="60"/>
      <c r="AC139" s="60"/>
      <c r="AD139" s="60"/>
      <c r="AE139" s="285"/>
      <c r="AF139" s="285"/>
      <c r="AG139" s="60"/>
      <c r="AH139" s="60"/>
      <c r="AI139" s="60"/>
      <c r="AJ139" s="60"/>
      <c r="AK139" s="115"/>
      <c r="AL139" s="114">
        <f t="shared" ref="AL139:AL140" si="95">SUM(F139:AJ139)</f>
        <v>0</v>
      </c>
      <c r="AN139" s="116"/>
    </row>
    <row r="140" spans="2:40 15093:15485" s="1" customFormat="1" ht="13.8" hidden="1">
      <c r="B140" s="70"/>
      <c r="C140" s="40" t="s">
        <v>137</v>
      </c>
      <c r="D140" s="74"/>
      <c r="E140" s="203" t="s">
        <v>72</v>
      </c>
      <c r="F140" s="60">
        <v>0</v>
      </c>
      <c r="G140" s="60"/>
      <c r="H140" s="60"/>
      <c r="I140" s="285"/>
      <c r="J140" s="60"/>
      <c r="K140" s="60"/>
      <c r="L140" s="60"/>
      <c r="M140" s="285"/>
      <c r="N140" s="285"/>
      <c r="O140" s="60"/>
      <c r="P140" s="60"/>
      <c r="Q140" s="285"/>
      <c r="R140" s="285"/>
      <c r="S140" s="60"/>
      <c r="T140" s="285"/>
      <c r="U140" s="285"/>
      <c r="V140" s="60"/>
      <c r="W140" s="60"/>
      <c r="X140" s="60"/>
      <c r="Y140" s="60"/>
      <c r="Z140" s="285"/>
      <c r="AA140" s="60"/>
      <c r="AB140" s="60"/>
      <c r="AC140" s="60"/>
      <c r="AD140" s="60"/>
      <c r="AE140" s="285"/>
      <c r="AF140" s="285"/>
      <c r="AG140" s="60"/>
      <c r="AH140" s="60"/>
      <c r="AI140" s="60"/>
      <c r="AJ140" s="60"/>
      <c r="AK140" s="115"/>
      <c r="AL140" s="114">
        <f t="shared" si="95"/>
        <v>0</v>
      </c>
      <c r="AN140" s="116"/>
    </row>
    <row r="141" spans="2:40 15093:15485" s="1" customFormat="1" hidden="1">
      <c r="B141" s="57"/>
      <c r="C141" s="36" t="s">
        <v>79</v>
      </c>
      <c r="D141" s="55"/>
      <c r="E141" s="55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101"/>
      <c r="AD141" s="56"/>
      <c r="AE141" s="56"/>
      <c r="AF141" s="56"/>
      <c r="AG141" s="56"/>
      <c r="AH141" s="101"/>
      <c r="AI141" s="101"/>
      <c r="AJ141" s="101"/>
      <c r="AK141" s="105"/>
      <c r="AL141" s="200" t="s">
        <v>78</v>
      </c>
      <c r="AN141" s="29"/>
      <c r="VHM141"/>
      <c r="VHN141"/>
      <c r="VHO141"/>
      <c r="VHP141"/>
      <c r="VHQ141"/>
      <c r="VHR141"/>
      <c r="VHS141"/>
      <c r="VHT141"/>
      <c r="VHU141"/>
      <c r="VHV141"/>
      <c r="VHW141"/>
      <c r="VHX141"/>
      <c r="VHY141"/>
      <c r="VHZ141"/>
      <c r="VIA141"/>
      <c r="VIB141"/>
      <c r="VIC141"/>
      <c r="VID141"/>
      <c r="VIE141"/>
      <c r="VIF141"/>
      <c r="VIG141"/>
      <c r="VIH141"/>
      <c r="VII141"/>
      <c r="VIJ141"/>
      <c r="VIK141"/>
      <c r="VIL141"/>
      <c r="VIM141"/>
      <c r="VIN141"/>
      <c r="VIO141"/>
      <c r="VIP141"/>
      <c r="VIQ141"/>
      <c r="VIR141"/>
      <c r="VIS141"/>
      <c r="VIT141"/>
      <c r="VIU141"/>
      <c r="VIV141"/>
      <c r="VIW141"/>
      <c r="VIX141"/>
      <c r="VIY141"/>
      <c r="VIZ141"/>
      <c r="VJA141"/>
      <c r="VJB141"/>
      <c r="VJC141"/>
      <c r="VJD141"/>
      <c r="VJE141"/>
      <c r="VJF141"/>
      <c r="VJG141"/>
      <c r="VJH141"/>
      <c r="VJI141"/>
      <c r="VJJ141"/>
      <c r="VJK141"/>
      <c r="VJL141"/>
      <c r="VJM141"/>
      <c r="VJN141"/>
      <c r="VJO141"/>
      <c r="VJP141"/>
      <c r="VJQ141"/>
      <c r="VJR141"/>
      <c r="VJS141"/>
      <c r="VJT141"/>
      <c r="VJU141"/>
      <c r="VJV141"/>
      <c r="VJW141"/>
      <c r="VJX141"/>
      <c r="VJY141"/>
      <c r="VJZ141"/>
      <c r="VKA141"/>
      <c r="VKB141"/>
      <c r="VKC141"/>
      <c r="VKD141"/>
      <c r="VKE141"/>
      <c r="VKF141"/>
      <c r="VKG141"/>
      <c r="VKH141"/>
      <c r="VKI141"/>
      <c r="VKJ141"/>
      <c r="VKK141"/>
      <c r="VKL141"/>
      <c r="VKM141"/>
      <c r="VKN141"/>
      <c r="VKO141"/>
      <c r="VKP141"/>
      <c r="VKQ141"/>
      <c r="VKR141"/>
      <c r="VKS141"/>
      <c r="VKT141"/>
      <c r="VKU141"/>
      <c r="VKV141"/>
      <c r="VKW141"/>
      <c r="VKX141"/>
      <c r="VKY141"/>
      <c r="VKZ141"/>
      <c r="VLA141"/>
      <c r="VLB141"/>
      <c r="VLC141"/>
      <c r="VLD141"/>
      <c r="VLE141"/>
      <c r="VLF141"/>
      <c r="VLG141"/>
      <c r="VLH141"/>
      <c r="VLI141"/>
      <c r="VLJ141"/>
      <c r="VLK141"/>
      <c r="VLL141"/>
      <c r="VLM141"/>
      <c r="VLN141"/>
      <c r="VLO141"/>
      <c r="VLP141"/>
      <c r="VLQ141"/>
      <c r="VLR141"/>
      <c r="VLS141"/>
      <c r="VLT141"/>
      <c r="VLU141"/>
      <c r="VLV141"/>
      <c r="VLW141"/>
      <c r="VLX141"/>
      <c r="VLY141"/>
      <c r="VLZ141"/>
      <c r="VMA141"/>
      <c r="VMB141"/>
      <c r="VMC141"/>
      <c r="VMD141"/>
      <c r="VME141"/>
      <c r="VMF141"/>
      <c r="VMG141"/>
      <c r="VMH141"/>
      <c r="VMI141"/>
      <c r="VMJ141"/>
      <c r="VMK141"/>
      <c r="VML141"/>
      <c r="VMM141"/>
      <c r="VMN141"/>
      <c r="VMO141"/>
      <c r="VMP141"/>
      <c r="VMQ141"/>
      <c r="VMR141"/>
      <c r="VMS141"/>
      <c r="VMT141"/>
      <c r="VMU141"/>
      <c r="VMV141"/>
      <c r="VMW141"/>
      <c r="VMX141"/>
      <c r="VMY141"/>
      <c r="VMZ141"/>
      <c r="VNA141"/>
      <c r="VNB141"/>
      <c r="VNC141"/>
      <c r="VND141"/>
      <c r="VNE141"/>
      <c r="VNF141"/>
      <c r="VNG141"/>
      <c r="VNH141"/>
      <c r="VNI141"/>
      <c r="VNJ141"/>
      <c r="VNK141"/>
      <c r="VNL141"/>
      <c r="VNM141"/>
      <c r="VNN141"/>
      <c r="VNO141"/>
      <c r="VNP141"/>
      <c r="VNQ141"/>
      <c r="VNR141"/>
      <c r="VNS141"/>
      <c r="VNT141"/>
      <c r="VNU141"/>
      <c r="VNV141"/>
      <c r="VNW141"/>
      <c r="VNX141"/>
      <c r="VNY141"/>
      <c r="VNZ141"/>
      <c r="VOA141"/>
      <c r="VOB141"/>
      <c r="VOC141"/>
      <c r="VOD141"/>
      <c r="VOE141"/>
      <c r="VOF141"/>
      <c r="VOG141"/>
      <c r="VOH141"/>
      <c r="VOI141"/>
      <c r="VOJ141"/>
      <c r="VOK141"/>
      <c r="VOL141"/>
      <c r="VOM141"/>
      <c r="VON141"/>
      <c r="VOO141"/>
      <c r="VOP141"/>
      <c r="VOQ141"/>
      <c r="VOR141"/>
      <c r="VOS141"/>
      <c r="VOT141"/>
      <c r="VOU141"/>
      <c r="VOV141"/>
      <c r="VOW141"/>
      <c r="VOX141"/>
      <c r="VOY141"/>
      <c r="VOZ141"/>
      <c r="VPA141"/>
      <c r="VPB141"/>
      <c r="VPC141"/>
      <c r="VPD141"/>
      <c r="VPE141"/>
      <c r="VPF141"/>
      <c r="VPG141"/>
      <c r="VPH141"/>
      <c r="VPI141"/>
      <c r="VPJ141"/>
      <c r="VPK141"/>
      <c r="VPL141"/>
      <c r="VPM141"/>
      <c r="VPN141"/>
      <c r="VPO141"/>
      <c r="VPP141"/>
      <c r="VPQ141"/>
      <c r="VPR141"/>
      <c r="VPS141"/>
      <c r="VPT141"/>
      <c r="VPU141"/>
      <c r="VPV141"/>
      <c r="VPW141"/>
      <c r="VPX141"/>
      <c r="VPY141"/>
      <c r="VPZ141"/>
      <c r="VQA141"/>
      <c r="VQB141"/>
      <c r="VQC141"/>
      <c r="VQD141"/>
      <c r="VQE141"/>
      <c r="VQF141"/>
      <c r="VQG141"/>
      <c r="VQH141"/>
      <c r="VQI141"/>
      <c r="VQJ141"/>
      <c r="VQK141"/>
      <c r="VQL141"/>
      <c r="VQM141"/>
      <c r="VQN141"/>
      <c r="VQO141"/>
      <c r="VQP141"/>
      <c r="VQQ141"/>
      <c r="VQR141"/>
      <c r="VQS141"/>
      <c r="VQT141"/>
      <c r="VQU141"/>
      <c r="VQV141"/>
      <c r="VQW141"/>
      <c r="VQX141"/>
      <c r="VQY141"/>
      <c r="VQZ141"/>
      <c r="VRA141"/>
      <c r="VRB141"/>
      <c r="VRC141"/>
      <c r="VRD141"/>
      <c r="VRE141"/>
      <c r="VRF141"/>
      <c r="VRG141"/>
      <c r="VRH141"/>
      <c r="VRI141"/>
      <c r="VRJ141"/>
      <c r="VRK141"/>
      <c r="VRL141"/>
      <c r="VRM141"/>
      <c r="VRN141"/>
      <c r="VRO141"/>
      <c r="VRP141"/>
      <c r="VRQ141"/>
      <c r="VRR141"/>
      <c r="VRS141"/>
      <c r="VRT141"/>
      <c r="VRU141"/>
      <c r="VRV141"/>
      <c r="VRW141"/>
      <c r="VRX141"/>
      <c r="VRY141"/>
      <c r="VRZ141"/>
      <c r="VSA141"/>
      <c r="VSB141"/>
      <c r="VSC141"/>
      <c r="VSD141"/>
      <c r="VSE141"/>
      <c r="VSF141"/>
      <c r="VSG141"/>
      <c r="VSH141"/>
      <c r="VSI141"/>
      <c r="VSJ141"/>
      <c r="VSK141"/>
      <c r="VSL141"/>
      <c r="VSM141"/>
      <c r="VSN141"/>
      <c r="VSO141"/>
      <c r="VSP141"/>
      <c r="VSQ141"/>
      <c r="VSR141"/>
      <c r="VSS141"/>
      <c r="VST141"/>
      <c r="VSU141"/>
      <c r="VSV141"/>
      <c r="VSW141"/>
      <c r="VSX141"/>
      <c r="VSY141"/>
      <c r="VSZ141"/>
      <c r="VTA141"/>
      <c r="VTB141"/>
      <c r="VTC141"/>
      <c r="VTD141"/>
      <c r="VTE141"/>
      <c r="VTF141"/>
      <c r="VTG141"/>
      <c r="VTH141"/>
      <c r="VTI141"/>
      <c r="VTJ141"/>
      <c r="VTK141"/>
      <c r="VTL141"/>
      <c r="VTM141"/>
      <c r="VTN141"/>
      <c r="VTO141"/>
      <c r="VTP141"/>
      <c r="VTQ141"/>
      <c r="VTR141"/>
      <c r="VTS141"/>
      <c r="VTT141"/>
      <c r="VTU141"/>
      <c r="VTV141"/>
      <c r="VTW141"/>
      <c r="VTX141"/>
      <c r="VTY141"/>
      <c r="VTZ141"/>
      <c r="VUA141"/>
      <c r="VUB141"/>
      <c r="VUC141"/>
      <c r="VUD141"/>
      <c r="VUE141"/>
      <c r="VUF141"/>
      <c r="VUG141"/>
      <c r="VUH141"/>
      <c r="VUI141"/>
      <c r="VUJ141"/>
      <c r="VUK141"/>
      <c r="VUL141"/>
      <c r="VUM141"/>
      <c r="VUN141"/>
      <c r="VUO141"/>
      <c r="VUP141"/>
      <c r="VUQ141"/>
      <c r="VUR141"/>
      <c r="VUS141"/>
      <c r="VUT141"/>
      <c r="VUU141"/>
      <c r="VUV141"/>
      <c r="VUW141"/>
      <c r="VUX141"/>
      <c r="VUY141"/>
      <c r="VUZ141"/>
      <c r="VVA141"/>
      <c r="VVB141"/>
      <c r="VVC141"/>
      <c r="VVD141"/>
      <c r="VVE141"/>
      <c r="VVF141"/>
      <c r="VVG141"/>
      <c r="VVH141"/>
      <c r="VVI141"/>
      <c r="VVJ141"/>
      <c r="VVK141"/>
      <c r="VVL141"/>
      <c r="VVM141"/>
      <c r="VVN141"/>
      <c r="VVO141"/>
      <c r="VVP141"/>
      <c r="VVQ141"/>
      <c r="VVR141"/>
      <c r="VVS141"/>
      <c r="VVT141"/>
      <c r="VVU141"/>
      <c r="VVV141"/>
      <c r="VVW141"/>
      <c r="VVX141"/>
      <c r="VVY141"/>
      <c r="VVZ141"/>
      <c r="VWA141"/>
      <c r="VWB141"/>
      <c r="VWC141"/>
      <c r="VWD141"/>
      <c r="VWE141"/>
      <c r="VWF141"/>
      <c r="VWG141"/>
      <c r="VWH141"/>
      <c r="VWI141"/>
      <c r="VWJ141"/>
      <c r="VWK141"/>
      <c r="VWL141"/>
      <c r="VWM141"/>
      <c r="VWN141"/>
      <c r="VWO141"/>
    </row>
    <row r="142" spans="2:40 15093:15485" s="1" customFormat="1" hidden="1">
      <c r="B142" s="70"/>
      <c r="C142" s="214" t="s">
        <v>68</v>
      </c>
      <c r="D142" s="74"/>
      <c r="E142" s="70"/>
      <c r="F142" s="60"/>
      <c r="G142" s="60"/>
      <c r="H142" s="60"/>
      <c r="I142" s="285"/>
      <c r="J142" s="60"/>
      <c r="K142" s="60"/>
      <c r="L142" s="60"/>
      <c r="M142" s="285"/>
      <c r="N142" s="285"/>
      <c r="O142" s="60"/>
      <c r="P142" s="60"/>
      <c r="Q142" s="285"/>
      <c r="R142" s="285"/>
      <c r="S142" s="60"/>
      <c r="T142" s="285"/>
      <c r="U142" s="285"/>
      <c r="V142" s="60"/>
      <c r="W142" s="60"/>
      <c r="X142" s="60"/>
      <c r="Y142" s="60"/>
      <c r="Z142" s="285"/>
      <c r="AA142" s="60"/>
      <c r="AB142" s="60"/>
      <c r="AC142" s="60"/>
      <c r="AD142" s="60"/>
      <c r="AE142" s="285"/>
      <c r="AF142" s="285"/>
      <c r="AG142" s="60"/>
      <c r="AH142" s="60"/>
      <c r="AI142" s="60"/>
      <c r="AJ142" s="60"/>
      <c r="AK142" s="115"/>
      <c r="AL142" s="120" t="s">
        <v>68</v>
      </c>
      <c r="AN142" s="116"/>
    </row>
    <row r="143" spans="2:40 15093:15485" s="1" customFormat="1" ht="13.8" hidden="1">
      <c r="B143" s="70"/>
      <c r="C143" s="40" t="s">
        <v>136</v>
      </c>
      <c r="D143" s="69">
        <v>0.3</v>
      </c>
      <c r="E143" s="203" t="s">
        <v>12</v>
      </c>
      <c r="F143" s="84" t="e">
        <f t="shared" ref="F143:AJ143" si="96">F136/F125*100</f>
        <v>#DIV/0!</v>
      </c>
      <c r="G143" s="84" t="e">
        <f t="shared" si="96"/>
        <v>#DIV/0!</v>
      </c>
      <c r="H143" s="84" t="e">
        <f t="shared" si="96"/>
        <v>#DIV/0!</v>
      </c>
      <c r="I143" s="288" t="e">
        <f t="shared" si="96"/>
        <v>#DIV/0!</v>
      </c>
      <c r="J143" s="84" t="e">
        <f t="shared" si="96"/>
        <v>#DIV/0!</v>
      </c>
      <c r="K143" s="84">
        <f t="shared" si="96"/>
        <v>0</v>
      </c>
      <c r="L143" s="84">
        <f t="shared" si="96"/>
        <v>0</v>
      </c>
      <c r="M143" s="288">
        <f t="shared" si="96"/>
        <v>0</v>
      </c>
      <c r="N143" s="288" t="e">
        <f t="shared" si="96"/>
        <v>#DIV/0!</v>
      </c>
      <c r="O143" s="84">
        <f t="shared" si="96"/>
        <v>0</v>
      </c>
      <c r="P143" s="84" t="e">
        <f t="shared" si="96"/>
        <v>#DIV/0!</v>
      </c>
      <c r="Q143" s="288" t="e">
        <f t="shared" si="96"/>
        <v>#DIV/0!</v>
      </c>
      <c r="R143" s="288" t="e">
        <f t="shared" si="96"/>
        <v>#DIV/0!</v>
      </c>
      <c r="S143" s="84" t="e">
        <f t="shared" si="96"/>
        <v>#DIV/0!</v>
      </c>
      <c r="T143" s="288" t="e">
        <f t="shared" si="96"/>
        <v>#DIV/0!</v>
      </c>
      <c r="U143" s="288" t="e">
        <f t="shared" si="96"/>
        <v>#DIV/0!</v>
      </c>
      <c r="V143" s="84" t="e">
        <f t="shared" si="96"/>
        <v>#DIV/0!</v>
      </c>
      <c r="W143" s="84" t="e">
        <f t="shared" si="96"/>
        <v>#DIV/0!</v>
      </c>
      <c r="X143" s="84">
        <f t="shared" si="96"/>
        <v>0</v>
      </c>
      <c r="Y143" s="84">
        <f t="shared" si="96"/>
        <v>0</v>
      </c>
      <c r="Z143" s="288">
        <f t="shared" si="96"/>
        <v>0</v>
      </c>
      <c r="AA143" s="84" t="e">
        <f t="shared" si="96"/>
        <v>#DIV/0!</v>
      </c>
      <c r="AB143" s="84" t="e">
        <f t="shared" si="96"/>
        <v>#DIV/0!</v>
      </c>
      <c r="AC143" s="84" t="e">
        <f t="shared" si="96"/>
        <v>#DIV/0!</v>
      </c>
      <c r="AD143" s="84" t="e">
        <f t="shared" si="96"/>
        <v>#DIV/0!</v>
      </c>
      <c r="AE143" s="288" t="e">
        <f t="shared" si="96"/>
        <v>#DIV/0!</v>
      </c>
      <c r="AF143" s="288">
        <f t="shared" si="96"/>
        <v>0</v>
      </c>
      <c r="AG143" s="84">
        <f t="shared" si="96"/>
        <v>0</v>
      </c>
      <c r="AH143" s="84">
        <f t="shared" si="96"/>
        <v>0</v>
      </c>
      <c r="AI143" s="84" t="e">
        <f t="shared" ref="AI143" si="97">AI136/AI125*100</f>
        <v>#DIV/0!</v>
      </c>
      <c r="AJ143" s="84" t="e">
        <f t="shared" si="96"/>
        <v>#DIV/0!</v>
      </c>
      <c r="AK143" s="115"/>
      <c r="AL143" s="117">
        <f>AL136/AL125*100</f>
        <v>0</v>
      </c>
      <c r="AN143" s="116"/>
    </row>
    <row r="144" spans="2:40 15093:15485" s="1" customFormat="1" ht="13.8" hidden="1">
      <c r="B144" s="70"/>
      <c r="C144" s="40" t="s">
        <v>137</v>
      </c>
      <c r="D144" s="69">
        <v>0.3</v>
      </c>
      <c r="E144" s="203" t="s">
        <v>12</v>
      </c>
      <c r="F144" s="84" t="e">
        <f t="shared" ref="F144:AJ144" si="98">F137/F127*100</f>
        <v>#DIV/0!</v>
      </c>
      <c r="G144" s="84" t="e">
        <f t="shared" si="98"/>
        <v>#DIV/0!</v>
      </c>
      <c r="H144" s="84" t="e">
        <f t="shared" si="98"/>
        <v>#DIV/0!</v>
      </c>
      <c r="I144" s="288" t="e">
        <f t="shared" si="98"/>
        <v>#DIV/0!</v>
      </c>
      <c r="J144" s="84" t="e">
        <f t="shared" si="98"/>
        <v>#DIV/0!</v>
      </c>
      <c r="K144" s="84" t="e">
        <f t="shared" si="98"/>
        <v>#DIV/0!</v>
      </c>
      <c r="L144" s="84" t="e">
        <f t="shared" si="98"/>
        <v>#DIV/0!</v>
      </c>
      <c r="M144" s="288" t="e">
        <f t="shared" si="98"/>
        <v>#DIV/0!</v>
      </c>
      <c r="N144" s="288" t="e">
        <f t="shared" si="98"/>
        <v>#DIV/0!</v>
      </c>
      <c r="O144" s="84" t="e">
        <f t="shared" si="98"/>
        <v>#DIV/0!</v>
      </c>
      <c r="P144" s="84" t="e">
        <f t="shared" si="98"/>
        <v>#DIV/0!</v>
      </c>
      <c r="Q144" s="288" t="e">
        <f t="shared" si="98"/>
        <v>#DIV/0!</v>
      </c>
      <c r="R144" s="288" t="e">
        <f t="shared" si="98"/>
        <v>#DIV/0!</v>
      </c>
      <c r="S144" s="84" t="e">
        <f t="shared" si="98"/>
        <v>#DIV/0!</v>
      </c>
      <c r="T144" s="288" t="e">
        <f t="shared" si="98"/>
        <v>#DIV/0!</v>
      </c>
      <c r="U144" s="288">
        <f t="shared" si="98"/>
        <v>0</v>
      </c>
      <c r="V144" s="84" t="e">
        <f t="shared" si="98"/>
        <v>#DIV/0!</v>
      </c>
      <c r="W144" s="84" t="e">
        <f t="shared" si="98"/>
        <v>#DIV/0!</v>
      </c>
      <c r="X144" s="84" t="e">
        <f t="shared" si="98"/>
        <v>#DIV/0!</v>
      </c>
      <c r="Y144" s="84" t="e">
        <f t="shared" si="98"/>
        <v>#DIV/0!</v>
      </c>
      <c r="Z144" s="288" t="e">
        <f t="shared" si="98"/>
        <v>#DIV/0!</v>
      </c>
      <c r="AA144" s="84" t="e">
        <f t="shared" si="98"/>
        <v>#DIV/0!</v>
      </c>
      <c r="AB144" s="84" t="e">
        <f t="shared" si="98"/>
        <v>#DIV/0!</v>
      </c>
      <c r="AC144" s="84" t="e">
        <f t="shared" si="98"/>
        <v>#DIV/0!</v>
      </c>
      <c r="AD144" s="84" t="e">
        <f t="shared" si="98"/>
        <v>#DIV/0!</v>
      </c>
      <c r="AE144" s="288" t="e">
        <f t="shared" si="98"/>
        <v>#DIV/0!</v>
      </c>
      <c r="AF144" s="288" t="e">
        <f t="shared" si="98"/>
        <v>#DIV/0!</v>
      </c>
      <c r="AG144" s="84" t="e">
        <f t="shared" si="98"/>
        <v>#DIV/0!</v>
      </c>
      <c r="AH144" s="84" t="e">
        <f t="shared" si="98"/>
        <v>#DIV/0!</v>
      </c>
      <c r="AI144" s="84" t="e">
        <f t="shared" ref="AI144" si="99">AI137/AI127*100</f>
        <v>#DIV/0!</v>
      </c>
      <c r="AJ144" s="84" t="e">
        <f t="shared" si="98"/>
        <v>#DIV/0!</v>
      </c>
      <c r="AK144" s="115"/>
      <c r="AL144" s="117">
        <f>AL137/AL127*100</f>
        <v>0</v>
      </c>
      <c r="AN144" s="116"/>
    </row>
    <row r="145" spans="2:60" s="1" customFormat="1" hidden="1">
      <c r="B145" s="70"/>
      <c r="C145" s="214" t="s">
        <v>72</v>
      </c>
      <c r="D145" s="69"/>
      <c r="E145" s="70"/>
      <c r="F145" s="84"/>
      <c r="G145" s="84"/>
      <c r="H145" s="84"/>
      <c r="I145" s="288"/>
      <c r="J145" s="84"/>
      <c r="K145" s="84"/>
      <c r="L145" s="84"/>
      <c r="M145" s="288"/>
      <c r="N145" s="288"/>
      <c r="O145" s="84"/>
      <c r="P145" s="84"/>
      <c r="Q145" s="288"/>
      <c r="R145" s="288"/>
      <c r="S145" s="84"/>
      <c r="T145" s="288"/>
      <c r="U145" s="288"/>
      <c r="V145" s="84"/>
      <c r="W145" s="84"/>
      <c r="X145" s="84"/>
      <c r="Y145" s="84"/>
      <c r="Z145" s="288"/>
      <c r="AA145" s="84"/>
      <c r="AB145" s="84"/>
      <c r="AC145" s="84"/>
      <c r="AD145" s="84"/>
      <c r="AE145" s="288"/>
      <c r="AF145" s="288"/>
      <c r="AG145" s="84"/>
      <c r="AH145" s="84"/>
      <c r="AI145" s="84"/>
      <c r="AJ145" s="84"/>
      <c r="AK145" s="115"/>
      <c r="AL145" s="120" t="s">
        <v>72</v>
      </c>
      <c r="AN145" s="116"/>
    </row>
    <row r="146" spans="2:60" s="1" customFormat="1" ht="13.8" hidden="1">
      <c r="B146" s="70"/>
      <c r="C146" s="40" t="s">
        <v>136</v>
      </c>
      <c r="D146" s="69">
        <v>0.5</v>
      </c>
      <c r="E146" s="203" t="s">
        <v>12</v>
      </c>
      <c r="F146" s="84" t="e">
        <f t="shared" ref="F146:AJ146" si="100">F139/F129*100</f>
        <v>#DIV/0!</v>
      </c>
      <c r="G146" s="84" t="e">
        <f t="shared" si="100"/>
        <v>#DIV/0!</v>
      </c>
      <c r="H146" s="84" t="e">
        <f t="shared" si="100"/>
        <v>#DIV/0!</v>
      </c>
      <c r="I146" s="288" t="e">
        <f t="shared" si="100"/>
        <v>#DIV/0!</v>
      </c>
      <c r="J146" s="84" t="e">
        <f t="shared" si="100"/>
        <v>#DIV/0!</v>
      </c>
      <c r="K146" s="84">
        <f t="shared" si="100"/>
        <v>0</v>
      </c>
      <c r="L146" s="84">
        <f t="shared" si="100"/>
        <v>0</v>
      </c>
      <c r="M146" s="288">
        <f t="shared" si="100"/>
        <v>0</v>
      </c>
      <c r="N146" s="288" t="e">
        <f t="shared" si="100"/>
        <v>#DIV/0!</v>
      </c>
      <c r="O146" s="84">
        <f t="shared" si="100"/>
        <v>0</v>
      </c>
      <c r="P146" s="84" t="e">
        <f t="shared" si="100"/>
        <v>#DIV/0!</v>
      </c>
      <c r="Q146" s="288" t="e">
        <f t="shared" si="100"/>
        <v>#DIV/0!</v>
      </c>
      <c r="R146" s="288" t="e">
        <f t="shared" si="100"/>
        <v>#DIV/0!</v>
      </c>
      <c r="S146" s="84" t="e">
        <f t="shared" si="100"/>
        <v>#DIV/0!</v>
      </c>
      <c r="T146" s="288" t="e">
        <f t="shared" si="100"/>
        <v>#DIV/0!</v>
      </c>
      <c r="U146" s="288" t="e">
        <f t="shared" si="100"/>
        <v>#DIV/0!</v>
      </c>
      <c r="V146" s="84" t="e">
        <f t="shared" si="100"/>
        <v>#DIV/0!</v>
      </c>
      <c r="W146" s="84" t="e">
        <f t="shared" si="100"/>
        <v>#DIV/0!</v>
      </c>
      <c r="X146" s="84">
        <f t="shared" si="100"/>
        <v>0</v>
      </c>
      <c r="Y146" s="84">
        <f t="shared" si="100"/>
        <v>0</v>
      </c>
      <c r="Z146" s="288">
        <f t="shared" si="100"/>
        <v>0</v>
      </c>
      <c r="AA146" s="84" t="e">
        <f t="shared" si="100"/>
        <v>#DIV/0!</v>
      </c>
      <c r="AB146" s="84" t="e">
        <f t="shared" si="100"/>
        <v>#DIV/0!</v>
      </c>
      <c r="AC146" s="84" t="e">
        <f t="shared" si="100"/>
        <v>#DIV/0!</v>
      </c>
      <c r="AD146" s="84" t="e">
        <f t="shared" si="100"/>
        <v>#DIV/0!</v>
      </c>
      <c r="AE146" s="288" t="e">
        <f t="shared" si="100"/>
        <v>#DIV/0!</v>
      </c>
      <c r="AF146" s="288">
        <f t="shared" si="100"/>
        <v>0</v>
      </c>
      <c r="AG146" s="84">
        <f t="shared" si="100"/>
        <v>0</v>
      </c>
      <c r="AH146" s="84">
        <f t="shared" si="100"/>
        <v>0</v>
      </c>
      <c r="AI146" s="84" t="e">
        <f t="shared" ref="AI146" si="101">AI139/AI129*100</f>
        <v>#DIV/0!</v>
      </c>
      <c r="AJ146" s="84" t="e">
        <f t="shared" si="100"/>
        <v>#DIV/0!</v>
      </c>
      <c r="AK146" s="115"/>
      <c r="AL146" s="117">
        <f>AL139/AL129*100</f>
        <v>0</v>
      </c>
      <c r="AN146" s="116"/>
    </row>
    <row r="147" spans="2:60" s="1" customFormat="1" ht="13.8" hidden="1">
      <c r="B147" s="70"/>
      <c r="C147" s="40" t="s">
        <v>137</v>
      </c>
      <c r="D147" s="69">
        <v>0.5</v>
      </c>
      <c r="E147" s="203" t="s">
        <v>12</v>
      </c>
      <c r="F147" s="84" t="e">
        <f t="shared" ref="F147:AJ147" si="102">F140/F131*100</f>
        <v>#DIV/0!</v>
      </c>
      <c r="G147" s="84" t="e">
        <f t="shared" si="102"/>
        <v>#DIV/0!</v>
      </c>
      <c r="H147" s="84" t="e">
        <f t="shared" si="102"/>
        <v>#DIV/0!</v>
      </c>
      <c r="I147" s="288" t="e">
        <f t="shared" si="102"/>
        <v>#DIV/0!</v>
      </c>
      <c r="J147" s="84" t="e">
        <f t="shared" si="102"/>
        <v>#DIV/0!</v>
      </c>
      <c r="K147" s="84" t="e">
        <f t="shared" si="102"/>
        <v>#DIV/0!</v>
      </c>
      <c r="L147" s="84" t="e">
        <f t="shared" si="102"/>
        <v>#DIV/0!</v>
      </c>
      <c r="M147" s="288" t="e">
        <f t="shared" si="102"/>
        <v>#DIV/0!</v>
      </c>
      <c r="N147" s="288" t="e">
        <f t="shared" si="102"/>
        <v>#DIV/0!</v>
      </c>
      <c r="O147" s="84" t="e">
        <f t="shared" si="102"/>
        <v>#DIV/0!</v>
      </c>
      <c r="P147" s="84" t="e">
        <f t="shared" si="102"/>
        <v>#DIV/0!</v>
      </c>
      <c r="Q147" s="288" t="e">
        <f t="shared" si="102"/>
        <v>#DIV/0!</v>
      </c>
      <c r="R147" s="288" t="e">
        <f t="shared" si="102"/>
        <v>#DIV/0!</v>
      </c>
      <c r="S147" s="84" t="e">
        <f t="shared" si="102"/>
        <v>#DIV/0!</v>
      </c>
      <c r="T147" s="288" t="e">
        <f t="shared" si="102"/>
        <v>#DIV/0!</v>
      </c>
      <c r="U147" s="288">
        <f t="shared" si="102"/>
        <v>0</v>
      </c>
      <c r="V147" s="84" t="e">
        <f t="shared" si="102"/>
        <v>#DIV/0!</v>
      </c>
      <c r="W147" s="84" t="e">
        <f t="shared" si="102"/>
        <v>#DIV/0!</v>
      </c>
      <c r="X147" s="84" t="e">
        <f t="shared" si="102"/>
        <v>#DIV/0!</v>
      </c>
      <c r="Y147" s="84" t="e">
        <f t="shared" si="102"/>
        <v>#DIV/0!</v>
      </c>
      <c r="Z147" s="288" t="e">
        <f t="shared" si="102"/>
        <v>#DIV/0!</v>
      </c>
      <c r="AA147" s="84" t="e">
        <f t="shared" si="102"/>
        <v>#DIV/0!</v>
      </c>
      <c r="AB147" s="84" t="e">
        <f t="shared" si="102"/>
        <v>#DIV/0!</v>
      </c>
      <c r="AC147" s="84" t="e">
        <f t="shared" si="102"/>
        <v>#DIV/0!</v>
      </c>
      <c r="AD147" s="84" t="e">
        <f t="shared" si="102"/>
        <v>#DIV/0!</v>
      </c>
      <c r="AE147" s="288" t="e">
        <f t="shared" si="102"/>
        <v>#DIV/0!</v>
      </c>
      <c r="AF147" s="288" t="e">
        <f t="shared" si="102"/>
        <v>#DIV/0!</v>
      </c>
      <c r="AG147" s="84" t="e">
        <f t="shared" si="102"/>
        <v>#DIV/0!</v>
      </c>
      <c r="AH147" s="84" t="e">
        <f t="shared" si="102"/>
        <v>#DIV/0!</v>
      </c>
      <c r="AI147" s="84" t="e">
        <f t="shared" ref="AI147" si="103">AI140/AI131*100</f>
        <v>#DIV/0!</v>
      </c>
      <c r="AJ147" s="84" t="e">
        <f t="shared" si="102"/>
        <v>#DIV/0!</v>
      </c>
      <c r="AK147" s="115"/>
      <c r="AL147" s="117">
        <f>AL140/AL131*100</f>
        <v>0</v>
      </c>
      <c r="AN147" s="116"/>
    </row>
    <row r="148" spans="2:60">
      <c r="B148" s="54">
        <v>8</v>
      </c>
      <c r="C148" s="199" t="s">
        <v>83</v>
      </c>
      <c r="D148" s="55"/>
      <c r="E148" s="82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115"/>
      <c r="AL148" s="126" t="s">
        <v>84</v>
      </c>
    </row>
    <row r="149" spans="2:60" s="1" customFormat="1" ht="13.8">
      <c r="B149" s="57"/>
      <c r="C149" s="196" t="s">
        <v>85</v>
      </c>
      <c r="D149" s="74"/>
      <c r="E149" s="203" t="s">
        <v>86</v>
      </c>
      <c r="F149" s="84">
        <v>0</v>
      </c>
      <c r="G149" s="148">
        <v>292.36429999999382</v>
      </c>
      <c r="H149" s="146">
        <f>0.3054048*1000</f>
        <v>305.40479999999997</v>
      </c>
      <c r="I149" s="297">
        <v>973.18520000000001</v>
      </c>
      <c r="J149" s="150">
        <v>1562.1184000000001</v>
      </c>
      <c r="K149" s="150">
        <v>1680.9786999999999</v>
      </c>
      <c r="L149" s="150">
        <v>1414.9094</v>
      </c>
      <c r="M149" s="297">
        <v>1452.5306</v>
      </c>
      <c r="N149" s="297">
        <v>1464.2998</v>
      </c>
      <c r="O149" s="150">
        <v>1450.307</v>
      </c>
      <c r="P149" s="150">
        <v>1410.6158</v>
      </c>
      <c r="Q149" s="297">
        <v>1406.9285</v>
      </c>
      <c r="R149" s="297">
        <v>1478.6445000000001</v>
      </c>
      <c r="S149" s="150">
        <v>1452.5979</v>
      </c>
      <c r="T149" s="297">
        <v>1361.7008000000001</v>
      </c>
      <c r="U149" s="299">
        <v>1231.7937999999999</v>
      </c>
      <c r="V149" s="152">
        <v>1204.4146000000001</v>
      </c>
      <c r="W149" s="152">
        <v>1238.9662000000001</v>
      </c>
      <c r="X149" s="152">
        <v>1248.8861999999999</v>
      </c>
      <c r="Y149" s="152">
        <v>1237.1469</v>
      </c>
      <c r="Z149" s="299">
        <v>1174.8531</v>
      </c>
      <c r="AA149" s="150">
        <v>1319.1795999999999</v>
      </c>
      <c r="AB149" s="152">
        <v>1381.7617</v>
      </c>
      <c r="AC149" s="150">
        <v>1278.6461999999999</v>
      </c>
      <c r="AD149" s="150">
        <v>1337.3388</v>
      </c>
      <c r="AE149" s="299">
        <v>1324.0198</v>
      </c>
      <c r="AF149" s="299">
        <v>1247.0219999999999</v>
      </c>
      <c r="AG149" s="152">
        <v>1284.7329</v>
      </c>
      <c r="AH149" s="152">
        <v>1215.7421999999999</v>
      </c>
      <c r="AI149" s="152">
        <v>1184.8779</v>
      </c>
      <c r="AJ149" s="152">
        <v>1285.7324000000001</v>
      </c>
      <c r="AK149" s="115"/>
      <c r="AL149" s="158">
        <f>SUM(F149:AJ149)</f>
        <v>37901.699999999997</v>
      </c>
      <c r="AN149" s="116"/>
    </row>
    <row r="150" spans="2:60" s="4" customFormat="1" ht="13.8">
      <c r="B150" s="75"/>
      <c r="C150" s="201" t="s">
        <v>87</v>
      </c>
      <c r="D150" s="147">
        <v>1269.566</v>
      </c>
      <c r="E150" s="202" t="s">
        <v>86</v>
      </c>
      <c r="F150" s="244">
        <v>0</v>
      </c>
      <c r="G150" s="148">
        <v>18.369599999999998</v>
      </c>
      <c r="H150" s="148">
        <v>747.91279999999995</v>
      </c>
      <c r="I150" s="297">
        <v>1400.7539999999999</v>
      </c>
      <c r="J150" s="146">
        <v>1494.0867000000001</v>
      </c>
      <c r="K150" s="151">
        <v>1251.0693000000001</v>
      </c>
      <c r="L150" s="239">
        <v>1279.5748000000001</v>
      </c>
      <c r="M150" s="297">
        <v>1293.2394999999999</v>
      </c>
      <c r="N150" s="297">
        <v>1337.2913000000001</v>
      </c>
      <c r="O150" s="152">
        <v>1266.7521999999999</v>
      </c>
      <c r="P150" s="150">
        <v>1333.3063999999999</v>
      </c>
      <c r="Q150" s="297">
        <v>1352.6065000000001</v>
      </c>
      <c r="R150" s="297">
        <v>1317.0299</v>
      </c>
      <c r="S150" s="152">
        <v>1261.5872999999999</v>
      </c>
      <c r="T150" s="299">
        <v>1138.2207000000001</v>
      </c>
      <c r="U150" s="299">
        <v>1112.3947000000001</v>
      </c>
      <c r="V150" s="152">
        <v>1144.6552999999999</v>
      </c>
      <c r="W150" s="152">
        <v>1174.4693</v>
      </c>
      <c r="X150" s="152">
        <v>1146.2182</v>
      </c>
      <c r="Y150" s="152">
        <v>1086.5976000000001</v>
      </c>
      <c r="Z150" s="299">
        <v>1227.1335999999999</v>
      </c>
      <c r="AA150" s="150">
        <v>1281.6559</v>
      </c>
      <c r="AB150" s="152">
        <v>1182.4992</v>
      </c>
      <c r="AC150" s="152">
        <v>1229.9712999999999</v>
      </c>
      <c r="AD150" s="152">
        <v>1226.5518999999999</v>
      </c>
      <c r="AE150" s="299">
        <v>1146.6214</v>
      </c>
      <c r="AF150" s="299">
        <v>1189.1955</v>
      </c>
      <c r="AG150" s="242">
        <v>1126.4177</v>
      </c>
      <c r="AH150" s="152">
        <v>1086.2360000000001</v>
      </c>
      <c r="AI150" s="152">
        <v>1188.4267</v>
      </c>
      <c r="AJ150" s="152">
        <v>1222.4603999999999</v>
      </c>
      <c r="AK150" s="119"/>
      <c r="AL150" s="159">
        <f>SUM(F150:AJ150)</f>
        <v>35263.305699999997</v>
      </c>
      <c r="AM150" s="260"/>
      <c r="AN150" s="250">
        <f>AL150/AL22</f>
        <v>1259.403775</v>
      </c>
    </row>
    <row r="151" spans="2:60">
      <c r="B151" s="70"/>
      <c r="C151" s="212" t="s">
        <v>88</v>
      </c>
      <c r="D151" s="74"/>
      <c r="E151" s="70"/>
      <c r="F151" s="244"/>
      <c r="G151" s="148"/>
      <c r="H151" s="148"/>
      <c r="I151" s="285"/>
      <c r="J151" s="148"/>
      <c r="K151" s="151"/>
      <c r="L151" s="151"/>
      <c r="M151" s="285"/>
      <c r="N151" s="285"/>
      <c r="O151" s="60"/>
      <c r="P151" s="60"/>
      <c r="Q151" s="298"/>
      <c r="R151" s="298"/>
      <c r="S151" s="60"/>
      <c r="T151" s="285"/>
      <c r="U151" s="285"/>
      <c r="V151" s="60"/>
      <c r="W151" s="60"/>
      <c r="X151" s="60"/>
      <c r="Y151" s="60"/>
      <c r="Z151" s="285"/>
      <c r="AA151" s="60"/>
      <c r="AB151" s="60"/>
      <c r="AC151" s="84"/>
      <c r="AD151" s="84"/>
      <c r="AE151" s="288"/>
      <c r="AF151" s="288"/>
      <c r="AG151" s="84"/>
      <c r="AH151" s="84"/>
      <c r="AI151" s="84"/>
      <c r="AJ151" s="84"/>
      <c r="AK151" s="115"/>
      <c r="AL151" s="179" t="s">
        <v>88</v>
      </c>
    </row>
    <row r="152" spans="2:60">
      <c r="B152" s="70"/>
      <c r="C152" s="196" t="s">
        <v>89</v>
      </c>
      <c r="D152" s="69">
        <v>253.91319999999999</v>
      </c>
      <c r="E152" s="203" t="s">
        <v>86</v>
      </c>
      <c r="F152" s="244">
        <v>0</v>
      </c>
      <c r="G152" s="177">
        <v>0</v>
      </c>
      <c r="H152" s="148">
        <v>104.1211603920467</v>
      </c>
      <c r="I152" s="299">
        <v>247.83490903908864</v>
      </c>
      <c r="J152" s="148">
        <v>261.61899945133251</v>
      </c>
      <c r="K152" s="151">
        <v>232.55848440962353</v>
      </c>
      <c r="L152" s="151">
        <v>260.79989875047312</v>
      </c>
      <c r="M152" s="299">
        <v>247.28854185499461</v>
      </c>
      <c r="N152" s="299">
        <v>263.35078409928741</v>
      </c>
      <c r="O152" s="152">
        <v>271.6628445155601</v>
      </c>
      <c r="P152" s="152">
        <v>266.8226389912399</v>
      </c>
      <c r="Q152" s="299">
        <v>279.10586999625986</v>
      </c>
      <c r="R152" s="299">
        <v>239.94728983983129</v>
      </c>
      <c r="S152" s="152">
        <v>199.00015074429197</v>
      </c>
      <c r="T152" s="299">
        <v>186.12549535725074</v>
      </c>
      <c r="U152" s="299">
        <v>186.95165785641902</v>
      </c>
      <c r="V152" s="152">
        <v>199.23490975289852</v>
      </c>
      <c r="W152" s="152">
        <v>172.64024221451785</v>
      </c>
      <c r="X152" s="152">
        <v>164.19876151644854</v>
      </c>
      <c r="Y152" s="152">
        <v>150.82331111535154</v>
      </c>
      <c r="Z152" s="299">
        <v>168.05826653780039</v>
      </c>
      <c r="AA152" s="152">
        <v>174.3829196422102</v>
      </c>
      <c r="AB152" s="152">
        <v>185.48177930963581</v>
      </c>
      <c r="AC152" s="152">
        <v>175.33653808047205</v>
      </c>
      <c r="AD152" s="152">
        <v>176.27695180849869</v>
      </c>
      <c r="AE152" s="299">
        <v>184.61409440027194</v>
      </c>
      <c r="AF152" s="299">
        <v>172.11539333210305</v>
      </c>
      <c r="AG152" s="152">
        <v>197.54687616990185</v>
      </c>
      <c r="AH152" s="152">
        <v>184.60969933351549</v>
      </c>
      <c r="AI152" s="152">
        <v>190.3054964825107</v>
      </c>
      <c r="AJ152" s="152">
        <v>182.63701065691492</v>
      </c>
      <c r="AK152" s="115"/>
      <c r="AL152" s="180">
        <f>SUM(F152:AJ152)</f>
        <v>5925.4509756507505</v>
      </c>
      <c r="AM152" s="234"/>
      <c r="BH152" s="234"/>
    </row>
    <row r="153" spans="2:60">
      <c r="B153" s="70"/>
      <c r="C153" s="196" t="s">
        <v>90</v>
      </c>
      <c r="D153" s="69">
        <v>1015.6528</v>
      </c>
      <c r="E153" s="203" t="s">
        <v>86</v>
      </c>
      <c r="F153" s="244">
        <f t="shared" ref="F153:AJ153" si="104">F154-F152</f>
        <v>0</v>
      </c>
      <c r="G153" s="148">
        <f t="shared" si="104"/>
        <v>18.369599999999998</v>
      </c>
      <c r="H153" s="148">
        <f t="shared" si="104"/>
        <v>643.79163960795324</v>
      </c>
      <c r="I153" s="299">
        <f t="shared" si="104"/>
        <v>1152.9190909609113</v>
      </c>
      <c r="J153" s="148">
        <f t="shared" si="104"/>
        <v>1232.4677005486676</v>
      </c>
      <c r="K153" s="151">
        <f t="shared" si="104"/>
        <v>1018.5108155903765</v>
      </c>
      <c r="L153" s="151">
        <f t="shared" si="104"/>
        <v>1018.7749012495269</v>
      </c>
      <c r="M153" s="299">
        <f t="shared" si="104"/>
        <v>1045.9509581450052</v>
      </c>
      <c r="N153" s="299">
        <f t="shared" si="104"/>
        <v>1073.9405159007126</v>
      </c>
      <c r="O153" s="152">
        <f t="shared" si="104"/>
        <v>995.08935548443981</v>
      </c>
      <c r="P153" s="152">
        <f t="shared" si="104"/>
        <v>1066.48376100876</v>
      </c>
      <c r="Q153" s="299">
        <f t="shared" si="104"/>
        <v>1073.5006300037403</v>
      </c>
      <c r="R153" s="299">
        <f t="shared" si="104"/>
        <v>1077.0826101601688</v>
      </c>
      <c r="S153" s="152">
        <f t="shared" si="104"/>
        <v>1062.587149255708</v>
      </c>
      <c r="T153" s="299">
        <f t="shared" si="104"/>
        <v>952.09520464274931</v>
      </c>
      <c r="U153" s="299">
        <f t="shared" si="104"/>
        <v>925.44304214358101</v>
      </c>
      <c r="V153" s="152">
        <f t="shared" si="104"/>
        <v>945.42039024710141</v>
      </c>
      <c r="W153" s="152">
        <f t="shared" si="104"/>
        <v>1001.8290577854821</v>
      </c>
      <c r="X153" s="152">
        <f t="shared" si="104"/>
        <v>982.01943848355154</v>
      </c>
      <c r="Y153" s="152">
        <f t="shared" si="104"/>
        <v>935.77428888464851</v>
      </c>
      <c r="Z153" s="299">
        <f t="shared" si="104"/>
        <v>1059.0753334621995</v>
      </c>
      <c r="AA153" s="152">
        <f t="shared" si="104"/>
        <v>1107.2729803577897</v>
      </c>
      <c r="AB153" s="152">
        <f t="shared" si="104"/>
        <v>997.01742069036413</v>
      </c>
      <c r="AC153" s="152">
        <f t="shared" si="104"/>
        <v>1054.6347619195278</v>
      </c>
      <c r="AD153" s="152">
        <f t="shared" si="104"/>
        <v>1050.2749481915012</v>
      </c>
      <c r="AE153" s="299">
        <f t="shared" si="104"/>
        <v>962.00730559972806</v>
      </c>
      <c r="AF153" s="299">
        <f t="shared" si="104"/>
        <v>1017.080106667897</v>
      </c>
      <c r="AG153" s="152">
        <f t="shared" si="104"/>
        <v>928.87082383009806</v>
      </c>
      <c r="AH153" s="152">
        <f t="shared" si="104"/>
        <v>901.62630066648467</v>
      </c>
      <c r="AI153" s="152">
        <f t="shared" ref="AI153" si="105">AI154-AI152</f>
        <v>998.12120351748922</v>
      </c>
      <c r="AJ153" s="152">
        <f t="shared" si="104"/>
        <v>1039.823389343085</v>
      </c>
      <c r="AK153" s="115"/>
      <c r="AL153" s="180">
        <f>SUM(F153:AJ153)</f>
        <v>29337.85472434925</v>
      </c>
    </row>
    <row r="154" spans="2:60" s="5" customFormat="1" ht="13.8">
      <c r="B154" s="160"/>
      <c r="C154" s="217" t="s">
        <v>91</v>
      </c>
      <c r="D154" s="161">
        <f>SUM(D152:D153)</f>
        <v>1269.566</v>
      </c>
      <c r="E154" s="218" t="s">
        <v>86</v>
      </c>
      <c r="F154" s="245">
        <f t="shared" ref="F154:AJ154" si="106">F150</f>
        <v>0</v>
      </c>
      <c r="G154" s="162">
        <f t="shared" si="106"/>
        <v>18.369599999999998</v>
      </c>
      <c r="H154" s="162">
        <f t="shared" si="106"/>
        <v>747.91279999999995</v>
      </c>
      <c r="I154" s="300">
        <f t="shared" si="106"/>
        <v>1400.7539999999999</v>
      </c>
      <c r="J154" s="176">
        <f t="shared" si="106"/>
        <v>1494.0867000000001</v>
      </c>
      <c r="K154" s="176">
        <f t="shared" si="106"/>
        <v>1251.0693000000001</v>
      </c>
      <c r="L154" s="176">
        <f t="shared" si="106"/>
        <v>1279.5748000000001</v>
      </c>
      <c r="M154" s="300">
        <f t="shared" si="106"/>
        <v>1293.2394999999999</v>
      </c>
      <c r="N154" s="300">
        <f t="shared" si="106"/>
        <v>1337.2913000000001</v>
      </c>
      <c r="O154" s="176">
        <f t="shared" si="106"/>
        <v>1266.7521999999999</v>
      </c>
      <c r="P154" s="176">
        <f t="shared" si="106"/>
        <v>1333.3063999999999</v>
      </c>
      <c r="Q154" s="300">
        <f t="shared" si="106"/>
        <v>1352.6065000000001</v>
      </c>
      <c r="R154" s="300">
        <f t="shared" si="106"/>
        <v>1317.0299</v>
      </c>
      <c r="S154" s="176">
        <f t="shared" si="106"/>
        <v>1261.5872999999999</v>
      </c>
      <c r="T154" s="300">
        <f t="shared" si="106"/>
        <v>1138.2207000000001</v>
      </c>
      <c r="U154" s="300">
        <f t="shared" si="106"/>
        <v>1112.3947000000001</v>
      </c>
      <c r="V154" s="176">
        <f t="shared" si="106"/>
        <v>1144.6552999999999</v>
      </c>
      <c r="W154" s="176">
        <f t="shared" si="106"/>
        <v>1174.4693</v>
      </c>
      <c r="X154" s="176">
        <f t="shared" si="106"/>
        <v>1146.2182</v>
      </c>
      <c r="Y154" s="176">
        <f t="shared" si="106"/>
        <v>1086.5976000000001</v>
      </c>
      <c r="Z154" s="300">
        <f t="shared" si="106"/>
        <v>1227.1335999999999</v>
      </c>
      <c r="AA154" s="176">
        <f t="shared" si="106"/>
        <v>1281.6559</v>
      </c>
      <c r="AB154" s="176">
        <f t="shared" si="106"/>
        <v>1182.4992</v>
      </c>
      <c r="AC154" s="176">
        <f t="shared" si="106"/>
        <v>1229.9712999999999</v>
      </c>
      <c r="AD154" s="176">
        <f t="shared" si="106"/>
        <v>1226.5518999999999</v>
      </c>
      <c r="AE154" s="300">
        <f t="shared" si="106"/>
        <v>1146.6214</v>
      </c>
      <c r="AF154" s="300">
        <f t="shared" si="106"/>
        <v>1189.1955</v>
      </c>
      <c r="AG154" s="176">
        <f t="shared" si="106"/>
        <v>1126.4177</v>
      </c>
      <c r="AH154" s="176">
        <f t="shared" si="106"/>
        <v>1086.2360000000001</v>
      </c>
      <c r="AI154" s="176">
        <f t="shared" ref="AI154" si="107">AI150</f>
        <v>1188.4267</v>
      </c>
      <c r="AJ154" s="176">
        <f t="shared" si="106"/>
        <v>1222.4603999999999</v>
      </c>
      <c r="AK154" s="156"/>
      <c r="AL154" s="181">
        <f>SUM(AL152:AL153)</f>
        <v>35263.305699999997</v>
      </c>
      <c r="AM154" s="235"/>
      <c r="AN154" s="182"/>
      <c r="BH154" s="235"/>
    </row>
    <row r="155" spans="2:60" s="5" customFormat="1" ht="13.8">
      <c r="B155" s="57">
        <v>9</v>
      </c>
      <c r="C155" s="219" t="s">
        <v>92</v>
      </c>
      <c r="D155" s="163"/>
      <c r="E155" s="163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  <c r="AH155" s="164"/>
      <c r="AI155" s="164"/>
      <c r="AJ155" s="164"/>
      <c r="AK155" s="156"/>
      <c r="AL155" s="183" t="s">
        <v>93</v>
      </c>
      <c r="AN155" s="182"/>
    </row>
    <row r="156" spans="2:60" s="5" customFormat="1" ht="13.8">
      <c r="B156" s="57"/>
      <c r="C156" s="196" t="s">
        <v>94</v>
      </c>
      <c r="D156" s="62">
        <f>17000*24</f>
        <v>408000</v>
      </c>
      <c r="E156" s="203" t="s">
        <v>9</v>
      </c>
      <c r="F156" s="140">
        <v>0</v>
      </c>
      <c r="G156" s="140">
        <v>0</v>
      </c>
      <c r="H156" s="140">
        <v>284175</v>
      </c>
      <c r="I156" s="293">
        <v>319680</v>
      </c>
      <c r="J156" s="140">
        <v>342720</v>
      </c>
      <c r="K156" s="140">
        <f>265600+24795</f>
        <v>290395</v>
      </c>
      <c r="L156" s="140">
        <v>307200</v>
      </c>
      <c r="M156" s="293">
        <v>321120</v>
      </c>
      <c r="N156" s="293">
        <v>304800</v>
      </c>
      <c r="O156" s="140">
        <v>313440</v>
      </c>
      <c r="P156" s="140">
        <v>323280</v>
      </c>
      <c r="Q156" s="293">
        <v>325200</v>
      </c>
      <c r="R156" s="293">
        <v>313440</v>
      </c>
      <c r="S156" s="140">
        <v>311520</v>
      </c>
      <c r="T156" s="293">
        <v>277680</v>
      </c>
      <c r="U156" s="293">
        <v>275760</v>
      </c>
      <c r="V156" s="140">
        <v>306720</v>
      </c>
      <c r="W156" s="140">
        <v>300000</v>
      </c>
      <c r="X156" s="140">
        <v>297120</v>
      </c>
      <c r="Y156" s="140">
        <v>287333</v>
      </c>
      <c r="Z156" s="293">
        <v>336720</v>
      </c>
      <c r="AA156" s="140">
        <v>326640</v>
      </c>
      <c r="AB156" s="140">
        <v>303840</v>
      </c>
      <c r="AC156" s="140">
        <v>342720</v>
      </c>
      <c r="AD156" s="140">
        <v>309120</v>
      </c>
      <c r="AE156" s="293">
        <v>296400</v>
      </c>
      <c r="AF156" s="293">
        <v>303360</v>
      </c>
      <c r="AG156" s="140">
        <v>285360</v>
      </c>
      <c r="AH156" s="140">
        <v>288960</v>
      </c>
      <c r="AI156" s="140">
        <v>311520</v>
      </c>
      <c r="AJ156" s="140">
        <v>328560</v>
      </c>
      <c r="AK156" s="156"/>
      <c r="AL156" s="184">
        <f>SUM(F156:AJ156)</f>
        <v>8934783</v>
      </c>
      <c r="AM156" s="153"/>
      <c r="AN156" s="182">
        <f>AL156/AL22</f>
        <v>319099.39285714284</v>
      </c>
    </row>
    <row r="157" spans="2:60" s="5" customFormat="1">
      <c r="B157" s="57"/>
      <c r="C157" s="214" t="s">
        <v>95</v>
      </c>
      <c r="D157" s="141"/>
      <c r="E157" s="57"/>
      <c r="F157" s="140"/>
      <c r="G157" s="140"/>
      <c r="H157" s="140"/>
      <c r="I157" s="293"/>
      <c r="J157" s="140"/>
      <c r="K157" s="140"/>
      <c r="L157" s="140"/>
      <c r="M157" s="293"/>
      <c r="N157" s="293"/>
      <c r="O157" s="140"/>
      <c r="P157" s="140"/>
      <c r="Q157" s="293"/>
      <c r="R157" s="293"/>
      <c r="S157" s="140"/>
      <c r="T157" s="293"/>
      <c r="U157" s="293"/>
      <c r="V157" s="140"/>
      <c r="W157" s="140"/>
      <c r="X157" s="140"/>
      <c r="Y157" s="140"/>
      <c r="Z157" s="293"/>
      <c r="AA157" s="140"/>
      <c r="AB157" s="140"/>
      <c r="AC157" s="140"/>
      <c r="AD157" s="140"/>
      <c r="AE157" s="293"/>
      <c r="AF157" s="293"/>
      <c r="AG157" s="140"/>
      <c r="AH157" s="140"/>
      <c r="AI157" s="140"/>
      <c r="AJ157" s="140"/>
      <c r="AK157" s="156"/>
      <c r="AL157" s="185" t="s">
        <v>95</v>
      </c>
      <c r="AM157" s="153"/>
      <c r="AN157" s="182">
        <f>AN156/24</f>
        <v>13295.808035714284</v>
      </c>
    </row>
    <row r="158" spans="2:60" s="5" customFormat="1">
      <c r="B158" s="57"/>
      <c r="C158" s="214"/>
      <c r="D158" s="141"/>
      <c r="E158" s="57"/>
      <c r="F158" s="140"/>
      <c r="G158" s="140"/>
      <c r="H158" s="140"/>
      <c r="I158" s="293">
        <f>I159/I23*1000</f>
        <v>128.13287958050941</v>
      </c>
      <c r="J158" s="140"/>
      <c r="K158" s="140"/>
      <c r="L158" s="140"/>
      <c r="M158" s="293">
        <f>M159/M23*1000</f>
        <v>73.019673154991523</v>
      </c>
      <c r="N158" s="293"/>
      <c r="O158" s="140"/>
      <c r="P158" s="140"/>
      <c r="Q158" s="293">
        <f>Q159/Q23*1000</f>
        <v>73.048234709099944</v>
      </c>
      <c r="R158" s="293">
        <f>R159/R23*1000</f>
        <v>76.342055570542215</v>
      </c>
      <c r="S158" s="293">
        <f t="shared" ref="S158:U158" si="108">S159/S23*1000</f>
        <v>83.193926135632481</v>
      </c>
      <c r="T158" s="293">
        <f t="shared" si="108"/>
        <v>83.918275256956107</v>
      </c>
      <c r="U158" s="293">
        <f t="shared" si="108"/>
        <v>86.587548896108771</v>
      </c>
      <c r="V158" s="293">
        <f t="shared" ref="V158" si="109">V159/V23*1000</f>
        <v>84.469310979087766</v>
      </c>
      <c r="W158" s="293">
        <f t="shared" ref="W158" si="110">W159/W23*1000</f>
        <v>96.488339370715195</v>
      </c>
      <c r="X158" s="293">
        <f t="shared" ref="X158" si="111">X159/X23*1000</f>
        <v>98.238286885869087</v>
      </c>
      <c r="Y158" s="293">
        <f t="shared" ref="Y158" si="112">Y159/Y23*1000</f>
        <v>121.58342993456549</v>
      </c>
      <c r="Z158" s="293">
        <f t="shared" ref="Z158" si="113">Z159/Z23*1000</f>
        <v>106.0679220988259</v>
      </c>
      <c r="AA158" s="293">
        <f t="shared" ref="AA158" si="114">AA159/AA23*1000</f>
        <v>113.76116215131294</v>
      </c>
      <c r="AB158" s="293">
        <f t="shared" ref="AB158" si="115">AB159/AB23*1000</f>
        <v>114.38522735118708</v>
      </c>
      <c r="AC158" s="293">
        <f t="shared" ref="AC158" si="116">AC159/AC23*1000</f>
        <v>109.28463403327179</v>
      </c>
      <c r="AD158" s="293">
        <f t="shared" ref="AD158" si="117">AD159/AD23*1000</f>
        <v>103.36889303501302</v>
      </c>
      <c r="AE158" s="293">
        <f t="shared" ref="AE158:AF158" si="118">AE159/AE23*1000</f>
        <v>99.306464367944798</v>
      </c>
      <c r="AF158" s="293">
        <f t="shared" si="118"/>
        <v>103.08730134613631</v>
      </c>
      <c r="AG158" s="140"/>
      <c r="AH158" s="140"/>
      <c r="AI158" s="140"/>
      <c r="AJ158" s="140"/>
      <c r="AK158" s="156"/>
      <c r="AL158" s="185"/>
      <c r="AM158" s="153"/>
      <c r="AN158" s="182"/>
    </row>
    <row r="159" spans="2:60">
      <c r="B159" s="70"/>
      <c r="C159" s="196" t="s">
        <v>22</v>
      </c>
      <c r="D159" s="62">
        <v>180000</v>
      </c>
      <c r="E159" s="203" t="s">
        <v>9</v>
      </c>
      <c r="F159" s="60">
        <v>0</v>
      </c>
      <c r="G159" s="60">
        <v>0</v>
      </c>
      <c r="H159" s="60">
        <v>0</v>
      </c>
      <c r="I159" s="285">
        <v>146200</v>
      </c>
      <c r="J159" s="60">
        <v>135700</v>
      </c>
      <c r="K159" s="60">
        <v>124600</v>
      </c>
      <c r="L159" s="60">
        <v>133700</v>
      </c>
      <c r="M159" s="285">
        <v>140300</v>
      </c>
      <c r="N159" s="285">
        <v>142500</v>
      </c>
      <c r="O159" s="60">
        <v>148800</v>
      </c>
      <c r="P159" s="60">
        <v>151400</v>
      </c>
      <c r="Q159" s="285">
        <v>146900</v>
      </c>
      <c r="R159" s="285">
        <v>141500</v>
      </c>
      <c r="S159" s="60">
        <v>129300</v>
      </c>
      <c r="T159" s="285">
        <v>133900</v>
      </c>
      <c r="U159" s="285">
        <v>130600</v>
      </c>
      <c r="V159" s="60">
        <v>131800</v>
      </c>
      <c r="W159" s="60">
        <v>128920</v>
      </c>
      <c r="X159" s="60">
        <v>129370</v>
      </c>
      <c r="Y159" s="60">
        <v>126910</v>
      </c>
      <c r="Z159" s="285">
        <v>131800</v>
      </c>
      <c r="AA159" s="60">
        <v>150200</v>
      </c>
      <c r="AB159" s="60">
        <v>149100</v>
      </c>
      <c r="AC159" s="60">
        <v>143800</v>
      </c>
      <c r="AD159" s="60">
        <v>137400</v>
      </c>
      <c r="AE159" s="285">
        <v>141900</v>
      </c>
      <c r="AF159" s="285">
        <v>135700</v>
      </c>
      <c r="AG159" s="60">
        <v>135400</v>
      </c>
      <c r="AH159" s="60">
        <v>134700</v>
      </c>
      <c r="AI159" s="60">
        <v>139300</v>
      </c>
      <c r="AJ159" s="60">
        <v>139700</v>
      </c>
      <c r="AK159" s="115"/>
      <c r="AL159" s="114">
        <f>SUM(F159:AJ159)</f>
        <v>3861400</v>
      </c>
    </row>
    <row r="160" spans="2:60">
      <c r="B160" s="70"/>
      <c r="C160" s="196"/>
      <c r="D160" s="62"/>
      <c r="E160" s="203"/>
      <c r="F160" s="60"/>
      <c r="G160" s="60"/>
      <c r="H160" s="60"/>
      <c r="I160" s="285">
        <f>I161/I32*1000</f>
        <v>65.3508044451807</v>
      </c>
      <c r="J160" s="60"/>
      <c r="K160" s="60"/>
      <c r="L160" s="60"/>
      <c r="M160" s="285">
        <f>M161/M32*1000</f>
        <v>50.603198864568611</v>
      </c>
      <c r="N160" s="285">
        <f>N161/N32*1000</f>
        <v>59.556144418681804</v>
      </c>
      <c r="O160" s="60"/>
      <c r="P160" s="60"/>
      <c r="Q160" s="285">
        <f>Q161/Q32*1000</f>
        <v>47.571189279731996</v>
      </c>
      <c r="R160" s="285">
        <f>R161/R32*1000</f>
        <v>48.567870485679549</v>
      </c>
      <c r="S160" s="285">
        <f>S161/S32*1000</f>
        <v>44.69979545181053</v>
      </c>
      <c r="T160" s="285">
        <f t="shared" ref="S160:U160" si="119">T161/T32*1000</f>
        <v>46.836425195737263</v>
      </c>
      <c r="U160" s="285">
        <f t="shared" si="119"/>
        <v>56.001351465497059</v>
      </c>
      <c r="V160" s="285" t="e">
        <f t="shared" ref="V160" si="120">V161/V32*1000</f>
        <v>#DIV/0!</v>
      </c>
      <c r="W160" s="285" t="e">
        <f t="shared" ref="W160" si="121">W161/W32*1000</f>
        <v>#DIV/0!</v>
      </c>
      <c r="X160" s="285">
        <f t="shared" ref="X160" si="122">X161/X32*1000</f>
        <v>174.88789237666839</v>
      </c>
      <c r="Y160" s="285">
        <f t="shared" ref="Y160" si="123">Y161/Y32*1000</f>
        <v>57.90226150247085</v>
      </c>
      <c r="Z160" s="285">
        <f t="shared" ref="Z160" si="124">Z161/Z32*1000</f>
        <v>59.136771300450356</v>
      </c>
      <c r="AA160" s="285">
        <f t="shared" ref="AA160" si="125">AA161/AA32*1000</f>
        <v>52.027412906910335</v>
      </c>
      <c r="AB160" s="285">
        <f t="shared" ref="AB160" si="126">AB161/AB32*1000</f>
        <v>70.080091533175704</v>
      </c>
      <c r="AC160" s="285">
        <f t="shared" ref="AC160" si="127">AC161/AC32*1000</f>
        <v>69.712092130516837</v>
      </c>
      <c r="AD160" s="285">
        <f t="shared" ref="AD160" si="128">AD161/AD32*1000</f>
        <v>58.595825426950441</v>
      </c>
      <c r="AE160" s="285">
        <f t="shared" ref="AE160:AF160" si="129">AE161/AE32*1000</f>
        <v>63.920352066946144</v>
      </c>
      <c r="AF160" s="285">
        <f t="shared" si="129"/>
        <v>55.495495495496542</v>
      </c>
      <c r="AG160" s="60"/>
      <c r="AH160" s="60"/>
      <c r="AI160" s="60"/>
      <c r="AJ160" s="60"/>
      <c r="AK160" s="115"/>
      <c r="AL160" s="114"/>
    </row>
    <row r="161" spans="2:59">
      <c r="B161" s="70"/>
      <c r="C161" s="196" t="s">
        <v>96</v>
      </c>
      <c r="D161" s="62">
        <v>122000</v>
      </c>
      <c r="E161" s="203" t="s">
        <v>9</v>
      </c>
      <c r="F161" s="60">
        <v>0</v>
      </c>
      <c r="G161" s="60">
        <v>0</v>
      </c>
      <c r="H161" s="60">
        <v>0</v>
      </c>
      <c r="I161" s="285">
        <v>78800</v>
      </c>
      <c r="J161" s="60">
        <v>110500</v>
      </c>
      <c r="K161" s="60">
        <v>93700</v>
      </c>
      <c r="L161" s="60">
        <v>98600</v>
      </c>
      <c r="M161" s="285">
        <v>92700</v>
      </c>
      <c r="N161" s="285">
        <v>89900</v>
      </c>
      <c r="O161" s="60">
        <v>82200</v>
      </c>
      <c r="P161" s="60">
        <v>96900</v>
      </c>
      <c r="Q161" s="285">
        <v>99400</v>
      </c>
      <c r="R161" s="285">
        <v>89700</v>
      </c>
      <c r="S161" s="60">
        <v>74300</v>
      </c>
      <c r="T161" s="285">
        <v>66400</v>
      </c>
      <c r="U161" s="285">
        <v>66300</v>
      </c>
      <c r="V161" s="60">
        <v>88100</v>
      </c>
      <c r="W161" s="60">
        <v>91000</v>
      </c>
      <c r="X161" s="60">
        <v>93600</v>
      </c>
      <c r="Y161" s="60">
        <v>89100</v>
      </c>
      <c r="Z161" s="285">
        <v>105500</v>
      </c>
      <c r="AA161" s="60">
        <v>91100</v>
      </c>
      <c r="AB161" s="60">
        <v>73500</v>
      </c>
      <c r="AC161" s="60">
        <v>90800</v>
      </c>
      <c r="AD161" s="60">
        <v>77200</v>
      </c>
      <c r="AE161" s="285">
        <v>88600</v>
      </c>
      <c r="AF161" s="285">
        <v>77000</v>
      </c>
      <c r="AG161" s="60">
        <v>62000</v>
      </c>
      <c r="AH161" s="60">
        <v>75000</v>
      </c>
      <c r="AI161" s="60">
        <v>91300</v>
      </c>
      <c r="AJ161" s="60">
        <v>91700</v>
      </c>
      <c r="AK161" s="115"/>
      <c r="AL161" s="114">
        <f>SUM(F161:AJ161)</f>
        <v>2424900</v>
      </c>
    </row>
    <row r="162" spans="2:59">
      <c r="B162" s="70"/>
      <c r="C162" s="196" t="s">
        <v>97</v>
      </c>
      <c r="D162" s="62">
        <f>D156-D159-D161</f>
        <v>106000</v>
      </c>
      <c r="E162" s="203" t="s">
        <v>9</v>
      </c>
      <c r="F162" s="60">
        <f t="shared" ref="F162:AJ162" si="130">F156-F159-F161</f>
        <v>0</v>
      </c>
      <c r="G162" s="60">
        <f t="shared" si="130"/>
        <v>0</v>
      </c>
      <c r="H162" s="60">
        <f t="shared" si="130"/>
        <v>284175</v>
      </c>
      <c r="I162" s="285">
        <f t="shared" si="130"/>
        <v>94680</v>
      </c>
      <c r="J162" s="60">
        <f t="shared" si="130"/>
        <v>96520</v>
      </c>
      <c r="K162" s="60">
        <f t="shared" si="130"/>
        <v>72095</v>
      </c>
      <c r="L162" s="60">
        <f t="shared" si="130"/>
        <v>74900</v>
      </c>
      <c r="M162" s="285">
        <f t="shared" si="130"/>
        <v>88120</v>
      </c>
      <c r="N162" s="285">
        <f t="shared" si="130"/>
        <v>72400</v>
      </c>
      <c r="O162" s="60">
        <f t="shared" si="130"/>
        <v>82440</v>
      </c>
      <c r="P162" s="60">
        <f t="shared" si="130"/>
        <v>74980</v>
      </c>
      <c r="Q162" s="285">
        <f t="shared" si="130"/>
        <v>78900</v>
      </c>
      <c r="R162" s="285">
        <f t="shared" si="130"/>
        <v>82240</v>
      </c>
      <c r="S162" s="60">
        <f t="shared" si="130"/>
        <v>107920</v>
      </c>
      <c r="T162" s="285">
        <f t="shared" si="130"/>
        <v>77380</v>
      </c>
      <c r="U162" s="285">
        <f t="shared" si="130"/>
        <v>78860</v>
      </c>
      <c r="V162" s="60">
        <f t="shared" si="130"/>
        <v>86820</v>
      </c>
      <c r="W162" s="60">
        <f t="shared" si="130"/>
        <v>80080</v>
      </c>
      <c r="X162" s="60">
        <f t="shared" si="130"/>
        <v>74150</v>
      </c>
      <c r="Y162" s="60">
        <f t="shared" si="130"/>
        <v>71323</v>
      </c>
      <c r="Z162" s="285">
        <f t="shared" si="130"/>
        <v>99420</v>
      </c>
      <c r="AA162" s="60">
        <f t="shared" si="130"/>
        <v>85340</v>
      </c>
      <c r="AB162" s="60">
        <f t="shared" si="130"/>
        <v>81240</v>
      </c>
      <c r="AC162" s="60">
        <f t="shared" si="130"/>
        <v>108120</v>
      </c>
      <c r="AD162" s="60">
        <f t="shared" si="130"/>
        <v>94520</v>
      </c>
      <c r="AE162" s="285">
        <f t="shared" si="130"/>
        <v>65900</v>
      </c>
      <c r="AF162" s="285">
        <f t="shared" si="130"/>
        <v>90660</v>
      </c>
      <c r="AG162" s="60">
        <f t="shared" si="130"/>
        <v>87960</v>
      </c>
      <c r="AH162" s="60">
        <f t="shared" si="130"/>
        <v>79260</v>
      </c>
      <c r="AI162" s="60">
        <f t="shared" ref="AI162" si="131">AI156-AI159-AI161</f>
        <v>80920</v>
      </c>
      <c r="AJ162" s="60">
        <f t="shared" si="130"/>
        <v>97160</v>
      </c>
      <c r="AK162" s="115"/>
      <c r="AL162" s="114">
        <f>SUM(F162:AJ162)</f>
        <v>2648483</v>
      </c>
    </row>
    <row r="163" spans="2:59" s="5" customFormat="1" ht="13.8">
      <c r="B163" s="57"/>
      <c r="C163" s="212" t="s">
        <v>91</v>
      </c>
      <c r="D163" s="165">
        <f>SUM(D159:D162)</f>
        <v>408000</v>
      </c>
      <c r="E163" s="203" t="s">
        <v>9</v>
      </c>
      <c r="F163" s="140">
        <f t="shared" ref="F163:AJ163" si="132">SUM(F159:F162)</f>
        <v>0</v>
      </c>
      <c r="G163" s="140">
        <f t="shared" si="132"/>
        <v>0</v>
      </c>
      <c r="H163" s="140">
        <f t="shared" si="132"/>
        <v>284175</v>
      </c>
      <c r="I163" s="293">
        <f t="shared" si="132"/>
        <v>319745.35080444522</v>
      </c>
      <c r="J163" s="140">
        <f t="shared" si="132"/>
        <v>342720</v>
      </c>
      <c r="K163" s="140">
        <f t="shared" si="132"/>
        <v>290395</v>
      </c>
      <c r="L163" s="140">
        <f t="shared" si="132"/>
        <v>307200</v>
      </c>
      <c r="M163" s="293">
        <f t="shared" si="132"/>
        <v>321170.60319886456</v>
      </c>
      <c r="N163" s="293">
        <f t="shared" si="132"/>
        <v>304859.55614441866</v>
      </c>
      <c r="O163" s="140">
        <f t="shared" si="132"/>
        <v>313440</v>
      </c>
      <c r="P163" s="140">
        <f t="shared" si="132"/>
        <v>323280</v>
      </c>
      <c r="Q163" s="293">
        <f t="shared" si="132"/>
        <v>325247.57118927973</v>
      </c>
      <c r="R163" s="293">
        <f t="shared" si="132"/>
        <v>313488.56787048571</v>
      </c>
      <c r="S163" s="140">
        <f t="shared" si="132"/>
        <v>311564.69979545183</v>
      </c>
      <c r="T163" s="293">
        <f t="shared" si="132"/>
        <v>277726.83642519574</v>
      </c>
      <c r="U163" s="293">
        <f t="shared" si="132"/>
        <v>275816.00135146547</v>
      </c>
      <c r="V163" s="140" t="e">
        <f t="shared" si="132"/>
        <v>#DIV/0!</v>
      </c>
      <c r="W163" s="140" t="e">
        <f t="shared" si="132"/>
        <v>#DIV/0!</v>
      </c>
      <c r="X163" s="140">
        <f t="shared" si="132"/>
        <v>297294.88789237669</v>
      </c>
      <c r="Y163" s="140">
        <f t="shared" si="132"/>
        <v>287390.90226150246</v>
      </c>
      <c r="Z163" s="293">
        <f t="shared" si="132"/>
        <v>336779.13677130046</v>
      </c>
      <c r="AA163" s="140">
        <f t="shared" si="132"/>
        <v>326692.02741290687</v>
      </c>
      <c r="AB163" s="140">
        <f t="shared" si="132"/>
        <v>303910.08009153313</v>
      </c>
      <c r="AC163" s="140">
        <f t="shared" si="132"/>
        <v>342789.7120921305</v>
      </c>
      <c r="AD163" s="140">
        <f t="shared" si="132"/>
        <v>309178.59582542698</v>
      </c>
      <c r="AE163" s="293">
        <f t="shared" si="132"/>
        <v>296463.92035206698</v>
      </c>
      <c r="AF163" s="293">
        <f t="shared" si="132"/>
        <v>303415.4954954955</v>
      </c>
      <c r="AG163" s="140">
        <f t="shared" si="132"/>
        <v>285360</v>
      </c>
      <c r="AH163" s="140">
        <f t="shared" si="132"/>
        <v>288960</v>
      </c>
      <c r="AI163" s="140">
        <f t="shared" ref="AI163" si="133">SUM(AI159:AI162)</f>
        <v>311520</v>
      </c>
      <c r="AJ163" s="140">
        <f t="shared" si="132"/>
        <v>328560</v>
      </c>
      <c r="AK163" s="156"/>
      <c r="AL163" s="184">
        <f>SUM(AL159:AL162)</f>
        <v>8934783</v>
      </c>
      <c r="AN163" s="182"/>
    </row>
    <row r="164" spans="2:59">
      <c r="B164" s="54">
        <v>10</v>
      </c>
      <c r="C164" s="199" t="s">
        <v>98</v>
      </c>
      <c r="D164" s="82"/>
      <c r="E164" s="82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178"/>
      <c r="AD164" s="178"/>
      <c r="AE164" s="178"/>
      <c r="AF164" s="178"/>
      <c r="AG164" s="178"/>
      <c r="AH164" s="178"/>
      <c r="AI164" s="178"/>
      <c r="AJ164" s="178"/>
      <c r="AK164" s="115"/>
      <c r="AL164" s="183" t="s">
        <v>99</v>
      </c>
    </row>
    <row r="165" spans="2:59" s="6" customFormat="1" ht="16.2">
      <c r="B165" s="42"/>
      <c r="C165" s="215" t="s">
        <v>100</v>
      </c>
      <c r="D165" s="166">
        <v>670</v>
      </c>
      <c r="E165" s="216" t="s">
        <v>140</v>
      </c>
      <c r="F165" s="167">
        <v>0</v>
      </c>
      <c r="G165" s="167">
        <v>116</v>
      </c>
      <c r="H165" s="167">
        <v>661</v>
      </c>
      <c r="I165" s="301">
        <v>657</v>
      </c>
      <c r="J165" s="167">
        <v>800</v>
      </c>
      <c r="K165" s="167">
        <v>706</v>
      </c>
      <c r="L165" s="167">
        <v>639</v>
      </c>
      <c r="M165" s="301">
        <v>705</v>
      </c>
      <c r="N165" s="301">
        <v>583</v>
      </c>
      <c r="O165" s="167">
        <v>544</v>
      </c>
      <c r="P165" s="167">
        <v>766</v>
      </c>
      <c r="Q165" s="301">
        <v>777</v>
      </c>
      <c r="R165" s="301">
        <v>654</v>
      </c>
      <c r="S165" s="167">
        <v>771</v>
      </c>
      <c r="T165" s="301">
        <v>483</v>
      </c>
      <c r="U165" s="301">
        <v>676</v>
      </c>
      <c r="V165" s="167">
        <v>697</v>
      </c>
      <c r="W165" s="167">
        <v>551</v>
      </c>
      <c r="X165" s="167">
        <v>517</v>
      </c>
      <c r="Y165" s="167">
        <v>682</v>
      </c>
      <c r="Z165" s="301">
        <v>509</v>
      </c>
      <c r="AA165" s="167">
        <v>670</v>
      </c>
      <c r="AB165" s="167">
        <v>580</v>
      </c>
      <c r="AC165" s="167">
        <v>611</v>
      </c>
      <c r="AD165" s="167">
        <v>648</v>
      </c>
      <c r="AE165" s="301">
        <v>461</v>
      </c>
      <c r="AF165" s="301">
        <v>635</v>
      </c>
      <c r="AG165" s="167">
        <v>616</v>
      </c>
      <c r="AH165" s="167">
        <v>482</v>
      </c>
      <c r="AI165" s="167">
        <v>617</v>
      </c>
      <c r="AJ165" s="167">
        <v>760</v>
      </c>
      <c r="AL165" s="186">
        <f t="shared" ref="AL165:AL171" si="134">SUM(F165:AJ165)</f>
        <v>18574</v>
      </c>
      <c r="AN165" s="124">
        <f>AL165/AL22</f>
        <v>663.35714285714289</v>
      </c>
    </row>
    <row r="166" spans="2:59" s="6" customFormat="1">
      <c r="B166" s="42"/>
      <c r="C166" s="220" t="s">
        <v>88</v>
      </c>
      <c r="D166" s="41"/>
      <c r="E166" s="42"/>
      <c r="F166" s="167"/>
      <c r="G166" s="167"/>
      <c r="H166" s="167"/>
      <c r="I166" s="301"/>
      <c r="J166" s="167"/>
      <c r="K166" s="167"/>
      <c r="L166" s="167"/>
      <c r="M166" s="301"/>
      <c r="N166" s="301"/>
      <c r="O166" s="167"/>
      <c r="P166" s="167"/>
      <c r="Q166" s="301"/>
      <c r="R166" s="301"/>
      <c r="S166" s="167"/>
      <c r="T166" s="301"/>
      <c r="U166" s="301"/>
      <c r="V166" s="167"/>
      <c r="W166" s="167"/>
      <c r="X166" s="167"/>
      <c r="Y166" s="167"/>
      <c r="Z166" s="301"/>
      <c r="AA166" s="167"/>
      <c r="AB166" s="167"/>
      <c r="AC166" s="167"/>
      <c r="AD166" s="167"/>
      <c r="AE166" s="301"/>
      <c r="AF166" s="301"/>
      <c r="AG166" s="167"/>
      <c r="AH166" s="167"/>
      <c r="AI166" s="167"/>
      <c r="AJ166" s="167"/>
      <c r="AL166" s="187" t="s">
        <v>88</v>
      </c>
      <c r="AN166" s="124"/>
    </row>
    <row r="167" spans="2:59" s="6" customFormat="1" ht="16.2">
      <c r="B167" s="42"/>
      <c r="C167" s="215" t="s">
        <v>101</v>
      </c>
      <c r="D167" s="168">
        <v>78.959999999999994</v>
      </c>
      <c r="E167" s="216" t="s">
        <v>140</v>
      </c>
      <c r="F167" s="167">
        <v>0</v>
      </c>
      <c r="G167" s="167">
        <v>6</v>
      </c>
      <c r="H167" s="167">
        <v>65</v>
      </c>
      <c r="I167" s="301">
        <v>88</v>
      </c>
      <c r="J167" s="167">
        <v>81</v>
      </c>
      <c r="K167" s="167">
        <v>92</v>
      </c>
      <c r="L167" s="167">
        <v>69</v>
      </c>
      <c r="M167" s="301">
        <v>69</v>
      </c>
      <c r="N167" s="301">
        <v>73</v>
      </c>
      <c r="O167" s="167">
        <v>58</v>
      </c>
      <c r="P167" s="167">
        <v>72</v>
      </c>
      <c r="Q167" s="301">
        <v>73</v>
      </c>
      <c r="R167" s="301">
        <v>54</v>
      </c>
      <c r="S167" s="167">
        <v>70</v>
      </c>
      <c r="T167" s="301">
        <v>72</v>
      </c>
      <c r="U167" s="301">
        <v>97</v>
      </c>
      <c r="V167" s="167">
        <v>92</v>
      </c>
      <c r="W167" s="167">
        <v>79</v>
      </c>
      <c r="X167" s="167">
        <v>58</v>
      </c>
      <c r="Y167" s="167">
        <v>89</v>
      </c>
      <c r="Z167" s="301">
        <v>39</v>
      </c>
      <c r="AA167" s="167">
        <v>95</v>
      </c>
      <c r="AB167" s="167">
        <v>44</v>
      </c>
      <c r="AC167" s="167">
        <v>39</v>
      </c>
      <c r="AD167" s="167">
        <v>39</v>
      </c>
      <c r="AE167" s="301">
        <v>76</v>
      </c>
      <c r="AF167" s="301">
        <v>60</v>
      </c>
      <c r="AG167" s="167">
        <v>66</v>
      </c>
      <c r="AH167" s="167">
        <v>45</v>
      </c>
      <c r="AI167" s="167">
        <v>87</v>
      </c>
      <c r="AJ167" s="167">
        <v>95</v>
      </c>
      <c r="AL167" s="188">
        <f t="shared" si="134"/>
        <v>2042</v>
      </c>
      <c r="AN167" s="124"/>
      <c r="BG167" s="233"/>
    </row>
    <row r="168" spans="2:59" s="6" customFormat="1" ht="16.2">
      <c r="B168" s="42"/>
      <c r="C168" s="215" t="s">
        <v>102</v>
      </c>
      <c r="D168" s="168">
        <v>118.4</v>
      </c>
      <c r="E168" s="216" t="s">
        <v>140</v>
      </c>
      <c r="F168" s="167">
        <v>0</v>
      </c>
      <c r="G168" s="167">
        <v>0</v>
      </c>
      <c r="H168" s="167">
        <v>35</v>
      </c>
      <c r="I168" s="301">
        <v>102</v>
      </c>
      <c r="J168" s="167">
        <v>107</v>
      </c>
      <c r="K168" s="167">
        <v>122</v>
      </c>
      <c r="L168" s="167">
        <v>128</v>
      </c>
      <c r="M168" s="301">
        <v>111</v>
      </c>
      <c r="N168" s="301">
        <v>110</v>
      </c>
      <c r="O168" s="167">
        <v>66</v>
      </c>
      <c r="P168" s="167">
        <v>124</v>
      </c>
      <c r="Q168" s="301">
        <v>137</v>
      </c>
      <c r="R168" s="301">
        <v>123</v>
      </c>
      <c r="S168" s="167">
        <v>110</v>
      </c>
      <c r="T168" s="301">
        <v>102</v>
      </c>
      <c r="U168" s="301">
        <v>106</v>
      </c>
      <c r="V168" s="167">
        <v>105</v>
      </c>
      <c r="W168" s="167">
        <v>96</v>
      </c>
      <c r="X168" s="167">
        <v>100</v>
      </c>
      <c r="Y168" s="167">
        <v>105</v>
      </c>
      <c r="Z168" s="301">
        <v>119</v>
      </c>
      <c r="AA168" s="167">
        <v>111</v>
      </c>
      <c r="AB168" s="167">
        <v>96</v>
      </c>
      <c r="AC168" s="167">
        <v>115</v>
      </c>
      <c r="AD168" s="167">
        <v>102</v>
      </c>
      <c r="AE168" s="301">
        <v>92</v>
      </c>
      <c r="AF168" s="301">
        <v>97</v>
      </c>
      <c r="AG168" s="167">
        <v>105</v>
      </c>
      <c r="AH168" s="167">
        <v>84</v>
      </c>
      <c r="AI168" s="167">
        <v>98</v>
      </c>
      <c r="AJ168" s="167">
        <v>93</v>
      </c>
      <c r="AL168" s="188">
        <f t="shared" si="134"/>
        <v>3001</v>
      </c>
      <c r="AM168" s="256"/>
      <c r="AN168" s="124"/>
      <c r="BG168" s="233"/>
    </row>
    <row r="169" spans="2:59" s="6" customFormat="1" ht="16.2">
      <c r="B169" s="42"/>
      <c r="C169" s="215" t="s">
        <v>103</v>
      </c>
      <c r="D169" s="166">
        <f>44.69%*D165</f>
        <v>299.423</v>
      </c>
      <c r="E169" s="216" t="s">
        <v>140</v>
      </c>
      <c r="F169" s="167">
        <v>0</v>
      </c>
      <c r="G169" s="167">
        <v>0</v>
      </c>
      <c r="H169" s="167">
        <v>379.8</v>
      </c>
      <c r="I169" s="301">
        <v>363.6</v>
      </c>
      <c r="J169" s="167">
        <v>408.3</v>
      </c>
      <c r="K169" s="167">
        <v>310.60000000000002</v>
      </c>
      <c r="L169" s="167">
        <v>276.7</v>
      </c>
      <c r="M169" s="301">
        <v>296</v>
      </c>
      <c r="N169" s="301">
        <v>315.60000000000002</v>
      </c>
      <c r="O169" s="167">
        <v>290.5</v>
      </c>
      <c r="P169" s="167">
        <v>316.5</v>
      </c>
      <c r="Q169" s="301">
        <v>300.10000000000002</v>
      </c>
      <c r="R169" s="301">
        <v>291.39999999999998</v>
      </c>
      <c r="S169" s="167">
        <v>357.2</v>
      </c>
      <c r="T169" s="301">
        <v>254.7</v>
      </c>
      <c r="U169" s="301">
        <v>280.10000000000002</v>
      </c>
      <c r="V169" s="167">
        <v>294.2</v>
      </c>
      <c r="W169" s="167">
        <v>296.3</v>
      </c>
      <c r="X169" s="167">
        <v>279.5</v>
      </c>
      <c r="Y169" s="167">
        <v>307.7</v>
      </c>
      <c r="Z169" s="301">
        <v>324.7</v>
      </c>
      <c r="AA169" s="167">
        <v>326.5</v>
      </c>
      <c r="AB169" s="167">
        <v>282</v>
      </c>
      <c r="AC169" s="167">
        <v>344.6</v>
      </c>
      <c r="AD169" s="167">
        <v>307.39999999999998</v>
      </c>
      <c r="AE169" s="301">
        <v>253.7</v>
      </c>
      <c r="AF169" s="301">
        <v>330.5</v>
      </c>
      <c r="AG169" s="167">
        <v>302.89999999999998</v>
      </c>
      <c r="AH169" s="167">
        <v>276.10000000000002</v>
      </c>
      <c r="AI169" s="167">
        <v>258.3</v>
      </c>
      <c r="AJ169" s="167">
        <v>325.89999999999998</v>
      </c>
      <c r="AL169" s="188">
        <f t="shared" si="134"/>
        <v>8951.3999999999978</v>
      </c>
      <c r="AM169" s="256"/>
      <c r="AN169" s="124"/>
    </row>
    <row r="170" spans="2:59" s="6" customFormat="1" ht="16.2">
      <c r="B170" s="42"/>
      <c r="C170" s="215" t="s">
        <v>97</v>
      </c>
      <c r="D170" s="166">
        <f>D165-SUM(D167:D169)</f>
        <v>173.21699999999998</v>
      </c>
      <c r="E170" s="216" t="s">
        <v>140</v>
      </c>
      <c r="F170" s="167">
        <f>F165-(SUM(F167:F169))</f>
        <v>0</v>
      </c>
      <c r="G170" s="167">
        <f t="shared" ref="G170:K170" si="135">G165-(SUM(G167:G169))</f>
        <v>110</v>
      </c>
      <c r="H170" s="167">
        <f t="shared" si="135"/>
        <v>181.2</v>
      </c>
      <c r="I170" s="301">
        <f t="shared" si="135"/>
        <v>103.39999999999998</v>
      </c>
      <c r="J170" s="167">
        <f t="shared" si="135"/>
        <v>203.70000000000005</v>
      </c>
      <c r="K170" s="167">
        <f t="shared" si="135"/>
        <v>181.39999999999998</v>
      </c>
      <c r="L170" s="167">
        <f t="shared" ref="L170:P170" si="136">L165-(SUM(L167:L169))</f>
        <v>165.3</v>
      </c>
      <c r="M170" s="301">
        <f t="shared" si="136"/>
        <v>229</v>
      </c>
      <c r="N170" s="301">
        <f t="shared" si="136"/>
        <v>84.399999999999977</v>
      </c>
      <c r="O170" s="167">
        <f t="shared" si="136"/>
        <v>129.5</v>
      </c>
      <c r="P170" s="167">
        <f t="shared" si="136"/>
        <v>253.5</v>
      </c>
      <c r="Q170" s="301">
        <f t="shared" ref="Q170:AJ170" si="137">Q165-(SUM(Q167:Q169))</f>
        <v>266.89999999999998</v>
      </c>
      <c r="R170" s="301">
        <f t="shared" si="137"/>
        <v>185.60000000000002</v>
      </c>
      <c r="S170" s="167">
        <f t="shared" si="137"/>
        <v>233.79999999999995</v>
      </c>
      <c r="T170" s="301">
        <f t="shared" si="137"/>
        <v>54.300000000000011</v>
      </c>
      <c r="U170" s="301">
        <f t="shared" si="137"/>
        <v>192.89999999999998</v>
      </c>
      <c r="V170" s="167">
        <f t="shared" si="137"/>
        <v>205.8</v>
      </c>
      <c r="W170" s="167">
        <f t="shared" si="137"/>
        <v>79.699999999999989</v>
      </c>
      <c r="X170" s="167">
        <f t="shared" si="137"/>
        <v>79.5</v>
      </c>
      <c r="Y170" s="167">
        <f t="shared" si="137"/>
        <v>180.3</v>
      </c>
      <c r="Z170" s="301">
        <f t="shared" si="137"/>
        <v>26.300000000000011</v>
      </c>
      <c r="AA170" s="167">
        <f t="shared" si="137"/>
        <v>137.5</v>
      </c>
      <c r="AB170" s="167">
        <f t="shared" si="137"/>
        <v>158</v>
      </c>
      <c r="AC170" s="167">
        <f t="shared" si="137"/>
        <v>112.39999999999998</v>
      </c>
      <c r="AD170" s="167">
        <f t="shared" si="137"/>
        <v>199.60000000000002</v>
      </c>
      <c r="AE170" s="301">
        <f t="shared" si="137"/>
        <v>39.300000000000011</v>
      </c>
      <c r="AF170" s="301">
        <f t="shared" si="137"/>
        <v>147.5</v>
      </c>
      <c r="AG170" s="167">
        <f t="shared" si="137"/>
        <v>142.10000000000002</v>
      </c>
      <c r="AH170" s="167">
        <f t="shared" si="137"/>
        <v>76.899999999999977</v>
      </c>
      <c r="AI170" s="167">
        <f t="shared" ref="AI170" si="138">AI165-(SUM(AI167:AI169))</f>
        <v>173.7</v>
      </c>
      <c r="AJ170" s="167">
        <f t="shared" si="137"/>
        <v>246.10000000000002</v>
      </c>
      <c r="AL170" s="188">
        <f t="shared" si="134"/>
        <v>4579.6000000000004</v>
      </c>
      <c r="AM170" s="136"/>
      <c r="AN170" s="124"/>
    </row>
    <row r="171" spans="2:59" s="6" customFormat="1" ht="16.2">
      <c r="B171" s="42"/>
      <c r="C171" s="215" t="s">
        <v>104</v>
      </c>
      <c r="D171" s="166">
        <v>287.83999999999997</v>
      </c>
      <c r="E171" s="216" t="s">
        <v>140</v>
      </c>
      <c r="F171" s="167">
        <v>0</v>
      </c>
      <c r="G171" s="167">
        <v>0</v>
      </c>
      <c r="H171" s="167">
        <v>0</v>
      </c>
      <c r="I171" s="301">
        <v>0</v>
      </c>
      <c r="J171" s="167">
        <v>0</v>
      </c>
      <c r="K171" s="167">
        <v>0</v>
      </c>
      <c r="L171" s="167">
        <v>0</v>
      </c>
      <c r="M171" s="301">
        <v>160</v>
      </c>
      <c r="N171" s="301">
        <v>139</v>
      </c>
      <c r="O171" s="167">
        <v>185</v>
      </c>
      <c r="P171" s="167">
        <v>163</v>
      </c>
      <c r="Q171" s="301">
        <v>237</v>
      </c>
      <c r="R171" s="301">
        <v>191</v>
      </c>
      <c r="S171" s="167">
        <v>155</v>
      </c>
      <c r="T171" s="301">
        <v>123</v>
      </c>
      <c r="U171" s="301">
        <v>165</v>
      </c>
      <c r="V171" s="167">
        <v>110</v>
      </c>
      <c r="W171" s="167">
        <v>126</v>
      </c>
      <c r="X171" s="167">
        <v>104</v>
      </c>
      <c r="Y171" s="167">
        <v>121</v>
      </c>
      <c r="Z171" s="301">
        <v>133</v>
      </c>
      <c r="AA171" s="167">
        <v>165</v>
      </c>
      <c r="AB171" s="167">
        <v>61</v>
      </c>
      <c r="AC171" s="167">
        <v>135</v>
      </c>
      <c r="AD171" s="167">
        <v>99</v>
      </c>
      <c r="AE171" s="301">
        <v>147</v>
      </c>
      <c r="AF171" s="301">
        <v>140</v>
      </c>
      <c r="AG171" s="167">
        <v>111</v>
      </c>
      <c r="AH171" s="167">
        <v>159</v>
      </c>
      <c r="AI171" s="167">
        <v>122</v>
      </c>
      <c r="AJ171" s="167">
        <v>98</v>
      </c>
      <c r="AL171" s="188">
        <f t="shared" si="134"/>
        <v>3349</v>
      </c>
      <c r="AN171" s="124"/>
    </row>
    <row r="172" spans="2:59">
      <c r="B172" s="94">
        <v>11</v>
      </c>
      <c r="C172" s="199" t="s">
        <v>105</v>
      </c>
      <c r="D172" s="82"/>
      <c r="E172" s="82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115"/>
      <c r="AL172" s="189" t="s">
        <v>106</v>
      </c>
    </row>
    <row r="173" spans="2:59">
      <c r="B173" s="145"/>
      <c r="C173" s="221" t="s">
        <v>94</v>
      </c>
      <c r="D173" s="169"/>
      <c r="E173" s="170"/>
      <c r="F173" s="60"/>
      <c r="G173" s="60"/>
      <c r="H173" s="60"/>
      <c r="I173" s="285"/>
      <c r="J173" s="60"/>
      <c r="K173" s="60"/>
      <c r="L173" s="60"/>
      <c r="M173" s="285"/>
      <c r="N173" s="285"/>
      <c r="O173" s="60"/>
      <c r="P173" s="60"/>
      <c r="Q173" s="285"/>
      <c r="R173" s="285"/>
      <c r="S173" s="60"/>
      <c r="T173" s="285"/>
      <c r="U173" s="285"/>
      <c r="V173" s="60"/>
      <c r="W173" s="60"/>
      <c r="X173" s="60"/>
      <c r="Y173" s="60"/>
      <c r="Z173" s="285"/>
      <c r="AA173" s="60"/>
      <c r="AB173" s="60"/>
      <c r="AC173" s="60"/>
      <c r="AD173" s="60"/>
      <c r="AE173" s="285"/>
      <c r="AF173" s="285"/>
      <c r="AG173" s="60"/>
      <c r="AH173" s="60"/>
      <c r="AI173" s="60"/>
      <c r="AJ173" s="60"/>
      <c r="AK173" s="115"/>
      <c r="AL173" s="179" t="s">
        <v>94</v>
      </c>
    </row>
    <row r="174" spans="2:59">
      <c r="B174" s="145"/>
      <c r="C174" s="201" t="s">
        <v>107</v>
      </c>
      <c r="D174" s="62">
        <v>28700</v>
      </c>
      <c r="E174" s="75" t="s">
        <v>108</v>
      </c>
      <c r="F174" s="60">
        <v>2000</v>
      </c>
      <c r="G174" s="60">
        <v>5500</v>
      </c>
      <c r="H174" s="223">
        <v>17700</v>
      </c>
      <c r="I174" s="303">
        <v>25100</v>
      </c>
      <c r="J174" s="60">
        <v>28100</v>
      </c>
      <c r="K174" s="177">
        <v>27500</v>
      </c>
      <c r="L174" s="60">
        <v>28000</v>
      </c>
      <c r="M174" s="303">
        <v>27100</v>
      </c>
      <c r="N174" s="285">
        <v>26600</v>
      </c>
      <c r="O174" s="60">
        <v>27600</v>
      </c>
      <c r="P174" s="60">
        <v>29200</v>
      </c>
      <c r="Q174" s="285">
        <v>29700</v>
      </c>
      <c r="R174" s="285">
        <v>26700</v>
      </c>
      <c r="S174" s="60">
        <v>25800</v>
      </c>
      <c r="T174" s="285">
        <v>25100</v>
      </c>
      <c r="U174" s="303">
        <v>23900</v>
      </c>
      <c r="V174" s="60">
        <v>25800</v>
      </c>
      <c r="W174" s="60">
        <v>25400</v>
      </c>
      <c r="X174" s="60">
        <v>25500</v>
      </c>
      <c r="Y174" s="177">
        <v>24500</v>
      </c>
      <c r="Z174" s="285">
        <v>26200</v>
      </c>
      <c r="AA174" s="60">
        <v>26000</v>
      </c>
      <c r="AB174" s="60">
        <v>22100</v>
      </c>
      <c r="AC174" s="60">
        <v>25200</v>
      </c>
      <c r="AD174" s="60">
        <v>24900</v>
      </c>
      <c r="AE174" s="285">
        <v>26100</v>
      </c>
      <c r="AF174" s="285">
        <v>25000</v>
      </c>
      <c r="AG174" s="60">
        <v>24400</v>
      </c>
      <c r="AH174" s="60">
        <v>24100</v>
      </c>
      <c r="AI174" s="60">
        <v>24300</v>
      </c>
      <c r="AJ174" s="60">
        <v>26100</v>
      </c>
      <c r="AK174" s="115"/>
      <c r="AL174" s="107">
        <f t="shared" ref="AL174:AL181" si="139">SUM(F174:AJ174)</f>
        <v>751200</v>
      </c>
      <c r="AN174" s="29">
        <f>AL174/AL22</f>
        <v>26828.571428571428</v>
      </c>
    </row>
    <row r="175" spans="2:59">
      <c r="B175" s="145"/>
      <c r="C175" s="221" t="s">
        <v>91</v>
      </c>
      <c r="D175" s="141"/>
      <c r="E175" s="222" t="s">
        <v>109</v>
      </c>
      <c r="F175" s="140">
        <f t="shared" ref="F175:AJ175" si="140">SUM(F174:F174)</f>
        <v>2000</v>
      </c>
      <c r="G175" s="140">
        <f t="shared" si="140"/>
        <v>5500</v>
      </c>
      <c r="H175" s="140">
        <f t="shared" si="140"/>
        <v>17700</v>
      </c>
      <c r="I175" s="293">
        <f t="shared" si="140"/>
        <v>25100</v>
      </c>
      <c r="J175" s="140">
        <f t="shared" si="140"/>
        <v>28100</v>
      </c>
      <c r="K175" s="140">
        <f t="shared" si="140"/>
        <v>27500</v>
      </c>
      <c r="L175" s="140">
        <f t="shared" si="140"/>
        <v>28000</v>
      </c>
      <c r="M175" s="293">
        <f t="shared" si="140"/>
        <v>27100</v>
      </c>
      <c r="N175" s="293">
        <f t="shared" si="140"/>
        <v>26600</v>
      </c>
      <c r="O175" s="140">
        <f t="shared" si="140"/>
        <v>27600</v>
      </c>
      <c r="P175" s="140">
        <f t="shared" si="140"/>
        <v>29200</v>
      </c>
      <c r="Q175" s="293">
        <f t="shared" si="140"/>
        <v>29700</v>
      </c>
      <c r="R175" s="293">
        <f t="shared" si="140"/>
        <v>26700</v>
      </c>
      <c r="S175" s="140">
        <f t="shared" si="140"/>
        <v>25800</v>
      </c>
      <c r="T175" s="293">
        <f t="shared" si="140"/>
        <v>25100</v>
      </c>
      <c r="U175" s="293">
        <f t="shared" si="140"/>
        <v>23900</v>
      </c>
      <c r="V175" s="140">
        <f t="shared" si="140"/>
        <v>25800</v>
      </c>
      <c r="W175" s="140">
        <f t="shared" si="140"/>
        <v>25400</v>
      </c>
      <c r="X175" s="140">
        <f t="shared" si="140"/>
        <v>25500</v>
      </c>
      <c r="Y175" s="140">
        <f t="shared" si="140"/>
        <v>24500</v>
      </c>
      <c r="Z175" s="293">
        <f t="shared" si="140"/>
        <v>26200</v>
      </c>
      <c r="AA175" s="140">
        <f t="shared" si="140"/>
        <v>26000</v>
      </c>
      <c r="AB175" s="140">
        <f t="shared" si="140"/>
        <v>22100</v>
      </c>
      <c r="AC175" s="140">
        <f t="shared" si="140"/>
        <v>25200</v>
      </c>
      <c r="AD175" s="140">
        <f t="shared" si="140"/>
        <v>24900</v>
      </c>
      <c r="AE175" s="293">
        <f t="shared" si="140"/>
        <v>26100</v>
      </c>
      <c r="AF175" s="293">
        <f t="shared" si="140"/>
        <v>25000</v>
      </c>
      <c r="AG175" s="140">
        <f t="shared" si="140"/>
        <v>24400</v>
      </c>
      <c r="AH175" s="140">
        <f t="shared" si="140"/>
        <v>24100</v>
      </c>
      <c r="AI175" s="140">
        <f t="shared" ref="AI175" si="141">SUM(AI174:AI174)</f>
        <v>24300</v>
      </c>
      <c r="AJ175" s="140">
        <f t="shared" si="140"/>
        <v>26100</v>
      </c>
      <c r="AK175" s="119"/>
      <c r="AL175" s="184">
        <f t="shared" si="139"/>
        <v>751200</v>
      </c>
    </row>
    <row r="176" spans="2:59">
      <c r="B176" s="54">
        <v>12</v>
      </c>
      <c r="C176" s="81" t="s">
        <v>110</v>
      </c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  <c r="AF176" s="171"/>
      <c r="AG176" s="171"/>
      <c r="AH176" s="171"/>
      <c r="AI176" s="171"/>
      <c r="AJ176" s="171"/>
      <c r="AL176" s="190" t="s">
        <v>111</v>
      </c>
    </row>
    <row r="177" spans="2:40">
      <c r="B177" s="70"/>
      <c r="C177" s="83" t="s">
        <v>112</v>
      </c>
      <c r="D177" s="74"/>
      <c r="E177" s="75" t="s">
        <v>9</v>
      </c>
      <c r="F177" s="149">
        <v>0</v>
      </c>
      <c r="G177" s="149">
        <v>0</v>
      </c>
      <c r="H177" s="149">
        <v>0</v>
      </c>
      <c r="I177" s="285">
        <v>0</v>
      </c>
      <c r="J177" s="149">
        <v>0</v>
      </c>
      <c r="K177" s="149">
        <v>0</v>
      </c>
      <c r="L177" s="149">
        <v>277000</v>
      </c>
      <c r="M177" s="285">
        <v>226930</v>
      </c>
      <c r="N177" s="285">
        <v>0</v>
      </c>
      <c r="O177" s="149">
        <v>0</v>
      </c>
      <c r="P177" s="149">
        <v>212560</v>
      </c>
      <c r="Q177" s="285">
        <v>59510</v>
      </c>
      <c r="R177" s="285">
        <v>212660</v>
      </c>
      <c r="S177" s="149">
        <v>121070</v>
      </c>
      <c r="T177" s="285">
        <v>0</v>
      </c>
      <c r="U177" s="285">
        <v>0</v>
      </c>
      <c r="V177" s="149">
        <v>137770</v>
      </c>
      <c r="W177" s="149">
        <v>0</v>
      </c>
      <c r="X177" s="149">
        <v>92610</v>
      </c>
      <c r="Y177" s="149">
        <v>144810</v>
      </c>
      <c r="Z177" s="285">
        <v>178730</v>
      </c>
      <c r="AA177" s="149">
        <v>0</v>
      </c>
      <c r="AB177" s="149">
        <v>0</v>
      </c>
      <c r="AC177" s="149">
        <v>40320</v>
      </c>
      <c r="AD177" s="149">
        <v>0</v>
      </c>
      <c r="AE177" s="285">
        <v>0</v>
      </c>
      <c r="AF177" s="285">
        <v>0</v>
      </c>
      <c r="AG177" s="149">
        <v>0</v>
      </c>
      <c r="AH177" s="149">
        <v>0</v>
      </c>
      <c r="AI177" s="149">
        <v>0</v>
      </c>
      <c r="AJ177" s="149">
        <v>0</v>
      </c>
      <c r="AL177" s="107">
        <f t="shared" si="139"/>
        <v>1703970</v>
      </c>
    </row>
    <row r="178" spans="2:40">
      <c r="B178" s="70"/>
      <c r="C178" s="83" t="s">
        <v>33</v>
      </c>
      <c r="D178" s="74"/>
      <c r="E178" s="75" t="s">
        <v>9</v>
      </c>
      <c r="F178" s="149">
        <v>0</v>
      </c>
      <c r="G178" s="149">
        <v>0</v>
      </c>
      <c r="H178" s="149">
        <v>0</v>
      </c>
      <c r="I178" s="285">
        <v>0</v>
      </c>
      <c r="J178" s="149">
        <v>0</v>
      </c>
      <c r="K178" s="149">
        <v>0</v>
      </c>
      <c r="L178" s="149">
        <v>0</v>
      </c>
      <c r="M178" s="285">
        <v>0</v>
      </c>
      <c r="N178" s="285">
        <v>0</v>
      </c>
      <c r="O178" s="149">
        <v>0</v>
      </c>
      <c r="P178" s="149">
        <v>0</v>
      </c>
      <c r="Q178" s="285">
        <v>0</v>
      </c>
      <c r="R178" s="285">
        <v>0</v>
      </c>
      <c r="S178" s="149">
        <v>0</v>
      </c>
      <c r="T178" s="285">
        <v>0</v>
      </c>
      <c r="U178" s="285">
        <v>0</v>
      </c>
      <c r="V178" s="149">
        <v>0</v>
      </c>
      <c r="W178" s="149">
        <v>0</v>
      </c>
      <c r="X178" s="149">
        <v>0</v>
      </c>
      <c r="Y178" s="149">
        <v>0</v>
      </c>
      <c r="Z178" s="285">
        <v>0</v>
      </c>
      <c r="AA178" s="149">
        <v>0</v>
      </c>
      <c r="AB178" s="149">
        <v>0</v>
      </c>
      <c r="AC178" s="149">
        <v>0</v>
      </c>
      <c r="AD178" s="149">
        <v>0</v>
      </c>
      <c r="AE178" s="285">
        <v>0</v>
      </c>
      <c r="AF178" s="285">
        <v>0</v>
      </c>
      <c r="AG178" s="149">
        <v>0</v>
      </c>
      <c r="AH178" s="149">
        <v>0</v>
      </c>
      <c r="AI178" s="149">
        <v>0</v>
      </c>
      <c r="AJ178" s="149">
        <v>0</v>
      </c>
      <c r="AL178" s="107">
        <f t="shared" si="139"/>
        <v>0</v>
      </c>
    </row>
    <row r="179" spans="2:40">
      <c r="B179" s="70"/>
      <c r="C179" s="83" t="s">
        <v>35</v>
      </c>
      <c r="D179" s="74"/>
      <c r="E179" s="75" t="s">
        <v>9</v>
      </c>
      <c r="F179" s="149">
        <v>0</v>
      </c>
      <c r="G179" s="149">
        <v>0</v>
      </c>
      <c r="H179" s="149">
        <v>24920</v>
      </c>
      <c r="I179" s="285">
        <v>75460</v>
      </c>
      <c r="J179" s="149">
        <v>76080</v>
      </c>
      <c r="K179" s="149">
        <v>50080</v>
      </c>
      <c r="L179" s="149">
        <v>0</v>
      </c>
      <c r="M179" s="285">
        <v>0</v>
      </c>
      <c r="N179" s="285">
        <v>0</v>
      </c>
      <c r="O179" s="149">
        <v>80430</v>
      </c>
      <c r="P179" s="149">
        <v>37930</v>
      </c>
      <c r="Q179" s="285">
        <v>24960</v>
      </c>
      <c r="R179" s="285">
        <v>27760</v>
      </c>
      <c r="S179" s="149">
        <v>0</v>
      </c>
      <c r="T179" s="285">
        <v>0</v>
      </c>
      <c r="U179" s="285">
        <v>0</v>
      </c>
      <c r="V179" s="149">
        <v>27190</v>
      </c>
      <c r="W179" s="149">
        <v>0</v>
      </c>
      <c r="X179" s="149">
        <v>0</v>
      </c>
      <c r="Y179" s="149">
        <v>0</v>
      </c>
      <c r="Z179" s="285">
        <v>0</v>
      </c>
      <c r="AA179" s="149">
        <v>0</v>
      </c>
      <c r="AB179" s="149">
        <v>0</v>
      </c>
      <c r="AC179" s="149">
        <v>0</v>
      </c>
      <c r="AD179" s="149">
        <v>0</v>
      </c>
      <c r="AE179" s="285">
        <v>0</v>
      </c>
      <c r="AF179" s="285">
        <v>28080</v>
      </c>
      <c r="AG179" s="149">
        <v>52790</v>
      </c>
      <c r="AH179" s="60">
        <v>20510</v>
      </c>
      <c r="AI179" s="149">
        <v>0</v>
      </c>
      <c r="AJ179" s="149">
        <v>0</v>
      </c>
      <c r="AL179" s="107">
        <f t="shared" si="139"/>
        <v>526190</v>
      </c>
    </row>
    <row r="180" spans="2:40" hidden="1">
      <c r="B180" s="70"/>
      <c r="C180" s="83" t="s">
        <v>40</v>
      </c>
      <c r="D180" s="74"/>
      <c r="E180" s="75" t="s">
        <v>9</v>
      </c>
      <c r="F180" s="149">
        <v>0</v>
      </c>
      <c r="G180" s="149">
        <v>0</v>
      </c>
      <c r="H180" s="149"/>
      <c r="I180" s="285"/>
      <c r="J180" s="149"/>
      <c r="K180" s="149"/>
      <c r="L180" s="149">
        <v>0</v>
      </c>
      <c r="M180" s="285">
        <v>0</v>
      </c>
      <c r="N180" s="285">
        <v>0</v>
      </c>
      <c r="O180" s="149"/>
      <c r="P180" s="149"/>
      <c r="Q180" s="285"/>
      <c r="R180" s="285"/>
      <c r="S180" s="149"/>
      <c r="T180" s="285">
        <v>0</v>
      </c>
      <c r="U180" s="285"/>
      <c r="V180" s="149"/>
      <c r="W180" s="149"/>
      <c r="X180" s="149"/>
      <c r="Y180" s="149"/>
      <c r="Z180" s="285"/>
      <c r="AA180" s="149">
        <v>0</v>
      </c>
      <c r="AB180" s="149">
        <v>0</v>
      </c>
      <c r="AC180" s="149">
        <v>0</v>
      </c>
      <c r="AD180" s="149"/>
      <c r="AE180" s="285"/>
      <c r="AF180" s="285"/>
      <c r="AG180" s="149"/>
      <c r="AH180" s="60"/>
      <c r="AI180" s="60"/>
      <c r="AJ180" s="149"/>
      <c r="AL180" s="107">
        <f t="shared" si="139"/>
        <v>0</v>
      </c>
    </row>
    <row r="181" spans="2:40">
      <c r="B181" s="70"/>
      <c r="C181" s="83" t="s">
        <v>51</v>
      </c>
      <c r="D181" s="74"/>
      <c r="E181" s="75" t="s">
        <v>9</v>
      </c>
      <c r="F181" s="149">
        <v>0</v>
      </c>
      <c r="G181" s="149">
        <v>0</v>
      </c>
      <c r="H181" s="149">
        <v>128840</v>
      </c>
      <c r="I181" s="285">
        <v>172930</v>
      </c>
      <c r="J181" s="149">
        <v>150820</v>
      </c>
      <c r="K181" s="149">
        <v>128820</v>
      </c>
      <c r="L181" s="149">
        <v>0</v>
      </c>
      <c r="M181" s="285">
        <v>0</v>
      </c>
      <c r="N181" s="285">
        <v>0</v>
      </c>
      <c r="O181" s="149">
        <v>140290</v>
      </c>
      <c r="P181" s="149">
        <v>615210</v>
      </c>
      <c r="Q181" s="285">
        <v>339030</v>
      </c>
      <c r="R181" s="285">
        <v>208650</v>
      </c>
      <c r="S181" s="149">
        <v>146940</v>
      </c>
      <c r="T181" s="285">
        <v>0</v>
      </c>
      <c r="U181" s="285">
        <v>42590</v>
      </c>
      <c r="V181" s="149">
        <v>107990</v>
      </c>
      <c r="W181" s="149">
        <v>484890</v>
      </c>
      <c r="X181" s="149">
        <v>273010</v>
      </c>
      <c r="Y181" s="149">
        <v>178640</v>
      </c>
      <c r="Z181" s="285">
        <v>57090</v>
      </c>
      <c r="AA181" s="149">
        <v>0</v>
      </c>
      <c r="AB181" s="149">
        <v>0</v>
      </c>
      <c r="AC181" s="149">
        <v>82920</v>
      </c>
      <c r="AD181" s="149">
        <v>83470</v>
      </c>
      <c r="AE181" s="285">
        <v>138570</v>
      </c>
      <c r="AF181" s="285">
        <v>279220</v>
      </c>
      <c r="AG181" s="149">
        <v>306780</v>
      </c>
      <c r="AH181" s="60">
        <v>277960</v>
      </c>
      <c r="AI181" s="149">
        <v>279400</v>
      </c>
      <c r="AJ181" s="149">
        <v>278640</v>
      </c>
      <c r="AL181" s="107">
        <f t="shared" si="139"/>
        <v>4902700</v>
      </c>
      <c r="AM181" s="182"/>
    </row>
    <row r="182" spans="2:40" s="5" customFormat="1" ht="13.8">
      <c r="B182" s="160"/>
      <c r="C182" s="172" t="s">
        <v>91</v>
      </c>
      <c r="D182" s="173"/>
      <c r="E182" s="174" t="s">
        <v>9</v>
      </c>
      <c r="F182" s="175">
        <f t="shared" ref="F182:AJ182" si="142">SUM(F177:F181)</f>
        <v>0</v>
      </c>
      <c r="G182" s="175">
        <f t="shared" si="142"/>
        <v>0</v>
      </c>
      <c r="H182" s="175">
        <f t="shared" si="142"/>
        <v>153760</v>
      </c>
      <c r="I182" s="302">
        <f t="shared" si="142"/>
        <v>248390</v>
      </c>
      <c r="J182" s="175">
        <f t="shared" si="142"/>
        <v>226900</v>
      </c>
      <c r="K182" s="175">
        <f t="shared" si="142"/>
        <v>178900</v>
      </c>
      <c r="L182" s="175">
        <f t="shared" si="142"/>
        <v>277000</v>
      </c>
      <c r="M182" s="302">
        <f t="shared" si="142"/>
        <v>226930</v>
      </c>
      <c r="N182" s="302">
        <f t="shared" si="142"/>
        <v>0</v>
      </c>
      <c r="O182" s="175">
        <f t="shared" si="142"/>
        <v>220720</v>
      </c>
      <c r="P182" s="175">
        <f t="shared" si="142"/>
        <v>865700</v>
      </c>
      <c r="Q182" s="302">
        <f t="shared" si="142"/>
        <v>423500</v>
      </c>
      <c r="R182" s="302">
        <f t="shared" si="142"/>
        <v>449070</v>
      </c>
      <c r="S182" s="175">
        <f t="shared" si="142"/>
        <v>268010</v>
      </c>
      <c r="T182" s="302">
        <f t="shared" si="142"/>
        <v>0</v>
      </c>
      <c r="U182" s="302">
        <f t="shared" si="142"/>
        <v>42590</v>
      </c>
      <c r="V182" s="175">
        <f t="shared" si="142"/>
        <v>272950</v>
      </c>
      <c r="W182" s="175">
        <f t="shared" si="142"/>
        <v>484890</v>
      </c>
      <c r="X182" s="175">
        <f t="shared" si="142"/>
        <v>365620</v>
      </c>
      <c r="Y182" s="175">
        <f t="shared" si="142"/>
        <v>323450</v>
      </c>
      <c r="Z182" s="302">
        <f t="shared" si="142"/>
        <v>235820</v>
      </c>
      <c r="AA182" s="175">
        <f t="shared" si="142"/>
        <v>0</v>
      </c>
      <c r="AB182" s="175">
        <f t="shared" si="142"/>
        <v>0</v>
      </c>
      <c r="AC182" s="175">
        <f t="shared" si="142"/>
        <v>123240</v>
      </c>
      <c r="AD182" s="175">
        <f>SUM(AD177:AD181)</f>
        <v>83470</v>
      </c>
      <c r="AE182" s="302">
        <f t="shared" si="142"/>
        <v>138570</v>
      </c>
      <c r="AF182" s="302">
        <f t="shared" si="142"/>
        <v>307300</v>
      </c>
      <c r="AG182" s="175">
        <f t="shared" si="142"/>
        <v>359570</v>
      </c>
      <c r="AH182" s="175">
        <f t="shared" si="142"/>
        <v>298470</v>
      </c>
      <c r="AI182" s="175">
        <f t="shared" ref="AI182" si="143">SUM(AI177:AI181)</f>
        <v>279400</v>
      </c>
      <c r="AJ182" s="175">
        <f t="shared" si="142"/>
        <v>278640</v>
      </c>
      <c r="AL182" s="191">
        <f>SUM(AL177:AL181)</f>
        <v>7132860</v>
      </c>
      <c r="AM182" s="182"/>
      <c r="AN182" s="153"/>
    </row>
    <row r="183" spans="2:40">
      <c r="B183" s="54">
        <v>13</v>
      </c>
      <c r="C183" s="81" t="s">
        <v>113</v>
      </c>
      <c r="D183" s="171"/>
      <c r="E183" s="171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L183" s="192" t="s">
        <v>114</v>
      </c>
    </row>
    <row r="184" spans="2:40">
      <c r="B184" s="70"/>
      <c r="C184" s="83" t="s">
        <v>112</v>
      </c>
      <c r="D184" s="74"/>
      <c r="E184" s="75" t="s">
        <v>9</v>
      </c>
      <c r="F184" s="149">
        <v>0</v>
      </c>
      <c r="G184" s="149">
        <v>0</v>
      </c>
      <c r="H184" s="149">
        <v>0</v>
      </c>
      <c r="I184" s="285">
        <v>0</v>
      </c>
      <c r="J184" s="149">
        <v>0</v>
      </c>
      <c r="K184" s="149">
        <v>0</v>
      </c>
      <c r="L184" s="149">
        <v>0</v>
      </c>
      <c r="M184" s="285">
        <v>0</v>
      </c>
      <c r="N184" s="285">
        <v>0</v>
      </c>
      <c r="O184" s="149">
        <v>0</v>
      </c>
      <c r="P184" s="149">
        <v>0</v>
      </c>
      <c r="Q184" s="285">
        <v>0</v>
      </c>
      <c r="R184" s="285">
        <v>0</v>
      </c>
      <c r="S184" s="149">
        <v>0</v>
      </c>
      <c r="T184" s="285">
        <v>0</v>
      </c>
      <c r="U184" s="285">
        <v>0</v>
      </c>
      <c r="V184" s="149">
        <v>0</v>
      </c>
      <c r="W184" s="149">
        <v>0</v>
      </c>
      <c r="X184" s="149">
        <v>0</v>
      </c>
      <c r="Y184" s="149">
        <v>0</v>
      </c>
      <c r="Z184" s="285">
        <v>0</v>
      </c>
      <c r="AA184" s="149">
        <v>0</v>
      </c>
      <c r="AB184" s="149">
        <v>0</v>
      </c>
      <c r="AC184" s="149">
        <v>0</v>
      </c>
      <c r="AD184" s="149">
        <v>0</v>
      </c>
      <c r="AE184" s="285">
        <v>0</v>
      </c>
      <c r="AF184" s="285">
        <v>0</v>
      </c>
      <c r="AG184" s="149">
        <v>0</v>
      </c>
      <c r="AH184" s="149">
        <v>0</v>
      </c>
      <c r="AI184" s="149">
        <v>0</v>
      </c>
      <c r="AJ184" s="149">
        <v>0</v>
      </c>
      <c r="AL184" s="107">
        <f>SUM(F184:AJ184)</f>
        <v>0</v>
      </c>
    </row>
    <row r="185" spans="2:40">
      <c r="B185" s="70"/>
      <c r="C185" s="83" t="s">
        <v>33</v>
      </c>
      <c r="D185" s="74"/>
      <c r="E185" s="75" t="s">
        <v>9</v>
      </c>
      <c r="F185" s="149">
        <v>0</v>
      </c>
      <c r="G185" s="149">
        <v>0</v>
      </c>
      <c r="H185" s="149">
        <v>0</v>
      </c>
      <c r="I185" s="285">
        <v>0</v>
      </c>
      <c r="J185" s="149">
        <v>0</v>
      </c>
      <c r="K185" s="149">
        <v>287160</v>
      </c>
      <c r="L185" s="149">
        <v>258860</v>
      </c>
      <c r="M185" s="285">
        <v>0</v>
      </c>
      <c r="N185" s="285">
        <v>0</v>
      </c>
      <c r="O185" s="149">
        <v>0</v>
      </c>
      <c r="P185" s="149">
        <v>0</v>
      </c>
      <c r="Q185" s="285">
        <v>0</v>
      </c>
      <c r="R185" s="285">
        <v>87690</v>
      </c>
      <c r="S185" s="149">
        <v>405010</v>
      </c>
      <c r="T185" s="285">
        <v>115190</v>
      </c>
      <c r="U185" s="285">
        <v>0</v>
      </c>
      <c r="V185" s="149">
        <v>0</v>
      </c>
      <c r="W185" s="149">
        <v>0</v>
      </c>
      <c r="X185" s="149">
        <v>0</v>
      </c>
      <c r="Y185" s="149">
        <v>0</v>
      </c>
      <c r="Z185" s="285">
        <v>0</v>
      </c>
      <c r="AA185" s="149">
        <v>0</v>
      </c>
      <c r="AB185" s="149">
        <v>0</v>
      </c>
      <c r="AC185" s="149">
        <v>0</v>
      </c>
      <c r="AD185" s="149">
        <v>0</v>
      </c>
      <c r="AE185" s="285">
        <v>0</v>
      </c>
      <c r="AF185" s="285">
        <v>0</v>
      </c>
      <c r="AG185" s="149">
        <v>0</v>
      </c>
      <c r="AH185" s="149">
        <v>0</v>
      </c>
      <c r="AI185" s="149">
        <v>0</v>
      </c>
      <c r="AJ185" s="149">
        <v>0</v>
      </c>
      <c r="AL185" s="107">
        <f>SUM(F185:AJ185)</f>
        <v>1153910</v>
      </c>
    </row>
    <row r="186" spans="2:40">
      <c r="B186" s="70"/>
      <c r="C186" s="83" t="s">
        <v>35</v>
      </c>
      <c r="D186" s="74"/>
      <c r="E186" s="75" t="s">
        <v>9</v>
      </c>
      <c r="F186" s="149">
        <v>0</v>
      </c>
      <c r="G186" s="149">
        <v>0</v>
      </c>
      <c r="H186" s="149">
        <v>341770</v>
      </c>
      <c r="I186" s="285">
        <v>1256970</v>
      </c>
      <c r="J186" s="149">
        <v>1031940</v>
      </c>
      <c r="K186" s="149">
        <v>1156630</v>
      </c>
      <c r="L186" s="149">
        <v>1547370</v>
      </c>
      <c r="M186" s="285">
        <v>1073590</v>
      </c>
      <c r="N186" s="285">
        <v>0</v>
      </c>
      <c r="O186" s="149">
        <v>2070690</v>
      </c>
      <c r="P186" s="149">
        <v>1321360</v>
      </c>
      <c r="Q186" s="285">
        <v>1694930</v>
      </c>
      <c r="R186" s="285">
        <v>1267850</v>
      </c>
      <c r="S186" s="149">
        <v>1995610</v>
      </c>
      <c r="T186" s="285">
        <v>1831000</v>
      </c>
      <c r="U186" s="285">
        <v>343440</v>
      </c>
      <c r="V186" s="149">
        <v>1637880</v>
      </c>
      <c r="W186" s="149">
        <v>1946780</v>
      </c>
      <c r="X186" s="149">
        <v>617510</v>
      </c>
      <c r="Y186" s="149">
        <v>563510</v>
      </c>
      <c r="Z186" s="285">
        <v>1001690</v>
      </c>
      <c r="AA186" s="149">
        <v>498250</v>
      </c>
      <c r="AB186" s="149">
        <v>0</v>
      </c>
      <c r="AC186" s="149">
        <v>1190690</v>
      </c>
      <c r="AD186" s="149">
        <v>820530</v>
      </c>
      <c r="AE186" s="285">
        <v>1134820</v>
      </c>
      <c r="AF186" s="285">
        <v>1015710</v>
      </c>
      <c r="AG186" s="149">
        <v>1264050</v>
      </c>
      <c r="AH186" s="149">
        <v>729340</v>
      </c>
      <c r="AI186" s="149">
        <v>0</v>
      </c>
      <c r="AJ186" s="149">
        <v>1405040</v>
      </c>
      <c r="AL186" s="107">
        <f>SUM(F186:AJ186)</f>
        <v>30758950</v>
      </c>
    </row>
    <row r="187" spans="2:40" hidden="1">
      <c r="B187" s="70"/>
      <c r="C187" s="83" t="s">
        <v>44</v>
      </c>
      <c r="D187" s="74"/>
      <c r="E187" s="75" t="s">
        <v>9</v>
      </c>
      <c r="F187" s="149">
        <v>0</v>
      </c>
      <c r="G187" s="149">
        <v>0</v>
      </c>
      <c r="H187" s="149"/>
      <c r="I187" s="285"/>
      <c r="J187" s="149"/>
      <c r="K187" s="149"/>
      <c r="L187" s="149"/>
      <c r="M187" s="285"/>
      <c r="N187" s="285">
        <v>0</v>
      </c>
      <c r="O187" s="149"/>
      <c r="P187" s="149"/>
      <c r="Q187" s="285"/>
      <c r="R187" s="285"/>
      <c r="S187" s="149"/>
      <c r="T187" s="285"/>
      <c r="U187" s="285"/>
      <c r="V187" s="149"/>
      <c r="W187" s="149"/>
      <c r="X187" s="149"/>
      <c r="Y187" s="149"/>
      <c r="Z187" s="285"/>
      <c r="AA187" s="149"/>
      <c r="AB187" s="149"/>
      <c r="AC187" s="149">
        <v>0</v>
      </c>
      <c r="AD187" s="149"/>
      <c r="AE187" s="285"/>
      <c r="AF187" s="285"/>
      <c r="AG187" s="149"/>
      <c r="AH187" s="149"/>
      <c r="AI187" s="149">
        <v>0</v>
      </c>
      <c r="AJ187" s="149"/>
      <c r="AL187" s="107">
        <f>SUM(F187:AJ187)</f>
        <v>0</v>
      </c>
    </row>
    <row r="188" spans="2:40">
      <c r="B188" s="70"/>
      <c r="C188" s="83" t="s">
        <v>51</v>
      </c>
      <c r="D188" s="74"/>
      <c r="E188" s="75" t="s">
        <v>9</v>
      </c>
      <c r="F188" s="149">
        <v>0</v>
      </c>
      <c r="G188" s="149">
        <v>0</v>
      </c>
      <c r="H188" s="149">
        <v>0</v>
      </c>
      <c r="I188" s="285">
        <v>0</v>
      </c>
      <c r="J188" s="149">
        <v>0</v>
      </c>
      <c r="K188" s="149">
        <v>0</v>
      </c>
      <c r="L188" s="149">
        <v>0</v>
      </c>
      <c r="M188" s="285">
        <v>0</v>
      </c>
      <c r="N188" s="285">
        <v>0</v>
      </c>
      <c r="O188" s="149">
        <v>0</v>
      </c>
      <c r="P188" s="149">
        <v>0</v>
      </c>
      <c r="Q188" s="285">
        <v>0</v>
      </c>
      <c r="R188" s="285">
        <v>62980</v>
      </c>
      <c r="S188" s="149">
        <v>129720</v>
      </c>
      <c r="T188" s="285">
        <v>65080</v>
      </c>
      <c r="U188" s="285">
        <v>107280</v>
      </c>
      <c r="V188" s="149">
        <v>215250</v>
      </c>
      <c r="W188" s="149">
        <v>258540</v>
      </c>
      <c r="X188" s="149">
        <v>258860</v>
      </c>
      <c r="Y188" s="149">
        <v>397280</v>
      </c>
      <c r="Z188" s="285">
        <v>401170</v>
      </c>
      <c r="AA188" s="149">
        <v>149520</v>
      </c>
      <c r="AB188" s="149">
        <v>529400</v>
      </c>
      <c r="AC188" s="149">
        <v>340600</v>
      </c>
      <c r="AD188" s="149">
        <v>588440</v>
      </c>
      <c r="AE188" s="285">
        <v>345470</v>
      </c>
      <c r="AF188" s="285">
        <v>504830</v>
      </c>
      <c r="AG188" s="149">
        <v>274140</v>
      </c>
      <c r="AH188" s="149">
        <v>195430</v>
      </c>
      <c r="AI188" s="149">
        <v>0</v>
      </c>
      <c r="AJ188" s="149">
        <v>0</v>
      </c>
      <c r="AL188" s="107">
        <f>SUM(F188:AJ188)</f>
        <v>4823990</v>
      </c>
    </row>
    <row r="189" spans="2:40" s="5" customFormat="1" thickBot="1">
      <c r="B189" s="160"/>
      <c r="C189" s="172" t="s">
        <v>91</v>
      </c>
      <c r="D189" s="173"/>
      <c r="E189" s="174" t="s">
        <v>9</v>
      </c>
      <c r="F189" s="175">
        <f t="shared" ref="F189:AJ189" si="144">SUM(F184:F188)</f>
        <v>0</v>
      </c>
      <c r="G189" s="175">
        <f t="shared" si="144"/>
        <v>0</v>
      </c>
      <c r="H189" s="175">
        <f t="shared" si="144"/>
        <v>341770</v>
      </c>
      <c r="I189" s="302">
        <f t="shared" si="144"/>
        <v>1256970</v>
      </c>
      <c r="J189" s="175">
        <f t="shared" si="144"/>
        <v>1031940</v>
      </c>
      <c r="K189" s="175">
        <f t="shared" si="144"/>
        <v>1443790</v>
      </c>
      <c r="L189" s="175">
        <f t="shared" si="144"/>
        <v>1806230</v>
      </c>
      <c r="M189" s="302">
        <f t="shared" si="144"/>
        <v>1073590</v>
      </c>
      <c r="N189" s="302">
        <f t="shared" si="144"/>
        <v>0</v>
      </c>
      <c r="O189" s="175">
        <f t="shared" si="144"/>
        <v>2070690</v>
      </c>
      <c r="P189" s="175">
        <f t="shared" si="144"/>
        <v>1321360</v>
      </c>
      <c r="Q189" s="302">
        <f t="shared" si="144"/>
        <v>1694930</v>
      </c>
      <c r="R189" s="302">
        <f t="shared" si="144"/>
        <v>1418520</v>
      </c>
      <c r="S189" s="175">
        <f t="shared" si="144"/>
        <v>2530340</v>
      </c>
      <c r="T189" s="302">
        <f t="shared" si="144"/>
        <v>2011270</v>
      </c>
      <c r="U189" s="302">
        <f t="shared" si="144"/>
        <v>450720</v>
      </c>
      <c r="V189" s="175">
        <f t="shared" si="144"/>
        <v>1853130</v>
      </c>
      <c r="W189" s="175">
        <f t="shared" si="144"/>
        <v>2205320</v>
      </c>
      <c r="X189" s="175">
        <f t="shared" si="144"/>
        <v>876370</v>
      </c>
      <c r="Y189" s="175">
        <f t="shared" si="144"/>
        <v>960790</v>
      </c>
      <c r="Z189" s="302">
        <f t="shared" si="144"/>
        <v>1402860</v>
      </c>
      <c r="AA189" s="175">
        <f t="shared" si="144"/>
        <v>647770</v>
      </c>
      <c r="AB189" s="175">
        <f t="shared" si="144"/>
        <v>529400</v>
      </c>
      <c r="AC189" s="175">
        <f t="shared" si="144"/>
        <v>1531290</v>
      </c>
      <c r="AD189" s="175">
        <f t="shared" si="144"/>
        <v>1408970</v>
      </c>
      <c r="AE189" s="302">
        <f t="shared" si="144"/>
        <v>1480290</v>
      </c>
      <c r="AF189" s="302">
        <f t="shared" si="144"/>
        <v>1520540</v>
      </c>
      <c r="AG189" s="175">
        <f t="shared" si="144"/>
        <v>1538190</v>
      </c>
      <c r="AH189" s="175">
        <f t="shared" si="144"/>
        <v>924770</v>
      </c>
      <c r="AI189" s="175">
        <f t="shared" ref="AI189" si="145">SUM(AI184:AI188)</f>
        <v>0</v>
      </c>
      <c r="AJ189" s="175">
        <f t="shared" si="144"/>
        <v>1405040</v>
      </c>
      <c r="AL189" s="193">
        <f>SUM(AL184:AL188)</f>
        <v>36736850</v>
      </c>
      <c r="AN189" s="153"/>
    </row>
    <row r="191" spans="2:40">
      <c r="AH191" s="29"/>
      <c r="AI191" s="29"/>
      <c r="AJ191" s="29"/>
    </row>
    <row r="192" spans="2:40">
      <c r="AH192" s="29"/>
      <c r="AI192" s="29"/>
      <c r="AJ192" s="29"/>
    </row>
    <row r="193" spans="34:36">
      <c r="AH193" s="29"/>
      <c r="AI193" s="29"/>
      <c r="AJ193" s="29"/>
    </row>
  </sheetData>
  <mergeCells count="7">
    <mergeCell ref="AL5:AL6"/>
    <mergeCell ref="B2:AJ2"/>
    <mergeCell ref="F5:AJ5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300" verticalDpi="300" r:id="rId1"/>
  <ignoredErrors>
    <ignoredError sqref="P47:S54 P10:S10 M14:S14 O61:S61 Q88:Q92 K49:L52 O114:P118 T10:U11 T52:U54 V54:V55 V59 U61:V61 AL18 V47:W52 W10:W11 R114:W118 X51:Y54 Y10:Z10 W88:AA92 AB51:AB54 AA59 AA61:AB61 Y114:AB118 AC47:AC55 AC114:AC119 AD89:AD92 AA10:AD11 AG47:AG55 AF59:AH59 AD61:AG61 T14:AG15 AH47:AH54 AD114:AH118 AE88:AH92 AJ10:AJ11 AJ114:AJ118 AJ88:AJ92 AJ47:AJ55 AJ143:AJ147 R143:AH147 AL143:AL146 AJ14:AJ15 AJ18 AJ59 AJ61 F10:L11 F14:L15 F18:AH18 AL52:AL54 F50:F52 G49:G52 H47:J52 H61:J61 H59:K59 H55:J55 F114:F118 H57:J57 H88:K92 F53:H54 H114:K118 M10 O51:O54 M47:N55 M59 M61:N61 M57 Q59:S59 Y47:Y50 Z47:AA55 AD49:AE52 AD47:AE48 AD53:AE54 AB47:AB50 AE10:AF10 AD59:AE59 AB59 AF49:AF52 AF47:AF48 AF53:AF54 AH61:AI61 AI59 AI47:AI54 AI10:AI11 AH14 AI14:AI15 AI18 F59:G59 F57:G58 F61:G61 I53:J54 F47:G48 F49 F60 AN59 K53:K54 T51:U51 T47:U50 W53 V57 X47:X50 X57 Z57:AC57 AG10:AH10 AG57:AJ57 AI88" evalError="1"/>
    <ignoredError sqref="W55 W61:W62 K62 L53:L55 L57 L61:L62 AL25:AL27 AL63" formulaRange="1"/>
    <ignoredError sqref="O62:S62 T61:T62 U62:V62 W59 W54 X59:Z59 AA62:AB62 AD62:AI62 AJ62 H62:J62 L59 M62:N62 Y61:Y62 Z61:Z62 F62:G62 X61:X62" evalError="1" formulaRange="1"/>
    <ignoredError sqref="N59 AL59" formula="1"/>
    <ignoredError sqref="O59:P59 AC61 AC59" evalError="1" formula="1"/>
    <ignoredError sqref="T59 AC62" evalError="1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4:L16"/>
  <sheetViews>
    <sheetView showGridLines="0" workbookViewId="0">
      <selection activeCell="F18" sqref="F17:F18"/>
    </sheetView>
  </sheetViews>
  <sheetFormatPr defaultColWidth="9.109375" defaultRowHeight="13.8"/>
  <cols>
    <col min="1" max="4" width="9.109375" style="14"/>
    <col min="5" max="5" width="20.33203125" style="14" customWidth="1"/>
    <col min="6" max="12" width="15.44140625" style="14" customWidth="1"/>
    <col min="13" max="16384" width="9.109375" style="14"/>
  </cols>
  <sheetData>
    <row r="4" spans="5:12" ht="18.899999999999999" customHeight="1">
      <c r="E4" s="18" t="s">
        <v>115</v>
      </c>
      <c r="F4" s="19" t="s">
        <v>116</v>
      </c>
      <c r="G4" s="19" t="s">
        <v>117</v>
      </c>
      <c r="H4" s="19" t="s">
        <v>118</v>
      </c>
      <c r="I4" s="19" t="s">
        <v>119</v>
      </c>
      <c r="J4" s="19" t="s">
        <v>120</v>
      </c>
      <c r="K4" s="26" t="s">
        <v>121</v>
      </c>
      <c r="L4" s="26" t="s">
        <v>122</v>
      </c>
    </row>
    <row r="5" spans="5:12" ht="18.899999999999999" customHeight="1">
      <c r="E5" s="20" t="s">
        <v>112</v>
      </c>
      <c r="F5" s="21">
        <v>94.838870792020799</v>
      </c>
      <c r="G5" s="21">
        <v>95.168254420739999</v>
      </c>
      <c r="H5" s="21">
        <v>95.021893781343607</v>
      </c>
      <c r="I5" s="21">
        <v>94.834430354171005</v>
      </c>
      <c r="J5" s="21">
        <v>94.106000323543398</v>
      </c>
      <c r="K5" s="27">
        <v>94.527038478954296</v>
      </c>
      <c r="L5" s="27">
        <v>94.7019691049626</v>
      </c>
    </row>
    <row r="6" spans="5:12" ht="18.899999999999999" customHeight="1">
      <c r="E6" s="20" t="s">
        <v>33</v>
      </c>
      <c r="F6" s="21">
        <v>4.5645820355271898</v>
      </c>
      <c r="G6" s="21">
        <v>4.2344138157586801</v>
      </c>
      <c r="H6" s="21">
        <v>4.3758533595428402</v>
      </c>
      <c r="I6" s="21">
        <v>4.5666541536379297</v>
      </c>
      <c r="J6" s="21">
        <v>5.2617321607619996</v>
      </c>
      <c r="K6" s="27">
        <v>4.8620034555421503</v>
      </c>
      <c r="L6" s="27">
        <v>4.6995178453903703</v>
      </c>
    </row>
    <row r="7" spans="5:12" ht="18.899999999999999" customHeight="1">
      <c r="E7" s="20" t="s">
        <v>37</v>
      </c>
      <c r="F7" s="21">
        <v>83.665160055280197</v>
      </c>
      <c r="G7" s="21">
        <v>83.575453845237504</v>
      </c>
      <c r="H7" s="21">
        <v>83.565849279510502</v>
      </c>
      <c r="I7" s="21">
        <v>82.219585328118399</v>
      </c>
      <c r="J7" s="21">
        <v>82.194224855290997</v>
      </c>
      <c r="K7" s="27">
        <v>82.186394131302094</v>
      </c>
      <c r="L7" s="27">
        <v>82.322385187912502</v>
      </c>
    </row>
    <row r="8" spans="5:12" ht="18.899999999999999" customHeight="1">
      <c r="E8" s="20" t="s">
        <v>123</v>
      </c>
      <c r="F8" s="21">
        <v>60.7896528250511</v>
      </c>
      <c r="G8" s="21">
        <v>60.083837913367503</v>
      </c>
      <c r="H8" s="21">
        <v>60.105448154657303</v>
      </c>
      <c r="I8" s="21">
        <v>60.069686411149803</v>
      </c>
      <c r="J8" s="21">
        <v>60.033798056611701</v>
      </c>
      <c r="K8" s="27">
        <v>59.528301886792498</v>
      </c>
      <c r="L8" s="27">
        <v>59.3851132686084</v>
      </c>
    </row>
    <row r="9" spans="5:12" ht="18.899999999999999" customHeight="1">
      <c r="E9" s="22" t="s">
        <v>38</v>
      </c>
      <c r="F9" s="23">
        <v>55.545187119668697</v>
      </c>
      <c r="G9" s="23">
        <v>56.340708241394999</v>
      </c>
      <c r="H9" s="23">
        <v>56.33</v>
      </c>
      <c r="I9" s="23">
        <v>57.710728260731798</v>
      </c>
      <c r="J9" s="23">
        <v>57.771977088097202</v>
      </c>
      <c r="K9" s="28">
        <v>58.2853039819054</v>
      </c>
      <c r="L9" s="28">
        <v>58.292501543479098</v>
      </c>
    </row>
    <row r="10" spans="5:12">
      <c r="F10" s="24"/>
      <c r="G10" s="24"/>
      <c r="H10" s="24"/>
      <c r="I10" s="24"/>
      <c r="J10" s="24"/>
      <c r="K10" s="24"/>
      <c r="L10" s="24"/>
    </row>
    <row r="11" spans="5:12">
      <c r="F11" s="24"/>
      <c r="G11" s="24"/>
      <c r="H11" s="24"/>
      <c r="I11" s="24"/>
      <c r="J11" s="24"/>
      <c r="K11" s="24"/>
      <c r="L11" s="24"/>
    </row>
    <row r="12" spans="5:12">
      <c r="H12" s="25"/>
      <c r="I12" s="25"/>
      <c r="J12" s="25"/>
      <c r="K12" s="25"/>
      <c r="L12" s="25"/>
    </row>
    <row r="13" spans="5:12">
      <c r="H13" s="25"/>
      <c r="I13" s="25"/>
      <c r="J13" s="25"/>
      <c r="K13" s="25"/>
      <c r="L13" s="25"/>
    </row>
    <row r="14" spans="5:12">
      <c r="H14" s="25"/>
      <c r="I14" s="25"/>
      <c r="J14" s="25"/>
      <c r="K14" s="25"/>
      <c r="L14" s="25"/>
    </row>
    <row r="15" spans="5:12">
      <c r="H15" s="25"/>
      <c r="I15" s="25"/>
      <c r="J15" s="25"/>
      <c r="K15" s="25"/>
      <c r="L15" s="25"/>
    </row>
    <row r="16" spans="5:12">
      <c r="H16" s="25"/>
      <c r="I16" s="25"/>
      <c r="J16" s="25"/>
      <c r="K16" s="25"/>
      <c r="L16" s="25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XFD140"/>
  <sheetViews>
    <sheetView showGridLines="0" topLeftCell="A7" zoomScale="120" zoomScaleNormal="120" workbookViewId="0">
      <selection activeCell="F39" sqref="F39"/>
    </sheetView>
  </sheetViews>
  <sheetFormatPr defaultColWidth="9" defaultRowHeight="14.4"/>
  <cols>
    <col min="1" max="1" width="9.109375" style="1"/>
    <col min="2" max="2" width="15" style="1" customWidth="1"/>
    <col min="3" max="3" width="15.33203125" style="1"/>
    <col min="4" max="16055" width="9.109375" style="1"/>
    <col min="16056" max="16057" width="9" style="1"/>
    <col min="16058" max="16059" width="9.109375"/>
  </cols>
  <sheetData>
    <row r="7" spans="2:10">
      <c r="B7" s="272" t="s">
        <v>124</v>
      </c>
      <c r="C7" s="273"/>
      <c r="D7" s="274"/>
      <c r="E7" s="275" t="s">
        <v>125</v>
      </c>
      <c r="F7" s="275"/>
      <c r="G7" s="275" t="s">
        <v>126</v>
      </c>
      <c r="H7" s="275"/>
    </row>
    <row r="8" spans="2:10">
      <c r="B8" s="7" t="s">
        <v>127</v>
      </c>
      <c r="C8" s="7" t="s">
        <v>128</v>
      </c>
      <c r="D8" s="7" t="s">
        <v>12</v>
      </c>
      <c r="E8" s="7" t="s">
        <v>129</v>
      </c>
      <c r="F8" s="7" t="s">
        <v>130</v>
      </c>
      <c r="G8" s="7" t="s">
        <v>129</v>
      </c>
      <c r="H8" s="7" t="s">
        <v>130</v>
      </c>
    </row>
    <row r="9" spans="2:10">
      <c r="B9" s="8">
        <v>104</v>
      </c>
      <c r="C9" s="9">
        <v>539109</v>
      </c>
      <c r="D9" s="10">
        <f>C9/(SUM(C9:C12))*100</f>
        <v>29.805941185251527</v>
      </c>
      <c r="E9" s="277">
        <v>4.38</v>
      </c>
      <c r="F9" s="278">
        <v>2.23</v>
      </c>
      <c r="G9" s="10">
        <v>4.32</v>
      </c>
      <c r="H9" s="10">
        <v>2.02</v>
      </c>
      <c r="J9" s="16"/>
    </row>
    <row r="10" spans="2:10">
      <c r="B10" s="8">
        <v>105</v>
      </c>
      <c r="C10" s="9">
        <v>54004</v>
      </c>
      <c r="D10" s="10">
        <f>C10/(SUM(C9:C12))*100</f>
        <v>2.9857413765459744</v>
      </c>
      <c r="E10" s="277"/>
      <c r="F10" s="278"/>
      <c r="G10" s="10">
        <v>6.06</v>
      </c>
      <c r="H10" s="10">
        <v>1.73</v>
      </c>
      <c r="J10" s="16"/>
    </row>
    <row r="11" spans="2:10">
      <c r="B11" s="8">
        <v>106</v>
      </c>
      <c r="C11" s="9">
        <v>702012</v>
      </c>
      <c r="D11" s="10">
        <f>C11/(SUM(C9:C12))*100</f>
        <v>38.812426398633292</v>
      </c>
      <c r="E11" s="277"/>
      <c r="F11" s="278"/>
      <c r="G11" s="10">
        <v>4.5999999999999996</v>
      </c>
      <c r="H11" s="10">
        <v>2.17</v>
      </c>
      <c r="J11" s="16"/>
    </row>
    <row r="12" spans="2:10">
      <c r="B12" s="8">
        <v>107</v>
      </c>
      <c r="C12" s="9">
        <v>513605</v>
      </c>
      <c r="D12" s="10">
        <f>C12/(SUM(C9:C12))*100</f>
        <v>28.3958910395692</v>
      </c>
      <c r="E12" s="277"/>
      <c r="F12" s="278"/>
      <c r="G12" s="10">
        <v>3.94</v>
      </c>
      <c r="H12" s="10">
        <v>2.2000000000000002</v>
      </c>
      <c r="J12" s="16"/>
    </row>
    <row r="13" spans="2:10">
      <c r="B13" s="276" t="s">
        <v>131</v>
      </c>
      <c r="C13" s="276"/>
      <c r="D13" s="276"/>
      <c r="E13" s="11"/>
      <c r="F13" s="11"/>
      <c r="G13" s="12">
        <f>AVERAGE(G9:G12)</f>
        <v>4.7299999999999995</v>
      </c>
      <c r="H13" s="13">
        <f>AVERAGE(H9:H12)</f>
        <v>2.0300000000000002</v>
      </c>
      <c r="J13" s="16"/>
    </row>
    <row r="15" spans="2:10">
      <c r="B15" s="1" t="s">
        <v>132</v>
      </c>
    </row>
    <row r="16" spans="2:10">
      <c r="C16" s="14" t="s">
        <v>133</v>
      </c>
      <c r="D16" s="14" t="s">
        <v>129</v>
      </c>
      <c r="E16" s="14" t="s">
        <v>130</v>
      </c>
    </row>
    <row r="17" spans="2:10 16058:16384">
      <c r="C17" s="15">
        <v>29.805941185251498</v>
      </c>
      <c r="D17" s="16">
        <f t="shared" ref="D17:D20" si="0">C17%*G9</f>
        <v>1.2876166592028648</v>
      </c>
      <c r="E17" s="16">
        <f t="shared" ref="E17:E20" si="1">C17%*H9</f>
        <v>0.60208001194208027</v>
      </c>
    </row>
    <row r="18" spans="2:10 16058:16384">
      <c r="C18" s="15">
        <v>2.9857413765459699</v>
      </c>
      <c r="D18" s="16">
        <f t="shared" si="0"/>
        <v>0.18093592741868575</v>
      </c>
      <c r="E18" s="16">
        <f t="shared" si="1"/>
        <v>5.1653325814245275E-2</v>
      </c>
    </row>
    <row r="19" spans="2:10 16058:16384">
      <c r="C19" s="15">
        <v>38.812426398633299</v>
      </c>
      <c r="D19" s="16">
        <f t="shared" si="0"/>
        <v>1.7853716143371317</v>
      </c>
      <c r="E19" s="16">
        <f t="shared" si="1"/>
        <v>0.84222965285034257</v>
      </c>
    </row>
    <row r="20" spans="2:10 16058:16384">
      <c r="C20" s="15">
        <v>28.3958910395692</v>
      </c>
      <c r="D20" s="16">
        <f t="shared" si="0"/>
        <v>1.1187981069590265</v>
      </c>
      <c r="E20" s="16">
        <f t="shared" si="1"/>
        <v>0.62470960287052246</v>
      </c>
    </row>
    <row r="21" spans="2:10 16058:16384" s="1" customFormat="1" ht="13.8">
      <c r="D21" s="17">
        <f>SUM(D17:D20)</f>
        <v>4.3727223079177087</v>
      </c>
      <c r="E21" s="17">
        <f>SUM(E17:E20)</f>
        <v>2.1206725934771908</v>
      </c>
    </row>
    <row r="22" spans="2:10 16058:16384" s="1" customFormat="1" ht="13.8" hidden="1"/>
    <row r="23" spans="2:10 16058:16384" s="2" customFormat="1" ht="13.8"/>
    <row r="24" spans="2:10 16058:16384" s="1" customFormat="1" ht="13.8"/>
    <row r="25" spans="2:10 16058:16384" s="1" customFormat="1">
      <c r="B25" s="272" t="s">
        <v>124</v>
      </c>
      <c r="C25" s="273"/>
      <c r="D25" s="274"/>
      <c r="E25" s="275" t="s">
        <v>125</v>
      </c>
      <c r="F25" s="275"/>
      <c r="G25" s="275" t="s">
        <v>126</v>
      </c>
      <c r="H25" s="275"/>
      <c r="WSP25"/>
      <c r="WSQ25"/>
      <c r="WSR25"/>
      <c r="WSS25"/>
      <c r="WST25"/>
      <c r="WSU25"/>
      <c r="WSV25"/>
      <c r="WSW25"/>
      <c r="WSX25"/>
      <c r="WSY25"/>
      <c r="WSZ25"/>
      <c r="WTA25"/>
      <c r="WTB25"/>
      <c r="WTC25"/>
      <c r="WTD25"/>
      <c r="WTE25"/>
      <c r="WTF25"/>
      <c r="WTG25"/>
      <c r="WTH25"/>
      <c r="WTI25"/>
      <c r="WTJ25"/>
      <c r="WTK25"/>
      <c r="WTL25"/>
      <c r="WTM25"/>
      <c r="WTN25"/>
      <c r="WTO25"/>
      <c r="WTP25"/>
      <c r="WTQ25"/>
      <c r="WTR25"/>
      <c r="WTS25"/>
      <c r="WTT25"/>
      <c r="WTU25"/>
      <c r="WTV25"/>
      <c r="WTW25"/>
      <c r="WTX25"/>
      <c r="WTY25"/>
      <c r="WTZ25"/>
      <c r="WUA25"/>
      <c r="WUB25"/>
      <c r="WUC25"/>
      <c r="WUD25"/>
      <c r="WUE25"/>
      <c r="WUF25"/>
      <c r="WUG25"/>
      <c r="WUH25"/>
      <c r="WUI25"/>
      <c r="WUJ25"/>
      <c r="WUK25"/>
      <c r="WUL25"/>
      <c r="WUM25"/>
      <c r="WUN25"/>
      <c r="WUO25"/>
      <c r="WUP25"/>
      <c r="WUQ25"/>
      <c r="WUR25"/>
      <c r="WUS25"/>
      <c r="WUT25"/>
      <c r="WUU25"/>
      <c r="WUV25"/>
      <c r="WUW25"/>
      <c r="WUX25"/>
      <c r="WUY25"/>
      <c r="WUZ25"/>
      <c r="WVA25"/>
      <c r="WVB25"/>
      <c r="WVC25"/>
      <c r="WVD25"/>
      <c r="WVE25"/>
      <c r="WVF25"/>
      <c r="WVG25"/>
      <c r="WVH25"/>
      <c r="WVI25"/>
      <c r="WVJ25"/>
      <c r="WVK25"/>
      <c r="WVL25"/>
      <c r="WVM25"/>
      <c r="WVN25"/>
      <c r="WVO25"/>
      <c r="WVP25"/>
      <c r="WVQ25"/>
      <c r="WVR25"/>
      <c r="WVS25"/>
      <c r="WVT25"/>
      <c r="WVU25"/>
      <c r="WVV25"/>
      <c r="WVW25"/>
      <c r="WVX25"/>
      <c r="WVY25"/>
      <c r="WVZ25"/>
      <c r="WWA25"/>
      <c r="WWB25"/>
      <c r="WWC25"/>
      <c r="WWD25"/>
      <c r="WWE25"/>
      <c r="WWF25"/>
      <c r="WWG25"/>
      <c r="WWH25"/>
      <c r="WWI25"/>
      <c r="WWJ25"/>
      <c r="WWK25"/>
      <c r="WWL25"/>
      <c r="WWM25"/>
      <c r="WWN25"/>
      <c r="WWO25"/>
      <c r="WWP25"/>
      <c r="WWQ25"/>
      <c r="WWR25"/>
      <c r="WWS25"/>
      <c r="WWT25"/>
      <c r="WWU25"/>
      <c r="WWV25"/>
      <c r="WWW25"/>
      <c r="WWX25"/>
      <c r="WWY25"/>
      <c r="WWZ25"/>
      <c r="WXA25"/>
      <c r="WXB25"/>
      <c r="WXC25"/>
      <c r="WXD25"/>
      <c r="WXE25"/>
      <c r="WXF25"/>
      <c r="WXG25"/>
      <c r="WXH25"/>
      <c r="WXI25"/>
      <c r="WXJ25"/>
      <c r="WXK25"/>
      <c r="WXL25"/>
      <c r="WXM25"/>
      <c r="WXN25"/>
      <c r="WXO25"/>
      <c r="WXP25"/>
      <c r="WXQ25"/>
      <c r="WXR25"/>
      <c r="WXS25"/>
      <c r="WXT25"/>
      <c r="WXU25"/>
      <c r="WXV25"/>
      <c r="WXW25"/>
      <c r="WXX25"/>
      <c r="WXY25"/>
      <c r="WXZ25"/>
      <c r="WYA25"/>
      <c r="WYB25"/>
      <c r="WYC25"/>
      <c r="WYD25"/>
      <c r="WYE25"/>
      <c r="WYF25"/>
      <c r="WYG25"/>
      <c r="WYH25"/>
      <c r="WYI25"/>
      <c r="WYJ25"/>
      <c r="WYK25"/>
      <c r="WYL25"/>
      <c r="WYM25"/>
      <c r="WYN25"/>
      <c r="WYO25"/>
      <c r="WYP25"/>
      <c r="WYQ25"/>
      <c r="WYR25"/>
      <c r="WYS25"/>
      <c r="WYT25"/>
      <c r="WYU25"/>
      <c r="WYV25"/>
      <c r="WYW25"/>
      <c r="WYX25"/>
      <c r="WYY25"/>
      <c r="WYZ25"/>
      <c r="WZA25"/>
      <c r="WZB25"/>
      <c r="WZC25"/>
      <c r="WZD25"/>
      <c r="WZE25"/>
      <c r="WZF25"/>
      <c r="WZG25"/>
      <c r="WZH25"/>
      <c r="WZI25"/>
      <c r="WZJ25"/>
      <c r="WZK25"/>
      <c r="WZL25"/>
      <c r="WZM25"/>
      <c r="WZN25"/>
      <c r="WZO25"/>
      <c r="WZP25"/>
      <c r="WZQ25"/>
      <c r="WZR25"/>
      <c r="WZS25"/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/>
      <c r="XBT25"/>
      <c r="XBU25"/>
      <c r="XBV25"/>
      <c r="XBW25"/>
      <c r="XBX25"/>
      <c r="XBY25"/>
      <c r="XBZ25"/>
      <c r="XCA25"/>
      <c r="XCB25"/>
      <c r="XCC25"/>
      <c r="XCD25"/>
      <c r="XCE25"/>
      <c r="XCF25"/>
      <c r="XCG25"/>
      <c r="XCH25"/>
      <c r="XCI25"/>
      <c r="XCJ25"/>
      <c r="XCK25"/>
      <c r="XCL25"/>
      <c r="XCM25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  <c r="XEZ25"/>
      <c r="XFA25"/>
      <c r="XFB25"/>
      <c r="XFC25"/>
      <c r="XFD25"/>
    </row>
    <row r="26" spans="2:10 16058:16384" s="1" customFormat="1">
      <c r="B26" s="7" t="s">
        <v>127</v>
      </c>
      <c r="C26" s="7" t="s">
        <v>128</v>
      </c>
      <c r="D26" s="7" t="s">
        <v>12</v>
      </c>
      <c r="E26" s="7" t="s">
        <v>129</v>
      </c>
      <c r="F26" s="7" t="s">
        <v>130</v>
      </c>
      <c r="G26" s="7" t="s">
        <v>129</v>
      </c>
      <c r="H26" s="7" t="s">
        <v>130</v>
      </c>
      <c r="WSP26"/>
      <c r="WSQ26"/>
      <c r="WSR26"/>
      <c r="WSS26"/>
      <c r="WST26"/>
      <c r="WSU26"/>
      <c r="WSV26"/>
      <c r="WSW26"/>
      <c r="WSX26"/>
      <c r="WSY26"/>
      <c r="WSZ26"/>
      <c r="WTA26"/>
      <c r="WTB26"/>
      <c r="WTC26"/>
      <c r="WTD26"/>
      <c r="WTE26"/>
      <c r="WTF26"/>
      <c r="WTG26"/>
      <c r="WTH26"/>
      <c r="WTI26"/>
      <c r="WTJ26"/>
      <c r="WTK26"/>
      <c r="WTL26"/>
      <c r="WTM26"/>
      <c r="WTN26"/>
      <c r="WTO26"/>
      <c r="WTP26"/>
      <c r="WTQ26"/>
      <c r="WTR26"/>
      <c r="WTS26"/>
      <c r="WTT26"/>
      <c r="WTU26"/>
      <c r="WTV26"/>
      <c r="WTW26"/>
      <c r="WTX26"/>
      <c r="WTY26"/>
      <c r="WTZ26"/>
      <c r="WUA26"/>
      <c r="WUB26"/>
      <c r="WUC26"/>
      <c r="WUD26"/>
      <c r="WUE26"/>
      <c r="WUF26"/>
      <c r="WUG26"/>
      <c r="WUH26"/>
      <c r="WUI26"/>
      <c r="WUJ26"/>
      <c r="WUK26"/>
      <c r="WUL26"/>
      <c r="WUM26"/>
      <c r="WUN26"/>
      <c r="WUO26"/>
      <c r="WUP26"/>
      <c r="WUQ26"/>
      <c r="WUR26"/>
      <c r="WUS26"/>
      <c r="WUT26"/>
      <c r="WUU26"/>
      <c r="WUV26"/>
      <c r="WUW26"/>
      <c r="WUX26"/>
      <c r="WUY26"/>
      <c r="WUZ26"/>
      <c r="WVA26"/>
      <c r="WVB26"/>
      <c r="WVC26"/>
      <c r="WVD26"/>
      <c r="WVE26"/>
      <c r="WVF26"/>
      <c r="WVG26"/>
      <c r="WVH26"/>
      <c r="WVI26"/>
      <c r="WVJ26"/>
      <c r="WVK26"/>
      <c r="WVL26"/>
      <c r="WVM26"/>
      <c r="WVN26"/>
      <c r="WVO26"/>
      <c r="WVP26"/>
      <c r="WVQ26"/>
      <c r="WVR26"/>
      <c r="WVS26"/>
      <c r="WVT26"/>
      <c r="WVU26"/>
      <c r="WVV26"/>
      <c r="WVW26"/>
      <c r="WVX26"/>
      <c r="WVY26"/>
      <c r="WVZ26"/>
      <c r="WWA26"/>
      <c r="WWB26"/>
      <c r="WWC26"/>
      <c r="WWD26"/>
      <c r="WWE26"/>
      <c r="WWF26"/>
      <c r="WWG26"/>
      <c r="WWH26"/>
      <c r="WWI26"/>
      <c r="WWJ26"/>
      <c r="WWK26"/>
      <c r="WWL26"/>
      <c r="WWM26"/>
      <c r="WWN26"/>
      <c r="WWO26"/>
      <c r="WWP26"/>
      <c r="WWQ26"/>
      <c r="WWR26"/>
      <c r="WWS26"/>
      <c r="WWT26"/>
      <c r="WWU26"/>
      <c r="WWV26"/>
      <c r="WWW26"/>
      <c r="WWX26"/>
      <c r="WWY26"/>
      <c r="WWZ26"/>
      <c r="WXA26"/>
      <c r="WXB26"/>
      <c r="WXC26"/>
      <c r="WXD26"/>
      <c r="WXE26"/>
      <c r="WXF26"/>
      <c r="WXG26"/>
      <c r="WXH26"/>
      <c r="WXI26"/>
      <c r="WXJ26"/>
      <c r="WXK26"/>
      <c r="WXL26"/>
      <c r="WXM26"/>
      <c r="WXN26"/>
      <c r="WXO26"/>
      <c r="WXP26"/>
      <c r="WXQ26"/>
      <c r="WXR26"/>
      <c r="WXS26"/>
      <c r="WXT26"/>
      <c r="WXU26"/>
      <c r="WXV26"/>
      <c r="WXW26"/>
      <c r="WXX26"/>
      <c r="WXY26"/>
      <c r="WXZ26"/>
      <c r="WYA26"/>
      <c r="WYB26"/>
      <c r="WYC26"/>
      <c r="WYD26"/>
      <c r="WYE26"/>
      <c r="WYF26"/>
      <c r="WYG26"/>
      <c r="WYH26"/>
      <c r="WYI26"/>
      <c r="WYJ26"/>
      <c r="WYK26"/>
      <c r="WYL26"/>
      <c r="WYM26"/>
      <c r="WYN26"/>
      <c r="WYO26"/>
      <c r="WYP26"/>
      <c r="WYQ26"/>
      <c r="WYR26"/>
      <c r="WYS26"/>
      <c r="WYT26"/>
      <c r="WYU26"/>
      <c r="WYV26"/>
      <c r="WYW26"/>
      <c r="WYX26"/>
      <c r="WYY26"/>
      <c r="WYZ26"/>
      <c r="WZA26"/>
      <c r="WZB26"/>
      <c r="WZC26"/>
      <c r="WZD26"/>
      <c r="WZE26"/>
      <c r="WZF26"/>
      <c r="WZG26"/>
      <c r="WZH26"/>
      <c r="WZI26"/>
      <c r="WZJ26"/>
      <c r="WZK26"/>
      <c r="WZL26"/>
      <c r="WZM26"/>
      <c r="WZN26"/>
      <c r="WZO26"/>
      <c r="WZP26"/>
      <c r="WZQ26"/>
      <c r="WZR26"/>
      <c r="WZS26"/>
      <c r="WZT26"/>
      <c r="WZU26"/>
      <c r="WZV26"/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/>
      <c r="XBQ26"/>
      <c r="XBR26"/>
      <c r="XBS26"/>
      <c r="XBT26"/>
      <c r="XBU26"/>
      <c r="XBV26"/>
      <c r="XBW26"/>
      <c r="XBX26"/>
      <c r="XBY26"/>
      <c r="XBZ26"/>
      <c r="XCA26"/>
      <c r="XCB26"/>
      <c r="XCC26"/>
      <c r="XCD26"/>
      <c r="XCE26"/>
      <c r="XCF26"/>
      <c r="XCG26"/>
      <c r="XCH26"/>
      <c r="XCI26"/>
      <c r="XCJ26"/>
      <c r="XCK26"/>
      <c r="XCL26"/>
      <c r="XCM26"/>
      <c r="XCN26"/>
      <c r="XCO26"/>
      <c r="XCP26"/>
      <c r="XCQ26"/>
      <c r="XCR26"/>
      <c r="XCS26"/>
      <c r="XCT26"/>
      <c r="XCU26"/>
      <c r="XCV26"/>
      <c r="XCW26"/>
      <c r="XCX26"/>
      <c r="XCY26"/>
      <c r="XCZ2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  <c r="XEP26"/>
      <c r="XEQ26"/>
      <c r="XER26"/>
      <c r="XES26"/>
      <c r="XET26"/>
      <c r="XEU26"/>
      <c r="XEV26"/>
      <c r="XEW26"/>
      <c r="XEX26"/>
      <c r="XEY26"/>
      <c r="XEZ26"/>
      <c r="XFA26"/>
      <c r="XFB26"/>
      <c r="XFC26"/>
      <c r="XFD26"/>
    </row>
    <row r="27" spans="2:10 16058:16384" s="1" customFormat="1">
      <c r="B27" s="8">
        <v>104</v>
      </c>
      <c r="C27" s="9">
        <v>1767925</v>
      </c>
      <c r="D27" s="10">
        <f>C27/(SUM(C27:C30))*100</f>
        <v>99.6149336332426</v>
      </c>
      <c r="E27" s="277">
        <v>4.75</v>
      </c>
      <c r="F27" s="278">
        <v>2.0099999999999998</v>
      </c>
      <c r="G27" s="10">
        <v>4.3499999999999996</v>
      </c>
      <c r="H27" s="10">
        <v>2.0499999999999998</v>
      </c>
      <c r="J27" s="16"/>
      <c r="WSP27"/>
      <c r="WSQ27"/>
      <c r="WSR27"/>
      <c r="WSS27"/>
      <c r="WST27"/>
      <c r="WSU27"/>
      <c r="WSV27"/>
      <c r="WSW27"/>
      <c r="WSX27"/>
      <c r="WSY27"/>
      <c r="WSZ27"/>
      <c r="WTA27"/>
      <c r="WTB27"/>
      <c r="WTC27"/>
      <c r="WTD27"/>
      <c r="WTE27"/>
      <c r="WTF27"/>
      <c r="WTG27"/>
      <c r="WTH27"/>
      <c r="WTI27"/>
      <c r="WTJ27"/>
      <c r="WTK27"/>
      <c r="WTL27"/>
      <c r="WTM27"/>
      <c r="WTN27"/>
      <c r="WTO27"/>
      <c r="WTP27"/>
      <c r="WTQ27"/>
      <c r="WTR27"/>
      <c r="WTS27"/>
      <c r="WTT27"/>
      <c r="WTU27"/>
      <c r="WTV27"/>
      <c r="WTW27"/>
      <c r="WTX27"/>
      <c r="WTY27"/>
      <c r="WTZ27"/>
      <c r="WUA27"/>
      <c r="WUB27"/>
      <c r="WUC27"/>
      <c r="WUD27"/>
      <c r="WUE27"/>
      <c r="WUF27"/>
      <c r="WUG27"/>
      <c r="WUH27"/>
      <c r="WUI27"/>
      <c r="WUJ27"/>
      <c r="WUK27"/>
      <c r="WUL27"/>
      <c r="WUM27"/>
      <c r="WUN27"/>
      <c r="WUO27"/>
      <c r="WUP27"/>
      <c r="WUQ27"/>
      <c r="WUR27"/>
      <c r="WUS27"/>
      <c r="WUT27"/>
      <c r="WUU27"/>
      <c r="WUV27"/>
      <c r="WUW27"/>
      <c r="WUX27"/>
      <c r="WUY27"/>
      <c r="WUZ27"/>
      <c r="WVA27"/>
      <c r="WVB27"/>
      <c r="WVC27"/>
      <c r="WVD27"/>
      <c r="WVE27"/>
      <c r="WVF27"/>
      <c r="WVG27"/>
      <c r="WVH27"/>
      <c r="WVI27"/>
      <c r="WVJ27"/>
      <c r="WVK27"/>
      <c r="WVL27"/>
      <c r="WVM27"/>
      <c r="WVN27"/>
      <c r="WVO27"/>
      <c r="WVP27"/>
      <c r="WVQ27"/>
      <c r="WVR27"/>
      <c r="WVS27"/>
      <c r="WVT27"/>
      <c r="WVU27"/>
      <c r="WVV27"/>
      <c r="WVW27"/>
      <c r="WVX27"/>
      <c r="WVY27"/>
      <c r="WVZ27"/>
      <c r="WWA27"/>
      <c r="WWB27"/>
      <c r="WWC27"/>
      <c r="WWD27"/>
      <c r="WWE27"/>
      <c r="WWF27"/>
      <c r="WWG27"/>
      <c r="WWH27"/>
      <c r="WWI27"/>
      <c r="WWJ27"/>
      <c r="WWK27"/>
      <c r="WWL27"/>
      <c r="WWM27"/>
      <c r="WWN27"/>
      <c r="WWO27"/>
      <c r="WWP27"/>
      <c r="WWQ27"/>
      <c r="WWR27"/>
      <c r="WWS27"/>
      <c r="WWT27"/>
      <c r="WWU27"/>
      <c r="WWV27"/>
      <c r="WWW27"/>
      <c r="WWX27"/>
      <c r="WWY27"/>
      <c r="WWZ27"/>
      <c r="WXA27"/>
      <c r="WXB27"/>
      <c r="WXC27"/>
      <c r="WXD27"/>
      <c r="WXE27"/>
      <c r="WXF27"/>
      <c r="WXG27"/>
      <c r="WXH27"/>
      <c r="WXI27"/>
      <c r="WXJ27"/>
      <c r="WXK27"/>
      <c r="WXL27"/>
      <c r="WXM27"/>
      <c r="WXN27"/>
      <c r="WXO27"/>
      <c r="WXP27"/>
      <c r="WXQ27"/>
      <c r="WXR27"/>
      <c r="WXS27"/>
      <c r="WXT27"/>
      <c r="WXU27"/>
      <c r="WXV27"/>
      <c r="WXW27"/>
      <c r="WXX27"/>
      <c r="WXY27"/>
      <c r="WXZ27"/>
      <c r="WYA27"/>
      <c r="WYB27"/>
      <c r="WYC27"/>
      <c r="WYD27"/>
      <c r="WYE27"/>
      <c r="WYF27"/>
      <c r="WYG27"/>
      <c r="WYH27"/>
      <c r="WYI27"/>
      <c r="WYJ27"/>
      <c r="WYK27"/>
      <c r="WYL27"/>
      <c r="WYM27"/>
      <c r="WYN27"/>
      <c r="WYO27"/>
      <c r="WYP27"/>
      <c r="WYQ27"/>
      <c r="WYR27"/>
      <c r="WYS27"/>
      <c r="WYT27"/>
      <c r="WYU27"/>
      <c r="WYV27"/>
      <c r="WYW27"/>
      <c r="WYX27"/>
      <c r="WYY27"/>
      <c r="WYZ27"/>
      <c r="WZA27"/>
      <c r="WZB27"/>
      <c r="WZC27"/>
      <c r="WZD27"/>
      <c r="WZE27"/>
      <c r="WZF27"/>
      <c r="WZG27"/>
      <c r="WZH27"/>
      <c r="WZI27"/>
      <c r="WZJ27"/>
      <c r="WZK27"/>
      <c r="WZL27"/>
      <c r="WZM27"/>
      <c r="WZN27"/>
      <c r="WZO27"/>
      <c r="WZP27"/>
      <c r="WZQ27"/>
      <c r="WZR27"/>
      <c r="WZS27"/>
      <c r="WZT27"/>
      <c r="WZU27"/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/>
      <c r="XBR27"/>
      <c r="XBS27"/>
      <c r="XBT27"/>
      <c r="XBU27"/>
      <c r="XBV27"/>
      <c r="XBW27"/>
      <c r="XBX27"/>
      <c r="XBY27"/>
      <c r="XBZ27"/>
      <c r="XCA27"/>
      <c r="XCB27"/>
      <c r="XCC27"/>
      <c r="XCD27"/>
      <c r="XCE27"/>
      <c r="XCF27"/>
      <c r="XCG27"/>
      <c r="XCH27"/>
      <c r="XCI27"/>
      <c r="XCJ27"/>
      <c r="XCK27"/>
      <c r="XCL27"/>
      <c r="XCM27"/>
      <c r="XCN27"/>
      <c r="XCO27"/>
      <c r="XCP27"/>
      <c r="XCQ27"/>
      <c r="XCR27"/>
      <c r="XCS27"/>
      <c r="XCT27"/>
      <c r="XCU27"/>
      <c r="XCV27"/>
      <c r="XCW27"/>
      <c r="XCX27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  <c r="XEP27"/>
      <c r="XEQ27"/>
      <c r="XER27"/>
      <c r="XES27"/>
      <c r="XET27"/>
      <c r="XEU27"/>
      <c r="XEV27"/>
      <c r="XEW27"/>
      <c r="XEX27"/>
      <c r="XEY27"/>
      <c r="XEZ27"/>
      <c r="XFA27"/>
      <c r="XFB27"/>
      <c r="XFC27"/>
      <c r="XFD27"/>
    </row>
    <row r="28" spans="2:10 16058:16384" s="1" customFormat="1">
      <c r="B28" s="8">
        <v>105</v>
      </c>
      <c r="C28" s="9">
        <v>6834</v>
      </c>
      <c r="D28" s="10">
        <f>C28/(SUM(C27:C30))*100</f>
        <v>0.38506636675740197</v>
      </c>
      <c r="E28" s="277"/>
      <c r="F28" s="278"/>
      <c r="G28" s="10">
        <v>6.06</v>
      </c>
      <c r="H28" s="10">
        <v>1.91</v>
      </c>
      <c r="J28" s="16"/>
      <c r="WSP28"/>
      <c r="WSQ28"/>
      <c r="WSR28"/>
      <c r="WSS28"/>
      <c r="WST28"/>
      <c r="WSU28"/>
      <c r="WSV28"/>
      <c r="WSW28"/>
      <c r="WSX28"/>
      <c r="WSY28"/>
      <c r="WSZ28"/>
      <c r="WTA28"/>
      <c r="WTB28"/>
      <c r="WTC28"/>
      <c r="WTD28"/>
      <c r="WTE28"/>
      <c r="WTF28"/>
      <c r="WTG28"/>
      <c r="WTH28"/>
      <c r="WTI28"/>
      <c r="WTJ28"/>
      <c r="WTK28"/>
      <c r="WTL28"/>
      <c r="WTM28"/>
      <c r="WTN28"/>
      <c r="WTO28"/>
      <c r="WTP28"/>
      <c r="WTQ28"/>
      <c r="WTR28"/>
      <c r="WTS28"/>
      <c r="WTT28"/>
      <c r="WTU28"/>
      <c r="WTV28"/>
      <c r="WTW28"/>
      <c r="WTX28"/>
      <c r="WTY28"/>
      <c r="WTZ28"/>
      <c r="WUA28"/>
      <c r="WUB28"/>
      <c r="WUC28"/>
      <c r="WUD28"/>
      <c r="WUE28"/>
      <c r="WUF28"/>
      <c r="WUG28"/>
      <c r="WUH28"/>
      <c r="WUI28"/>
      <c r="WUJ28"/>
      <c r="WUK28"/>
      <c r="WUL28"/>
      <c r="WUM28"/>
      <c r="WUN28"/>
      <c r="WUO28"/>
      <c r="WUP28"/>
      <c r="WUQ28"/>
      <c r="WUR28"/>
      <c r="WUS28"/>
      <c r="WUT28"/>
      <c r="WUU28"/>
      <c r="WUV28"/>
      <c r="WUW28"/>
      <c r="WUX28"/>
      <c r="WUY28"/>
      <c r="WUZ28"/>
      <c r="WVA28"/>
      <c r="WVB28"/>
      <c r="WVC28"/>
      <c r="WVD28"/>
      <c r="WVE28"/>
      <c r="WVF28"/>
      <c r="WVG28"/>
      <c r="WVH28"/>
      <c r="WVI28"/>
      <c r="WVJ28"/>
      <c r="WVK28"/>
      <c r="WVL28"/>
      <c r="WVM28"/>
      <c r="WVN28"/>
      <c r="WVO28"/>
      <c r="WVP28"/>
      <c r="WVQ28"/>
      <c r="WVR28"/>
      <c r="WVS28"/>
      <c r="WVT28"/>
      <c r="WVU28"/>
      <c r="WVV28"/>
      <c r="WVW28"/>
      <c r="WVX28"/>
      <c r="WVY28"/>
      <c r="WVZ28"/>
      <c r="WWA28"/>
      <c r="WWB28"/>
      <c r="WWC28"/>
      <c r="WWD28"/>
      <c r="WWE28"/>
      <c r="WWF28"/>
      <c r="WWG28"/>
      <c r="WWH28"/>
      <c r="WWI28"/>
      <c r="WWJ28"/>
      <c r="WWK28"/>
      <c r="WWL28"/>
      <c r="WWM28"/>
      <c r="WWN28"/>
      <c r="WWO28"/>
      <c r="WWP28"/>
      <c r="WWQ28"/>
      <c r="WWR28"/>
      <c r="WWS28"/>
      <c r="WWT28"/>
      <c r="WWU28"/>
      <c r="WWV28"/>
      <c r="WWW28"/>
      <c r="WWX28"/>
      <c r="WWY28"/>
      <c r="WWZ28"/>
      <c r="WXA28"/>
      <c r="WXB28"/>
      <c r="WXC28"/>
      <c r="WXD28"/>
      <c r="WXE28"/>
      <c r="WXF28"/>
      <c r="WXG28"/>
      <c r="WXH28"/>
      <c r="WXI28"/>
      <c r="WXJ28"/>
      <c r="WXK28"/>
      <c r="WXL28"/>
      <c r="WXM28"/>
      <c r="WXN28"/>
      <c r="WXO28"/>
      <c r="WXP28"/>
      <c r="WXQ28"/>
      <c r="WXR28"/>
      <c r="WXS28"/>
      <c r="WXT28"/>
      <c r="WXU28"/>
      <c r="WXV28"/>
      <c r="WXW28"/>
      <c r="WXX28"/>
      <c r="WXY28"/>
      <c r="WXZ28"/>
      <c r="WYA28"/>
      <c r="WYB28"/>
      <c r="WYC28"/>
      <c r="WYD28"/>
      <c r="WYE28"/>
      <c r="WYF28"/>
      <c r="WYG28"/>
      <c r="WYH28"/>
      <c r="WYI28"/>
      <c r="WYJ28"/>
      <c r="WYK28"/>
      <c r="WYL28"/>
      <c r="WYM28"/>
      <c r="WYN28"/>
      <c r="WYO28"/>
      <c r="WYP28"/>
      <c r="WYQ28"/>
      <c r="WYR28"/>
      <c r="WYS28"/>
      <c r="WYT28"/>
      <c r="WYU28"/>
      <c r="WYV28"/>
      <c r="WYW28"/>
      <c r="WYX28"/>
      <c r="WYY28"/>
      <c r="WYZ28"/>
      <c r="WZA28"/>
      <c r="WZB28"/>
      <c r="WZC28"/>
      <c r="WZD28"/>
      <c r="WZE28"/>
      <c r="WZF28"/>
      <c r="WZG28"/>
      <c r="WZH28"/>
      <c r="WZI28"/>
      <c r="WZJ28"/>
      <c r="WZK28"/>
      <c r="WZL28"/>
      <c r="WZM28"/>
      <c r="WZN28"/>
      <c r="WZO28"/>
      <c r="WZP28"/>
      <c r="WZQ28"/>
      <c r="WZR28"/>
      <c r="WZS28"/>
      <c r="WZT28"/>
      <c r="WZU28"/>
      <c r="WZV28"/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/>
      <c r="XBP28"/>
      <c r="XBQ28"/>
      <c r="XBR28"/>
      <c r="XBS28"/>
      <c r="XBT28"/>
      <c r="XBU28"/>
      <c r="XBV28"/>
      <c r="XBW28"/>
      <c r="XBX28"/>
      <c r="XBY28"/>
      <c r="XBZ28"/>
      <c r="XCA28"/>
      <c r="XCB28"/>
      <c r="XCC28"/>
      <c r="XCD28"/>
      <c r="XCE28"/>
      <c r="XCF28"/>
      <c r="XCG28"/>
      <c r="XCH28"/>
      <c r="XCI28"/>
      <c r="XCJ28"/>
      <c r="XCK28"/>
      <c r="XCL28"/>
      <c r="XCM28"/>
      <c r="XCN28"/>
      <c r="XCO28"/>
      <c r="XCP28"/>
      <c r="XCQ28"/>
      <c r="XCR28"/>
      <c r="XCS28"/>
      <c r="XCT28"/>
      <c r="XCU28"/>
      <c r="XCV28"/>
      <c r="XCW28"/>
      <c r="XCX28"/>
      <c r="XCY28"/>
      <c r="XCZ28"/>
      <c r="XDA28"/>
      <c r="XDB28"/>
      <c r="XDC28"/>
      <c r="XDD28"/>
      <c r="XDE28"/>
      <c r="XDF28"/>
      <c r="XDG28"/>
      <c r="XDH28"/>
      <c r="XDI28"/>
      <c r="XDJ28"/>
      <c r="XDK28"/>
      <c r="XDL28"/>
      <c r="XDM28"/>
      <c r="XDN28"/>
      <c r="XDO28"/>
      <c r="XDP28"/>
      <c r="XDQ28"/>
      <c r="XDR28"/>
      <c r="XDS28"/>
      <c r="XDT28"/>
      <c r="XDU28"/>
      <c r="XDV28"/>
      <c r="XDW28"/>
      <c r="XDX28"/>
      <c r="XDY28"/>
      <c r="XDZ28"/>
      <c r="XEA28"/>
      <c r="XEB28"/>
      <c r="XEC28"/>
      <c r="XED28"/>
      <c r="XEE28"/>
      <c r="XEF28"/>
      <c r="XEG28"/>
      <c r="XEH28"/>
      <c r="XEI28"/>
      <c r="XEJ28"/>
      <c r="XEK28"/>
      <c r="XEL28"/>
      <c r="XEM28"/>
      <c r="XEN28"/>
      <c r="XEO28"/>
      <c r="XEP28"/>
      <c r="XEQ28"/>
      <c r="XER28"/>
      <c r="XES28"/>
      <c r="XET28"/>
      <c r="XEU28"/>
      <c r="XEV28"/>
      <c r="XEW28"/>
      <c r="XEX28"/>
      <c r="XEY28"/>
      <c r="XEZ28"/>
      <c r="XFA28"/>
      <c r="XFB28"/>
      <c r="XFC28"/>
      <c r="XFD28"/>
    </row>
    <row r="29" spans="2:10 16058:16384">
      <c r="B29" s="8">
        <v>106</v>
      </c>
      <c r="C29" s="9">
        <v>0</v>
      </c>
      <c r="D29" s="10">
        <f>C29/(SUM(C27:C30))*100</f>
        <v>0</v>
      </c>
      <c r="E29" s="277"/>
      <c r="F29" s="278"/>
      <c r="G29" s="10"/>
      <c r="H29" s="10"/>
      <c r="J29" s="16"/>
    </row>
    <row r="30" spans="2:10 16058:16384" s="1" customFormat="1">
      <c r="B30" s="8">
        <v>107</v>
      </c>
      <c r="C30" s="9">
        <v>0</v>
      </c>
      <c r="D30" s="10">
        <f>C30/(SUM(C27:C30))*100</f>
        <v>0</v>
      </c>
      <c r="E30" s="277"/>
      <c r="F30" s="278"/>
      <c r="G30" s="10"/>
      <c r="H30" s="10"/>
      <c r="J30" s="16"/>
      <c r="WSP30"/>
      <c r="WSQ30"/>
      <c r="WSR30"/>
      <c r="WSS30"/>
      <c r="WST30"/>
      <c r="WSU30"/>
      <c r="WSV30"/>
      <c r="WSW30"/>
      <c r="WSX30"/>
      <c r="WSY30"/>
      <c r="WSZ30"/>
      <c r="WTA30"/>
      <c r="WTB30"/>
      <c r="WTC30"/>
      <c r="WTD30"/>
      <c r="WTE30"/>
      <c r="WTF30"/>
      <c r="WTG30"/>
      <c r="WTH30"/>
      <c r="WTI30"/>
      <c r="WTJ30"/>
      <c r="WTK30"/>
      <c r="WTL30"/>
      <c r="WTM30"/>
      <c r="WTN30"/>
      <c r="WTO30"/>
      <c r="WTP30"/>
      <c r="WTQ30"/>
      <c r="WTR30"/>
      <c r="WTS30"/>
      <c r="WTT30"/>
      <c r="WTU30"/>
      <c r="WTV30"/>
      <c r="WTW30"/>
      <c r="WTX30"/>
      <c r="WTY30"/>
      <c r="WTZ30"/>
      <c r="WUA30"/>
      <c r="WUB30"/>
      <c r="WUC30"/>
      <c r="WUD30"/>
      <c r="WUE30"/>
      <c r="WUF30"/>
      <c r="WUG30"/>
      <c r="WUH30"/>
      <c r="WUI30"/>
      <c r="WUJ30"/>
      <c r="WUK30"/>
      <c r="WUL30"/>
      <c r="WUM30"/>
      <c r="WUN30"/>
      <c r="WUO30"/>
      <c r="WUP30"/>
      <c r="WUQ30"/>
      <c r="WUR30"/>
      <c r="WUS30"/>
      <c r="WUT30"/>
      <c r="WUU30"/>
      <c r="WUV30"/>
      <c r="WUW30"/>
      <c r="WUX30"/>
      <c r="WUY30"/>
      <c r="WUZ30"/>
      <c r="WVA30"/>
      <c r="WVB30"/>
      <c r="WVC30"/>
      <c r="WVD30"/>
      <c r="WVE30"/>
      <c r="WVF30"/>
      <c r="WVG30"/>
      <c r="WVH30"/>
      <c r="WVI30"/>
      <c r="WVJ30"/>
      <c r="WVK30"/>
      <c r="WVL30"/>
      <c r="WVM30"/>
      <c r="WVN30"/>
      <c r="WVO30"/>
      <c r="WVP30"/>
      <c r="WVQ30"/>
      <c r="WVR30"/>
      <c r="WVS30"/>
      <c r="WVT30"/>
      <c r="WVU30"/>
      <c r="WVV30"/>
      <c r="WVW30"/>
      <c r="WVX30"/>
      <c r="WVY30"/>
      <c r="WVZ30"/>
      <c r="WWA30"/>
      <c r="WWB30"/>
      <c r="WWC30"/>
      <c r="WWD30"/>
      <c r="WWE30"/>
      <c r="WWF30"/>
      <c r="WWG30"/>
      <c r="WWH30"/>
      <c r="WWI30"/>
      <c r="WWJ30"/>
      <c r="WWK30"/>
      <c r="WWL30"/>
      <c r="WWM30"/>
      <c r="WWN30"/>
      <c r="WWO30"/>
      <c r="WWP30"/>
      <c r="WWQ30"/>
      <c r="WWR30"/>
      <c r="WWS30"/>
      <c r="WWT30"/>
      <c r="WWU30"/>
      <c r="WWV30"/>
      <c r="WWW30"/>
      <c r="WWX30"/>
      <c r="WWY30"/>
      <c r="WWZ30"/>
      <c r="WXA30"/>
      <c r="WXB30"/>
      <c r="WXC30"/>
      <c r="WXD30"/>
      <c r="WXE30"/>
      <c r="WXF30"/>
      <c r="WXG30"/>
      <c r="WXH30"/>
      <c r="WXI30"/>
      <c r="WXJ30"/>
      <c r="WXK30"/>
      <c r="WXL30"/>
      <c r="WXM30"/>
      <c r="WXN30"/>
      <c r="WXO30"/>
      <c r="WXP30"/>
      <c r="WXQ30"/>
      <c r="WXR30"/>
      <c r="WXS30"/>
      <c r="WXT30"/>
      <c r="WXU30"/>
      <c r="WXV30"/>
      <c r="WXW30"/>
      <c r="WXX30"/>
      <c r="WXY30"/>
      <c r="WXZ30"/>
      <c r="WYA30"/>
      <c r="WYB30"/>
      <c r="WYC30"/>
      <c r="WYD30"/>
      <c r="WYE30"/>
      <c r="WYF30"/>
      <c r="WYG30"/>
      <c r="WYH30"/>
      <c r="WYI30"/>
      <c r="WYJ30"/>
      <c r="WYK30"/>
      <c r="WYL30"/>
      <c r="WYM30"/>
      <c r="WYN30"/>
      <c r="WYO30"/>
      <c r="WYP30"/>
      <c r="WYQ30"/>
      <c r="WYR30"/>
      <c r="WYS30"/>
      <c r="WYT30"/>
      <c r="WYU30"/>
      <c r="WYV30"/>
      <c r="WYW30"/>
      <c r="WYX30"/>
      <c r="WYY30"/>
      <c r="WYZ30"/>
      <c r="WZA30"/>
      <c r="WZB30"/>
      <c r="WZC30"/>
      <c r="WZD30"/>
      <c r="WZE30"/>
      <c r="WZF30"/>
      <c r="WZG30"/>
      <c r="WZH30"/>
      <c r="WZI30"/>
      <c r="WZJ30"/>
      <c r="WZK30"/>
      <c r="WZL30"/>
      <c r="WZM30"/>
      <c r="WZN30"/>
      <c r="WZO30"/>
      <c r="WZP30"/>
      <c r="WZQ30"/>
      <c r="WZR30"/>
      <c r="WZS30"/>
      <c r="WZT30"/>
      <c r="WZU30"/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/>
      <c r="XBQ30"/>
      <c r="XBR30"/>
      <c r="XBS30"/>
      <c r="XBT30"/>
      <c r="XBU30"/>
      <c r="XBV30"/>
      <c r="XBW30"/>
      <c r="XBX30"/>
      <c r="XBY30"/>
      <c r="XBZ30"/>
      <c r="XCA30"/>
      <c r="XCB30"/>
      <c r="XCC30"/>
      <c r="XCD30"/>
      <c r="XCE30"/>
      <c r="XCF30"/>
      <c r="XCG30"/>
      <c r="XCH30"/>
      <c r="XCI30"/>
      <c r="XCJ30"/>
      <c r="XCK30"/>
      <c r="XCL30"/>
      <c r="XCM30"/>
      <c r="XCN30"/>
      <c r="XCO30"/>
      <c r="XCP30"/>
      <c r="XCQ30"/>
      <c r="XCR30"/>
      <c r="XCS30"/>
      <c r="XCT30"/>
      <c r="XCU30"/>
      <c r="XCV30"/>
      <c r="XCW30"/>
      <c r="XCX30"/>
      <c r="XCY30"/>
      <c r="XCZ30"/>
      <c r="XDA30"/>
      <c r="XDB30"/>
      <c r="XDC30"/>
      <c r="XDD30"/>
      <c r="XDE30"/>
      <c r="XDF30"/>
      <c r="XDG30"/>
      <c r="XDH30"/>
      <c r="XDI30"/>
      <c r="XDJ30"/>
      <c r="XDK30"/>
      <c r="XDL30"/>
      <c r="XDM30"/>
      <c r="XDN30"/>
      <c r="XDO30"/>
      <c r="XDP30"/>
      <c r="XDQ30"/>
      <c r="XDR30"/>
      <c r="XDS30"/>
      <c r="XDT30"/>
      <c r="XDU30"/>
      <c r="XDV30"/>
      <c r="XDW30"/>
      <c r="XDX30"/>
      <c r="XDY30"/>
      <c r="XDZ30"/>
      <c r="XEA30"/>
      <c r="XEB30"/>
      <c r="XEC30"/>
      <c r="XED30"/>
      <c r="XEE30"/>
      <c r="XEF30"/>
      <c r="XEG30"/>
      <c r="XEH30"/>
      <c r="XEI30"/>
      <c r="XEJ30"/>
      <c r="XEK30"/>
      <c r="XEL30"/>
      <c r="XEM30"/>
      <c r="XEN30"/>
      <c r="XEO30"/>
      <c r="XEP30"/>
      <c r="XEQ30"/>
      <c r="XER30"/>
      <c r="XES30"/>
      <c r="XET30"/>
      <c r="XEU30"/>
      <c r="XEV30"/>
      <c r="XEW30"/>
      <c r="XEX30"/>
      <c r="XEY30"/>
      <c r="XEZ30"/>
      <c r="XFA30"/>
      <c r="XFB30"/>
      <c r="XFC30"/>
      <c r="XFD30"/>
    </row>
    <row r="31" spans="2:10 16058:16384">
      <c r="B31" s="276" t="s">
        <v>131</v>
      </c>
      <c r="C31" s="276"/>
      <c r="D31" s="276"/>
      <c r="E31" s="11"/>
      <c r="F31" s="11"/>
      <c r="G31" s="12">
        <f>AVERAGE(G27:G30)</f>
        <v>5.2050000000000001</v>
      </c>
      <c r="H31" s="13">
        <f>AVERAGE(H27:H30)</f>
        <v>1.98</v>
      </c>
      <c r="J31" s="16"/>
    </row>
    <row r="33" spans="1:16384">
      <c r="B33" s="1" t="s">
        <v>132</v>
      </c>
    </row>
    <row r="34" spans="1:16384" s="3" customFormat="1">
      <c r="A34" s="1"/>
      <c r="B34" s="1"/>
      <c r="C34" s="14" t="s">
        <v>133</v>
      </c>
      <c r="D34" s="14" t="s">
        <v>129</v>
      </c>
      <c r="E34" s="14" t="s">
        <v>130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  <c r="AML34" s="1"/>
      <c r="AMM34" s="1"/>
      <c r="AMN34" s="1"/>
      <c r="AMO34" s="1"/>
      <c r="AMP34" s="1"/>
      <c r="AMQ34" s="1"/>
      <c r="AMR34" s="1"/>
      <c r="AMS34" s="1"/>
      <c r="AMT34" s="1"/>
      <c r="AMU34" s="1"/>
      <c r="AMV34" s="1"/>
      <c r="AMW34" s="1"/>
      <c r="AMX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T34" s="1"/>
      <c r="ANU34" s="1"/>
      <c r="ANV34" s="1"/>
      <c r="ANW34" s="1"/>
      <c r="ANX34" s="1"/>
      <c r="ANY34" s="1"/>
      <c r="ANZ34" s="1"/>
      <c r="AOA34" s="1"/>
      <c r="AOB34" s="1"/>
      <c r="AOC34" s="1"/>
      <c r="AOD34" s="1"/>
      <c r="AOE34" s="1"/>
      <c r="AOF34" s="1"/>
      <c r="AOG34" s="1"/>
      <c r="AOH34" s="1"/>
      <c r="AOI34" s="1"/>
      <c r="AOJ34" s="1"/>
      <c r="AOK34" s="1"/>
      <c r="AOL34" s="1"/>
      <c r="AOM34" s="1"/>
      <c r="AON34" s="1"/>
      <c r="AOO34" s="1"/>
      <c r="AOP34" s="1"/>
      <c r="AOQ34" s="1"/>
      <c r="AOR34" s="1"/>
      <c r="AOS34" s="1"/>
      <c r="AOT34" s="1"/>
      <c r="AOU34" s="1"/>
      <c r="AOV34" s="1"/>
      <c r="AOW34" s="1"/>
      <c r="AOX34" s="1"/>
      <c r="AOY34" s="1"/>
      <c r="AOZ34" s="1"/>
      <c r="APA34" s="1"/>
      <c r="APB34" s="1"/>
      <c r="APC34" s="1"/>
      <c r="APD34" s="1"/>
      <c r="APE34" s="1"/>
      <c r="APF34" s="1"/>
      <c r="APG34" s="1"/>
      <c r="APH34" s="1"/>
      <c r="API34" s="1"/>
      <c r="APJ34" s="1"/>
      <c r="APK34" s="1"/>
      <c r="APL34" s="1"/>
      <c r="APM34" s="1"/>
      <c r="APN34" s="1"/>
      <c r="APO34" s="1"/>
      <c r="APP34" s="1"/>
      <c r="APQ34" s="1"/>
      <c r="APR34" s="1"/>
      <c r="APS34" s="1"/>
      <c r="APT34" s="1"/>
      <c r="APU34" s="1"/>
      <c r="APV34" s="1"/>
      <c r="APW34" s="1"/>
      <c r="APX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QJ34" s="1"/>
      <c r="AQK34" s="1"/>
      <c r="AQL34" s="1"/>
      <c r="AQM34" s="1"/>
      <c r="AQN34" s="1"/>
      <c r="AQO34" s="1"/>
      <c r="AQP34" s="1"/>
      <c r="AQQ34" s="1"/>
      <c r="AQR34" s="1"/>
      <c r="AQS34" s="1"/>
      <c r="AQT34" s="1"/>
      <c r="AQU34" s="1"/>
      <c r="AQV34" s="1"/>
      <c r="AQW34" s="1"/>
      <c r="AQX34" s="1"/>
      <c r="AQY34" s="1"/>
      <c r="AQZ34" s="1"/>
      <c r="ARA34" s="1"/>
      <c r="ARB34" s="1"/>
      <c r="ARC34" s="1"/>
      <c r="ARD34" s="1"/>
      <c r="ARE34" s="1"/>
      <c r="ARF34" s="1"/>
      <c r="ARG34" s="1"/>
      <c r="ARH34" s="1"/>
      <c r="ARI34" s="1"/>
      <c r="ARJ34" s="1"/>
      <c r="ARK34" s="1"/>
      <c r="ARL34" s="1"/>
      <c r="ARM34" s="1"/>
      <c r="ARN34" s="1"/>
      <c r="ARO34" s="1"/>
      <c r="ARP34" s="1"/>
      <c r="ARQ34" s="1"/>
      <c r="ARR34" s="1"/>
      <c r="ARS34" s="1"/>
      <c r="ART34" s="1"/>
      <c r="ARU34" s="1"/>
      <c r="ARV34" s="1"/>
      <c r="ARW34" s="1"/>
      <c r="ARX34" s="1"/>
      <c r="ARY34" s="1"/>
      <c r="ARZ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S34" s="1"/>
      <c r="AST34" s="1"/>
      <c r="ASU34" s="1"/>
      <c r="ASV34" s="1"/>
      <c r="ASW34" s="1"/>
      <c r="ASX34" s="1"/>
      <c r="ASY34" s="1"/>
      <c r="ASZ34" s="1"/>
      <c r="ATA34" s="1"/>
      <c r="ATB34" s="1"/>
      <c r="ATC34" s="1"/>
      <c r="ATD34" s="1"/>
      <c r="ATE34" s="1"/>
      <c r="ATF34" s="1"/>
      <c r="ATG34" s="1"/>
      <c r="ATH34" s="1"/>
      <c r="ATI34" s="1"/>
      <c r="ATJ34" s="1"/>
      <c r="ATK34" s="1"/>
      <c r="ATL34" s="1"/>
      <c r="ATM34" s="1"/>
      <c r="ATN34" s="1"/>
      <c r="ATO34" s="1"/>
      <c r="ATP34" s="1"/>
      <c r="ATQ34" s="1"/>
      <c r="ATR34" s="1"/>
      <c r="ATS34" s="1"/>
      <c r="ATT34" s="1"/>
      <c r="ATU34" s="1"/>
      <c r="ATV34" s="1"/>
      <c r="ATW34" s="1"/>
      <c r="ATX34" s="1"/>
      <c r="ATY34" s="1"/>
      <c r="ATZ34" s="1"/>
      <c r="AUA34" s="1"/>
      <c r="AUB34" s="1"/>
      <c r="AUC34" s="1"/>
      <c r="AUD34" s="1"/>
      <c r="AUE34" s="1"/>
      <c r="AUF34" s="1"/>
      <c r="AUG34" s="1"/>
      <c r="AUH34" s="1"/>
      <c r="AUI34" s="1"/>
      <c r="AUJ34" s="1"/>
      <c r="AUK34" s="1"/>
      <c r="AUL34" s="1"/>
      <c r="AUM34" s="1"/>
      <c r="AUN34" s="1"/>
      <c r="AUO34" s="1"/>
      <c r="AUP34" s="1"/>
      <c r="AUQ34" s="1"/>
      <c r="AUR34" s="1"/>
      <c r="AUS34" s="1"/>
      <c r="AUT34" s="1"/>
      <c r="AUU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/>
      <c r="AVH34" s="1"/>
      <c r="AVI34" s="1"/>
      <c r="AVJ34" s="1"/>
      <c r="AVK34" s="1"/>
      <c r="AVL34" s="1"/>
      <c r="AVM34" s="1"/>
      <c r="AVN34" s="1"/>
      <c r="AVO34" s="1"/>
      <c r="AVP34" s="1"/>
      <c r="AVQ34" s="1"/>
      <c r="AVR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N34" s="1"/>
      <c r="AWO34" s="1"/>
      <c r="AWP34" s="1"/>
      <c r="AWQ34" s="1"/>
      <c r="AWR34" s="1"/>
      <c r="AWS34" s="1"/>
      <c r="AWT34" s="1"/>
      <c r="AWU34" s="1"/>
      <c r="AWV34" s="1"/>
      <c r="AWW34" s="1"/>
      <c r="AWX34" s="1"/>
      <c r="AWY34" s="1"/>
      <c r="AWZ34" s="1"/>
      <c r="AXA34" s="1"/>
      <c r="AXB34" s="1"/>
      <c r="AXC34" s="1"/>
      <c r="AXD34" s="1"/>
      <c r="AXE34" s="1"/>
      <c r="AXF34" s="1"/>
      <c r="AXG34" s="1"/>
      <c r="AXH34" s="1"/>
      <c r="AXI34" s="1"/>
      <c r="AXJ34" s="1"/>
      <c r="AXK34" s="1"/>
      <c r="AXL34" s="1"/>
      <c r="AXM34" s="1"/>
      <c r="AXN34" s="1"/>
      <c r="AXO34" s="1"/>
      <c r="AXP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B34" s="1"/>
      <c r="AYC34" s="1"/>
      <c r="AYD34" s="1"/>
      <c r="AYE34" s="1"/>
      <c r="AYF34" s="1"/>
      <c r="AYG34" s="1"/>
      <c r="AYH34" s="1"/>
      <c r="AYI34" s="1"/>
      <c r="AYJ34" s="1"/>
      <c r="AYK34" s="1"/>
      <c r="AYL34" s="1"/>
      <c r="AYM34" s="1"/>
      <c r="AYN34" s="1"/>
      <c r="AYO34" s="1"/>
      <c r="AYP34" s="1"/>
      <c r="AYQ34" s="1"/>
      <c r="AYR34" s="1"/>
      <c r="AYS34" s="1"/>
      <c r="AYT34" s="1"/>
      <c r="AYU34" s="1"/>
      <c r="AYV34" s="1"/>
      <c r="AYW34" s="1"/>
      <c r="AYX34" s="1"/>
      <c r="AYY34" s="1"/>
      <c r="AYZ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AZY34" s="1"/>
      <c r="AZZ34" s="1"/>
      <c r="BAA34" s="1"/>
      <c r="BAB34" s="1"/>
      <c r="BAC34" s="1"/>
      <c r="BAD34" s="1"/>
      <c r="BAE34" s="1"/>
      <c r="BAF34" s="1"/>
      <c r="BAG34" s="1"/>
      <c r="BAH34" s="1"/>
      <c r="BAI34" s="1"/>
      <c r="BAJ34" s="1"/>
      <c r="BAK34" s="1"/>
      <c r="BAL34" s="1"/>
      <c r="BAM34" s="1"/>
      <c r="BAN34" s="1"/>
      <c r="BAO34" s="1"/>
      <c r="BAP34" s="1"/>
      <c r="BAQ34" s="1"/>
      <c r="BAR34" s="1"/>
      <c r="BAS34" s="1"/>
      <c r="BAT34" s="1"/>
      <c r="BAU34" s="1"/>
      <c r="BAV34" s="1"/>
      <c r="BAW34" s="1"/>
      <c r="BAX34" s="1"/>
      <c r="BAY34" s="1"/>
      <c r="BAZ34" s="1"/>
      <c r="BBA34" s="1"/>
      <c r="BBB34" s="1"/>
      <c r="BBC34" s="1"/>
      <c r="BBD34" s="1"/>
      <c r="BBE34" s="1"/>
      <c r="BBF34" s="1"/>
      <c r="BBG34" s="1"/>
      <c r="BBH34" s="1"/>
      <c r="BBI34" s="1"/>
      <c r="BBJ34" s="1"/>
      <c r="BBK34" s="1"/>
      <c r="BBL34" s="1"/>
      <c r="BBM34" s="1"/>
      <c r="BBN34" s="1"/>
      <c r="BBO34" s="1"/>
      <c r="BBP34" s="1"/>
      <c r="BBQ34" s="1"/>
      <c r="BBR34" s="1"/>
      <c r="BBS34" s="1"/>
      <c r="BBT34" s="1"/>
      <c r="BBU34" s="1"/>
      <c r="BBV34" s="1"/>
      <c r="BBW34" s="1"/>
      <c r="BBX34" s="1"/>
      <c r="BBY34" s="1"/>
      <c r="BBZ34" s="1"/>
      <c r="BCA34" s="1"/>
      <c r="BCB34" s="1"/>
      <c r="BCC34" s="1"/>
      <c r="BCD34" s="1"/>
      <c r="BCE34" s="1"/>
      <c r="BCF34" s="1"/>
      <c r="BCG34" s="1"/>
      <c r="BCH34" s="1"/>
      <c r="BCI34" s="1"/>
      <c r="BCJ34" s="1"/>
      <c r="BCK34" s="1"/>
      <c r="BCL34" s="1"/>
      <c r="BCM34" s="1"/>
      <c r="BCN34" s="1"/>
      <c r="BCO34" s="1"/>
      <c r="BCP34" s="1"/>
      <c r="BCQ34" s="1"/>
      <c r="BCR34" s="1"/>
      <c r="BCS34" s="1"/>
      <c r="BCT34" s="1"/>
      <c r="BCU34" s="1"/>
      <c r="BCV34" s="1"/>
      <c r="BCW34" s="1"/>
      <c r="BCX34" s="1"/>
      <c r="BCY34" s="1"/>
      <c r="BCZ34" s="1"/>
      <c r="BDA34" s="1"/>
      <c r="BDB34" s="1"/>
      <c r="BDC34" s="1"/>
      <c r="BDD34" s="1"/>
      <c r="BDE34" s="1"/>
      <c r="BDF34" s="1"/>
      <c r="BDG34" s="1"/>
      <c r="BDH34" s="1"/>
      <c r="BDI34" s="1"/>
      <c r="BDJ34" s="1"/>
      <c r="BDK34" s="1"/>
      <c r="BDL34" s="1"/>
      <c r="BDM34" s="1"/>
      <c r="BDN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B34" s="1"/>
      <c r="BEC34" s="1"/>
      <c r="BED34" s="1"/>
      <c r="BEE34" s="1"/>
      <c r="BEF34" s="1"/>
      <c r="BEG34" s="1"/>
      <c r="BEH34" s="1"/>
      <c r="BEI34" s="1"/>
      <c r="BEJ34" s="1"/>
      <c r="BEK34" s="1"/>
      <c r="BEL34" s="1"/>
      <c r="BEM34" s="1"/>
      <c r="BEN34" s="1"/>
      <c r="BEO34" s="1"/>
      <c r="BEP34" s="1"/>
      <c r="BEQ34" s="1"/>
      <c r="BER34" s="1"/>
      <c r="BES34" s="1"/>
      <c r="BET34" s="1"/>
      <c r="BEU34" s="1"/>
      <c r="BEV34" s="1"/>
      <c r="BEW34" s="1"/>
      <c r="BEX34" s="1"/>
      <c r="BEY34" s="1"/>
      <c r="BEZ34" s="1"/>
      <c r="BFA34" s="1"/>
      <c r="BFB34" s="1"/>
      <c r="BFC34" s="1"/>
      <c r="BFD34" s="1"/>
      <c r="BFE34" s="1"/>
      <c r="BFF34" s="1"/>
      <c r="BFG34" s="1"/>
      <c r="BFH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T34" s="1"/>
      <c r="BFU34" s="1"/>
      <c r="BFV34" s="1"/>
      <c r="BFW34" s="1"/>
      <c r="BFX34" s="1"/>
      <c r="BFY34" s="1"/>
      <c r="BFZ34" s="1"/>
      <c r="BGA34" s="1"/>
      <c r="BGB34" s="1"/>
      <c r="BGC34" s="1"/>
      <c r="BGD34" s="1"/>
      <c r="BGE34" s="1"/>
      <c r="BGF34" s="1"/>
      <c r="BGG34" s="1"/>
      <c r="BGH34" s="1"/>
      <c r="BGI34" s="1"/>
      <c r="BGJ34" s="1"/>
      <c r="BGK34" s="1"/>
      <c r="BGL34" s="1"/>
      <c r="BGM34" s="1"/>
      <c r="BGN34" s="1"/>
      <c r="BGO34" s="1"/>
      <c r="BGP34" s="1"/>
      <c r="BGQ34" s="1"/>
      <c r="BGR34" s="1"/>
      <c r="BGS34" s="1"/>
      <c r="BGT34" s="1"/>
      <c r="BGU34" s="1"/>
      <c r="BGV34" s="1"/>
      <c r="BGW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I34" s="1"/>
      <c r="BHJ34" s="1"/>
      <c r="BHK34" s="1"/>
      <c r="BHL34" s="1"/>
      <c r="BHM34" s="1"/>
      <c r="BHN34" s="1"/>
      <c r="BHO34" s="1"/>
      <c r="BHP34" s="1"/>
      <c r="BHQ34" s="1"/>
      <c r="BHR34" s="1"/>
      <c r="BHS34" s="1"/>
      <c r="BHT34" s="1"/>
      <c r="BHU34" s="1"/>
      <c r="BHV34" s="1"/>
      <c r="BHW34" s="1"/>
      <c r="BHX34" s="1"/>
      <c r="BHY34" s="1"/>
      <c r="BHZ34" s="1"/>
      <c r="BIA34" s="1"/>
      <c r="BIB34" s="1"/>
      <c r="BIC34" s="1"/>
      <c r="BID34" s="1"/>
      <c r="BIE34" s="1"/>
      <c r="BIF34" s="1"/>
      <c r="BIG34" s="1"/>
      <c r="BIH34" s="1"/>
      <c r="BII34" s="1"/>
      <c r="BIJ34" s="1"/>
      <c r="BIK34" s="1"/>
      <c r="BIL34" s="1"/>
      <c r="BIM34" s="1"/>
      <c r="BIN34" s="1"/>
      <c r="BIO34" s="1"/>
      <c r="BIP34" s="1"/>
      <c r="BIQ34" s="1"/>
      <c r="BIR34" s="1"/>
      <c r="BIS34" s="1"/>
      <c r="BIT34" s="1"/>
      <c r="BIU34" s="1"/>
      <c r="BIV34" s="1"/>
      <c r="BIW34" s="1"/>
      <c r="BIX34" s="1"/>
      <c r="BIY34" s="1"/>
      <c r="BIZ34" s="1"/>
      <c r="BJA34" s="1"/>
      <c r="BJB34" s="1"/>
      <c r="BJC34" s="1"/>
      <c r="BJD34" s="1"/>
      <c r="BJE34" s="1"/>
      <c r="BJF34" s="1"/>
      <c r="BJG34" s="1"/>
      <c r="BJH34" s="1"/>
      <c r="BJI34" s="1"/>
      <c r="BJJ34" s="1"/>
      <c r="BJK34" s="1"/>
      <c r="BJL34" s="1"/>
      <c r="BJM34" s="1"/>
      <c r="BJN34" s="1"/>
      <c r="BJO34" s="1"/>
      <c r="BJP34" s="1"/>
      <c r="BJQ34" s="1"/>
      <c r="BJR34" s="1"/>
      <c r="BJS34" s="1"/>
      <c r="BJT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V34" s="1"/>
      <c r="BKW34" s="1"/>
      <c r="BKX34" s="1"/>
      <c r="BKY34" s="1"/>
      <c r="BKZ34" s="1"/>
      <c r="BLA34" s="1"/>
      <c r="BLB34" s="1"/>
      <c r="BLC34" s="1"/>
      <c r="BLD34" s="1"/>
      <c r="BLE34" s="1"/>
      <c r="BLF34" s="1"/>
      <c r="BLG34" s="1"/>
      <c r="BLH34" s="1"/>
      <c r="BLI34" s="1"/>
      <c r="BLJ34" s="1"/>
      <c r="BLK34" s="1"/>
      <c r="BLL34" s="1"/>
      <c r="BLM34" s="1"/>
      <c r="BLN34" s="1"/>
      <c r="BLO34" s="1"/>
      <c r="BLP34" s="1"/>
      <c r="BLQ34" s="1"/>
      <c r="BLR34" s="1"/>
      <c r="BLS34" s="1"/>
      <c r="BLT34" s="1"/>
      <c r="BLU34" s="1"/>
      <c r="BLV34" s="1"/>
      <c r="BLW34" s="1"/>
      <c r="BLX34" s="1"/>
      <c r="BLY34" s="1"/>
      <c r="BLZ34" s="1"/>
      <c r="BMA34" s="1"/>
      <c r="BMB34" s="1"/>
      <c r="BMC34" s="1"/>
      <c r="BMD34" s="1"/>
      <c r="BME34" s="1"/>
      <c r="BMF34" s="1"/>
      <c r="BMG34" s="1"/>
      <c r="BMH34" s="1"/>
      <c r="BMI34" s="1"/>
      <c r="BMJ34" s="1"/>
      <c r="BMK34" s="1"/>
      <c r="BML34" s="1"/>
      <c r="BMM34" s="1"/>
      <c r="BMN34" s="1"/>
      <c r="BMO34" s="1"/>
      <c r="BMP34" s="1"/>
      <c r="BMQ34" s="1"/>
      <c r="BMR34" s="1"/>
      <c r="BMS34" s="1"/>
      <c r="BMT34" s="1"/>
      <c r="BMU34" s="1"/>
      <c r="BMV34" s="1"/>
      <c r="BMW34" s="1"/>
      <c r="BMX34" s="1"/>
      <c r="BMY34" s="1"/>
      <c r="BMZ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L34" s="1"/>
      <c r="BNM34" s="1"/>
      <c r="BNN34" s="1"/>
      <c r="BNO34" s="1"/>
      <c r="BNP34" s="1"/>
      <c r="BNQ34" s="1"/>
      <c r="BNR34" s="1"/>
      <c r="BNS34" s="1"/>
      <c r="BNT34" s="1"/>
      <c r="BNU34" s="1"/>
      <c r="BNV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H34" s="1"/>
      <c r="BOI34" s="1"/>
      <c r="BOJ34" s="1"/>
      <c r="BOK34" s="1"/>
      <c r="BOL34" s="1"/>
      <c r="BOM34" s="1"/>
      <c r="BON34" s="1"/>
      <c r="BOO34" s="1"/>
      <c r="BOP34" s="1"/>
      <c r="BOQ34" s="1"/>
      <c r="BOR34" s="1"/>
      <c r="BOS34" s="1"/>
      <c r="BOT34" s="1"/>
      <c r="BOU34" s="1"/>
      <c r="BOV34" s="1"/>
      <c r="BOW34" s="1"/>
      <c r="BOX34" s="1"/>
      <c r="BOY34" s="1"/>
      <c r="BOZ34" s="1"/>
      <c r="BPA34" s="1"/>
      <c r="BPB34" s="1"/>
      <c r="BPC34" s="1"/>
      <c r="BPD34" s="1"/>
      <c r="BPE34" s="1"/>
      <c r="BPF34" s="1"/>
      <c r="BPG34" s="1"/>
      <c r="BPH34" s="1"/>
      <c r="BPI34" s="1"/>
      <c r="BPJ34" s="1"/>
      <c r="BPK34" s="1"/>
      <c r="BPL34" s="1"/>
      <c r="BPM34" s="1"/>
      <c r="BPN34" s="1"/>
      <c r="BPO34" s="1"/>
      <c r="BPP34" s="1"/>
      <c r="BPQ34" s="1"/>
      <c r="BPR34" s="1"/>
      <c r="BPS34" s="1"/>
      <c r="BPT34" s="1"/>
      <c r="BPU34" s="1"/>
      <c r="BPV34" s="1"/>
      <c r="BPW34" s="1"/>
      <c r="BPX34" s="1"/>
      <c r="BPY34" s="1"/>
      <c r="BPZ34" s="1"/>
      <c r="BQA34" s="1"/>
      <c r="BQB34" s="1"/>
      <c r="BQC34" s="1"/>
      <c r="BQD34" s="1"/>
      <c r="BQE34" s="1"/>
      <c r="BQF34" s="1"/>
      <c r="BQG34" s="1"/>
      <c r="BQH34" s="1"/>
      <c r="BQI34" s="1"/>
      <c r="BQJ34" s="1"/>
      <c r="BQK34" s="1"/>
      <c r="BQL34" s="1"/>
      <c r="BQM34" s="1"/>
      <c r="BQN34" s="1"/>
      <c r="BQO34" s="1"/>
      <c r="BQP34" s="1"/>
      <c r="BQQ34" s="1"/>
      <c r="BQR34" s="1"/>
      <c r="BQS34" s="1"/>
      <c r="BQT34" s="1"/>
      <c r="BQU34" s="1"/>
      <c r="BQV34" s="1"/>
      <c r="BQW34" s="1"/>
      <c r="BQX34" s="1"/>
      <c r="BQY34" s="1"/>
      <c r="BQZ34" s="1"/>
      <c r="BRA34" s="1"/>
      <c r="BRB34" s="1"/>
      <c r="BRC34" s="1"/>
      <c r="BRD34" s="1"/>
      <c r="BRE34" s="1"/>
      <c r="BRF34" s="1"/>
      <c r="BRG34" s="1"/>
      <c r="BRH34" s="1"/>
      <c r="BRI34" s="1"/>
      <c r="BRJ34" s="1"/>
      <c r="BRK34" s="1"/>
      <c r="BRL34" s="1"/>
      <c r="BRM34" s="1"/>
      <c r="BRN34" s="1"/>
      <c r="BRO34" s="1"/>
      <c r="BRP34" s="1"/>
      <c r="BRQ34" s="1"/>
      <c r="BRR34" s="1"/>
      <c r="BRS34" s="1"/>
      <c r="BRT34" s="1"/>
      <c r="BRU34" s="1"/>
      <c r="BRV34" s="1"/>
      <c r="BRW34" s="1"/>
      <c r="BRX34" s="1"/>
      <c r="BRY34" s="1"/>
      <c r="BRZ34" s="1"/>
      <c r="BSA34" s="1"/>
      <c r="BSB34" s="1"/>
      <c r="BSC34" s="1"/>
      <c r="BSD34" s="1"/>
      <c r="BSE34" s="1"/>
      <c r="BSF34" s="1"/>
      <c r="BSG34" s="1"/>
      <c r="BSH34" s="1"/>
      <c r="BSI34" s="1"/>
      <c r="BSJ34" s="1"/>
      <c r="BSK34" s="1"/>
      <c r="BSL34" s="1"/>
      <c r="BSM34" s="1"/>
      <c r="BSN34" s="1"/>
      <c r="BSO34" s="1"/>
      <c r="BSP34" s="1"/>
      <c r="BSQ34" s="1"/>
      <c r="BSR34" s="1"/>
      <c r="BSS34" s="1"/>
      <c r="BST34" s="1"/>
      <c r="BSU34" s="1"/>
      <c r="BSV34" s="1"/>
      <c r="BSW34" s="1"/>
      <c r="BSX34" s="1"/>
      <c r="BSY34" s="1"/>
      <c r="BSZ34" s="1"/>
      <c r="BTA34" s="1"/>
      <c r="BTB34" s="1"/>
      <c r="BTC34" s="1"/>
      <c r="BTD34" s="1"/>
      <c r="BTE34" s="1"/>
      <c r="BTF34" s="1"/>
      <c r="BTG34" s="1"/>
      <c r="BTH34" s="1"/>
      <c r="BTI34" s="1"/>
      <c r="BTJ34" s="1"/>
      <c r="BTK34" s="1"/>
      <c r="BTL34" s="1"/>
      <c r="BTM34" s="1"/>
      <c r="BTN34" s="1"/>
      <c r="BTO34" s="1"/>
      <c r="BTP34" s="1"/>
      <c r="BTQ34" s="1"/>
      <c r="BTR34" s="1"/>
      <c r="BTS34" s="1"/>
      <c r="BTT34" s="1"/>
      <c r="BTU34" s="1"/>
      <c r="BTV34" s="1"/>
      <c r="BTW34" s="1"/>
      <c r="BTX34" s="1"/>
      <c r="BTY34" s="1"/>
      <c r="BTZ34" s="1"/>
      <c r="BUA34" s="1"/>
      <c r="BUB34" s="1"/>
      <c r="BUC34" s="1"/>
      <c r="BUD34" s="1"/>
      <c r="BUE34" s="1"/>
      <c r="BUF34" s="1"/>
      <c r="BUG34" s="1"/>
      <c r="BUH34" s="1"/>
      <c r="BUI34" s="1"/>
      <c r="BUJ34" s="1"/>
      <c r="BUK34" s="1"/>
      <c r="BUL34" s="1"/>
      <c r="BUM34" s="1"/>
      <c r="BUN34" s="1"/>
      <c r="BUO34" s="1"/>
      <c r="BUP34" s="1"/>
      <c r="BUQ34" s="1"/>
      <c r="BUR34" s="1"/>
      <c r="BUS34" s="1"/>
      <c r="BUT34" s="1"/>
      <c r="BUU34" s="1"/>
      <c r="BUV34" s="1"/>
      <c r="BUW34" s="1"/>
      <c r="BUX34" s="1"/>
      <c r="BUY34" s="1"/>
      <c r="BUZ34" s="1"/>
      <c r="BVA34" s="1"/>
      <c r="BVB34" s="1"/>
      <c r="BVC34" s="1"/>
      <c r="BVD34" s="1"/>
      <c r="BVE34" s="1"/>
      <c r="BVF34" s="1"/>
      <c r="BVG34" s="1"/>
      <c r="BVH34" s="1"/>
      <c r="BVI34" s="1"/>
      <c r="BVJ34" s="1"/>
      <c r="BVK34" s="1"/>
      <c r="BVL34" s="1"/>
      <c r="BVM34" s="1"/>
      <c r="BVN34" s="1"/>
      <c r="BVO34" s="1"/>
      <c r="BVP34" s="1"/>
      <c r="BVQ34" s="1"/>
      <c r="BVR34" s="1"/>
      <c r="BVS34" s="1"/>
      <c r="BVT34" s="1"/>
      <c r="BVU34" s="1"/>
      <c r="BVV34" s="1"/>
      <c r="BVW34" s="1"/>
      <c r="BVX34" s="1"/>
      <c r="BVY34" s="1"/>
      <c r="BVZ34" s="1"/>
      <c r="BWA34" s="1"/>
      <c r="BWB34" s="1"/>
      <c r="BWC34" s="1"/>
      <c r="BWD34" s="1"/>
      <c r="BWE34" s="1"/>
      <c r="BWF34" s="1"/>
      <c r="BWG34" s="1"/>
      <c r="BWH34" s="1"/>
      <c r="BWI34" s="1"/>
      <c r="BWJ34" s="1"/>
      <c r="BWK34" s="1"/>
      <c r="BWL34" s="1"/>
      <c r="BWM34" s="1"/>
      <c r="BWN34" s="1"/>
      <c r="BWO34" s="1"/>
      <c r="BWP34" s="1"/>
      <c r="BWQ34" s="1"/>
      <c r="BWR34" s="1"/>
      <c r="BWS34" s="1"/>
      <c r="BWT34" s="1"/>
      <c r="BWU34" s="1"/>
      <c r="BWV34" s="1"/>
      <c r="BWW34" s="1"/>
      <c r="BWX34" s="1"/>
      <c r="BWY34" s="1"/>
      <c r="BWZ34" s="1"/>
      <c r="BXA34" s="1"/>
      <c r="BXB34" s="1"/>
      <c r="BXC34" s="1"/>
      <c r="BXD34" s="1"/>
      <c r="BXE34" s="1"/>
      <c r="BXF34" s="1"/>
      <c r="BXG34" s="1"/>
      <c r="BXH34" s="1"/>
      <c r="BXI34" s="1"/>
      <c r="BXJ34" s="1"/>
      <c r="BXK34" s="1"/>
      <c r="BXL34" s="1"/>
      <c r="BXM34" s="1"/>
      <c r="BXN34" s="1"/>
      <c r="BXO34" s="1"/>
      <c r="BXP34" s="1"/>
      <c r="BXQ34" s="1"/>
      <c r="BXR34" s="1"/>
      <c r="BXS34" s="1"/>
      <c r="BXT34" s="1"/>
      <c r="BXU34" s="1"/>
      <c r="BXV34" s="1"/>
      <c r="BXW34" s="1"/>
      <c r="BXX34" s="1"/>
      <c r="BXY34" s="1"/>
      <c r="BXZ34" s="1"/>
      <c r="BYA34" s="1"/>
      <c r="BYB34" s="1"/>
      <c r="BYC34" s="1"/>
      <c r="BYD34" s="1"/>
      <c r="BYE34" s="1"/>
      <c r="BYF34" s="1"/>
      <c r="BYG34" s="1"/>
      <c r="BYH34" s="1"/>
      <c r="BYI34" s="1"/>
      <c r="BYJ34" s="1"/>
      <c r="BYK34" s="1"/>
      <c r="BYL34" s="1"/>
      <c r="BYM34" s="1"/>
      <c r="BYN34" s="1"/>
      <c r="BYO34" s="1"/>
      <c r="BYP34" s="1"/>
      <c r="BYQ34" s="1"/>
      <c r="BYR34" s="1"/>
      <c r="BYS34" s="1"/>
      <c r="BYT34" s="1"/>
      <c r="BYU34" s="1"/>
      <c r="BYV34" s="1"/>
      <c r="BYW34" s="1"/>
      <c r="BYX34" s="1"/>
      <c r="BYY34" s="1"/>
      <c r="BYZ34" s="1"/>
      <c r="BZA34" s="1"/>
      <c r="BZB34" s="1"/>
      <c r="BZC34" s="1"/>
      <c r="BZD34" s="1"/>
      <c r="BZE34" s="1"/>
      <c r="BZF34" s="1"/>
      <c r="BZG34" s="1"/>
      <c r="BZH34" s="1"/>
      <c r="BZI34" s="1"/>
      <c r="BZJ34" s="1"/>
      <c r="BZK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BZZ34" s="1"/>
      <c r="CAA34" s="1"/>
      <c r="CAB34" s="1"/>
      <c r="CAC34" s="1"/>
      <c r="CAD34" s="1"/>
      <c r="CAE34" s="1"/>
      <c r="CAF34" s="1"/>
      <c r="CAG34" s="1"/>
      <c r="CAH34" s="1"/>
      <c r="CAI34" s="1"/>
      <c r="CAJ34" s="1"/>
      <c r="CAK34" s="1"/>
      <c r="CAL34" s="1"/>
      <c r="CAM34" s="1"/>
      <c r="CAN34" s="1"/>
      <c r="CAO34" s="1"/>
      <c r="CAP34" s="1"/>
      <c r="CAQ34" s="1"/>
      <c r="CAR34" s="1"/>
      <c r="CAS34" s="1"/>
      <c r="CAT34" s="1"/>
      <c r="CAU34" s="1"/>
      <c r="CAV34" s="1"/>
      <c r="CAW34" s="1"/>
      <c r="CAX34" s="1"/>
      <c r="CAY34" s="1"/>
      <c r="CAZ34" s="1"/>
      <c r="CBA34" s="1"/>
      <c r="CBB34" s="1"/>
      <c r="CBC34" s="1"/>
      <c r="CBD34" s="1"/>
      <c r="CBE34" s="1"/>
      <c r="CBF34" s="1"/>
      <c r="CBG34" s="1"/>
      <c r="CBH34" s="1"/>
      <c r="CBI34" s="1"/>
      <c r="CBJ34" s="1"/>
      <c r="CBK34" s="1"/>
      <c r="CBL34" s="1"/>
      <c r="CBM34" s="1"/>
      <c r="CBN34" s="1"/>
      <c r="CBO34" s="1"/>
      <c r="CBP34" s="1"/>
      <c r="CBQ34" s="1"/>
      <c r="CBR34" s="1"/>
      <c r="CBS34" s="1"/>
      <c r="CBT34" s="1"/>
      <c r="CBU34" s="1"/>
      <c r="CBV34" s="1"/>
      <c r="CBW34" s="1"/>
      <c r="CBX34" s="1"/>
      <c r="CBY34" s="1"/>
      <c r="CBZ34" s="1"/>
      <c r="CCA34" s="1"/>
      <c r="CCB34" s="1"/>
      <c r="CCC34" s="1"/>
      <c r="CCD34" s="1"/>
      <c r="CCE34" s="1"/>
      <c r="CCF34" s="1"/>
      <c r="CCG34" s="1"/>
      <c r="CCH34" s="1"/>
      <c r="CCI34" s="1"/>
      <c r="CCJ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U34" s="1"/>
      <c r="CCV34" s="1"/>
      <c r="CCW34" s="1"/>
      <c r="CCX34" s="1"/>
      <c r="CCY34" s="1"/>
      <c r="CCZ34" s="1"/>
      <c r="CDA34" s="1"/>
      <c r="CDB34" s="1"/>
      <c r="CDC34" s="1"/>
      <c r="CDD34" s="1"/>
      <c r="CDE34" s="1"/>
      <c r="CDF34" s="1"/>
      <c r="CDG34" s="1"/>
      <c r="CDH34" s="1"/>
      <c r="CDI34" s="1"/>
      <c r="CDJ34" s="1"/>
      <c r="CDK34" s="1"/>
      <c r="CDL34" s="1"/>
      <c r="CDM34" s="1"/>
      <c r="CDN34" s="1"/>
      <c r="CDO34" s="1"/>
      <c r="CDP34" s="1"/>
      <c r="CDQ34" s="1"/>
      <c r="CDR34" s="1"/>
      <c r="CDS34" s="1"/>
      <c r="CDT34" s="1"/>
      <c r="CDU34" s="1"/>
      <c r="CDV34" s="1"/>
      <c r="CDW34" s="1"/>
      <c r="CDX34" s="1"/>
      <c r="CDY34" s="1"/>
      <c r="CDZ34" s="1"/>
      <c r="CEA34" s="1"/>
      <c r="CEB34" s="1"/>
      <c r="CEC34" s="1"/>
      <c r="CED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S34" s="1"/>
      <c r="CET34" s="1"/>
      <c r="CEU34" s="1"/>
      <c r="CEV34" s="1"/>
      <c r="CEW34" s="1"/>
      <c r="CEX34" s="1"/>
      <c r="CEY34" s="1"/>
      <c r="CEZ34" s="1"/>
      <c r="CFA34" s="1"/>
      <c r="CFB34" s="1"/>
      <c r="CFC34" s="1"/>
      <c r="CFD34" s="1"/>
      <c r="CFE34" s="1"/>
      <c r="CFF34" s="1"/>
      <c r="CFG34" s="1"/>
      <c r="CFH34" s="1"/>
      <c r="CFI34" s="1"/>
      <c r="CFJ34" s="1"/>
      <c r="CFK34" s="1"/>
      <c r="CFL34" s="1"/>
      <c r="CFM34" s="1"/>
      <c r="CFN34" s="1"/>
      <c r="CFO34" s="1"/>
      <c r="CFP34" s="1"/>
      <c r="CFQ34" s="1"/>
      <c r="CFR34" s="1"/>
      <c r="CFS34" s="1"/>
      <c r="CFT34" s="1"/>
      <c r="CFU34" s="1"/>
      <c r="CFV34" s="1"/>
      <c r="CFW34" s="1"/>
      <c r="CFX34" s="1"/>
      <c r="CFY34" s="1"/>
      <c r="CFZ34" s="1"/>
      <c r="CGA34" s="1"/>
      <c r="CGB34" s="1"/>
      <c r="CGC34" s="1"/>
      <c r="CGD34" s="1"/>
      <c r="CGE34" s="1"/>
      <c r="CGF34" s="1"/>
      <c r="CGG34" s="1"/>
      <c r="CGH34" s="1"/>
      <c r="CGI34" s="1"/>
      <c r="CGJ34" s="1"/>
      <c r="CGK34" s="1"/>
      <c r="CGL34" s="1"/>
      <c r="CGM34" s="1"/>
      <c r="CGN34" s="1"/>
      <c r="CGO34" s="1"/>
      <c r="CGP34" s="1"/>
      <c r="CGQ34" s="1"/>
      <c r="CGR34" s="1"/>
      <c r="CGS34" s="1"/>
      <c r="CGT34" s="1"/>
      <c r="CGU34" s="1"/>
      <c r="CGV34" s="1"/>
      <c r="CGW34" s="1"/>
      <c r="CGX34" s="1"/>
      <c r="CGY34" s="1"/>
      <c r="CGZ34" s="1"/>
      <c r="CHA34" s="1"/>
      <c r="CHB34" s="1"/>
      <c r="CHC34" s="1"/>
      <c r="CHD34" s="1"/>
      <c r="CHE34" s="1"/>
      <c r="CHF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Q34" s="1"/>
      <c r="CHR34" s="1"/>
      <c r="CHS34" s="1"/>
      <c r="CHT34" s="1"/>
      <c r="CHU34" s="1"/>
      <c r="CHV34" s="1"/>
      <c r="CHW34" s="1"/>
      <c r="CHX34" s="1"/>
      <c r="CHY34" s="1"/>
      <c r="CHZ34" s="1"/>
      <c r="CIA34" s="1"/>
      <c r="CIB34" s="1"/>
      <c r="CIC34" s="1"/>
      <c r="CID34" s="1"/>
      <c r="CIE34" s="1"/>
      <c r="CIF34" s="1"/>
      <c r="CIG34" s="1"/>
      <c r="CIH34" s="1"/>
      <c r="CII34" s="1"/>
      <c r="CIJ34" s="1"/>
      <c r="CIK34" s="1"/>
      <c r="CIL34" s="1"/>
      <c r="CIM34" s="1"/>
      <c r="CIN34" s="1"/>
      <c r="CIO34" s="1"/>
      <c r="CIP34" s="1"/>
      <c r="CIQ34" s="1"/>
      <c r="CIR34" s="1"/>
      <c r="CIS34" s="1"/>
      <c r="CIT34" s="1"/>
      <c r="CIU34" s="1"/>
      <c r="CIV34" s="1"/>
      <c r="CIW34" s="1"/>
      <c r="CIX34" s="1"/>
      <c r="CIY34" s="1"/>
      <c r="CIZ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K34" s="1"/>
      <c r="CJL34" s="1"/>
      <c r="CJM34" s="1"/>
      <c r="CJN34" s="1"/>
      <c r="CJO34" s="1"/>
      <c r="CJP34" s="1"/>
      <c r="CJQ34" s="1"/>
      <c r="CJR34" s="1"/>
      <c r="CJS34" s="1"/>
      <c r="CJT34" s="1"/>
      <c r="CJU34" s="1"/>
      <c r="CJV34" s="1"/>
      <c r="CJW34" s="1"/>
      <c r="CJX34" s="1"/>
      <c r="CJY34" s="1"/>
      <c r="CJZ34" s="1"/>
      <c r="CKA34" s="1"/>
      <c r="CKB34" s="1"/>
      <c r="CKC34" s="1"/>
      <c r="CKD34" s="1"/>
      <c r="CKE34" s="1"/>
      <c r="CKF34" s="1"/>
      <c r="CKG34" s="1"/>
      <c r="CKH34" s="1"/>
      <c r="CKI34" s="1"/>
      <c r="CKJ34" s="1"/>
      <c r="CKK34" s="1"/>
      <c r="CKL34" s="1"/>
      <c r="CKM34" s="1"/>
      <c r="CKN34" s="1"/>
      <c r="CKO34" s="1"/>
      <c r="CKP34" s="1"/>
      <c r="CKQ34" s="1"/>
      <c r="CKR34" s="1"/>
      <c r="CKS34" s="1"/>
      <c r="CKT34" s="1"/>
      <c r="CKU34" s="1"/>
      <c r="CKV34" s="1"/>
      <c r="CKW34" s="1"/>
      <c r="CKX34" s="1"/>
      <c r="CKY34" s="1"/>
      <c r="CKZ34" s="1"/>
      <c r="CLA34" s="1"/>
      <c r="CLB34" s="1"/>
      <c r="CLC34" s="1"/>
      <c r="CLD34" s="1"/>
      <c r="CLE34" s="1"/>
      <c r="CLF34" s="1"/>
      <c r="CLG34" s="1"/>
      <c r="CLH34" s="1"/>
      <c r="CLI34" s="1"/>
      <c r="CLJ34" s="1"/>
      <c r="CLK34" s="1"/>
      <c r="CLL34" s="1"/>
      <c r="CLM34" s="1"/>
      <c r="CLN34" s="1"/>
      <c r="CLO34" s="1"/>
      <c r="CLP34" s="1"/>
      <c r="CLQ34" s="1"/>
      <c r="CLR34" s="1"/>
      <c r="CLS34" s="1"/>
      <c r="CLT34" s="1"/>
      <c r="CLU34" s="1"/>
      <c r="CLV34" s="1"/>
      <c r="CLW34" s="1"/>
      <c r="CLX34" s="1"/>
      <c r="CLY34" s="1"/>
      <c r="CLZ34" s="1"/>
      <c r="CMA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N34" s="1"/>
      <c r="CMO34" s="1"/>
      <c r="CMP34" s="1"/>
      <c r="CMQ34" s="1"/>
      <c r="CMR34" s="1"/>
      <c r="CMS34" s="1"/>
      <c r="CMT34" s="1"/>
      <c r="CMU34" s="1"/>
      <c r="CMV34" s="1"/>
      <c r="CMW34" s="1"/>
      <c r="CMX34" s="1"/>
      <c r="CMY34" s="1"/>
      <c r="CMZ34" s="1"/>
      <c r="CNA34" s="1"/>
      <c r="CNB34" s="1"/>
      <c r="CNC34" s="1"/>
      <c r="CND34" s="1"/>
      <c r="CNE34" s="1"/>
      <c r="CNF34" s="1"/>
      <c r="CNG34" s="1"/>
      <c r="CNH34" s="1"/>
      <c r="CNI34" s="1"/>
      <c r="CNJ34" s="1"/>
      <c r="CNK34" s="1"/>
      <c r="CNL34" s="1"/>
      <c r="CNM34" s="1"/>
      <c r="CNN34" s="1"/>
      <c r="CNO34" s="1"/>
      <c r="CNP34" s="1"/>
      <c r="CNQ34" s="1"/>
      <c r="CNR34" s="1"/>
      <c r="CNS34" s="1"/>
      <c r="CNT34" s="1"/>
      <c r="CNU34" s="1"/>
      <c r="CNV34" s="1"/>
      <c r="CNW34" s="1"/>
      <c r="CNX34" s="1"/>
      <c r="CNY34" s="1"/>
      <c r="CNZ34" s="1"/>
      <c r="COA34" s="1"/>
      <c r="COB34" s="1"/>
      <c r="COC34" s="1"/>
      <c r="COD34" s="1"/>
      <c r="COE34" s="1"/>
      <c r="COF34" s="1"/>
      <c r="COG34" s="1"/>
      <c r="COH34" s="1"/>
      <c r="COI34" s="1"/>
      <c r="COJ34" s="1"/>
      <c r="COK34" s="1"/>
      <c r="COL34" s="1"/>
      <c r="COM34" s="1"/>
      <c r="CON34" s="1"/>
      <c r="COO34" s="1"/>
      <c r="COP34" s="1"/>
      <c r="COQ34" s="1"/>
      <c r="COR34" s="1"/>
      <c r="COS34" s="1"/>
      <c r="COT34" s="1"/>
      <c r="COU34" s="1"/>
      <c r="COV34" s="1"/>
      <c r="COW34" s="1"/>
      <c r="COX34" s="1"/>
      <c r="COY34" s="1"/>
      <c r="COZ34" s="1"/>
      <c r="CPA34" s="1"/>
      <c r="CPB34" s="1"/>
      <c r="CPC34" s="1"/>
      <c r="CPD34" s="1"/>
      <c r="CPE34" s="1"/>
      <c r="CPF34" s="1"/>
      <c r="CPG34" s="1"/>
      <c r="CPH34" s="1"/>
      <c r="CPI34" s="1"/>
      <c r="CPJ34" s="1"/>
      <c r="CPK34" s="1"/>
      <c r="CPL34" s="1"/>
      <c r="CPM34" s="1"/>
      <c r="CPN34" s="1"/>
      <c r="CPO34" s="1"/>
      <c r="CPP34" s="1"/>
      <c r="CPQ34" s="1"/>
      <c r="CPR34" s="1"/>
      <c r="CPS34" s="1"/>
      <c r="CPT34" s="1"/>
      <c r="CPU34" s="1"/>
      <c r="CPV34" s="1"/>
      <c r="CPW34" s="1"/>
      <c r="CPX34" s="1"/>
      <c r="CPY34" s="1"/>
      <c r="CPZ34" s="1"/>
      <c r="CQA34" s="1"/>
      <c r="CQB34" s="1"/>
      <c r="CQC34" s="1"/>
      <c r="CQD34" s="1"/>
      <c r="CQE34" s="1"/>
      <c r="CQF34" s="1"/>
      <c r="CQG34" s="1"/>
      <c r="CQH34" s="1"/>
      <c r="CQI34" s="1"/>
      <c r="CQJ34" s="1"/>
      <c r="CQK34" s="1"/>
      <c r="CQL34" s="1"/>
      <c r="CQM34" s="1"/>
      <c r="CQN34" s="1"/>
      <c r="CQO34" s="1"/>
      <c r="CQP34" s="1"/>
      <c r="CQQ34" s="1"/>
      <c r="CQR34" s="1"/>
      <c r="CQS34" s="1"/>
      <c r="CQT34" s="1"/>
      <c r="CQU34" s="1"/>
      <c r="CQV34" s="1"/>
      <c r="CQW34" s="1"/>
      <c r="CQX34" s="1"/>
      <c r="CQY34" s="1"/>
      <c r="CQZ34" s="1"/>
      <c r="CRA34" s="1"/>
      <c r="CRB34" s="1"/>
      <c r="CRC34" s="1"/>
      <c r="CRD34" s="1"/>
      <c r="CRE34" s="1"/>
      <c r="CRF34" s="1"/>
      <c r="CRG34" s="1"/>
      <c r="CRH34" s="1"/>
      <c r="CRI34" s="1"/>
      <c r="CRJ34" s="1"/>
      <c r="CRK34" s="1"/>
      <c r="CRL34" s="1"/>
      <c r="CRM34" s="1"/>
      <c r="CRN34" s="1"/>
      <c r="CRO34" s="1"/>
      <c r="CRP34" s="1"/>
      <c r="CRQ34" s="1"/>
      <c r="CRR34" s="1"/>
      <c r="CRS34" s="1"/>
      <c r="CRT34" s="1"/>
      <c r="CRU34" s="1"/>
      <c r="CRV34" s="1"/>
      <c r="CRW34" s="1"/>
      <c r="CRX34" s="1"/>
      <c r="CRY34" s="1"/>
      <c r="CRZ34" s="1"/>
      <c r="CSA34" s="1"/>
      <c r="CSB34" s="1"/>
      <c r="CSC34" s="1"/>
      <c r="CSD34" s="1"/>
      <c r="CSE34" s="1"/>
      <c r="CSF34" s="1"/>
      <c r="CSG34" s="1"/>
      <c r="CSH34" s="1"/>
      <c r="CSI34" s="1"/>
      <c r="CSJ34" s="1"/>
      <c r="CSK34" s="1"/>
      <c r="CSL34" s="1"/>
      <c r="CSM34" s="1"/>
      <c r="CSN34" s="1"/>
      <c r="CSO34" s="1"/>
      <c r="CSP34" s="1"/>
      <c r="CSQ34" s="1"/>
      <c r="CSR34" s="1"/>
      <c r="CSS34" s="1"/>
      <c r="CST34" s="1"/>
      <c r="CSU34" s="1"/>
      <c r="CSV34" s="1"/>
      <c r="CSW34" s="1"/>
      <c r="CSX34" s="1"/>
      <c r="CSY34" s="1"/>
      <c r="CSZ34" s="1"/>
      <c r="CTA34" s="1"/>
      <c r="CTB34" s="1"/>
      <c r="CTC34" s="1"/>
      <c r="CTD34" s="1"/>
      <c r="CTE34" s="1"/>
      <c r="CTF34" s="1"/>
      <c r="CTG34" s="1"/>
      <c r="CTH34" s="1"/>
      <c r="CTI34" s="1"/>
      <c r="CTJ34" s="1"/>
      <c r="CTK34" s="1"/>
      <c r="CTL34" s="1"/>
      <c r="CTM34" s="1"/>
      <c r="CTN34" s="1"/>
      <c r="CTO34" s="1"/>
      <c r="CTP34" s="1"/>
      <c r="CTQ34" s="1"/>
      <c r="CTR34" s="1"/>
      <c r="CTS34" s="1"/>
      <c r="CTT34" s="1"/>
      <c r="CTU34" s="1"/>
      <c r="CTV34" s="1"/>
      <c r="CTW34" s="1"/>
      <c r="CTX34" s="1"/>
      <c r="CTY34" s="1"/>
      <c r="CTZ34" s="1"/>
      <c r="CUA34" s="1"/>
      <c r="CUB34" s="1"/>
      <c r="CUC34" s="1"/>
      <c r="CUD34" s="1"/>
      <c r="CUE34" s="1"/>
      <c r="CUF34" s="1"/>
      <c r="CUG34" s="1"/>
      <c r="CUH34" s="1"/>
      <c r="CUI34" s="1"/>
      <c r="CUJ34" s="1"/>
      <c r="CUK34" s="1"/>
      <c r="CUL34" s="1"/>
      <c r="CUM34" s="1"/>
      <c r="CUN34" s="1"/>
      <c r="CUO34" s="1"/>
      <c r="CUP34" s="1"/>
      <c r="CUQ34" s="1"/>
      <c r="CUR34" s="1"/>
      <c r="CUS34" s="1"/>
      <c r="CUT34" s="1"/>
      <c r="CUU34" s="1"/>
      <c r="CUV34" s="1"/>
      <c r="CUW34" s="1"/>
      <c r="CUX34" s="1"/>
      <c r="CUY34" s="1"/>
      <c r="CUZ34" s="1"/>
      <c r="CVA34" s="1"/>
      <c r="CVB34" s="1"/>
      <c r="CVC34" s="1"/>
      <c r="CVD34" s="1"/>
      <c r="CVE34" s="1"/>
      <c r="CVF34" s="1"/>
      <c r="CVG34" s="1"/>
      <c r="CVH34" s="1"/>
      <c r="CVI34" s="1"/>
      <c r="CVJ34" s="1"/>
      <c r="CVK34" s="1"/>
      <c r="CVL34" s="1"/>
      <c r="CVM34" s="1"/>
      <c r="CVN34" s="1"/>
      <c r="CVO34" s="1"/>
      <c r="CVP34" s="1"/>
      <c r="CVQ34" s="1"/>
      <c r="CVR34" s="1"/>
      <c r="CVS34" s="1"/>
      <c r="CVT34" s="1"/>
      <c r="CVU34" s="1"/>
      <c r="CVV34" s="1"/>
      <c r="CVW34" s="1"/>
      <c r="CVX34" s="1"/>
      <c r="CVY34" s="1"/>
      <c r="CVZ34" s="1"/>
      <c r="CWA34" s="1"/>
      <c r="CWB34" s="1"/>
      <c r="CWC34" s="1"/>
      <c r="CWD34" s="1"/>
      <c r="CWE34" s="1"/>
      <c r="CWF34" s="1"/>
      <c r="CWG34" s="1"/>
      <c r="CWH34" s="1"/>
      <c r="CWI34" s="1"/>
      <c r="CWJ34" s="1"/>
      <c r="CWK34" s="1"/>
      <c r="CWL34" s="1"/>
      <c r="CWM34" s="1"/>
      <c r="CWN34" s="1"/>
      <c r="CWO34" s="1"/>
      <c r="CWP34" s="1"/>
      <c r="CWQ34" s="1"/>
      <c r="CWR34" s="1"/>
      <c r="CWS34" s="1"/>
      <c r="CWT34" s="1"/>
      <c r="CWU34" s="1"/>
      <c r="CWV34" s="1"/>
      <c r="CWW34" s="1"/>
      <c r="CWX34" s="1"/>
      <c r="CWY34" s="1"/>
      <c r="CWZ34" s="1"/>
      <c r="CXA34" s="1"/>
      <c r="CXB34" s="1"/>
      <c r="CXC34" s="1"/>
      <c r="CXD34" s="1"/>
      <c r="CXE34" s="1"/>
      <c r="CXF34" s="1"/>
      <c r="CXG34" s="1"/>
      <c r="CXH34" s="1"/>
      <c r="CXI34" s="1"/>
      <c r="CXJ34" s="1"/>
      <c r="CXK34" s="1"/>
      <c r="CXL34" s="1"/>
      <c r="CXM34" s="1"/>
      <c r="CXN34" s="1"/>
      <c r="CXO34" s="1"/>
      <c r="CXP34" s="1"/>
      <c r="CXQ34" s="1"/>
      <c r="CXR34" s="1"/>
      <c r="CXS34" s="1"/>
      <c r="CXT34" s="1"/>
      <c r="CXU34" s="1"/>
      <c r="CXV34" s="1"/>
      <c r="CXW34" s="1"/>
      <c r="CXX34" s="1"/>
      <c r="CXY34" s="1"/>
      <c r="CXZ34" s="1"/>
      <c r="CYA34" s="1"/>
      <c r="CYB34" s="1"/>
      <c r="CYC34" s="1"/>
      <c r="CYD34" s="1"/>
      <c r="CYE34" s="1"/>
      <c r="CYF34" s="1"/>
      <c r="CYG34" s="1"/>
      <c r="CYH34" s="1"/>
      <c r="CYI34" s="1"/>
      <c r="CYJ34" s="1"/>
      <c r="CYK34" s="1"/>
      <c r="CYL34" s="1"/>
      <c r="CYM34" s="1"/>
      <c r="CYN34" s="1"/>
      <c r="CYO34" s="1"/>
      <c r="CYP34" s="1"/>
      <c r="CYQ34" s="1"/>
      <c r="CYR34" s="1"/>
      <c r="CYS34" s="1"/>
      <c r="CYT34" s="1"/>
      <c r="CYU34" s="1"/>
      <c r="CYV34" s="1"/>
      <c r="CYW34" s="1"/>
      <c r="CYX34" s="1"/>
      <c r="CYY34" s="1"/>
      <c r="CYZ34" s="1"/>
      <c r="CZA34" s="1"/>
      <c r="CZB34" s="1"/>
      <c r="CZC34" s="1"/>
      <c r="CZD34" s="1"/>
      <c r="CZE34" s="1"/>
      <c r="CZF34" s="1"/>
      <c r="CZG34" s="1"/>
      <c r="CZH34" s="1"/>
      <c r="CZI34" s="1"/>
      <c r="CZJ34" s="1"/>
      <c r="CZK34" s="1"/>
      <c r="CZL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CZX34" s="1"/>
      <c r="CZY34" s="1"/>
      <c r="CZZ34" s="1"/>
      <c r="DAA34" s="1"/>
      <c r="DAB34" s="1"/>
      <c r="DAC34" s="1"/>
      <c r="DAD34" s="1"/>
      <c r="DAE34" s="1"/>
      <c r="DAF34" s="1"/>
      <c r="DAG34" s="1"/>
      <c r="DAH34" s="1"/>
      <c r="DAI34" s="1"/>
      <c r="DAJ34" s="1"/>
      <c r="DAK34" s="1"/>
      <c r="DAL34" s="1"/>
      <c r="DAM34" s="1"/>
      <c r="DAN34" s="1"/>
      <c r="DAO34" s="1"/>
      <c r="DAP34" s="1"/>
      <c r="DAQ34" s="1"/>
      <c r="DAR34" s="1"/>
      <c r="DAS34" s="1"/>
      <c r="DAT34" s="1"/>
      <c r="DAU34" s="1"/>
      <c r="DAV34" s="1"/>
      <c r="DAW34" s="1"/>
      <c r="DAX34" s="1"/>
      <c r="DAY34" s="1"/>
      <c r="DAZ34" s="1"/>
      <c r="DBA34" s="1"/>
      <c r="DBB34" s="1"/>
      <c r="DBC34" s="1"/>
      <c r="DBD34" s="1"/>
      <c r="DBE34" s="1"/>
      <c r="DBF34" s="1"/>
      <c r="DBG34" s="1"/>
      <c r="DBH34" s="1"/>
      <c r="DBI34" s="1"/>
      <c r="DBJ34" s="1"/>
      <c r="DBK34" s="1"/>
      <c r="DBL34" s="1"/>
      <c r="DBM34" s="1"/>
      <c r="DBN34" s="1"/>
      <c r="DBO34" s="1"/>
      <c r="DBP34" s="1"/>
      <c r="DBQ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H34" s="1"/>
      <c r="DCI34" s="1"/>
      <c r="DCJ34" s="1"/>
      <c r="DCK34" s="1"/>
      <c r="DCL34" s="1"/>
      <c r="DCM34" s="1"/>
      <c r="DCN34" s="1"/>
      <c r="DCO34" s="1"/>
      <c r="DCP34" s="1"/>
      <c r="DCQ34" s="1"/>
      <c r="DCR34" s="1"/>
      <c r="DCS34" s="1"/>
      <c r="DCT34" s="1"/>
      <c r="DCU34" s="1"/>
      <c r="DCV34" s="1"/>
      <c r="DCW34" s="1"/>
      <c r="DCX34" s="1"/>
      <c r="DCY34" s="1"/>
      <c r="DCZ34" s="1"/>
      <c r="DDA34" s="1"/>
      <c r="DDB34" s="1"/>
      <c r="DDC34" s="1"/>
      <c r="DDD34" s="1"/>
      <c r="DDE34" s="1"/>
      <c r="DDF34" s="1"/>
      <c r="DDG34" s="1"/>
      <c r="DDH34" s="1"/>
      <c r="DDI34" s="1"/>
      <c r="DDJ34" s="1"/>
      <c r="DDK34" s="1"/>
      <c r="DDL34" s="1"/>
      <c r="DDM34" s="1"/>
      <c r="DDN34" s="1"/>
      <c r="DDO34" s="1"/>
      <c r="DDP34" s="1"/>
      <c r="DDQ34" s="1"/>
      <c r="DDR34" s="1"/>
      <c r="DDS34" s="1"/>
      <c r="DDT34" s="1"/>
      <c r="DDU34" s="1"/>
      <c r="DDV34" s="1"/>
      <c r="DDW34" s="1"/>
      <c r="DDX34" s="1"/>
      <c r="DDY34" s="1"/>
      <c r="DDZ34" s="1"/>
      <c r="DEA34" s="1"/>
      <c r="DEB34" s="1"/>
      <c r="DEC34" s="1"/>
      <c r="DED34" s="1"/>
      <c r="DEE34" s="1"/>
      <c r="DEF34" s="1"/>
      <c r="DEG34" s="1"/>
      <c r="DEH34" s="1"/>
      <c r="DEI34" s="1"/>
      <c r="DEJ34" s="1"/>
      <c r="DEK34" s="1"/>
      <c r="DEL34" s="1"/>
      <c r="DEM34" s="1"/>
      <c r="DEN34" s="1"/>
      <c r="DEO34" s="1"/>
      <c r="DEP34" s="1"/>
      <c r="DEQ34" s="1"/>
      <c r="DER34" s="1"/>
      <c r="DES34" s="1"/>
      <c r="DET34" s="1"/>
      <c r="DEU34" s="1"/>
      <c r="DEV34" s="1"/>
      <c r="DEW34" s="1"/>
      <c r="DEX34" s="1"/>
      <c r="DEY34" s="1"/>
      <c r="DEZ34" s="1"/>
      <c r="DFA34" s="1"/>
      <c r="DFB34" s="1"/>
      <c r="DFC34" s="1"/>
      <c r="DFD34" s="1"/>
      <c r="DFE34" s="1"/>
      <c r="DFF34" s="1"/>
      <c r="DFG34" s="1"/>
      <c r="DFH34" s="1"/>
      <c r="DFI34" s="1"/>
      <c r="DFJ34" s="1"/>
      <c r="DFK34" s="1"/>
      <c r="DFL34" s="1"/>
      <c r="DFM34" s="1"/>
      <c r="DFN34" s="1"/>
      <c r="DFO34" s="1"/>
      <c r="DFP34" s="1"/>
      <c r="DFQ34" s="1"/>
      <c r="DFR34" s="1"/>
      <c r="DFS34" s="1"/>
      <c r="DFT34" s="1"/>
      <c r="DFU34" s="1"/>
      <c r="DFV34" s="1"/>
      <c r="DFW34" s="1"/>
      <c r="DFX34" s="1"/>
      <c r="DFY34" s="1"/>
      <c r="DFZ34" s="1"/>
      <c r="DGA34" s="1"/>
      <c r="DGB34" s="1"/>
      <c r="DGC34" s="1"/>
      <c r="DGD34" s="1"/>
      <c r="DGE34" s="1"/>
      <c r="DGF34" s="1"/>
      <c r="DGG34" s="1"/>
      <c r="DGH34" s="1"/>
      <c r="DGI34" s="1"/>
      <c r="DGJ34" s="1"/>
      <c r="DGK34" s="1"/>
      <c r="DGL34" s="1"/>
      <c r="DGM34" s="1"/>
      <c r="DGN34" s="1"/>
      <c r="DGO34" s="1"/>
      <c r="DGP34" s="1"/>
      <c r="DGQ34" s="1"/>
      <c r="DGR34" s="1"/>
      <c r="DGS34" s="1"/>
      <c r="DGT34" s="1"/>
      <c r="DGU34" s="1"/>
      <c r="DGV34" s="1"/>
      <c r="DGW34" s="1"/>
      <c r="DGX34" s="1"/>
      <c r="DGY34" s="1"/>
      <c r="DGZ34" s="1"/>
      <c r="DHA34" s="1"/>
      <c r="DHB34" s="1"/>
      <c r="DHC34" s="1"/>
      <c r="DHD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P34" s="1"/>
      <c r="DHQ34" s="1"/>
      <c r="DHR34" s="1"/>
      <c r="DHS34" s="1"/>
      <c r="DHT34" s="1"/>
      <c r="DHU34" s="1"/>
      <c r="DHV34" s="1"/>
      <c r="DHW34" s="1"/>
      <c r="DHX34" s="1"/>
      <c r="DHY34" s="1"/>
      <c r="DHZ34" s="1"/>
      <c r="DIA34" s="1"/>
      <c r="DIB34" s="1"/>
      <c r="DIC34" s="1"/>
      <c r="DID34" s="1"/>
      <c r="DIE34" s="1"/>
      <c r="DIF34" s="1"/>
      <c r="DIG34" s="1"/>
      <c r="DIH34" s="1"/>
      <c r="DII34" s="1"/>
      <c r="DIJ34" s="1"/>
      <c r="DIK34" s="1"/>
      <c r="DIL34" s="1"/>
      <c r="DIM34" s="1"/>
      <c r="DIN34" s="1"/>
      <c r="DIO34" s="1"/>
      <c r="DIP34" s="1"/>
      <c r="DIQ34" s="1"/>
      <c r="DIR34" s="1"/>
      <c r="DIS34" s="1"/>
      <c r="DIT34" s="1"/>
      <c r="DIU34" s="1"/>
      <c r="DIV34" s="1"/>
      <c r="DIW34" s="1"/>
      <c r="DIX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JZ34" s="1"/>
      <c r="DKA34" s="1"/>
      <c r="DKB34" s="1"/>
      <c r="DKC34" s="1"/>
      <c r="DKD34" s="1"/>
      <c r="DKE34" s="1"/>
      <c r="DKF34" s="1"/>
      <c r="DKG34" s="1"/>
      <c r="DKH34" s="1"/>
      <c r="DKI34" s="1"/>
      <c r="DKJ34" s="1"/>
      <c r="DKK34" s="1"/>
      <c r="DKL34" s="1"/>
      <c r="DKM34" s="1"/>
      <c r="DKN34" s="1"/>
      <c r="DKO34" s="1"/>
      <c r="DKP34" s="1"/>
      <c r="DKQ34" s="1"/>
      <c r="DKR34" s="1"/>
      <c r="DKS34" s="1"/>
      <c r="DKT34" s="1"/>
      <c r="DKU34" s="1"/>
      <c r="DKV34" s="1"/>
      <c r="DKW34" s="1"/>
      <c r="DKX34" s="1"/>
      <c r="DKY34" s="1"/>
      <c r="DKZ34" s="1"/>
      <c r="DLA34" s="1"/>
      <c r="DLB34" s="1"/>
      <c r="DLC34" s="1"/>
      <c r="DLD34" s="1"/>
      <c r="DLE34" s="1"/>
      <c r="DLF34" s="1"/>
      <c r="DLG34" s="1"/>
      <c r="DLH34" s="1"/>
      <c r="DLI34" s="1"/>
      <c r="DLJ34" s="1"/>
      <c r="DLK34" s="1"/>
      <c r="DLL34" s="1"/>
      <c r="DLM34" s="1"/>
      <c r="DLN34" s="1"/>
      <c r="DLO34" s="1"/>
      <c r="DLP34" s="1"/>
      <c r="DLQ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L34" s="1"/>
      <c r="DMM34" s="1"/>
      <c r="DMN34" s="1"/>
      <c r="DMO34" s="1"/>
      <c r="DMP34" s="1"/>
      <c r="DMQ34" s="1"/>
      <c r="DMR34" s="1"/>
      <c r="DMS34" s="1"/>
      <c r="DMT34" s="1"/>
      <c r="DMU34" s="1"/>
      <c r="DMV34" s="1"/>
      <c r="DMW34" s="1"/>
      <c r="DMX34" s="1"/>
      <c r="DMY34" s="1"/>
      <c r="DMZ34" s="1"/>
      <c r="DNA34" s="1"/>
      <c r="DNB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T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E34" s="1"/>
      <c r="DOF34" s="1"/>
      <c r="DOG34" s="1"/>
      <c r="DOH34" s="1"/>
      <c r="DOI34" s="1"/>
      <c r="DOJ34" s="1"/>
      <c r="DOK34" s="1"/>
      <c r="DOL34" s="1"/>
      <c r="DOM34" s="1"/>
      <c r="DON34" s="1"/>
      <c r="DOO34" s="1"/>
      <c r="DOP34" s="1"/>
      <c r="DOQ34" s="1"/>
      <c r="DOR34" s="1"/>
      <c r="DOS34" s="1"/>
      <c r="DOT34" s="1"/>
      <c r="DOU34" s="1"/>
      <c r="DOV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G34" s="1"/>
      <c r="DPH34" s="1"/>
      <c r="DPI34" s="1"/>
      <c r="DPJ34" s="1"/>
      <c r="DPK34" s="1"/>
      <c r="DPL34" s="1"/>
      <c r="DPM34" s="1"/>
      <c r="DPN34" s="1"/>
      <c r="DPO34" s="1"/>
      <c r="DPP34" s="1"/>
      <c r="DPQ34" s="1"/>
      <c r="DPR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C34" s="1"/>
      <c r="DQD34" s="1"/>
      <c r="DQE34" s="1"/>
      <c r="DQF34" s="1"/>
      <c r="DQG34" s="1"/>
      <c r="DQH34" s="1"/>
      <c r="DQI34" s="1"/>
      <c r="DQJ34" s="1"/>
      <c r="DQK34" s="1"/>
      <c r="DQL34" s="1"/>
      <c r="DQM34" s="1"/>
      <c r="DQN34" s="1"/>
      <c r="DQO34" s="1"/>
      <c r="DQP34" s="1"/>
      <c r="DQQ34" s="1"/>
      <c r="DQR34" s="1"/>
      <c r="DQS34" s="1"/>
      <c r="DQT34" s="1"/>
      <c r="DQU34" s="1"/>
      <c r="DQV34" s="1"/>
      <c r="DQW34" s="1"/>
      <c r="DQX34" s="1"/>
      <c r="DQY34" s="1"/>
      <c r="DQZ34" s="1"/>
      <c r="DRA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R34" s="1"/>
      <c r="DRS34" s="1"/>
      <c r="DRT34" s="1"/>
      <c r="DRU34" s="1"/>
      <c r="DRV34" s="1"/>
      <c r="DRW34" s="1"/>
      <c r="DRX34" s="1"/>
      <c r="DRY34" s="1"/>
      <c r="DRZ34" s="1"/>
      <c r="DSA34" s="1"/>
      <c r="DSB34" s="1"/>
      <c r="DSC34" s="1"/>
      <c r="DSD34" s="1"/>
      <c r="DSE34" s="1"/>
      <c r="DSF34" s="1"/>
      <c r="DSG34" s="1"/>
      <c r="DSH34" s="1"/>
      <c r="DSI34" s="1"/>
      <c r="DSJ34" s="1"/>
      <c r="DSK34" s="1"/>
      <c r="DSL34" s="1"/>
      <c r="DSM34" s="1"/>
      <c r="DSN34" s="1"/>
      <c r="DSO34" s="1"/>
      <c r="DSP34" s="1"/>
      <c r="DSQ34" s="1"/>
      <c r="DSR34" s="1"/>
      <c r="DSS34" s="1"/>
      <c r="DST34" s="1"/>
      <c r="DSU34" s="1"/>
      <c r="DSV34" s="1"/>
      <c r="DSW34" s="1"/>
      <c r="DSX34" s="1"/>
      <c r="DSY34" s="1"/>
      <c r="DSZ34" s="1"/>
      <c r="DTA34" s="1"/>
      <c r="DTB34" s="1"/>
      <c r="DTC34" s="1"/>
      <c r="DTD34" s="1"/>
      <c r="DTE34" s="1"/>
      <c r="DTF34" s="1"/>
      <c r="DTG34" s="1"/>
      <c r="DTH34" s="1"/>
      <c r="DTI34" s="1"/>
      <c r="DTJ34" s="1"/>
      <c r="DTK34" s="1"/>
      <c r="DTL34" s="1"/>
      <c r="DTM34" s="1"/>
      <c r="DTN34" s="1"/>
      <c r="DTO34" s="1"/>
      <c r="DTP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J34" s="1"/>
      <c r="DUK34" s="1"/>
      <c r="DUL34" s="1"/>
      <c r="DUM34" s="1"/>
      <c r="DUN34" s="1"/>
      <c r="DUO34" s="1"/>
      <c r="DUP34" s="1"/>
      <c r="DUQ34" s="1"/>
      <c r="DUR34" s="1"/>
      <c r="DUS34" s="1"/>
      <c r="DUT34" s="1"/>
      <c r="DUU34" s="1"/>
      <c r="DUV34" s="1"/>
      <c r="DUW34" s="1"/>
      <c r="DUX34" s="1"/>
      <c r="DUY34" s="1"/>
      <c r="DUZ34" s="1"/>
      <c r="DVA34" s="1"/>
      <c r="DVB34" s="1"/>
      <c r="DVC34" s="1"/>
      <c r="DVD34" s="1"/>
      <c r="DVE34" s="1"/>
      <c r="DVF34" s="1"/>
      <c r="DVG34" s="1"/>
      <c r="DVH34" s="1"/>
      <c r="DVI34" s="1"/>
      <c r="DVJ34" s="1"/>
      <c r="DVK34" s="1"/>
      <c r="DVL34" s="1"/>
      <c r="DVM34" s="1"/>
      <c r="DVN34" s="1"/>
      <c r="DVO34" s="1"/>
      <c r="DVP34" s="1"/>
      <c r="DVQ34" s="1"/>
      <c r="DVR34" s="1"/>
      <c r="DVS34" s="1"/>
      <c r="DVT34" s="1"/>
      <c r="DVU34" s="1"/>
      <c r="DVV34" s="1"/>
      <c r="DVW34" s="1"/>
      <c r="DVX34" s="1"/>
      <c r="DVY34" s="1"/>
      <c r="DVZ34" s="1"/>
      <c r="DWA34" s="1"/>
      <c r="DWB34" s="1"/>
      <c r="DWC34" s="1"/>
      <c r="DWD34" s="1"/>
      <c r="DWE34" s="1"/>
      <c r="DWF34" s="1"/>
      <c r="DWG34" s="1"/>
      <c r="DWH34" s="1"/>
      <c r="DWI34" s="1"/>
      <c r="DWJ34" s="1"/>
      <c r="DWK34" s="1"/>
      <c r="DWL34" s="1"/>
      <c r="DWM34" s="1"/>
      <c r="DWN34" s="1"/>
      <c r="DWO34" s="1"/>
      <c r="DWP34" s="1"/>
      <c r="DWQ34" s="1"/>
      <c r="DWR34" s="1"/>
      <c r="DWS34" s="1"/>
      <c r="DWT34" s="1"/>
      <c r="DWU34" s="1"/>
      <c r="DWV34" s="1"/>
      <c r="DWW34" s="1"/>
      <c r="DWX34" s="1"/>
      <c r="DWY34" s="1"/>
      <c r="DWZ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U34" s="1"/>
      <c r="DXV34" s="1"/>
      <c r="DXW34" s="1"/>
      <c r="DXX34" s="1"/>
      <c r="DXY34" s="1"/>
      <c r="DXZ34" s="1"/>
      <c r="DYA34" s="1"/>
      <c r="DYB34" s="1"/>
      <c r="DYC34" s="1"/>
      <c r="DYD34" s="1"/>
      <c r="DYE34" s="1"/>
      <c r="DYF34" s="1"/>
      <c r="DYG34" s="1"/>
      <c r="DYH34" s="1"/>
      <c r="DYI34" s="1"/>
      <c r="DYJ34" s="1"/>
      <c r="DYK34" s="1"/>
      <c r="DYL34" s="1"/>
      <c r="DYM34" s="1"/>
      <c r="DYN34" s="1"/>
      <c r="DYO34" s="1"/>
      <c r="DYP34" s="1"/>
      <c r="DYQ34" s="1"/>
      <c r="DYR34" s="1"/>
      <c r="DYS34" s="1"/>
      <c r="DYT34" s="1"/>
      <c r="DYU34" s="1"/>
      <c r="DYV34" s="1"/>
      <c r="DYW34" s="1"/>
      <c r="DYX34" s="1"/>
      <c r="DYY34" s="1"/>
      <c r="DYZ34" s="1"/>
      <c r="DZA34" s="1"/>
      <c r="DZB34" s="1"/>
      <c r="DZC34" s="1"/>
      <c r="DZD34" s="1"/>
      <c r="DZE34" s="1"/>
      <c r="DZF34" s="1"/>
      <c r="DZG34" s="1"/>
      <c r="DZH34" s="1"/>
      <c r="DZI34" s="1"/>
      <c r="DZJ34" s="1"/>
      <c r="DZK34" s="1"/>
      <c r="DZL34" s="1"/>
      <c r="DZM34" s="1"/>
      <c r="DZN34" s="1"/>
      <c r="DZO34" s="1"/>
      <c r="DZP34" s="1"/>
      <c r="DZQ34" s="1"/>
      <c r="DZR34" s="1"/>
      <c r="DZS34" s="1"/>
      <c r="DZT34" s="1"/>
      <c r="DZU34" s="1"/>
      <c r="DZV34" s="1"/>
      <c r="DZW34" s="1"/>
      <c r="DZX34" s="1"/>
      <c r="DZY34" s="1"/>
      <c r="DZZ34" s="1"/>
      <c r="EAA34" s="1"/>
      <c r="EAB34" s="1"/>
      <c r="EAC34" s="1"/>
      <c r="EAD34" s="1"/>
      <c r="EAE34" s="1"/>
      <c r="EAF34" s="1"/>
      <c r="EAG34" s="1"/>
      <c r="EAH34" s="1"/>
      <c r="EAI34" s="1"/>
      <c r="EAJ34" s="1"/>
      <c r="EAK34" s="1"/>
      <c r="EAL34" s="1"/>
      <c r="EAM34" s="1"/>
      <c r="EAN34" s="1"/>
      <c r="EAO34" s="1"/>
      <c r="EAP34" s="1"/>
      <c r="EAQ34" s="1"/>
      <c r="EAR34" s="1"/>
      <c r="EAS34" s="1"/>
      <c r="EAT34" s="1"/>
      <c r="EAU34" s="1"/>
      <c r="EAV34" s="1"/>
      <c r="EAW34" s="1"/>
      <c r="EAX34" s="1"/>
      <c r="EAY34" s="1"/>
      <c r="EAZ34" s="1"/>
      <c r="EBA34" s="1"/>
      <c r="EBB34" s="1"/>
      <c r="EBC34" s="1"/>
      <c r="EBD34" s="1"/>
      <c r="EBE34" s="1"/>
      <c r="EBF34" s="1"/>
      <c r="EBG34" s="1"/>
      <c r="EBH34" s="1"/>
      <c r="EBI34" s="1"/>
      <c r="EBJ34" s="1"/>
      <c r="EBK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V34" s="1"/>
      <c r="EBW34" s="1"/>
      <c r="EBX34" s="1"/>
      <c r="EBY34" s="1"/>
      <c r="EBZ34" s="1"/>
      <c r="ECA34" s="1"/>
      <c r="ECB34" s="1"/>
      <c r="ECC34" s="1"/>
      <c r="ECD34" s="1"/>
      <c r="ECE34" s="1"/>
      <c r="ECF34" s="1"/>
      <c r="ECG34" s="1"/>
      <c r="ECH34" s="1"/>
      <c r="ECI34" s="1"/>
      <c r="ECJ34" s="1"/>
      <c r="ECK34" s="1"/>
      <c r="ECL34" s="1"/>
      <c r="ECM34" s="1"/>
      <c r="ECN34" s="1"/>
      <c r="ECO34" s="1"/>
      <c r="ECP34" s="1"/>
      <c r="ECQ34" s="1"/>
      <c r="ECR34" s="1"/>
      <c r="ECS34" s="1"/>
      <c r="ECT34" s="1"/>
      <c r="ECU34" s="1"/>
      <c r="ECV34" s="1"/>
      <c r="ECW34" s="1"/>
      <c r="ECX34" s="1"/>
      <c r="ECY34" s="1"/>
      <c r="ECZ34" s="1"/>
      <c r="EDA34" s="1"/>
      <c r="EDB34" s="1"/>
      <c r="EDC34" s="1"/>
      <c r="EDD34" s="1"/>
      <c r="EDE34" s="1"/>
      <c r="EDF34" s="1"/>
      <c r="EDG34" s="1"/>
      <c r="EDH34" s="1"/>
      <c r="EDI34" s="1"/>
      <c r="EDJ34" s="1"/>
      <c r="EDK34" s="1"/>
      <c r="EDL34" s="1"/>
      <c r="EDM34" s="1"/>
      <c r="EDN34" s="1"/>
      <c r="EDO34" s="1"/>
      <c r="EDP34" s="1"/>
      <c r="EDQ34" s="1"/>
      <c r="EDR34" s="1"/>
      <c r="EDS34" s="1"/>
      <c r="EDT34" s="1"/>
      <c r="EDU34" s="1"/>
      <c r="EDV34" s="1"/>
      <c r="EDW34" s="1"/>
      <c r="EDX34" s="1"/>
      <c r="EDY34" s="1"/>
      <c r="EDZ34" s="1"/>
      <c r="EEA34" s="1"/>
      <c r="EEB34" s="1"/>
      <c r="EEC34" s="1"/>
      <c r="EED34" s="1"/>
      <c r="EEE34" s="1"/>
      <c r="EEF34" s="1"/>
      <c r="EEG34" s="1"/>
      <c r="EEH34" s="1"/>
      <c r="EEI34" s="1"/>
      <c r="EEJ34" s="1"/>
      <c r="EEK34" s="1"/>
      <c r="EEL34" s="1"/>
      <c r="EEM34" s="1"/>
      <c r="EEN34" s="1"/>
      <c r="EEO34" s="1"/>
      <c r="EEP34" s="1"/>
      <c r="EEQ34" s="1"/>
      <c r="EER34" s="1"/>
      <c r="EES34" s="1"/>
      <c r="EET34" s="1"/>
      <c r="EEU34" s="1"/>
      <c r="EEV34" s="1"/>
      <c r="EEW34" s="1"/>
      <c r="EEX34" s="1"/>
      <c r="EEY34" s="1"/>
      <c r="EEZ34" s="1"/>
      <c r="EFA34" s="1"/>
      <c r="EFB34" s="1"/>
      <c r="EFC34" s="1"/>
      <c r="EFD34" s="1"/>
      <c r="EFE34" s="1"/>
      <c r="EFF34" s="1"/>
      <c r="EFG34" s="1"/>
      <c r="EFH34" s="1"/>
      <c r="EFI34" s="1"/>
      <c r="EFJ34" s="1"/>
      <c r="EFK34" s="1"/>
      <c r="EFL34" s="1"/>
      <c r="EFM34" s="1"/>
      <c r="EFN34" s="1"/>
      <c r="EFO34" s="1"/>
      <c r="EFP34" s="1"/>
      <c r="EFQ34" s="1"/>
      <c r="EFR34" s="1"/>
      <c r="EFS34" s="1"/>
      <c r="EFT34" s="1"/>
      <c r="EFU34" s="1"/>
      <c r="EFV34" s="1"/>
      <c r="EFW34" s="1"/>
      <c r="EFX34" s="1"/>
      <c r="EFY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X34" s="1"/>
      <c r="EGY34" s="1"/>
      <c r="EGZ34" s="1"/>
      <c r="EHA34" s="1"/>
      <c r="EHB34" s="1"/>
      <c r="EHC34" s="1"/>
      <c r="EHD34" s="1"/>
      <c r="EHE34" s="1"/>
      <c r="EHF34" s="1"/>
      <c r="EHG34" s="1"/>
      <c r="EHH34" s="1"/>
      <c r="EHI34" s="1"/>
      <c r="EHJ34" s="1"/>
      <c r="EHK34" s="1"/>
      <c r="EHL34" s="1"/>
      <c r="EHM34" s="1"/>
      <c r="EHN34" s="1"/>
      <c r="EHO34" s="1"/>
      <c r="EHP34" s="1"/>
      <c r="EHQ34" s="1"/>
      <c r="EHR34" s="1"/>
      <c r="EHS34" s="1"/>
      <c r="EHT34" s="1"/>
      <c r="EHU34" s="1"/>
      <c r="EHV34" s="1"/>
      <c r="EHW34" s="1"/>
      <c r="EHX34" s="1"/>
      <c r="EHY34" s="1"/>
      <c r="EHZ34" s="1"/>
      <c r="EIA34" s="1"/>
      <c r="EIB34" s="1"/>
      <c r="EIC34" s="1"/>
      <c r="EID34" s="1"/>
      <c r="EIE34" s="1"/>
      <c r="EIF34" s="1"/>
      <c r="EIG34" s="1"/>
      <c r="EIH34" s="1"/>
      <c r="EII34" s="1"/>
      <c r="EIJ34" s="1"/>
      <c r="EIK34" s="1"/>
      <c r="EIL34" s="1"/>
      <c r="EIM34" s="1"/>
      <c r="EIN34" s="1"/>
      <c r="EIO34" s="1"/>
      <c r="EIP34" s="1"/>
      <c r="EIQ34" s="1"/>
      <c r="EIR34" s="1"/>
      <c r="EIS34" s="1"/>
      <c r="EIT34" s="1"/>
      <c r="EIU34" s="1"/>
      <c r="EIV34" s="1"/>
      <c r="EIW34" s="1"/>
      <c r="EIX34" s="1"/>
      <c r="EIY34" s="1"/>
      <c r="EIZ34" s="1"/>
      <c r="EJA34" s="1"/>
      <c r="EJB34" s="1"/>
      <c r="EJC34" s="1"/>
      <c r="EJD34" s="1"/>
      <c r="EJE34" s="1"/>
      <c r="EJF34" s="1"/>
      <c r="EJG34" s="1"/>
      <c r="EJH34" s="1"/>
      <c r="EJI34" s="1"/>
      <c r="EJJ34" s="1"/>
      <c r="EJK34" s="1"/>
      <c r="EJL34" s="1"/>
      <c r="EJM34" s="1"/>
      <c r="EJN34" s="1"/>
      <c r="EJO34" s="1"/>
      <c r="EJP34" s="1"/>
      <c r="EJQ34" s="1"/>
      <c r="EJR34" s="1"/>
      <c r="EJS34" s="1"/>
      <c r="EJT34" s="1"/>
      <c r="EJU34" s="1"/>
      <c r="EJV34" s="1"/>
      <c r="EJW34" s="1"/>
      <c r="EJX34" s="1"/>
      <c r="EJY34" s="1"/>
      <c r="EJZ34" s="1"/>
      <c r="EKA34" s="1"/>
      <c r="EKB34" s="1"/>
      <c r="EKC34" s="1"/>
      <c r="EKD34" s="1"/>
      <c r="EKE34" s="1"/>
      <c r="EKF34" s="1"/>
      <c r="EKG34" s="1"/>
      <c r="EKH34" s="1"/>
      <c r="EKI34" s="1"/>
      <c r="EKJ34" s="1"/>
      <c r="EKK34" s="1"/>
      <c r="EKL34" s="1"/>
      <c r="EKM34" s="1"/>
      <c r="EKN34" s="1"/>
      <c r="EKO34" s="1"/>
      <c r="EKP34" s="1"/>
      <c r="EKQ34" s="1"/>
      <c r="EKR34" s="1"/>
      <c r="EKS34" s="1"/>
      <c r="EKT34" s="1"/>
      <c r="EKU34" s="1"/>
      <c r="EKV34" s="1"/>
      <c r="EKW34" s="1"/>
      <c r="EKX34" s="1"/>
      <c r="EKY34" s="1"/>
      <c r="EKZ34" s="1"/>
      <c r="ELA34" s="1"/>
      <c r="ELB34" s="1"/>
      <c r="ELC34" s="1"/>
      <c r="ELD34" s="1"/>
      <c r="ELE34" s="1"/>
      <c r="ELF34" s="1"/>
      <c r="ELG34" s="1"/>
      <c r="ELH34" s="1"/>
      <c r="ELI34" s="1"/>
      <c r="ELJ34" s="1"/>
      <c r="ELK34" s="1"/>
      <c r="ELL34" s="1"/>
      <c r="ELM34" s="1"/>
      <c r="ELN34" s="1"/>
      <c r="ELO34" s="1"/>
      <c r="ELP34" s="1"/>
      <c r="ELQ34" s="1"/>
      <c r="ELR34" s="1"/>
      <c r="ELS34" s="1"/>
      <c r="ELT34" s="1"/>
      <c r="ELU34" s="1"/>
      <c r="ELV34" s="1"/>
      <c r="ELW34" s="1"/>
      <c r="ELX34" s="1"/>
      <c r="ELY34" s="1"/>
      <c r="ELZ34" s="1"/>
      <c r="EMA34" s="1"/>
      <c r="EMB34" s="1"/>
      <c r="EMC34" s="1"/>
      <c r="EMD34" s="1"/>
      <c r="EME34" s="1"/>
      <c r="EMF34" s="1"/>
      <c r="EMG34" s="1"/>
      <c r="EMH34" s="1"/>
      <c r="EMI34" s="1"/>
      <c r="EMJ34" s="1"/>
      <c r="EMK34" s="1"/>
      <c r="EML34" s="1"/>
      <c r="EMM34" s="1"/>
      <c r="EMN34" s="1"/>
      <c r="EMO34" s="1"/>
      <c r="EMP34" s="1"/>
      <c r="EMQ34" s="1"/>
      <c r="EMR34" s="1"/>
      <c r="EMS34" s="1"/>
      <c r="EMT34" s="1"/>
      <c r="EMU34" s="1"/>
      <c r="EMV34" s="1"/>
      <c r="EMW34" s="1"/>
      <c r="EMX34" s="1"/>
      <c r="EMY34" s="1"/>
      <c r="EMZ34" s="1"/>
      <c r="ENA34" s="1"/>
      <c r="ENB34" s="1"/>
      <c r="ENC34" s="1"/>
      <c r="END34" s="1"/>
      <c r="ENE34" s="1"/>
      <c r="ENF34" s="1"/>
      <c r="ENG34" s="1"/>
      <c r="ENH34" s="1"/>
      <c r="ENI34" s="1"/>
      <c r="ENJ34" s="1"/>
      <c r="ENK34" s="1"/>
      <c r="ENL34" s="1"/>
      <c r="ENM34" s="1"/>
      <c r="ENN34" s="1"/>
      <c r="ENO34" s="1"/>
      <c r="ENP34" s="1"/>
      <c r="ENQ34" s="1"/>
      <c r="ENR34" s="1"/>
      <c r="ENS34" s="1"/>
      <c r="ENT34" s="1"/>
      <c r="ENU34" s="1"/>
      <c r="ENV34" s="1"/>
      <c r="ENW34" s="1"/>
      <c r="ENX34" s="1"/>
      <c r="ENY34" s="1"/>
      <c r="ENZ34" s="1"/>
      <c r="EOA34" s="1"/>
      <c r="EOB34" s="1"/>
      <c r="EOC34" s="1"/>
      <c r="EOD34" s="1"/>
      <c r="EOE34" s="1"/>
      <c r="EOF34" s="1"/>
      <c r="EOG34" s="1"/>
      <c r="EOH34" s="1"/>
      <c r="EOI34" s="1"/>
      <c r="EOJ34" s="1"/>
      <c r="EOK34" s="1"/>
      <c r="EOL34" s="1"/>
      <c r="EOM34" s="1"/>
      <c r="EON34" s="1"/>
      <c r="EOO34" s="1"/>
      <c r="EOP34" s="1"/>
      <c r="EOQ34" s="1"/>
      <c r="EOR34" s="1"/>
      <c r="EOS34" s="1"/>
      <c r="EOT34" s="1"/>
      <c r="EOU34" s="1"/>
      <c r="EOV34" s="1"/>
      <c r="EOW34" s="1"/>
      <c r="EOX34" s="1"/>
      <c r="EOY34" s="1"/>
      <c r="EOZ34" s="1"/>
      <c r="EPA34" s="1"/>
      <c r="EPB34" s="1"/>
      <c r="EPC34" s="1"/>
      <c r="EPD34" s="1"/>
      <c r="EPE34" s="1"/>
      <c r="EPF34" s="1"/>
      <c r="EPG34" s="1"/>
      <c r="EPH34" s="1"/>
      <c r="EPI34" s="1"/>
      <c r="EPJ34" s="1"/>
      <c r="EPK34" s="1"/>
      <c r="EPL34" s="1"/>
      <c r="EPM34" s="1"/>
      <c r="EPN34" s="1"/>
      <c r="EPO34" s="1"/>
      <c r="EPP34" s="1"/>
      <c r="EPQ34" s="1"/>
      <c r="EPR34" s="1"/>
      <c r="EPS34" s="1"/>
      <c r="EPT34" s="1"/>
      <c r="EPU34" s="1"/>
      <c r="EPV34" s="1"/>
      <c r="EPW34" s="1"/>
      <c r="EPX34" s="1"/>
      <c r="EPY34" s="1"/>
      <c r="EPZ34" s="1"/>
      <c r="EQA34" s="1"/>
      <c r="EQB34" s="1"/>
      <c r="EQC34" s="1"/>
      <c r="EQD34" s="1"/>
      <c r="EQE34" s="1"/>
      <c r="EQF34" s="1"/>
      <c r="EQG34" s="1"/>
      <c r="EQH34" s="1"/>
      <c r="EQI34" s="1"/>
      <c r="EQJ34" s="1"/>
      <c r="EQK34" s="1"/>
      <c r="EQL34" s="1"/>
      <c r="EQM34" s="1"/>
      <c r="EQN34" s="1"/>
      <c r="EQO34" s="1"/>
      <c r="EQP34" s="1"/>
      <c r="EQQ34" s="1"/>
      <c r="EQR34" s="1"/>
      <c r="EQS34" s="1"/>
      <c r="EQT34" s="1"/>
      <c r="EQU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L34" s="1"/>
      <c r="ERM34" s="1"/>
      <c r="ERN34" s="1"/>
      <c r="ERO34" s="1"/>
      <c r="ERP34" s="1"/>
      <c r="ERQ34" s="1"/>
      <c r="ERR34" s="1"/>
      <c r="ERS34" s="1"/>
      <c r="ERT34" s="1"/>
      <c r="ERU34" s="1"/>
      <c r="ERV34" s="1"/>
      <c r="ERW34" s="1"/>
      <c r="ERX34" s="1"/>
      <c r="ERY34" s="1"/>
      <c r="ERZ34" s="1"/>
      <c r="ESA34" s="1"/>
      <c r="ESB34" s="1"/>
      <c r="ESC34" s="1"/>
      <c r="ESD34" s="1"/>
      <c r="ESE34" s="1"/>
      <c r="ESF34" s="1"/>
      <c r="ESG34" s="1"/>
      <c r="ESH34" s="1"/>
      <c r="ESI34" s="1"/>
      <c r="ESJ34" s="1"/>
      <c r="ESK34" s="1"/>
      <c r="ESL34" s="1"/>
      <c r="ESM34" s="1"/>
      <c r="ESN34" s="1"/>
      <c r="ESO34" s="1"/>
      <c r="ESP34" s="1"/>
      <c r="ESQ34" s="1"/>
      <c r="ESR34" s="1"/>
      <c r="ESS34" s="1"/>
      <c r="EST34" s="1"/>
      <c r="ESU34" s="1"/>
      <c r="ESV34" s="1"/>
      <c r="ESW34" s="1"/>
      <c r="ESX34" s="1"/>
      <c r="ESY34" s="1"/>
      <c r="ESZ34" s="1"/>
      <c r="ETA34" s="1"/>
      <c r="ETB34" s="1"/>
      <c r="ETC34" s="1"/>
      <c r="ETD34" s="1"/>
      <c r="ETE34" s="1"/>
      <c r="ETF34" s="1"/>
      <c r="ETG34" s="1"/>
      <c r="ETH34" s="1"/>
      <c r="ETI34" s="1"/>
      <c r="ETJ34" s="1"/>
      <c r="ETK34" s="1"/>
      <c r="ETL34" s="1"/>
      <c r="ETM34" s="1"/>
      <c r="ETN34" s="1"/>
      <c r="ETO34" s="1"/>
      <c r="ETP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B34" s="1"/>
      <c r="EUC34" s="1"/>
      <c r="EUD34" s="1"/>
      <c r="EUE34" s="1"/>
      <c r="EUF34" s="1"/>
      <c r="EUG34" s="1"/>
      <c r="EUH34" s="1"/>
      <c r="EUI34" s="1"/>
      <c r="EUJ34" s="1"/>
      <c r="EUK34" s="1"/>
      <c r="EUL34" s="1"/>
      <c r="EUM34" s="1"/>
      <c r="EUN34" s="1"/>
      <c r="EUO34" s="1"/>
      <c r="EUP34" s="1"/>
      <c r="EUQ34" s="1"/>
      <c r="EUR34" s="1"/>
      <c r="EUS34" s="1"/>
      <c r="EUT34" s="1"/>
      <c r="EUU34" s="1"/>
      <c r="EUV34" s="1"/>
      <c r="EUW34" s="1"/>
      <c r="EUX34" s="1"/>
      <c r="EUY34" s="1"/>
      <c r="EUZ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VY34" s="1"/>
      <c r="EVZ34" s="1"/>
      <c r="EWA34" s="1"/>
      <c r="EWB34" s="1"/>
      <c r="EWC34" s="1"/>
      <c r="EWD34" s="1"/>
      <c r="EWE34" s="1"/>
      <c r="EWF34" s="1"/>
      <c r="EWG34" s="1"/>
      <c r="EWH34" s="1"/>
      <c r="EWI34" s="1"/>
      <c r="EWJ34" s="1"/>
      <c r="EWK34" s="1"/>
      <c r="EWL34" s="1"/>
      <c r="EWM34" s="1"/>
      <c r="EWN34" s="1"/>
      <c r="EWO34" s="1"/>
      <c r="EWP34" s="1"/>
      <c r="EWQ34" s="1"/>
      <c r="EWR34" s="1"/>
      <c r="EWS34" s="1"/>
      <c r="EWT34" s="1"/>
      <c r="EWU34" s="1"/>
      <c r="EWV34" s="1"/>
      <c r="EWW34" s="1"/>
      <c r="EWX34" s="1"/>
      <c r="EWY34" s="1"/>
      <c r="EWZ34" s="1"/>
      <c r="EXA34" s="1"/>
      <c r="EXB34" s="1"/>
      <c r="EXC34" s="1"/>
      <c r="EXD34" s="1"/>
      <c r="EXE34" s="1"/>
      <c r="EXF34" s="1"/>
      <c r="EXG34" s="1"/>
      <c r="EXH34" s="1"/>
      <c r="EXI34" s="1"/>
      <c r="EXJ34" s="1"/>
      <c r="EXK34" s="1"/>
      <c r="EXL34" s="1"/>
      <c r="EXM34" s="1"/>
      <c r="EXN34" s="1"/>
      <c r="EXO34" s="1"/>
      <c r="EXP34" s="1"/>
      <c r="EXQ34" s="1"/>
      <c r="EXR34" s="1"/>
      <c r="EXS34" s="1"/>
      <c r="EXT34" s="1"/>
      <c r="EXU34" s="1"/>
      <c r="EXV34" s="1"/>
      <c r="EXW34" s="1"/>
      <c r="EXX34" s="1"/>
      <c r="EXY34" s="1"/>
      <c r="EXZ34" s="1"/>
      <c r="EYA34" s="1"/>
      <c r="EYB34" s="1"/>
      <c r="EYC34" s="1"/>
      <c r="EYD34" s="1"/>
      <c r="EYE34" s="1"/>
      <c r="EYF34" s="1"/>
      <c r="EYG34" s="1"/>
      <c r="EYH34" s="1"/>
      <c r="EYI34" s="1"/>
      <c r="EYJ34" s="1"/>
      <c r="EYK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D34" s="1"/>
      <c r="EZE34" s="1"/>
      <c r="EZF34" s="1"/>
      <c r="EZG34" s="1"/>
      <c r="EZH34" s="1"/>
      <c r="EZI34" s="1"/>
      <c r="EZJ34" s="1"/>
      <c r="EZK34" s="1"/>
      <c r="EZL34" s="1"/>
      <c r="EZM34" s="1"/>
      <c r="EZN34" s="1"/>
      <c r="EZO34" s="1"/>
      <c r="EZP34" s="1"/>
      <c r="EZQ34" s="1"/>
      <c r="EZR34" s="1"/>
      <c r="EZS34" s="1"/>
      <c r="EZT34" s="1"/>
      <c r="EZU34" s="1"/>
      <c r="EZV34" s="1"/>
      <c r="EZW34" s="1"/>
      <c r="EZX34" s="1"/>
      <c r="EZY34" s="1"/>
      <c r="EZZ34" s="1"/>
      <c r="FAA34" s="1"/>
      <c r="FAB34" s="1"/>
      <c r="FAC34" s="1"/>
      <c r="FAD34" s="1"/>
      <c r="FAE34" s="1"/>
      <c r="FAF34" s="1"/>
      <c r="FAG34" s="1"/>
      <c r="FAH34" s="1"/>
      <c r="FAI34" s="1"/>
      <c r="FAJ34" s="1"/>
      <c r="FAK34" s="1"/>
      <c r="FAL34" s="1"/>
      <c r="FAM34" s="1"/>
      <c r="FAN34" s="1"/>
      <c r="FAO34" s="1"/>
      <c r="FAP34" s="1"/>
      <c r="FAQ34" s="1"/>
      <c r="FAR34" s="1"/>
      <c r="FAS34" s="1"/>
      <c r="FAT34" s="1"/>
      <c r="FAU34" s="1"/>
      <c r="FAV34" s="1"/>
      <c r="FAW34" s="1"/>
      <c r="FAX34" s="1"/>
      <c r="FAY34" s="1"/>
      <c r="FAZ34" s="1"/>
      <c r="FBA34" s="1"/>
      <c r="FBB34" s="1"/>
      <c r="FBC34" s="1"/>
      <c r="FBD34" s="1"/>
      <c r="FBE34" s="1"/>
      <c r="FBF34" s="1"/>
      <c r="FBG34" s="1"/>
      <c r="FBH34" s="1"/>
      <c r="FBI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BT34" s="1"/>
      <c r="FBU34" s="1"/>
      <c r="FBV34" s="1"/>
      <c r="FBW34" s="1"/>
      <c r="FBX34" s="1"/>
      <c r="FBY34" s="1"/>
      <c r="FBZ34" s="1"/>
      <c r="FCA34" s="1"/>
      <c r="FCB34" s="1"/>
      <c r="FCC34" s="1"/>
      <c r="FCD34" s="1"/>
      <c r="FCE34" s="1"/>
      <c r="FCF34" s="1"/>
      <c r="FCG34" s="1"/>
      <c r="FCH34" s="1"/>
      <c r="FCI34" s="1"/>
      <c r="FCJ34" s="1"/>
      <c r="FCK34" s="1"/>
      <c r="FCL34" s="1"/>
      <c r="FCM34" s="1"/>
      <c r="FCN34" s="1"/>
      <c r="FCO34" s="1"/>
      <c r="FCP34" s="1"/>
      <c r="FCQ34" s="1"/>
      <c r="FCR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K34" s="1"/>
      <c r="FDL34" s="1"/>
      <c r="FDM34" s="1"/>
      <c r="FDN34" s="1"/>
      <c r="FDO34" s="1"/>
      <c r="FDP34" s="1"/>
      <c r="FDQ34" s="1"/>
      <c r="FDR34" s="1"/>
      <c r="FDS34" s="1"/>
      <c r="FDT34" s="1"/>
      <c r="FDU34" s="1"/>
      <c r="FDV34" s="1"/>
      <c r="FDW34" s="1"/>
      <c r="FDX34" s="1"/>
      <c r="FDY34" s="1"/>
      <c r="FDZ34" s="1"/>
      <c r="FEA34" s="1"/>
      <c r="FEB34" s="1"/>
      <c r="FEC34" s="1"/>
      <c r="FED34" s="1"/>
      <c r="FEE34" s="1"/>
      <c r="FEF34" s="1"/>
      <c r="FEG34" s="1"/>
      <c r="FEH34" s="1"/>
      <c r="FEI34" s="1"/>
      <c r="FEJ34" s="1"/>
      <c r="FEK34" s="1"/>
      <c r="FEL34" s="1"/>
      <c r="FEM34" s="1"/>
      <c r="FEN34" s="1"/>
      <c r="FEO34" s="1"/>
      <c r="FEP34" s="1"/>
      <c r="FEQ34" s="1"/>
      <c r="FER34" s="1"/>
      <c r="FES34" s="1"/>
      <c r="FET34" s="1"/>
      <c r="FEU34" s="1"/>
      <c r="FEV34" s="1"/>
      <c r="FEW34" s="1"/>
      <c r="FEX34" s="1"/>
      <c r="FEY34" s="1"/>
      <c r="FEZ34" s="1"/>
      <c r="FFA34" s="1"/>
      <c r="FFB34" s="1"/>
      <c r="FFC34" s="1"/>
      <c r="FFD34" s="1"/>
      <c r="FFE34" s="1"/>
      <c r="FFF34" s="1"/>
      <c r="FFG34" s="1"/>
      <c r="FFH34" s="1"/>
      <c r="FFI34" s="1"/>
      <c r="FFJ34" s="1"/>
      <c r="FFK34" s="1"/>
      <c r="FFL34" s="1"/>
      <c r="FFM34" s="1"/>
      <c r="FFN34" s="1"/>
      <c r="FFO34" s="1"/>
      <c r="FFP34" s="1"/>
      <c r="FFQ34" s="1"/>
      <c r="FFR34" s="1"/>
      <c r="FFS34" s="1"/>
      <c r="FFT34" s="1"/>
      <c r="FFU34" s="1"/>
      <c r="FFV34" s="1"/>
      <c r="FFW34" s="1"/>
      <c r="FFX34" s="1"/>
      <c r="FFY34" s="1"/>
      <c r="FFZ34" s="1"/>
      <c r="FGA34" s="1"/>
      <c r="FGB34" s="1"/>
      <c r="FGC34" s="1"/>
      <c r="FGD34" s="1"/>
      <c r="FGE34" s="1"/>
      <c r="FGF34" s="1"/>
      <c r="FGG34" s="1"/>
      <c r="FGH34" s="1"/>
      <c r="FGI34" s="1"/>
      <c r="FGJ34" s="1"/>
      <c r="FGK34" s="1"/>
      <c r="FGL34" s="1"/>
      <c r="FGM34" s="1"/>
      <c r="FGN34" s="1"/>
      <c r="FGO34" s="1"/>
      <c r="FGP34" s="1"/>
      <c r="FGQ34" s="1"/>
      <c r="FGR34" s="1"/>
      <c r="FGS34" s="1"/>
      <c r="FGT34" s="1"/>
      <c r="FGU34" s="1"/>
      <c r="FGV34" s="1"/>
      <c r="FGW34" s="1"/>
      <c r="FGX34" s="1"/>
      <c r="FGY34" s="1"/>
      <c r="FGZ34" s="1"/>
      <c r="FHA34" s="1"/>
      <c r="FHB34" s="1"/>
      <c r="FHC34" s="1"/>
      <c r="FHD34" s="1"/>
      <c r="FHE34" s="1"/>
      <c r="FHF34" s="1"/>
      <c r="FHG34" s="1"/>
      <c r="FHH34" s="1"/>
      <c r="FHI34" s="1"/>
      <c r="FHJ34" s="1"/>
      <c r="FHK34" s="1"/>
      <c r="FHL34" s="1"/>
      <c r="FHM34" s="1"/>
      <c r="FHN34" s="1"/>
      <c r="FHO34" s="1"/>
      <c r="FHP34" s="1"/>
      <c r="FHQ34" s="1"/>
      <c r="FHR34" s="1"/>
      <c r="FHS34" s="1"/>
      <c r="FHT34" s="1"/>
      <c r="FHU34" s="1"/>
      <c r="FHV34" s="1"/>
      <c r="FHW34" s="1"/>
      <c r="FHX34" s="1"/>
      <c r="FHY34" s="1"/>
      <c r="FHZ34" s="1"/>
      <c r="FIA34" s="1"/>
      <c r="FIB34" s="1"/>
      <c r="FIC34" s="1"/>
      <c r="FID34" s="1"/>
      <c r="FIE34" s="1"/>
      <c r="FIF34" s="1"/>
      <c r="FIG34" s="1"/>
      <c r="FIH34" s="1"/>
      <c r="FII34" s="1"/>
      <c r="FIJ34" s="1"/>
      <c r="FIK34" s="1"/>
      <c r="FIL34" s="1"/>
      <c r="FIM34" s="1"/>
      <c r="FIN34" s="1"/>
      <c r="FIO34" s="1"/>
      <c r="FIP34" s="1"/>
      <c r="FIQ34" s="1"/>
      <c r="FIR34" s="1"/>
      <c r="FIS34" s="1"/>
      <c r="FIT34" s="1"/>
      <c r="FIU34" s="1"/>
      <c r="FIV34" s="1"/>
      <c r="FIW34" s="1"/>
      <c r="FIX34" s="1"/>
      <c r="FIY34" s="1"/>
      <c r="FIZ34" s="1"/>
      <c r="FJA34" s="1"/>
      <c r="FJB34" s="1"/>
      <c r="FJC34" s="1"/>
      <c r="FJD34" s="1"/>
      <c r="FJE34" s="1"/>
      <c r="FJF34" s="1"/>
      <c r="FJG34" s="1"/>
      <c r="FJH34" s="1"/>
      <c r="FJI34" s="1"/>
      <c r="FJJ34" s="1"/>
      <c r="FJK34" s="1"/>
      <c r="FJL34" s="1"/>
      <c r="FJM34" s="1"/>
      <c r="FJN34" s="1"/>
      <c r="FJO34" s="1"/>
      <c r="FJP34" s="1"/>
      <c r="FJQ34" s="1"/>
      <c r="FJR34" s="1"/>
      <c r="FJS34" s="1"/>
      <c r="FJT34" s="1"/>
      <c r="FJU34" s="1"/>
      <c r="FJV34" s="1"/>
      <c r="FJW34" s="1"/>
      <c r="FJX34" s="1"/>
      <c r="FJY34" s="1"/>
      <c r="FJZ34" s="1"/>
      <c r="FKA34" s="1"/>
      <c r="FKB34" s="1"/>
      <c r="FKC34" s="1"/>
      <c r="FKD34" s="1"/>
      <c r="FKE34" s="1"/>
      <c r="FKF34" s="1"/>
      <c r="FKG34" s="1"/>
      <c r="FKH34" s="1"/>
      <c r="FKI34" s="1"/>
      <c r="FKJ34" s="1"/>
      <c r="FKK34" s="1"/>
      <c r="FKL34" s="1"/>
      <c r="FKM34" s="1"/>
      <c r="FKN34" s="1"/>
      <c r="FKO34" s="1"/>
      <c r="FKP34" s="1"/>
      <c r="FKQ34" s="1"/>
      <c r="FKR34" s="1"/>
      <c r="FKS34" s="1"/>
      <c r="FKT34" s="1"/>
      <c r="FKU34" s="1"/>
      <c r="FKV34" s="1"/>
      <c r="FKW34" s="1"/>
      <c r="FKX34" s="1"/>
      <c r="FKY34" s="1"/>
      <c r="FKZ34" s="1"/>
      <c r="FLA34" s="1"/>
      <c r="FLB34" s="1"/>
      <c r="FLC34" s="1"/>
      <c r="FLD34" s="1"/>
      <c r="FLE34" s="1"/>
      <c r="FLF34" s="1"/>
      <c r="FLG34" s="1"/>
      <c r="FLH34" s="1"/>
      <c r="FLI34" s="1"/>
      <c r="FLJ34" s="1"/>
      <c r="FLK34" s="1"/>
      <c r="FLL34" s="1"/>
      <c r="FLM34" s="1"/>
      <c r="FLN34" s="1"/>
      <c r="FLO34" s="1"/>
      <c r="FLP34" s="1"/>
      <c r="FLQ34" s="1"/>
      <c r="FLR34" s="1"/>
      <c r="FLS34" s="1"/>
      <c r="FLT34" s="1"/>
      <c r="FLU34" s="1"/>
      <c r="FLV34" s="1"/>
      <c r="FLW34" s="1"/>
      <c r="FLX34" s="1"/>
      <c r="FLY34" s="1"/>
      <c r="FLZ34" s="1"/>
      <c r="FMA34" s="1"/>
      <c r="FMB34" s="1"/>
      <c r="FMC34" s="1"/>
      <c r="FMD34" s="1"/>
      <c r="FME34" s="1"/>
      <c r="FMF34" s="1"/>
      <c r="FMG34" s="1"/>
      <c r="FMH34" s="1"/>
      <c r="FMI34" s="1"/>
      <c r="FMJ34" s="1"/>
      <c r="FMK34" s="1"/>
      <c r="FML34" s="1"/>
      <c r="FMM34" s="1"/>
      <c r="FMN34" s="1"/>
      <c r="FMO34" s="1"/>
      <c r="FMP34" s="1"/>
      <c r="FMQ34" s="1"/>
      <c r="FMR34" s="1"/>
      <c r="FMS34" s="1"/>
      <c r="FMT34" s="1"/>
      <c r="FMU34" s="1"/>
      <c r="FMV34" s="1"/>
      <c r="FMW34" s="1"/>
      <c r="FMX34" s="1"/>
      <c r="FMY34" s="1"/>
      <c r="FMZ34" s="1"/>
      <c r="FNA34" s="1"/>
      <c r="FNB34" s="1"/>
      <c r="FNC34" s="1"/>
      <c r="FND34" s="1"/>
      <c r="FNE34" s="1"/>
      <c r="FNF34" s="1"/>
      <c r="FNG34" s="1"/>
      <c r="FNH34" s="1"/>
      <c r="FNI34" s="1"/>
      <c r="FNJ34" s="1"/>
      <c r="FNK34" s="1"/>
      <c r="FNL34" s="1"/>
      <c r="FNM34" s="1"/>
      <c r="FNN34" s="1"/>
      <c r="FNO34" s="1"/>
      <c r="FNP34" s="1"/>
      <c r="FNQ34" s="1"/>
      <c r="FNR34" s="1"/>
      <c r="FNS34" s="1"/>
      <c r="FNT34" s="1"/>
      <c r="FNU34" s="1"/>
      <c r="FNV34" s="1"/>
      <c r="FNW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H34" s="1"/>
      <c r="FOI34" s="1"/>
      <c r="FOJ34" s="1"/>
      <c r="FOK34" s="1"/>
      <c r="FOL34" s="1"/>
      <c r="FOM34" s="1"/>
      <c r="FON34" s="1"/>
      <c r="FOO34" s="1"/>
      <c r="FOP34" s="1"/>
      <c r="FOQ34" s="1"/>
      <c r="FOR34" s="1"/>
      <c r="FOS34" s="1"/>
      <c r="FOT34" s="1"/>
      <c r="FOU34" s="1"/>
      <c r="FOV34" s="1"/>
      <c r="FOW34" s="1"/>
      <c r="FOX34" s="1"/>
      <c r="FOY34" s="1"/>
      <c r="FOZ34" s="1"/>
      <c r="FPA34" s="1"/>
      <c r="FPB34" s="1"/>
      <c r="FPC34" s="1"/>
      <c r="FPD34" s="1"/>
      <c r="FPE34" s="1"/>
      <c r="FPF34" s="1"/>
      <c r="FPG34" s="1"/>
      <c r="FPH34" s="1"/>
      <c r="FPI34" s="1"/>
      <c r="FPJ34" s="1"/>
      <c r="FPK34" s="1"/>
      <c r="FPL34" s="1"/>
      <c r="FPM34" s="1"/>
      <c r="FPN34" s="1"/>
      <c r="FPO34" s="1"/>
      <c r="FPP34" s="1"/>
      <c r="FPQ34" s="1"/>
      <c r="FPR34" s="1"/>
      <c r="FPS34" s="1"/>
      <c r="FPT34" s="1"/>
      <c r="FPU34" s="1"/>
      <c r="FPV34" s="1"/>
      <c r="FPW34" s="1"/>
      <c r="FPX34" s="1"/>
      <c r="FPY34" s="1"/>
      <c r="FPZ34" s="1"/>
      <c r="FQA34" s="1"/>
      <c r="FQB34" s="1"/>
      <c r="FQC34" s="1"/>
      <c r="FQD34" s="1"/>
      <c r="FQE34" s="1"/>
      <c r="FQF34" s="1"/>
      <c r="FQG34" s="1"/>
      <c r="FQH34" s="1"/>
      <c r="FQI34" s="1"/>
      <c r="FQJ34" s="1"/>
      <c r="FQK34" s="1"/>
      <c r="FQL34" s="1"/>
      <c r="FQM34" s="1"/>
      <c r="FQN34" s="1"/>
      <c r="FQO34" s="1"/>
      <c r="FQP34" s="1"/>
      <c r="FQQ34" s="1"/>
      <c r="FQR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C34" s="1"/>
      <c r="FRD34" s="1"/>
      <c r="FRE34" s="1"/>
      <c r="FRF34" s="1"/>
      <c r="FRG34" s="1"/>
      <c r="FRH34" s="1"/>
      <c r="FRI34" s="1"/>
      <c r="FRJ34" s="1"/>
      <c r="FRK34" s="1"/>
      <c r="FRL34" s="1"/>
      <c r="FRM34" s="1"/>
      <c r="FRN34" s="1"/>
      <c r="FRO34" s="1"/>
      <c r="FRP34" s="1"/>
      <c r="FRQ34" s="1"/>
      <c r="FRR34" s="1"/>
      <c r="FRS34" s="1"/>
      <c r="FRT34" s="1"/>
      <c r="FRU34" s="1"/>
      <c r="FRV34" s="1"/>
      <c r="FRW34" s="1"/>
      <c r="FRX34" s="1"/>
      <c r="FRY34" s="1"/>
      <c r="FRZ34" s="1"/>
      <c r="FSA34" s="1"/>
      <c r="FSB34" s="1"/>
      <c r="FSC34" s="1"/>
      <c r="FSD34" s="1"/>
      <c r="FSE34" s="1"/>
      <c r="FSF34" s="1"/>
      <c r="FSG34" s="1"/>
      <c r="FSH34" s="1"/>
      <c r="FSI34" s="1"/>
      <c r="FSJ34" s="1"/>
      <c r="FSK34" s="1"/>
      <c r="FSL34" s="1"/>
      <c r="FSM34" s="1"/>
      <c r="FSN34" s="1"/>
      <c r="FSO34" s="1"/>
      <c r="FSP34" s="1"/>
      <c r="FSQ34" s="1"/>
      <c r="FSR34" s="1"/>
      <c r="FSS34" s="1"/>
      <c r="FST34" s="1"/>
      <c r="FSU34" s="1"/>
      <c r="FSV34" s="1"/>
      <c r="FSW34" s="1"/>
      <c r="FSX34" s="1"/>
      <c r="FSY34" s="1"/>
      <c r="FSZ34" s="1"/>
      <c r="FTA34" s="1"/>
      <c r="FTB34" s="1"/>
      <c r="FTC34" s="1"/>
      <c r="FTD34" s="1"/>
      <c r="FTE34" s="1"/>
      <c r="FTF34" s="1"/>
      <c r="FTG34" s="1"/>
      <c r="FTH34" s="1"/>
      <c r="FTI34" s="1"/>
      <c r="FTJ34" s="1"/>
      <c r="FTK34" s="1"/>
      <c r="FTL34" s="1"/>
      <c r="FTM34" s="1"/>
      <c r="FTN34" s="1"/>
      <c r="FTO34" s="1"/>
      <c r="FTP34" s="1"/>
      <c r="FTQ34" s="1"/>
      <c r="FTR34" s="1"/>
      <c r="FTS34" s="1"/>
      <c r="FTT34" s="1"/>
      <c r="FTU34" s="1"/>
      <c r="FTV34" s="1"/>
      <c r="FTW34" s="1"/>
      <c r="FTX34" s="1"/>
      <c r="FTY34" s="1"/>
      <c r="FTZ34" s="1"/>
      <c r="FUA34" s="1"/>
      <c r="FUB34" s="1"/>
      <c r="FUC34" s="1"/>
      <c r="FUD34" s="1"/>
      <c r="FUE34" s="1"/>
      <c r="FUF34" s="1"/>
      <c r="FUG34" s="1"/>
      <c r="FUH34" s="1"/>
      <c r="FUI34" s="1"/>
      <c r="FUJ34" s="1"/>
      <c r="FUK34" s="1"/>
      <c r="FUL34" s="1"/>
      <c r="FUM34" s="1"/>
      <c r="FUN34" s="1"/>
      <c r="FUO34" s="1"/>
      <c r="FUP34" s="1"/>
      <c r="FUQ34" s="1"/>
      <c r="FUR34" s="1"/>
      <c r="FUS34" s="1"/>
      <c r="FUT34" s="1"/>
      <c r="FUU34" s="1"/>
      <c r="FUV34" s="1"/>
      <c r="FUW34" s="1"/>
      <c r="FUX34" s="1"/>
      <c r="FUY34" s="1"/>
      <c r="FUZ34" s="1"/>
      <c r="FVA34" s="1"/>
      <c r="FVB34" s="1"/>
      <c r="FVC34" s="1"/>
      <c r="FVD34" s="1"/>
      <c r="FVE34" s="1"/>
      <c r="FVF34" s="1"/>
      <c r="FVG34" s="1"/>
      <c r="FVH34" s="1"/>
      <c r="FVI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F34" s="1"/>
      <c r="FWG34" s="1"/>
      <c r="FWH34" s="1"/>
      <c r="FWI34" s="1"/>
      <c r="FWJ34" s="1"/>
      <c r="FWK34" s="1"/>
      <c r="FWL34" s="1"/>
      <c r="FWM34" s="1"/>
      <c r="FWN34" s="1"/>
      <c r="FWO34" s="1"/>
      <c r="FWP34" s="1"/>
      <c r="FWQ34" s="1"/>
      <c r="FWR34" s="1"/>
      <c r="FWS34" s="1"/>
      <c r="FWT34" s="1"/>
      <c r="FWU34" s="1"/>
      <c r="FWV34" s="1"/>
      <c r="FWW34" s="1"/>
      <c r="FWX34" s="1"/>
      <c r="FWY34" s="1"/>
      <c r="FWZ34" s="1"/>
      <c r="FXA34" s="1"/>
      <c r="FXB34" s="1"/>
      <c r="FXC34" s="1"/>
      <c r="FXD34" s="1"/>
      <c r="FXE34" s="1"/>
      <c r="FXF34" s="1"/>
      <c r="FXG34" s="1"/>
      <c r="FXH34" s="1"/>
      <c r="FXI34" s="1"/>
      <c r="FXJ34" s="1"/>
      <c r="FXK34" s="1"/>
      <c r="FXL34" s="1"/>
      <c r="FXM34" s="1"/>
      <c r="FXN34" s="1"/>
      <c r="FXO34" s="1"/>
      <c r="FXP34" s="1"/>
      <c r="FXQ34" s="1"/>
      <c r="FXR34" s="1"/>
      <c r="FXS34" s="1"/>
      <c r="FXT34" s="1"/>
      <c r="FXU34" s="1"/>
      <c r="FXV34" s="1"/>
      <c r="FXW34" s="1"/>
      <c r="FXX34" s="1"/>
      <c r="FXY34" s="1"/>
      <c r="FXZ34" s="1"/>
      <c r="FYA34" s="1"/>
      <c r="FYB34" s="1"/>
      <c r="FYC34" s="1"/>
      <c r="FYD34" s="1"/>
      <c r="FYE34" s="1"/>
      <c r="FYF34" s="1"/>
      <c r="FYG34" s="1"/>
      <c r="FYH34" s="1"/>
      <c r="FYI34" s="1"/>
      <c r="FYJ34" s="1"/>
      <c r="FYK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V34" s="1"/>
      <c r="FYW34" s="1"/>
      <c r="FYX34" s="1"/>
      <c r="FYY34" s="1"/>
      <c r="FYZ34" s="1"/>
      <c r="FZA34" s="1"/>
      <c r="FZB34" s="1"/>
      <c r="FZC34" s="1"/>
      <c r="FZD34" s="1"/>
      <c r="FZE34" s="1"/>
      <c r="FZF34" s="1"/>
      <c r="FZG34" s="1"/>
      <c r="FZH34" s="1"/>
      <c r="FZI34" s="1"/>
      <c r="FZJ34" s="1"/>
      <c r="FZK34" s="1"/>
      <c r="FZL34" s="1"/>
      <c r="FZM34" s="1"/>
      <c r="FZN34" s="1"/>
      <c r="FZO34" s="1"/>
      <c r="FZP34" s="1"/>
      <c r="FZQ34" s="1"/>
      <c r="FZR34" s="1"/>
      <c r="FZS34" s="1"/>
      <c r="FZT34" s="1"/>
      <c r="FZU34" s="1"/>
      <c r="FZV34" s="1"/>
      <c r="FZW34" s="1"/>
      <c r="FZX34" s="1"/>
      <c r="FZY34" s="1"/>
      <c r="FZZ34" s="1"/>
      <c r="GAA34" s="1"/>
      <c r="GAB34" s="1"/>
      <c r="GAC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O34" s="1"/>
      <c r="GAP34" s="1"/>
      <c r="GAQ34" s="1"/>
      <c r="GAR34" s="1"/>
      <c r="GAS34" s="1"/>
      <c r="GAT34" s="1"/>
      <c r="GAU34" s="1"/>
      <c r="GAV34" s="1"/>
      <c r="GAW34" s="1"/>
      <c r="GAX34" s="1"/>
      <c r="GAY34" s="1"/>
      <c r="GAZ34" s="1"/>
      <c r="GBA34" s="1"/>
      <c r="GBB34" s="1"/>
      <c r="GBC34" s="1"/>
      <c r="GBD34" s="1"/>
      <c r="GBE34" s="1"/>
      <c r="GBF34" s="1"/>
      <c r="GBG34" s="1"/>
      <c r="GBH34" s="1"/>
      <c r="GBI34" s="1"/>
      <c r="GBJ34" s="1"/>
      <c r="GBK34" s="1"/>
      <c r="GBL34" s="1"/>
      <c r="GBM34" s="1"/>
      <c r="GBN34" s="1"/>
      <c r="GBO34" s="1"/>
      <c r="GBP34" s="1"/>
      <c r="GBQ34" s="1"/>
      <c r="GBR34" s="1"/>
      <c r="GBS34" s="1"/>
      <c r="GBT34" s="1"/>
      <c r="GBU34" s="1"/>
      <c r="GBV34" s="1"/>
      <c r="GBW34" s="1"/>
      <c r="GBX34" s="1"/>
      <c r="GBY34" s="1"/>
      <c r="GBZ34" s="1"/>
      <c r="GCA34" s="1"/>
      <c r="GCB34" s="1"/>
      <c r="GCC34" s="1"/>
      <c r="GCD34" s="1"/>
      <c r="GCE34" s="1"/>
      <c r="GCF34" s="1"/>
      <c r="GCG34" s="1"/>
      <c r="GCH34" s="1"/>
      <c r="GCI34" s="1"/>
      <c r="GCJ34" s="1"/>
      <c r="GCK34" s="1"/>
      <c r="GCL34" s="1"/>
      <c r="GCM34" s="1"/>
      <c r="GCN34" s="1"/>
      <c r="GCO34" s="1"/>
      <c r="GCP34" s="1"/>
      <c r="GCQ34" s="1"/>
      <c r="GCR34" s="1"/>
      <c r="GCS34" s="1"/>
      <c r="GCT34" s="1"/>
      <c r="GCU34" s="1"/>
      <c r="GCV34" s="1"/>
      <c r="GCW34" s="1"/>
      <c r="GCX34" s="1"/>
      <c r="GCY34" s="1"/>
      <c r="GCZ34" s="1"/>
      <c r="GDA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S34" s="1"/>
      <c r="GDT34" s="1"/>
      <c r="GDU34" s="1"/>
      <c r="GDV34" s="1"/>
      <c r="GDW34" s="1"/>
      <c r="GDX34" s="1"/>
      <c r="GDY34" s="1"/>
      <c r="GDZ34" s="1"/>
      <c r="GEA34" s="1"/>
      <c r="GEB34" s="1"/>
      <c r="GEC34" s="1"/>
      <c r="GED34" s="1"/>
      <c r="GEE34" s="1"/>
      <c r="GEF34" s="1"/>
      <c r="GEG34" s="1"/>
      <c r="GEH34" s="1"/>
      <c r="GEI34" s="1"/>
      <c r="GEJ34" s="1"/>
      <c r="GEK34" s="1"/>
      <c r="GEL34" s="1"/>
      <c r="GEM34" s="1"/>
      <c r="GEN34" s="1"/>
      <c r="GEO34" s="1"/>
      <c r="GEP34" s="1"/>
      <c r="GEQ34" s="1"/>
      <c r="GER34" s="1"/>
      <c r="GES34" s="1"/>
      <c r="GET34" s="1"/>
      <c r="GEU34" s="1"/>
      <c r="GEV34" s="1"/>
      <c r="GEW34" s="1"/>
      <c r="GEX34" s="1"/>
      <c r="GEY34" s="1"/>
      <c r="GEZ34" s="1"/>
      <c r="GFA34" s="1"/>
      <c r="GFB34" s="1"/>
      <c r="GFC34" s="1"/>
      <c r="GFD34" s="1"/>
      <c r="GFE34" s="1"/>
      <c r="GFF34" s="1"/>
      <c r="GFG34" s="1"/>
      <c r="GFH34" s="1"/>
      <c r="GFI34" s="1"/>
      <c r="GFJ34" s="1"/>
      <c r="GFK34" s="1"/>
      <c r="GFL34" s="1"/>
      <c r="GFM34" s="1"/>
      <c r="GFN34" s="1"/>
      <c r="GFO34" s="1"/>
      <c r="GFP34" s="1"/>
      <c r="GFQ34" s="1"/>
      <c r="GFR34" s="1"/>
      <c r="GFS34" s="1"/>
      <c r="GFT34" s="1"/>
      <c r="GFU34" s="1"/>
      <c r="GFV34" s="1"/>
      <c r="GFW34" s="1"/>
      <c r="GFX34" s="1"/>
      <c r="GFY34" s="1"/>
      <c r="GFZ34" s="1"/>
      <c r="GGA34" s="1"/>
      <c r="GGB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M34" s="1"/>
      <c r="GGN34" s="1"/>
      <c r="GGO34" s="1"/>
      <c r="GGP34" s="1"/>
      <c r="GGQ34" s="1"/>
      <c r="GGR34" s="1"/>
      <c r="GGS34" s="1"/>
      <c r="GGT34" s="1"/>
      <c r="GGU34" s="1"/>
      <c r="GGV34" s="1"/>
      <c r="GGW34" s="1"/>
      <c r="GGX34" s="1"/>
      <c r="GGY34" s="1"/>
      <c r="GGZ34" s="1"/>
      <c r="GHA34" s="1"/>
      <c r="GHB34" s="1"/>
      <c r="GHC34" s="1"/>
      <c r="GHD34" s="1"/>
      <c r="GHE34" s="1"/>
      <c r="GHF34" s="1"/>
      <c r="GHG34" s="1"/>
      <c r="GHH34" s="1"/>
      <c r="GHI34" s="1"/>
      <c r="GHJ34" s="1"/>
      <c r="GHK34" s="1"/>
      <c r="GHL34" s="1"/>
      <c r="GHM34" s="1"/>
      <c r="GHN34" s="1"/>
      <c r="GHO34" s="1"/>
      <c r="GHP34" s="1"/>
      <c r="GHQ34" s="1"/>
      <c r="GHR34" s="1"/>
      <c r="GHS34" s="1"/>
      <c r="GHT34" s="1"/>
      <c r="GHU34" s="1"/>
      <c r="GHV34" s="1"/>
      <c r="GHW34" s="1"/>
      <c r="GHX34" s="1"/>
      <c r="GHY34" s="1"/>
      <c r="GHZ34" s="1"/>
      <c r="GIA34" s="1"/>
      <c r="GIB34" s="1"/>
      <c r="GIC34" s="1"/>
      <c r="GID34" s="1"/>
      <c r="GIE34" s="1"/>
      <c r="GIF34" s="1"/>
      <c r="GIG34" s="1"/>
      <c r="GIH34" s="1"/>
      <c r="GII34" s="1"/>
      <c r="GIJ34" s="1"/>
      <c r="GIK34" s="1"/>
      <c r="GIL34" s="1"/>
      <c r="GIM34" s="1"/>
      <c r="GIN34" s="1"/>
      <c r="GIO34" s="1"/>
      <c r="GIP34" s="1"/>
      <c r="GIQ34" s="1"/>
      <c r="GIR34" s="1"/>
      <c r="GIS34" s="1"/>
      <c r="GIT34" s="1"/>
      <c r="GIU34" s="1"/>
      <c r="GIV34" s="1"/>
      <c r="GIW34" s="1"/>
      <c r="GIX34" s="1"/>
      <c r="GIY34" s="1"/>
      <c r="GIZ34" s="1"/>
      <c r="GJA34" s="1"/>
      <c r="GJB34" s="1"/>
      <c r="GJC34" s="1"/>
      <c r="GJD34" s="1"/>
      <c r="GJE34" s="1"/>
      <c r="GJF34" s="1"/>
      <c r="GJG34" s="1"/>
      <c r="GJH34" s="1"/>
      <c r="GJI34" s="1"/>
      <c r="GJJ34" s="1"/>
      <c r="GJK34" s="1"/>
      <c r="GJL34" s="1"/>
      <c r="GJM34" s="1"/>
      <c r="GJN34" s="1"/>
      <c r="GJO34" s="1"/>
      <c r="GJP34" s="1"/>
      <c r="GJQ34" s="1"/>
      <c r="GJR34" s="1"/>
      <c r="GJS34" s="1"/>
      <c r="GJT34" s="1"/>
      <c r="GJU34" s="1"/>
      <c r="GJV34" s="1"/>
      <c r="GJW34" s="1"/>
      <c r="GJX34" s="1"/>
      <c r="GJY34" s="1"/>
      <c r="GJZ34" s="1"/>
      <c r="GKA34" s="1"/>
      <c r="GKB34" s="1"/>
      <c r="GKC34" s="1"/>
      <c r="GKD34" s="1"/>
      <c r="GKE34" s="1"/>
      <c r="GKF34" s="1"/>
      <c r="GKG34" s="1"/>
      <c r="GKH34" s="1"/>
      <c r="GKI34" s="1"/>
      <c r="GKJ34" s="1"/>
      <c r="GKK34" s="1"/>
      <c r="GKL34" s="1"/>
      <c r="GKM34" s="1"/>
      <c r="GKN34" s="1"/>
      <c r="GKO34" s="1"/>
      <c r="GKP34" s="1"/>
      <c r="GKQ34" s="1"/>
      <c r="GKR34" s="1"/>
      <c r="GKS34" s="1"/>
      <c r="GKT34" s="1"/>
      <c r="GKU34" s="1"/>
      <c r="GKV34" s="1"/>
      <c r="GKW34" s="1"/>
      <c r="GKX34" s="1"/>
      <c r="GKY34" s="1"/>
      <c r="GKZ34" s="1"/>
      <c r="GLA34" s="1"/>
      <c r="GLB34" s="1"/>
      <c r="GLC34" s="1"/>
      <c r="GLD34" s="1"/>
      <c r="GLE34" s="1"/>
      <c r="GLF34" s="1"/>
      <c r="GLG34" s="1"/>
      <c r="GLH34" s="1"/>
      <c r="GLI34" s="1"/>
      <c r="GLJ34" s="1"/>
      <c r="GLK34" s="1"/>
      <c r="GLL34" s="1"/>
      <c r="GLM34" s="1"/>
      <c r="GLN34" s="1"/>
      <c r="GLO34" s="1"/>
      <c r="GLP34" s="1"/>
      <c r="GLQ34" s="1"/>
      <c r="GLR34" s="1"/>
      <c r="GLS34" s="1"/>
      <c r="GLT34" s="1"/>
      <c r="GLU34" s="1"/>
      <c r="GLV34" s="1"/>
      <c r="GLW34" s="1"/>
      <c r="GLX34" s="1"/>
      <c r="GLY34" s="1"/>
      <c r="GLZ34" s="1"/>
      <c r="GMA34" s="1"/>
      <c r="GMB34" s="1"/>
      <c r="GMC34" s="1"/>
      <c r="GMD34" s="1"/>
      <c r="GME34" s="1"/>
      <c r="GMF34" s="1"/>
      <c r="GMG34" s="1"/>
      <c r="GMH34" s="1"/>
      <c r="GMI34" s="1"/>
      <c r="GMJ34" s="1"/>
      <c r="GMK34" s="1"/>
      <c r="GML34" s="1"/>
      <c r="GMM34" s="1"/>
      <c r="GMN34" s="1"/>
      <c r="GMO34" s="1"/>
      <c r="GMP34" s="1"/>
      <c r="GMQ34" s="1"/>
      <c r="GMR34" s="1"/>
      <c r="GMS34" s="1"/>
      <c r="GMT34" s="1"/>
      <c r="GMU34" s="1"/>
      <c r="GMV34" s="1"/>
      <c r="GMW34" s="1"/>
      <c r="GMX34" s="1"/>
      <c r="GMY34" s="1"/>
      <c r="GMZ34" s="1"/>
      <c r="GNA34" s="1"/>
      <c r="GNB34" s="1"/>
      <c r="GNC34" s="1"/>
      <c r="GND34" s="1"/>
      <c r="GNE34" s="1"/>
      <c r="GNF34" s="1"/>
      <c r="GNG34" s="1"/>
      <c r="GNH34" s="1"/>
      <c r="GNI34" s="1"/>
      <c r="GNJ34" s="1"/>
      <c r="GNK34" s="1"/>
      <c r="GNL34" s="1"/>
      <c r="GNM34" s="1"/>
      <c r="GNN34" s="1"/>
      <c r="GNO34" s="1"/>
      <c r="GNP34" s="1"/>
      <c r="GNQ34" s="1"/>
      <c r="GNR34" s="1"/>
      <c r="GNS34" s="1"/>
      <c r="GNT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E34" s="1"/>
      <c r="GOF34" s="1"/>
      <c r="GOG34" s="1"/>
      <c r="GOH34" s="1"/>
      <c r="GOI34" s="1"/>
      <c r="GOJ34" s="1"/>
      <c r="GOK34" s="1"/>
      <c r="GOL34" s="1"/>
      <c r="GOM34" s="1"/>
      <c r="GON34" s="1"/>
      <c r="GOO34" s="1"/>
      <c r="GOP34" s="1"/>
      <c r="GOQ34" s="1"/>
      <c r="GOR34" s="1"/>
      <c r="GOS34" s="1"/>
      <c r="GOT34" s="1"/>
      <c r="GOU34" s="1"/>
      <c r="GOV34" s="1"/>
      <c r="GOW34" s="1"/>
      <c r="GOX34" s="1"/>
      <c r="GOY34" s="1"/>
      <c r="GOZ34" s="1"/>
      <c r="GPA34" s="1"/>
      <c r="GPB34" s="1"/>
      <c r="GPC34" s="1"/>
      <c r="GPD34" s="1"/>
      <c r="GPE34" s="1"/>
      <c r="GPF34" s="1"/>
      <c r="GPG34" s="1"/>
      <c r="GPH34" s="1"/>
      <c r="GPI34" s="1"/>
      <c r="GPJ34" s="1"/>
      <c r="GPK34" s="1"/>
      <c r="GPL34" s="1"/>
      <c r="GPM34" s="1"/>
      <c r="GPN34" s="1"/>
      <c r="GPO34" s="1"/>
      <c r="GPP34" s="1"/>
      <c r="GPQ34" s="1"/>
      <c r="GPR34" s="1"/>
      <c r="GPS34" s="1"/>
      <c r="GPT34" s="1"/>
      <c r="GPU34" s="1"/>
      <c r="GPV34" s="1"/>
      <c r="GPW34" s="1"/>
      <c r="GPX34" s="1"/>
      <c r="GPY34" s="1"/>
      <c r="GPZ34" s="1"/>
      <c r="GQA34" s="1"/>
      <c r="GQB34" s="1"/>
      <c r="GQC34" s="1"/>
      <c r="GQD34" s="1"/>
      <c r="GQE34" s="1"/>
      <c r="GQF34" s="1"/>
      <c r="GQG34" s="1"/>
      <c r="GQH34" s="1"/>
      <c r="GQI34" s="1"/>
      <c r="GQJ34" s="1"/>
      <c r="GQK34" s="1"/>
      <c r="GQL34" s="1"/>
      <c r="GQM34" s="1"/>
      <c r="GQN34" s="1"/>
      <c r="GQO34" s="1"/>
      <c r="GQP34" s="1"/>
      <c r="GQQ34" s="1"/>
      <c r="GQR34" s="1"/>
      <c r="GQS34" s="1"/>
      <c r="GQT34" s="1"/>
      <c r="GQU34" s="1"/>
      <c r="GQV34" s="1"/>
      <c r="GQW34" s="1"/>
      <c r="GQX34" s="1"/>
      <c r="GQY34" s="1"/>
      <c r="GQZ34" s="1"/>
      <c r="GRA34" s="1"/>
      <c r="GRB34" s="1"/>
      <c r="GRC34" s="1"/>
      <c r="GRD34" s="1"/>
      <c r="GRE34" s="1"/>
      <c r="GRF34" s="1"/>
      <c r="GRG34" s="1"/>
      <c r="GRH34" s="1"/>
      <c r="GRI34" s="1"/>
      <c r="GRJ34" s="1"/>
      <c r="GRK34" s="1"/>
      <c r="GRL34" s="1"/>
      <c r="GRM34" s="1"/>
      <c r="GRN34" s="1"/>
      <c r="GRO34" s="1"/>
      <c r="GRP34" s="1"/>
      <c r="GRQ34" s="1"/>
      <c r="GRR34" s="1"/>
      <c r="GRS34" s="1"/>
      <c r="GRT34" s="1"/>
      <c r="GRU34" s="1"/>
      <c r="GRV34" s="1"/>
      <c r="GRW34" s="1"/>
      <c r="GRX34" s="1"/>
      <c r="GRY34" s="1"/>
      <c r="GRZ34" s="1"/>
      <c r="GSA34" s="1"/>
      <c r="GSB34" s="1"/>
      <c r="GSC34" s="1"/>
      <c r="GSD34" s="1"/>
      <c r="GSE34" s="1"/>
      <c r="GSF34" s="1"/>
      <c r="GSG34" s="1"/>
      <c r="GSH34" s="1"/>
      <c r="GSI34" s="1"/>
      <c r="GSJ34" s="1"/>
      <c r="GSK34" s="1"/>
      <c r="GSL34" s="1"/>
      <c r="GSM34" s="1"/>
      <c r="GSN34" s="1"/>
      <c r="GSO34" s="1"/>
      <c r="GSP34" s="1"/>
      <c r="GSQ34" s="1"/>
      <c r="GSR34" s="1"/>
      <c r="GSS34" s="1"/>
      <c r="GST34" s="1"/>
      <c r="GSU34" s="1"/>
      <c r="GSV34" s="1"/>
      <c r="GSW34" s="1"/>
      <c r="GSX34" s="1"/>
      <c r="GSY34" s="1"/>
      <c r="GSZ34" s="1"/>
      <c r="GTA34" s="1"/>
      <c r="GTB34" s="1"/>
      <c r="GTC34" s="1"/>
      <c r="GTD34" s="1"/>
      <c r="GTE34" s="1"/>
      <c r="GTF34" s="1"/>
      <c r="GTG34" s="1"/>
      <c r="GTH34" s="1"/>
      <c r="GTI34" s="1"/>
      <c r="GTJ34" s="1"/>
      <c r="GTK34" s="1"/>
      <c r="GTL34" s="1"/>
      <c r="GTM34" s="1"/>
      <c r="GTN34" s="1"/>
      <c r="GTO34" s="1"/>
      <c r="GTP34" s="1"/>
      <c r="GTQ34" s="1"/>
      <c r="GTR34" s="1"/>
      <c r="GTS34" s="1"/>
      <c r="GTT34" s="1"/>
      <c r="GTU34" s="1"/>
      <c r="GTV34" s="1"/>
      <c r="GTW34" s="1"/>
      <c r="GTX34" s="1"/>
      <c r="GTY34" s="1"/>
      <c r="GTZ34" s="1"/>
      <c r="GUA34" s="1"/>
      <c r="GUB34" s="1"/>
      <c r="GUC34" s="1"/>
      <c r="GUD34" s="1"/>
      <c r="GUE34" s="1"/>
      <c r="GUF34" s="1"/>
      <c r="GUG34" s="1"/>
      <c r="GUH34" s="1"/>
      <c r="GUI34" s="1"/>
      <c r="GUJ34" s="1"/>
      <c r="GUK34" s="1"/>
      <c r="GUL34" s="1"/>
      <c r="GUM34" s="1"/>
      <c r="GUN34" s="1"/>
      <c r="GUO34" s="1"/>
      <c r="GUP34" s="1"/>
      <c r="GUQ34" s="1"/>
      <c r="GUR34" s="1"/>
      <c r="GUS34" s="1"/>
      <c r="GUT34" s="1"/>
      <c r="GUU34" s="1"/>
      <c r="GUV34" s="1"/>
      <c r="GUW34" s="1"/>
      <c r="GUX34" s="1"/>
      <c r="GUY34" s="1"/>
      <c r="GUZ34" s="1"/>
      <c r="GVA34" s="1"/>
      <c r="GVB34" s="1"/>
      <c r="GVC34" s="1"/>
      <c r="GVD34" s="1"/>
      <c r="GVE34" s="1"/>
      <c r="GVF34" s="1"/>
      <c r="GVG34" s="1"/>
      <c r="GVH34" s="1"/>
      <c r="GVI34" s="1"/>
      <c r="GVJ34" s="1"/>
      <c r="GVK34" s="1"/>
      <c r="GVL34" s="1"/>
      <c r="GVM34" s="1"/>
      <c r="GVN34" s="1"/>
      <c r="GVO34" s="1"/>
      <c r="GVP34" s="1"/>
      <c r="GVQ34" s="1"/>
      <c r="GVR34" s="1"/>
      <c r="GVS34" s="1"/>
      <c r="GVT34" s="1"/>
      <c r="GVU34" s="1"/>
      <c r="GVV34" s="1"/>
      <c r="GVW34" s="1"/>
      <c r="GVX34" s="1"/>
      <c r="GVY34" s="1"/>
      <c r="GVZ34" s="1"/>
      <c r="GWA34" s="1"/>
      <c r="GWB34" s="1"/>
      <c r="GWC34" s="1"/>
      <c r="GWD34" s="1"/>
      <c r="GWE34" s="1"/>
      <c r="GWF34" s="1"/>
      <c r="GWG34" s="1"/>
      <c r="GWH34" s="1"/>
      <c r="GWI34" s="1"/>
      <c r="GWJ34" s="1"/>
      <c r="GWK34" s="1"/>
      <c r="GWL34" s="1"/>
      <c r="GWM34" s="1"/>
      <c r="GWN34" s="1"/>
      <c r="GWO34" s="1"/>
      <c r="GWP34" s="1"/>
      <c r="GWQ34" s="1"/>
      <c r="GWR34" s="1"/>
      <c r="GWS34" s="1"/>
      <c r="GWT34" s="1"/>
      <c r="GWU34" s="1"/>
      <c r="GWV34" s="1"/>
      <c r="GWW34" s="1"/>
      <c r="GWX34" s="1"/>
      <c r="GWY34" s="1"/>
      <c r="GWZ34" s="1"/>
      <c r="GXA34" s="1"/>
      <c r="GXB34" s="1"/>
      <c r="GXC34" s="1"/>
      <c r="GXD34" s="1"/>
      <c r="GXE34" s="1"/>
      <c r="GXF34" s="1"/>
      <c r="GXG34" s="1"/>
      <c r="GXH34" s="1"/>
      <c r="GXI34" s="1"/>
      <c r="GXJ34" s="1"/>
      <c r="GXK34" s="1"/>
      <c r="GXL34" s="1"/>
      <c r="GXM34" s="1"/>
      <c r="GXN34" s="1"/>
      <c r="GXO34" s="1"/>
      <c r="GXP34" s="1"/>
      <c r="GXQ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H34" s="1"/>
      <c r="GYI34" s="1"/>
      <c r="GYJ34" s="1"/>
      <c r="GYK34" s="1"/>
      <c r="GYL34" s="1"/>
      <c r="GYM34" s="1"/>
      <c r="GYN34" s="1"/>
      <c r="GYO34" s="1"/>
      <c r="GYP34" s="1"/>
      <c r="GYQ34" s="1"/>
      <c r="GYR34" s="1"/>
      <c r="GYS34" s="1"/>
      <c r="GYT34" s="1"/>
      <c r="GYU34" s="1"/>
      <c r="GYV34" s="1"/>
      <c r="GYW34" s="1"/>
      <c r="GYX34" s="1"/>
      <c r="GYY34" s="1"/>
      <c r="GYZ34" s="1"/>
      <c r="GZA34" s="1"/>
      <c r="GZB34" s="1"/>
      <c r="GZC34" s="1"/>
      <c r="GZD34" s="1"/>
      <c r="GZE34" s="1"/>
      <c r="GZF34" s="1"/>
      <c r="GZG34" s="1"/>
      <c r="GZH34" s="1"/>
      <c r="GZI34" s="1"/>
      <c r="GZJ34" s="1"/>
      <c r="GZK34" s="1"/>
      <c r="GZL34" s="1"/>
      <c r="GZM34" s="1"/>
      <c r="GZN34" s="1"/>
      <c r="GZO34" s="1"/>
      <c r="GZP34" s="1"/>
      <c r="GZQ34" s="1"/>
      <c r="GZR34" s="1"/>
      <c r="GZS34" s="1"/>
      <c r="GZT34" s="1"/>
      <c r="GZU34" s="1"/>
      <c r="GZV34" s="1"/>
      <c r="GZW34" s="1"/>
      <c r="GZX34" s="1"/>
      <c r="GZY34" s="1"/>
      <c r="GZZ34" s="1"/>
      <c r="HAA34" s="1"/>
      <c r="HAB34" s="1"/>
      <c r="HAC34" s="1"/>
      <c r="HAD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AZ34" s="1"/>
      <c r="HBA34" s="1"/>
      <c r="HBB34" s="1"/>
      <c r="HBC34" s="1"/>
      <c r="HBD34" s="1"/>
      <c r="HBE34" s="1"/>
      <c r="HBF34" s="1"/>
      <c r="HBG34" s="1"/>
      <c r="HBH34" s="1"/>
      <c r="HBI34" s="1"/>
      <c r="HBJ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B34" s="1"/>
      <c r="HCC34" s="1"/>
      <c r="HCD34" s="1"/>
      <c r="HCE34" s="1"/>
      <c r="HCF34" s="1"/>
      <c r="HCG34" s="1"/>
      <c r="HCH34" s="1"/>
      <c r="HCI34" s="1"/>
      <c r="HCJ34" s="1"/>
      <c r="HCK34" s="1"/>
      <c r="HCL34" s="1"/>
      <c r="HCM34" s="1"/>
      <c r="HCN34" s="1"/>
      <c r="HCO34" s="1"/>
      <c r="HCP34" s="1"/>
      <c r="HCQ34" s="1"/>
      <c r="HCR34" s="1"/>
      <c r="HCS34" s="1"/>
      <c r="HCT34" s="1"/>
      <c r="HCU34" s="1"/>
      <c r="HCV34" s="1"/>
      <c r="HCW34" s="1"/>
      <c r="HCX34" s="1"/>
      <c r="HCY34" s="1"/>
      <c r="HCZ34" s="1"/>
      <c r="HDA34" s="1"/>
      <c r="HDB34" s="1"/>
      <c r="HDC34" s="1"/>
      <c r="HDD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O34" s="1"/>
      <c r="HDP34" s="1"/>
      <c r="HDQ34" s="1"/>
      <c r="HDR34" s="1"/>
      <c r="HDS34" s="1"/>
      <c r="HDT34" s="1"/>
      <c r="HDU34" s="1"/>
      <c r="HDV34" s="1"/>
      <c r="HDW34" s="1"/>
      <c r="HDX34" s="1"/>
      <c r="HDY34" s="1"/>
      <c r="HDZ34" s="1"/>
      <c r="HEA34" s="1"/>
      <c r="HEB34" s="1"/>
      <c r="HEC34" s="1"/>
      <c r="HED34" s="1"/>
      <c r="HEE34" s="1"/>
      <c r="HEF34" s="1"/>
      <c r="HEG34" s="1"/>
      <c r="HEH34" s="1"/>
      <c r="HEI34" s="1"/>
      <c r="HEJ34" s="1"/>
      <c r="HEK34" s="1"/>
      <c r="HEL34" s="1"/>
      <c r="HEM34" s="1"/>
      <c r="HEN34" s="1"/>
      <c r="HEO34" s="1"/>
      <c r="HEP34" s="1"/>
      <c r="HEQ34" s="1"/>
      <c r="HER34" s="1"/>
      <c r="HES34" s="1"/>
      <c r="HET34" s="1"/>
      <c r="HEU34" s="1"/>
      <c r="HEV34" s="1"/>
      <c r="HEW34" s="1"/>
      <c r="HEX34" s="1"/>
      <c r="HEY34" s="1"/>
      <c r="HEZ34" s="1"/>
      <c r="HFA34" s="1"/>
      <c r="HFB34" s="1"/>
      <c r="HFC34" s="1"/>
      <c r="HFD34" s="1"/>
      <c r="HFE34" s="1"/>
      <c r="HFF34" s="1"/>
      <c r="HFG34" s="1"/>
      <c r="HFH34" s="1"/>
      <c r="HFI34" s="1"/>
      <c r="HFJ34" s="1"/>
      <c r="HFK34" s="1"/>
      <c r="HFL34" s="1"/>
      <c r="HFM34" s="1"/>
      <c r="HFN34" s="1"/>
      <c r="HFO34" s="1"/>
      <c r="HFP34" s="1"/>
      <c r="HFQ34" s="1"/>
      <c r="HFR34" s="1"/>
      <c r="HFS34" s="1"/>
      <c r="HFT34" s="1"/>
      <c r="HFU34" s="1"/>
      <c r="HFV34" s="1"/>
      <c r="HFW34" s="1"/>
      <c r="HFX34" s="1"/>
      <c r="HFY34" s="1"/>
      <c r="HFZ34" s="1"/>
      <c r="HGA34" s="1"/>
      <c r="HGB34" s="1"/>
      <c r="HGC34" s="1"/>
      <c r="HGD34" s="1"/>
      <c r="HGE34" s="1"/>
      <c r="HGF34" s="1"/>
      <c r="HGG34" s="1"/>
      <c r="HGH34" s="1"/>
      <c r="HGI34" s="1"/>
      <c r="HGJ34" s="1"/>
      <c r="HGK34" s="1"/>
      <c r="HGL34" s="1"/>
      <c r="HGM34" s="1"/>
      <c r="HGN34" s="1"/>
      <c r="HGO34" s="1"/>
      <c r="HGP34" s="1"/>
      <c r="HGQ34" s="1"/>
      <c r="HGR34" s="1"/>
      <c r="HGS34" s="1"/>
      <c r="HGT34" s="1"/>
      <c r="HGU34" s="1"/>
      <c r="HGV34" s="1"/>
      <c r="HGW34" s="1"/>
      <c r="HGX34" s="1"/>
      <c r="HGY34" s="1"/>
      <c r="HGZ34" s="1"/>
      <c r="HHA34" s="1"/>
      <c r="HHB34" s="1"/>
      <c r="HHC34" s="1"/>
      <c r="HHD34" s="1"/>
      <c r="HHE34" s="1"/>
      <c r="HHF34" s="1"/>
      <c r="HHG34" s="1"/>
      <c r="HHH34" s="1"/>
      <c r="HHI34" s="1"/>
      <c r="HHJ34" s="1"/>
      <c r="HHK34" s="1"/>
      <c r="HHL34" s="1"/>
      <c r="HHM34" s="1"/>
      <c r="HHN34" s="1"/>
      <c r="HHO34" s="1"/>
      <c r="HHP34" s="1"/>
      <c r="HHQ34" s="1"/>
      <c r="HHR34" s="1"/>
      <c r="HHS34" s="1"/>
      <c r="HHT34" s="1"/>
      <c r="HHU34" s="1"/>
      <c r="HHV34" s="1"/>
      <c r="HHW34" s="1"/>
      <c r="HHX34" s="1"/>
      <c r="HHY34" s="1"/>
      <c r="HHZ34" s="1"/>
      <c r="HIA34" s="1"/>
      <c r="HIB34" s="1"/>
      <c r="HIC34" s="1"/>
      <c r="HID34" s="1"/>
      <c r="HIE34" s="1"/>
      <c r="HIF34" s="1"/>
      <c r="HIG34" s="1"/>
      <c r="HIH34" s="1"/>
      <c r="HII34" s="1"/>
      <c r="HIJ34" s="1"/>
      <c r="HIK34" s="1"/>
      <c r="HIL34" s="1"/>
      <c r="HIM34" s="1"/>
      <c r="HIN34" s="1"/>
      <c r="HIO34" s="1"/>
      <c r="HIP34" s="1"/>
      <c r="HIQ34" s="1"/>
      <c r="HIR34" s="1"/>
      <c r="HIS34" s="1"/>
      <c r="HIT34" s="1"/>
      <c r="HIU34" s="1"/>
      <c r="HIV34" s="1"/>
      <c r="HIW34" s="1"/>
      <c r="HIX34" s="1"/>
      <c r="HIY34" s="1"/>
      <c r="HIZ34" s="1"/>
      <c r="HJA34" s="1"/>
      <c r="HJB34" s="1"/>
      <c r="HJC34" s="1"/>
      <c r="HJD34" s="1"/>
      <c r="HJE34" s="1"/>
      <c r="HJF34" s="1"/>
      <c r="HJG34" s="1"/>
      <c r="HJH34" s="1"/>
      <c r="HJI34" s="1"/>
      <c r="HJJ34" s="1"/>
      <c r="HJK34" s="1"/>
      <c r="HJL34" s="1"/>
      <c r="HJM34" s="1"/>
      <c r="HJN34" s="1"/>
      <c r="HJO34" s="1"/>
      <c r="HJP34" s="1"/>
      <c r="HJQ34" s="1"/>
      <c r="HJR34" s="1"/>
      <c r="HJS34" s="1"/>
      <c r="HJT34" s="1"/>
      <c r="HJU34" s="1"/>
      <c r="HJV34" s="1"/>
      <c r="HJW34" s="1"/>
      <c r="HJX34" s="1"/>
      <c r="HJY34" s="1"/>
      <c r="HJZ34" s="1"/>
      <c r="HKA34" s="1"/>
      <c r="HKB34" s="1"/>
      <c r="HKC34" s="1"/>
      <c r="HKD34" s="1"/>
      <c r="HKE34" s="1"/>
      <c r="HKF34" s="1"/>
      <c r="HKG34" s="1"/>
      <c r="HKH34" s="1"/>
      <c r="HKI34" s="1"/>
      <c r="HKJ34" s="1"/>
      <c r="HKK34" s="1"/>
      <c r="HKL34" s="1"/>
      <c r="HKM34" s="1"/>
      <c r="HKN34" s="1"/>
      <c r="HKO34" s="1"/>
      <c r="HKP34" s="1"/>
      <c r="HKQ34" s="1"/>
      <c r="HKR34" s="1"/>
      <c r="HKS34" s="1"/>
      <c r="HKT34" s="1"/>
      <c r="HKU34" s="1"/>
      <c r="HKV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G34" s="1"/>
      <c r="HLH34" s="1"/>
      <c r="HLI34" s="1"/>
      <c r="HLJ34" s="1"/>
      <c r="HLK34" s="1"/>
      <c r="HLL34" s="1"/>
      <c r="HLM34" s="1"/>
      <c r="HLN34" s="1"/>
      <c r="HLO34" s="1"/>
      <c r="HLP34" s="1"/>
      <c r="HLQ34" s="1"/>
      <c r="HLR34" s="1"/>
      <c r="HLS34" s="1"/>
      <c r="HLT34" s="1"/>
      <c r="HLU34" s="1"/>
      <c r="HLV34" s="1"/>
      <c r="HLW34" s="1"/>
      <c r="HLX34" s="1"/>
      <c r="HLY34" s="1"/>
      <c r="HLZ34" s="1"/>
      <c r="HMA34" s="1"/>
      <c r="HMB34" s="1"/>
      <c r="HMC34" s="1"/>
      <c r="HMD34" s="1"/>
      <c r="HME34" s="1"/>
      <c r="HMF34" s="1"/>
      <c r="HMG34" s="1"/>
      <c r="HMH34" s="1"/>
      <c r="HMI34" s="1"/>
      <c r="HMJ34" s="1"/>
      <c r="HMK34" s="1"/>
      <c r="HML34" s="1"/>
      <c r="HMM34" s="1"/>
      <c r="HMN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L34" s="1"/>
      <c r="HNM34" s="1"/>
      <c r="HNN34" s="1"/>
      <c r="HNO34" s="1"/>
      <c r="HNP34" s="1"/>
      <c r="HNQ34" s="1"/>
      <c r="HNR34" s="1"/>
      <c r="HNS34" s="1"/>
      <c r="HNT34" s="1"/>
      <c r="HNU34" s="1"/>
      <c r="HNV34" s="1"/>
      <c r="HNW34" s="1"/>
      <c r="HNX34" s="1"/>
      <c r="HNY34" s="1"/>
      <c r="HNZ34" s="1"/>
      <c r="HOA34" s="1"/>
      <c r="HOB34" s="1"/>
      <c r="HOC34" s="1"/>
      <c r="HOD34" s="1"/>
      <c r="HOE34" s="1"/>
      <c r="HOF34" s="1"/>
      <c r="HOG34" s="1"/>
      <c r="HOH34" s="1"/>
      <c r="HOI34" s="1"/>
      <c r="HOJ34" s="1"/>
      <c r="HOK34" s="1"/>
      <c r="HOL34" s="1"/>
      <c r="HOM34" s="1"/>
      <c r="HON34" s="1"/>
      <c r="HOO34" s="1"/>
      <c r="HOP34" s="1"/>
      <c r="HOQ34" s="1"/>
      <c r="HOR34" s="1"/>
      <c r="HOS34" s="1"/>
      <c r="HOT34" s="1"/>
      <c r="HOU34" s="1"/>
      <c r="HOV34" s="1"/>
      <c r="HOW34" s="1"/>
      <c r="HOX34" s="1"/>
      <c r="HOY34" s="1"/>
      <c r="HOZ34" s="1"/>
      <c r="HPA34" s="1"/>
      <c r="HPB34" s="1"/>
      <c r="HPC34" s="1"/>
      <c r="HPD34" s="1"/>
      <c r="HPE34" s="1"/>
      <c r="HPF34" s="1"/>
      <c r="HPG34" s="1"/>
      <c r="HPH34" s="1"/>
      <c r="HPI34" s="1"/>
      <c r="HPJ34" s="1"/>
      <c r="HPK34" s="1"/>
      <c r="HPL34" s="1"/>
      <c r="HPM34" s="1"/>
      <c r="HPN34" s="1"/>
      <c r="HPO34" s="1"/>
      <c r="HPP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J34" s="1"/>
      <c r="HQK34" s="1"/>
      <c r="HQL34" s="1"/>
      <c r="HQM34" s="1"/>
      <c r="HQN34" s="1"/>
      <c r="HQO34" s="1"/>
      <c r="HQP34" s="1"/>
      <c r="HQQ34" s="1"/>
      <c r="HQR34" s="1"/>
      <c r="HQS34" s="1"/>
      <c r="HQT34" s="1"/>
      <c r="HQU34" s="1"/>
      <c r="HQV34" s="1"/>
      <c r="HQW34" s="1"/>
      <c r="HQX34" s="1"/>
      <c r="HQY34" s="1"/>
      <c r="HQZ34" s="1"/>
      <c r="HRA34" s="1"/>
      <c r="HRB34" s="1"/>
      <c r="HRC34" s="1"/>
      <c r="HRD34" s="1"/>
      <c r="HRE34" s="1"/>
      <c r="HRF34" s="1"/>
      <c r="HRG34" s="1"/>
      <c r="HRH34" s="1"/>
      <c r="HRI34" s="1"/>
      <c r="HRJ34" s="1"/>
      <c r="HRK34" s="1"/>
      <c r="HRL34" s="1"/>
      <c r="HRM34" s="1"/>
      <c r="HRN34" s="1"/>
      <c r="HRO34" s="1"/>
      <c r="HRP34" s="1"/>
      <c r="HRQ34" s="1"/>
      <c r="HRR34" s="1"/>
      <c r="HRS34" s="1"/>
      <c r="HRT34" s="1"/>
      <c r="HRU34" s="1"/>
      <c r="HRV34" s="1"/>
      <c r="HRW34" s="1"/>
      <c r="HRX34" s="1"/>
      <c r="HRY34" s="1"/>
      <c r="HRZ34" s="1"/>
      <c r="HSA34" s="1"/>
      <c r="HSB34" s="1"/>
      <c r="HSC34" s="1"/>
      <c r="HSD34" s="1"/>
      <c r="HSE34" s="1"/>
      <c r="HSF34" s="1"/>
      <c r="HSG34" s="1"/>
      <c r="HSH34" s="1"/>
      <c r="HSI34" s="1"/>
      <c r="HSJ34" s="1"/>
      <c r="HSK34" s="1"/>
      <c r="HSL34" s="1"/>
      <c r="HSM34" s="1"/>
      <c r="HSN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SZ34" s="1"/>
      <c r="HTA34" s="1"/>
      <c r="HTB34" s="1"/>
      <c r="HTC34" s="1"/>
      <c r="HTD34" s="1"/>
      <c r="HTE34" s="1"/>
      <c r="HTF34" s="1"/>
      <c r="HTG34" s="1"/>
      <c r="HTH34" s="1"/>
      <c r="HTI34" s="1"/>
      <c r="HTJ34" s="1"/>
      <c r="HTK34" s="1"/>
      <c r="HTL34" s="1"/>
      <c r="HTM34" s="1"/>
      <c r="HTN34" s="1"/>
      <c r="HTO34" s="1"/>
      <c r="HTP34" s="1"/>
      <c r="HTQ34" s="1"/>
      <c r="HTR34" s="1"/>
      <c r="HTS34" s="1"/>
      <c r="HTT34" s="1"/>
      <c r="HTU34" s="1"/>
      <c r="HTV34" s="1"/>
      <c r="HTW34" s="1"/>
      <c r="HTX34" s="1"/>
      <c r="HTY34" s="1"/>
      <c r="HTZ34" s="1"/>
      <c r="HUA34" s="1"/>
      <c r="HUB34" s="1"/>
      <c r="HUC34" s="1"/>
      <c r="HUD34" s="1"/>
      <c r="HUE34" s="1"/>
      <c r="HUF34" s="1"/>
      <c r="HUG34" s="1"/>
      <c r="HUH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D34" s="1"/>
      <c r="HVE34" s="1"/>
      <c r="HVF34" s="1"/>
      <c r="HVG34" s="1"/>
      <c r="HVH34" s="1"/>
      <c r="HVI34" s="1"/>
      <c r="HVJ34" s="1"/>
      <c r="HVK34" s="1"/>
      <c r="HVL34" s="1"/>
      <c r="HVM34" s="1"/>
      <c r="HVN34" s="1"/>
      <c r="HVO34" s="1"/>
      <c r="HVP34" s="1"/>
      <c r="HVQ34" s="1"/>
      <c r="HVR34" s="1"/>
      <c r="HVS34" s="1"/>
      <c r="HVT34" s="1"/>
      <c r="HVU34" s="1"/>
      <c r="HVV34" s="1"/>
      <c r="HVW34" s="1"/>
      <c r="HVX34" s="1"/>
      <c r="HVY34" s="1"/>
      <c r="HVZ34" s="1"/>
      <c r="HWA34" s="1"/>
      <c r="HWB34" s="1"/>
      <c r="HWC34" s="1"/>
      <c r="HWD34" s="1"/>
      <c r="HWE34" s="1"/>
      <c r="HWF34" s="1"/>
      <c r="HWG34" s="1"/>
      <c r="HWH34" s="1"/>
      <c r="HWI34" s="1"/>
      <c r="HWJ34" s="1"/>
      <c r="HWK34" s="1"/>
      <c r="HWL34" s="1"/>
      <c r="HWM34" s="1"/>
      <c r="HWN34" s="1"/>
      <c r="HWO34" s="1"/>
      <c r="HWP34" s="1"/>
      <c r="HWQ34" s="1"/>
      <c r="HWR34" s="1"/>
      <c r="HWS34" s="1"/>
      <c r="HWT34" s="1"/>
      <c r="HWU34" s="1"/>
      <c r="HWV34" s="1"/>
      <c r="HWW34" s="1"/>
      <c r="HWX34" s="1"/>
      <c r="HWY34" s="1"/>
      <c r="HWZ34" s="1"/>
      <c r="HXA34" s="1"/>
      <c r="HXB34" s="1"/>
      <c r="HXC34" s="1"/>
      <c r="HXD34" s="1"/>
      <c r="HXE34" s="1"/>
      <c r="HXF34" s="1"/>
      <c r="HXG34" s="1"/>
      <c r="HXH34" s="1"/>
      <c r="HXI34" s="1"/>
      <c r="HXJ34" s="1"/>
      <c r="HXK34" s="1"/>
      <c r="HXL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A34" s="1"/>
      <c r="HYB34" s="1"/>
      <c r="HYC34" s="1"/>
      <c r="HYD34" s="1"/>
      <c r="HYE34" s="1"/>
      <c r="HYF34" s="1"/>
      <c r="HYG34" s="1"/>
      <c r="HYH34" s="1"/>
      <c r="HYI34" s="1"/>
      <c r="HYJ34" s="1"/>
      <c r="HYK34" s="1"/>
      <c r="HYL34" s="1"/>
      <c r="HYM34" s="1"/>
      <c r="HYN34" s="1"/>
      <c r="HYO34" s="1"/>
      <c r="HYP34" s="1"/>
      <c r="HYQ34" s="1"/>
      <c r="HYR34" s="1"/>
      <c r="HYS34" s="1"/>
      <c r="HYT34" s="1"/>
      <c r="HYU34" s="1"/>
      <c r="HYV34" s="1"/>
      <c r="HYW34" s="1"/>
      <c r="HYX34" s="1"/>
      <c r="HYY34" s="1"/>
      <c r="HYZ34" s="1"/>
      <c r="HZA34" s="1"/>
      <c r="HZB34" s="1"/>
      <c r="HZC34" s="1"/>
      <c r="HZD34" s="1"/>
      <c r="HZE34" s="1"/>
      <c r="HZF34" s="1"/>
      <c r="HZG34" s="1"/>
      <c r="HZH34" s="1"/>
      <c r="HZI34" s="1"/>
      <c r="HZJ34" s="1"/>
      <c r="HZK34" s="1"/>
      <c r="HZL34" s="1"/>
      <c r="HZM34" s="1"/>
      <c r="HZN34" s="1"/>
      <c r="HZO34" s="1"/>
      <c r="HZP34" s="1"/>
      <c r="HZQ34" s="1"/>
      <c r="HZR34" s="1"/>
      <c r="HZS34" s="1"/>
      <c r="HZT34" s="1"/>
      <c r="HZU34" s="1"/>
      <c r="HZV34" s="1"/>
      <c r="HZW34" s="1"/>
      <c r="HZX34" s="1"/>
      <c r="HZY34" s="1"/>
      <c r="HZZ34" s="1"/>
      <c r="IAA34" s="1"/>
      <c r="IAB34" s="1"/>
      <c r="IAC34" s="1"/>
      <c r="IAD34" s="1"/>
      <c r="IAE34" s="1"/>
      <c r="IAF34" s="1"/>
      <c r="IAG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R34" s="1"/>
      <c r="IAS34" s="1"/>
      <c r="IAT34" s="1"/>
      <c r="IAU34" s="1"/>
      <c r="IAV34" s="1"/>
      <c r="IAW34" s="1"/>
      <c r="IAX34" s="1"/>
      <c r="IAY34" s="1"/>
      <c r="IAZ34" s="1"/>
      <c r="IBA34" s="1"/>
      <c r="IBB34" s="1"/>
      <c r="IBC34" s="1"/>
      <c r="IBD34" s="1"/>
      <c r="IBE34" s="1"/>
      <c r="IBF34" s="1"/>
      <c r="IBG34" s="1"/>
      <c r="IBH34" s="1"/>
      <c r="IBI34" s="1"/>
      <c r="IBJ34" s="1"/>
      <c r="IBK34" s="1"/>
      <c r="IBL34" s="1"/>
      <c r="IBM34" s="1"/>
      <c r="IBN34" s="1"/>
      <c r="IBO34" s="1"/>
      <c r="IBP34" s="1"/>
      <c r="IBQ34" s="1"/>
      <c r="IBR34" s="1"/>
      <c r="IBS34" s="1"/>
      <c r="IBT34" s="1"/>
      <c r="IBU34" s="1"/>
      <c r="IBV34" s="1"/>
      <c r="IBW34" s="1"/>
      <c r="IBX34" s="1"/>
      <c r="IBY34" s="1"/>
      <c r="IBZ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Q34" s="1"/>
      <c r="ICR34" s="1"/>
      <c r="ICS34" s="1"/>
      <c r="ICT34" s="1"/>
      <c r="ICU34" s="1"/>
      <c r="ICV34" s="1"/>
      <c r="ICW34" s="1"/>
      <c r="ICX34" s="1"/>
      <c r="ICY34" s="1"/>
      <c r="ICZ34" s="1"/>
      <c r="IDA34" s="1"/>
      <c r="IDB34" s="1"/>
      <c r="IDC34" s="1"/>
      <c r="IDD34" s="1"/>
      <c r="IDE34" s="1"/>
      <c r="IDF34" s="1"/>
      <c r="IDG34" s="1"/>
      <c r="IDH34" s="1"/>
      <c r="IDI34" s="1"/>
      <c r="IDJ34" s="1"/>
      <c r="IDK34" s="1"/>
      <c r="IDL34" s="1"/>
      <c r="IDM34" s="1"/>
      <c r="IDN34" s="1"/>
      <c r="IDO34" s="1"/>
      <c r="IDP34" s="1"/>
      <c r="IDQ34" s="1"/>
      <c r="IDR34" s="1"/>
      <c r="IDS34" s="1"/>
      <c r="IDT34" s="1"/>
      <c r="IDU34" s="1"/>
      <c r="IDV34" s="1"/>
      <c r="IDW34" s="1"/>
      <c r="IDX34" s="1"/>
      <c r="IDY34" s="1"/>
      <c r="IDZ34" s="1"/>
      <c r="IEA34" s="1"/>
      <c r="IEB34" s="1"/>
      <c r="IEC34" s="1"/>
      <c r="IED34" s="1"/>
      <c r="IEE34" s="1"/>
      <c r="IEF34" s="1"/>
      <c r="IEG34" s="1"/>
      <c r="IEH34" s="1"/>
      <c r="IEI34" s="1"/>
      <c r="IEJ34" s="1"/>
      <c r="IEK34" s="1"/>
      <c r="IEL34" s="1"/>
      <c r="IEM34" s="1"/>
      <c r="IEN34" s="1"/>
      <c r="IEO34" s="1"/>
      <c r="IEP34" s="1"/>
      <c r="IEQ34" s="1"/>
      <c r="IER34" s="1"/>
      <c r="IES34" s="1"/>
      <c r="IET34" s="1"/>
      <c r="IEU34" s="1"/>
      <c r="IEV34" s="1"/>
      <c r="IEW34" s="1"/>
      <c r="IEX34" s="1"/>
      <c r="IEY34" s="1"/>
      <c r="IEZ34" s="1"/>
      <c r="IFA34" s="1"/>
      <c r="IFB34" s="1"/>
      <c r="IFC34" s="1"/>
      <c r="IFD34" s="1"/>
      <c r="IFE34" s="1"/>
      <c r="IFF34" s="1"/>
      <c r="IFG34" s="1"/>
      <c r="IFH34" s="1"/>
      <c r="IFI34" s="1"/>
      <c r="IFJ34" s="1"/>
      <c r="IFK34" s="1"/>
      <c r="IFL34" s="1"/>
      <c r="IFM34" s="1"/>
      <c r="IFN34" s="1"/>
      <c r="IFO34" s="1"/>
      <c r="IFP34" s="1"/>
      <c r="IFQ34" s="1"/>
      <c r="IFR34" s="1"/>
      <c r="IFS34" s="1"/>
      <c r="IFT34" s="1"/>
      <c r="IFU34" s="1"/>
      <c r="IFV34" s="1"/>
      <c r="IFW34" s="1"/>
      <c r="IFX34" s="1"/>
      <c r="IFY34" s="1"/>
      <c r="IFZ34" s="1"/>
      <c r="IGA34" s="1"/>
      <c r="IGB34" s="1"/>
      <c r="IGC34" s="1"/>
      <c r="IGD34" s="1"/>
      <c r="IGE34" s="1"/>
      <c r="IGF34" s="1"/>
      <c r="IGG34" s="1"/>
      <c r="IGH34" s="1"/>
      <c r="IGI34" s="1"/>
      <c r="IGJ34" s="1"/>
      <c r="IGK34" s="1"/>
      <c r="IGL34" s="1"/>
      <c r="IGM34" s="1"/>
      <c r="IGN34" s="1"/>
      <c r="IGO34" s="1"/>
      <c r="IGP34" s="1"/>
      <c r="IGQ34" s="1"/>
      <c r="IGR34" s="1"/>
      <c r="IGS34" s="1"/>
      <c r="IGT34" s="1"/>
      <c r="IGU34" s="1"/>
      <c r="IGV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G34" s="1"/>
      <c r="IHH34" s="1"/>
      <c r="IHI34" s="1"/>
      <c r="IHJ34" s="1"/>
      <c r="IHK34" s="1"/>
      <c r="IHL34" s="1"/>
      <c r="IHM34" s="1"/>
      <c r="IHN34" s="1"/>
      <c r="IHO34" s="1"/>
      <c r="IHP34" s="1"/>
      <c r="IHQ34" s="1"/>
      <c r="IHR34" s="1"/>
      <c r="IHS34" s="1"/>
      <c r="IHT34" s="1"/>
      <c r="IHU34" s="1"/>
      <c r="IHV34" s="1"/>
      <c r="IHW34" s="1"/>
      <c r="IHX34" s="1"/>
      <c r="IHY34" s="1"/>
      <c r="IHZ34" s="1"/>
      <c r="IIA34" s="1"/>
      <c r="IIB34" s="1"/>
      <c r="IIC34" s="1"/>
      <c r="IID34" s="1"/>
      <c r="IIE34" s="1"/>
      <c r="IIF34" s="1"/>
      <c r="IIG34" s="1"/>
      <c r="IIH34" s="1"/>
      <c r="III34" s="1"/>
      <c r="IIJ34" s="1"/>
      <c r="IIK34" s="1"/>
      <c r="IIL34" s="1"/>
      <c r="IIM34" s="1"/>
      <c r="IIN34" s="1"/>
      <c r="IIO34" s="1"/>
      <c r="IIP34" s="1"/>
      <c r="IIQ34" s="1"/>
      <c r="IIR34" s="1"/>
      <c r="IIS34" s="1"/>
      <c r="IIT34" s="1"/>
      <c r="IIU34" s="1"/>
      <c r="IIV34" s="1"/>
      <c r="IIW34" s="1"/>
      <c r="IIX34" s="1"/>
      <c r="IIY34" s="1"/>
      <c r="IIZ34" s="1"/>
      <c r="IJA34" s="1"/>
      <c r="IJB34" s="1"/>
      <c r="IJC34" s="1"/>
      <c r="IJD34" s="1"/>
      <c r="IJE34" s="1"/>
      <c r="IJF34" s="1"/>
      <c r="IJG34" s="1"/>
      <c r="IJH34" s="1"/>
      <c r="IJI34" s="1"/>
      <c r="IJJ34" s="1"/>
      <c r="IJK34" s="1"/>
      <c r="IJL34" s="1"/>
      <c r="IJM34" s="1"/>
      <c r="IJN34" s="1"/>
      <c r="IJO34" s="1"/>
      <c r="IJP34" s="1"/>
      <c r="IJQ34" s="1"/>
      <c r="IJR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G34" s="1"/>
      <c r="IKH34" s="1"/>
      <c r="IKI34" s="1"/>
      <c r="IKJ34" s="1"/>
      <c r="IKK34" s="1"/>
      <c r="IKL34" s="1"/>
      <c r="IKM34" s="1"/>
      <c r="IKN34" s="1"/>
      <c r="IKO34" s="1"/>
      <c r="IKP34" s="1"/>
      <c r="IKQ34" s="1"/>
      <c r="IKR34" s="1"/>
      <c r="IKS34" s="1"/>
      <c r="IKT34" s="1"/>
      <c r="IKU34" s="1"/>
      <c r="IKV34" s="1"/>
      <c r="IKW34" s="1"/>
      <c r="IKX34" s="1"/>
      <c r="IKY34" s="1"/>
      <c r="IKZ34" s="1"/>
      <c r="ILA34" s="1"/>
      <c r="ILB34" s="1"/>
      <c r="ILC34" s="1"/>
      <c r="ILD34" s="1"/>
      <c r="ILE34" s="1"/>
      <c r="ILF34" s="1"/>
      <c r="ILG34" s="1"/>
      <c r="ILH34" s="1"/>
      <c r="ILI34" s="1"/>
      <c r="ILJ34" s="1"/>
      <c r="ILK34" s="1"/>
      <c r="ILL34" s="1"/>
      <c r="ILM34" s="1"/>
      <c r="ILN34" s="1"/>
      <c r="ILO34" s="1"/>
      <c r="ILP34" s="1"/>
      <c r="ILQ34" s="1"/>
      <c r="ILR34" s="1"/>
      <c r="ILS34" s="1"/>
      <c r="ILT34" s="1"/>
      <c r="ILU34" s="1"/>
      <c r="ILV34" s="1"/>
      <c r="ILW34" s="1"/>
      <c r="ILX34" s="1"/>
      <c r="ILY34" s="1"/>
      <c r="ILZ34" s="1"/>
      <c r="IMA34" s="1"/>
      <c r="IMB34" s="1"/>
      <c r="IMC34" s="1"/>
      <c r="IMD34" s="1"/>
      <c r="IME34" s="1"/>
      <c r="IMF34" s="1"/>
      <c r="IMG34" s="1"/>
      <c r="IMH34" s="1"/>
      <c r="IMI34" s="1"/>
      <c r="IMJ34" s="1"/>
      <c r="IMK34" s="1"/>
      <c r="IML34" s="1"/>
      <c r="IMM34" s="1"/>
      <c r="IMN34" s="1"/>
      <c r="IMO34" s="1"/>
      <c r="IMP34" s="1"/>
      <c r="IMQ34" s="1"/>
      <c r="IMR34" s="1"/>
      <c r="IMS34" s="1"/>
      <c r="IMT34" s="1"/>
      <c r="IMU34" s="1"/>
      <c r="IMV34" s="1"/>
      <c r="IMW34" s="1"/>
      <c r="IMX34" s="1"/>
      <c r="IMY34" s="1"/>
      <c r="IMZ34" s="1"/>
      <c r="INA34" s="1"/>
      <c r="INB34" s="1"/>
      <c r="INC34" s="1"/>
      <c r="IND34" s="1"/>
      <c r="INE34" s="1"/>
      <c r="INF34" s="1"/>
      <c r="ING34" s="1"/>
      <c r="INH34" s="1"/>
      <c r="INI34" s="1"/>
      <c r="INJ34" s="1"/>
      <c r="INK34" s="1"/>
      <c r="INL34" s="1"/>
      <c r="INM34" s="1"/>
      <c r="INN34" s="1"/>
      <c r="INO34" s="1"/>
      <c r="INP34" s="1"/>
      <c r="INQ34" s="1"/>
      <c r="INR34" s="1"/>
      <c r="INS34" s="1"/>
      <c r="INT34" s="1"/>
      <c r="INU34" s="1"/>
      <c r="INV34" s="1"/>
      <c r="INW34" s="1"/>
      <c r="INX34" s="1"/>
      <c r="INY34" s="1"/>
      <c r="INZ34" s="1"/>
      <c r="IOA34" s="1"/>
      <c r="IOB34" s="1"/>
      <c r="IOC34" s="1"/>
      <c r="IOD34" s="1"/>
      <c r="IOE34" s="1"/>
      <c r="IOF34" s="1"/>
      <c r="IOG34" s="1"/>
      <c r="IOH34" s="1"/>
      <c r="IOI34" s="1"/>
      <c r="IOJ34" s="1"/>
      <c r="IOK34" s="1"/>
      <c r="IOL34" s="1"/>
      <c r="IOM34" s="1"/>
      <c r="ION34" s="1"/>
      <c r="IOO34" s="1"/>
      <c r="IOP34" s="1"/>
      <c r="IOQ34" s="1"/>
      <c r="IOR34" s="1"/>
      <c r="IOS34" s="1"/>
      <c r="IOT34" s="1"/>
      <c r="IOU34" s="1"/>
      <c r="IOV34" s="1"/>
      <c r="IOW34" s="1"/>
      <c r="IOX34" s="1"/>
      <c r="IOY34" s="1"/>
      <c r="IOZ34" s="1"/>
      <c r="IPA34" s="1"/>
      <c r="IPB34" s="1"/>
      <c r="IPC34" s="1"/>
      <c r="IPD34" s="1"/>
      <c r="IPE34" s="1"/>
      <c r="IPF34" s="1"/>
      <c r="IPG34" s="1"/>
      <c r="IPH34" s="1"/>
      <c r="IPI34" s="1"/>
      <c r="IPJ34" s="1"/>
      <c r="IPK34" s="1"/>
      <c r="IPL34" s="1"/>
      <c r="IPM34" s="1"/>
      <c r="IPN34" s="1"/>
      <c r="IPO34" s="1"/>
      <c r="IPP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B34" s="1"/>
      <c r="IQC34" s="1"/>
      <c r="IQD34" s="1"/>
      <c r="IQE34" s="1"/>
      <c r="IQF34" s="1"/>
      <c r="IQG34" s="1"/>
      <c r="IQH34" s="1"/>
      <c r="IQI34" s="1"/>
      <c r="IQJ34" s="1"/>
      <c r="IQK34" s="1"/>
      <c r="IQL34" s="1"/>
      <c r="IQM34" s="1"/>
      <c r="IQN34" s="1"/>
      <c r="IQO34" s="1"/>
      <c r="IQP34" s="1"/>
      <c r="IQQ34" s="1"/>
      <c r="IQR34" s="1"/>
      <c r="IQS34" s="1"/>
      <c r="IQT34" s="1"/>
      <c r="IQU34" s="1"/>
      <c r="IQV34" s="1"/>
      <c r="IQW34" s="1"/>
      <c r="IQX34" s="1"/>
      <c r="IQY34" s="1"/>
      <c r="IQZ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A34" s="1"/>
      <c r="ISB34" s="1"/>
      <c r="ISC34" s="1"/>
      <c r="ISD34" s="1"/>
      <c r="ISE34" s="1"/>
      <c r="ISF34" s="1"/>
      <c r="ISG34" s="1"/>
      <c r="ISH34" s="1"/>
      <c r="ISI34" s="1"/>
      <c r="ISJ34" s="1"/>
      <c r="ISK34" s="1"/>
      <c r="ISL34" s="1"/>
      <c r="ISM34" s="1"/>
      <c r="ISN34" s="1"/>
      <c r="ISO34" s="1"/>
      <c r="ISP34" s="1"/>
      <c r="ISQ34" s="1"/>
      <c r="ISR34" s="1"/>
      <c r="ISS34" s="1"/>
      <c r="IST34" s="1"/>
      <c r="ISU34" s="1"/>
      <c r="ISV34" s="1"/>
      <c r="ISW34" s="1"/>
      <c r="ISX34" s="1"/>
      <c r="ISY34" s="1"/>
      <c r="ISZ34" s="1"/>
      <c r="ITA34" s="1"/>
      <c r="ITB34" s="1"/>
      <c r="ITC34" s="1"/>
      <c r="ITD34" s="1"/>
      <c r="ITE34" s="1"/>
      <c r="ITF34" s="1"/>
      <c r="ITG34" s="1"/>
      <c r="ITH34" s="1"/>
      <c r="ITI34" s="1"/>
      <c r="ITJ34" s="1"/>
      <c r="ITK34" s="1"/>
      <c r="ITL34" s="1"/>
      <c r="ITM34" s="1"/>
      <c r="ITN34" s="1"/>
      <c r="ITO34" s="1"/>
      <c r="ITP34" s="1"/>
      <c r="ITQ34" s="1"/>
      <c r="ITR34" s="1"/>
      <c r="ITS34" s="1"/>
      <c r="ITT34" s="1"/>
      <c r="ITU34" s="1"/>
      <c r="ITV34" s="1"/>
      <c r="ITW34" s="1"/>
      <c r="ITX34" s="1"/>
      <c r="ITY34" s="1"/>
      <c r="ITZ34" s="1"/>
      <c r="IUA34" s="1"/>
      <c r="IUB34" s="1"/>
      <c r="IUC34" s="1"/>
      <c r="IUD34" s="1"/>
      <c r="IUE34" s="1"/>
      <c r="IUF34" s="1"/>
      <c r="IUG34" s="1"/>
      <c r="IUH34" s="1"/>
      <c r="IUI34" s="1"/>
      <c r="IUJ34" s="1"/>
      <c r="IUK34" s="1"/>
      <c r="IUL34" s="1"/>
      <c r="IUM34" s="1"/>
      <c r="IUN34" s="1"/>
      <c r="IUO34" s="1"/>
      <c r="IUP34" s="1"/>
      <c r="IUQ34" s="1"/>
      <c r="IUR34" s="1"/>
      <c r="IUS34" s="1"/>
      <c r="IUT34" s="1"/>
      <c r="IUU34" s="1"/>
      <c r="IUV34" s="1"/>
      <c r="IUW34" s="1"/>
      <c r="IUX34" s="1"/>
      <c r="IUY34" s="1"/>
      <c r="IUZ34" s="1"/>
      <c r="IVA34" s="1"/>
      <c r="IVB34" s="1"/>
      <c r="IVC34" s="1"/>
      <c r="IVD34" s="1"/>
      <c r="IVE34" s="1"/>
      <c r="IVF34" s="1"/>
      <c r="IVG34" s="1"/>
      <c r="IVH34" s="1"/>
      <c r="IVI34" s="1"/>
      <c r="IVJ34" s="1"/>
      <c r="IVK34" s="1"/>
      <c r="IVL34" s="1"/>
      <c r="IVM34" s="1"/>
      <c r="IVN34" s="1"/>
      <c r="IVO34" s="1"/>
      <c r="IVP34" s="1"/>
      <c r="IVQ34" s="1"/>
      <c r="IVR34" s="1"/>
      <c r="IVS34" s="1"/>
      <c r="IVT34" s="1"/>
      <c r="IVU34" s="1"/>
      <c r="IVV34" s="1"/>
      <c r="IVW34" s="1"/>
      <c r="IVX34" s="1"/>
      <c r="IVY34" s="1"/>
      <c r="IVZ34" s="1"/>
      <c r="IWA34" s="1"/>
      <c r="IWB34" s="1"/>
      <c r="IWC34" s="1"/>
      <c r="IWD34" s="1"/>
      <c r="IWE34" s="1"/>
      <c r="IWF34" s="1"/>
      <c r="IWG34" s="1"/>
      <c r="IWH34" s="1"/>
      <c r="IWI34" s="1"/>
      <c r="IWJ34" s="1"/>
      <c r="IWK34" s="1"/>
      <c r="IWL34" s="1"/>
      <c r="IWM34" s="1"/>
      <c r="IWN34" s="1"/>
      <c r="IWO34" s="1"/>
      <c r="IWP34" s="1"/>
      <c r="IWQ34" s="1"/>
      <c r="IWR34" s="1"/>
      <c r="IWS34" s="1"/>
      <c r="IWT34" s="1"/>
      <c r="IWU34" s="1"/>
      <c r="IWV34" s="1"/>
      <c r="IWW34" s="1"/>
      <c r="IWX34" s="1"/>
      <c r="IWY34" s="1"/>
      <c r="IWZ34" s="1"/>
      <c r="IXA34" s="1"/>
      <c r="IXB34" s="1"/>
      <c r="IXC34" s="1"/>
      <c r="IXD34" s="1"/>
      <c r="IXE34" s="1"/>
      <c r="IXF34" s="1"/>
      <c r="IXG34" s="1"/>
      <c r="IXH34" s="1"/>
      <c r="IXI34" s="1"/>
      <c r="IXJ34" s="1"/>
      <c r="IXK34" s="1"/>
      <c r="IXL34" s="1"/>
      <c r="IXM34" s="1"/>
      <c r="IXN34" s="1"/>
      <c r="IXO34" s="1"/>
      <c r="IXP34" s="1"/>
      <c r="IXQ34" s="1"/>
      <c r="IXR34" s="1"/>
      <c r="IXS34" s="1"/>
      <c r="IXT34" s="1"/>
      <c r="IXU34" s="1"/>
      <c r="IXV34" s="1"/>
      <c r="IXW34" s="1"/>
      <c r="IXX34" s="1"/>
      <c r="IXY34" s="1"/>
      <c r="IXZ34" s="1"/>
      <c r="IYA34" s="1"/>
      <c r="IYB34" s="1"/>
      <c r="IYC34" s="1"/>
      <c r="IYD34" s="1"/>
      <c r="IYE34" s="1"/>
      <c r="IYF34" s="1"/>
      <c r="IYG34" s="1"/>
      <c r="IYH34" s="1"/>
      <c r="IYI34" s="1"/>
      <c r="IYJ34" s="1"/>
      <c r="IYK34" s="1"/>
      <c r="IYL34" s="1"/>
      <c r="IYM34" s="1"/>
      <c r="IYN34" s="1"/>
      <c r="IYO34" s="1"/>
      <c r="IYP34" s="1"/>
      <c r="IYQ34" s="1"/>
      <c r="IYR34" s="1"/>
      <c r="IYS34" s="1"/>
      <c r="IYT34" s="1"/>
      <c r="IYU34" s="1"/>
      <c r="IYV34" s="1"/>
      <c r="IYW34" s="1"/>
      <c r="IYX34" s="1"/>
      <c r="IYY34" s="1"/>
      <c r="IYZ34" s="1"/>
      <c r="IZA34" s="1"/>
      <c r="IZB34" s="1"/>
      <c r="IZC34" s="1"/>
      <c r="IZD34" s="1"/>
      <c r="IZE34" s="1"/>
      <c r="IZF34" s="1"/>
      <c r="IZG34" s="1"/>
      <c r="IZH34" s="1"/>
      <c r="IZI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D34" s="1"/>
      <c r="JAE34" s="1"/>
      <c r="JAF34" s="1"/>
      <c r="JAG34" s="1"/>
      <c r="JAH34" s="1"/>
      <c r="JAI34" s="1"/>
      <c r="JAJ34" s="1"/>
      <c r="JAK34" s="1"/>
      <c r="JAL34" s="1"/>
      <c r="JAM34" s="1"/>
      <c r="JAN34" s="1"/>
      <c r="JAO34" s="1"/>
      <c r="JAP34" s="1"/>
      <c r="JAQ34" s="1"/>
      <c r="JAR34" s="1"/>
      <c r="JAS34" s="1"/>
      <c r="JAT34" s="1"/>
      <c r="JAU34" s="1"/>
      <c r="JAV34" s="1"/>
      <c r="JAW34" s="1"/>
      <c r="JAX34" s="1"/>
      <c r="JAY34" s="1"/>
      <c r="JAZ34" s="1"/>
      <c r="JBA34" s="1"/>
      <c r="JBB34" s="1"/>
      <c r="JBC34" s="1"/>
      <c r="JBD34" s="1"/>
      <c r="JBE34" s="1"/>
      <c r="JBF34" s="1"/>
      <c r="JBG34" s="1"/>
      <c r="JBH34" s="1"/>
      <c r="JBI34" s="1"/>
      <c r="JBJ34" s="1"/>
      <c r="JBK34" s="1"/>
      <c r="JBL34" s="1"/>
      <c r="JBM34" s="1"/>
      <c r="JBN34" s="1"/>
      <c r="JBO34" s="1"/>
      <c r="JBP34" s="1"/>
      <c r="JBQ34" s="1"/>
      <c r="JBR34" s="1"/>
      <c r="JBS34" s="1"/>
      <c r="JBT34" s="1"/>
      <c r="JBU34" s="1"/>
      <c r="JBV34" s="1"/>
      <c r="JBW34" s="1"/>
      <c r="JBX34" s="1"/>
      <c r="JBY34" s="1"/>
      <c r="JBZ34" s="1"/>
      <c r="JCA34" s="1"/>
      <c r="JCB34" s="1"/>
      <c r="JCC34" s="1"/>
      <c r="JCD34" s="1"/>
      <c r="JCE34" s="1"/>
      <c r="JCF34" s="1"/>
      <c r="JCG34" s="1"/>
      <c r="JCH34" s="1"/>
      <c r="JCI34" s="1"/>
      <c r="JCJ34" s="1"/>
      <c r="JCK34" s="1"/>
      <c r="JCL34" s="1"/>
      <c r="JCM34" s="1"/>
      <c r="JCN34" s="1"/>
      <c r="JCO34" s="1"/>
      <c r="JCP34" s="1"/>
      <c r="JCQ34" s="1"/>
      <c r="JCR34" s="1"/>
      <c r="JCS34" s="1"/>
      <c r="JCT34" s="1"/>
      <c r="JCU34" s="1"/>
      <c r="JCV34" s="1"/>
      <c r="JCW34" s="1"/>
      <c r="JCX34" s="1"/>
      <c r="JCY34" s="1"/>
      <c r="JCZ34" s="1"/>
      <c r="JDA34" s="1"/>
      <c r="JDB34" s="1"/>
      <c r="JDC34" s="1"/>
      <c r="JDD34" s="1"/>
      <c r="JDE34" s="1"/>
      <c r="JDF34" s="1"/>
      <c r="JDG34" s="1"/>
      <c r="JDH34" s="1"/>
      <c r="JDI34" s="1"/>
      <c r="JDJ34" s="1"/>
      <c r="JDK34" s="1"/>
      <c r="JDL34" s="1"/>
      <c r="JDM34" s="1"/>
      <c r="JDN34" s="1"/>
      <c r="JDO34" s="1"/>
      <c r="JDP34" s="1"/>
      <c r="JDQ34" s="1"/>
      <c r="JDR34" s="1"/>
      <c r="JDS34" s="1"/>
      <c r="JDT34" s="1"/>
      <c r="JDU34" s="1"/>
      <c r="JDV34" s="1"/>
      <c r="JDW34" s="1"/>
      <c r="JDX34" s="1"/>
      <c r="JDY34" s="1"/>
      <c r="JDZ34" s="1"/>
      <c r="JEA34" s="1"/>
      <c r="JEB34" s="1"/>
      <c r="JEC34" s="1"/>
      <c r="JED34" s="1"/>
      <c r="JEE34" s="1"/>
      <c r="JEF34" s="1"/>
      <c r="JEG34" s="1"/>
      <c r="JEH34" s="1"/>
      <c r="JEI34" s="1"/>
      <c r="JEJ34" s="1"/>
      <c r="JEK34" s="1"/>
      <c r="JEL34" s="1"/>
      <c r="JEM34" s="1"/>
      <c r="JEN34" s="1"/>
      <c r="JEO34" s="1"/>
      <c r="JEP34" s="1"/>
      <c r="JEQ34" s="1"/>
      <c r="JER34" s="1"/>
      <c r="JES34" s="1"/>
      <c r="JET34" s="1"/>
      <c r="JEU34" s="1"/>
      <c r="JEV34" s="1"/>
      <c r="JEW34" s="1"/>
      <c r="JEX34" s="1"/>
      <c r="JEY34" s="1"/>
      <c r="JEZ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L34" s="1"/>
      <c r="JFM34" s="1"/>
      <c r="JFN34" s="1"/>
      <c r="JFO34" s="1"/>
      <c r="JFP34" s="1"/>
      <c r="JFQ34" s="1"/>
      <c r="JFR34" s="1"/>
      <c r="JFS34" s="1"/>
      <c r="JFT34" s="1"/>
      <c r="JFU34" s="1"/>
      <c r="JFV34" s="1"/>
      <c r="JFW34" s="1"/>
      <c r="JFX34" s="1"/>
      <c r="JFY34" s="1"/>
      <c r="JFZ34" s="1"/>
      <c r="JGA34" s="1"/>
      <c r="JGB34" s="1"/>
      <c r="JGC34" s="1"/>
      <c r="JGD34" s="1"/>
      <c r="JGE34" s="1"/>
      <c r="JGF34" s="1"/>
      <c r="JGG34" s="1"/>
      <c r="JGH34" s="1"/>
      <c r="JGI34" s="1"/>
      <c r="JGJ34" s="1"/>
      <c r="JGK34" s="1"/>
      <c r="JGL34" s="1"/>
      <c r="JGM34" s="1"/>
      <c r="JGN34" s="1"/>
      <c r="JGO34" s="1"/>
      <c r="JGP34" s="1"/>
      <c r="JGQ34" s="1"/>
      <c r="JGR34" s="1"/>
      <c r="JGS34" s="1"/>
      <c r="JGT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HI34" s="1"/>
      <c r="JHJ34" s="1"/>
      <c r="JHK34" s="1"/>
      <c r="JHL34" s="1"/>
      <c r="JHM34" s="1"/>
      <c r="JHN34" s="1"/>
      <c r="JHO34" s="1"/>
      <c r="JHP34" s="1"/>
      <c r="JHQ34" s="1"/>
      <c r="JHR34" s="1"/>
      <c r="JHS34" s="1"/>
      <c r="JHT34" s="1"/>
      <c r="JHU34" s="1"/>
      <c r="JHV34" s="1"/>
      <c r="JHW34" s="1"/>
      <c r="JHX34" s="1"/>
      <c r="JHY34" s="1"/>
      <c r="JHZ34" s="1"/>
      <c r="JIA34" s="1"/>
      <c r="JIB34" s="1"/>
      <c r="JIC34" s="1"/>
      <c r="JID34" s="1"/>
      <c r="JIE34" s="1"/>
      <c r="JIF34" s="1"/>
      <c r="JIG34" s="1"/>
      <c r="JIH34" s="1"/>
      <c r="JII34" s="1"/>
      <c r="JIJ34" s="1"/>
      <c r="JIK34" s="1"/>
      <c r="JIL34" s="1"/>
      <c r="JIM34" s="1"/>
      <c r="JIN34" s="1"/>
      <c r="JIO34" s="1"/>
      <c r="JIP34" s="1"/>
      <c r="JIQ34" s="1"/>
      <c r="JIR34" s="1"/>
      <c r="JIS34" s="1"/>
      <c r="JIT34" s="1"/>
      <c r="JIU34" s="1"/>
      <c r="JIV34" s="1"/>
      <c r="JIW34" s="1"/>
      <c r="JIX34" s="1"/>
      <c r="JIY34" s="1"/>
      <c r="JIZ34" s="1"/>
      <c r="JJA34" s="1"/>
      <c r="JJB34" s="1"/>
      <c r="JJC34" s="1"/>
      <c r="JJD34" s="1"/>
      <c r="JJE34" s="1"/>
      <c r="JJF34" s="1"/>
      <c r="JJG34" s="1"/>
      <c r="JJH34" s="1"/>
      <c r="JJI34" s="1"/>
      <c r="JJJ34" s="1"/>
      <c r="JJK34" s="1"/>
      <c r="JJL34" s="1"/>
      <c r="JJM34" s="1"/>
      <c r="JJN34" s="1"/>
      <c r="JJO34" s="1"/>
      <c r="JJP34" s="1"/>
      <c r="JJQ34" s="1"/>
      <c r="JJR34" s="1"/>
      <c r="JJS34" s="1"/>
      <c r="JJT34" s="1"/>
      <c r="JJU34" s="1"/>
      <c r="JJV34" s="1"/>
      <c r="JJW34" s="1"/>
      <c r="JJX34" s="1"/>
      <c r="JJY34" s="1"/>
      <c r="JJZ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K34" s="1"/>
      <c r="JKL34" s="1"/>
      <c r="JKM34" s="1"/>
      <c r="JKN34" s="1"/>
      <c r="JKO34" s="1"/>
      <c r="JKP34" s="1"/>
      <c r="JKQ34" s="1"/>
      <c r="JKR34" s="1"/>
      <c r="JKS34" s="1"/>
      <c r="JKT34" s="1"/>
      <c r="JKU34" s="1"/>
      <c r="JKV34" s="1"/>
      <c r="JKW34" s="1"/>
      <c r="JKX34" s="1"/>
      <c r="JKY34" s="1"/>
      <c r="JKZ34" s="1"/>
      <c r="JLA34" s="1"/>
      <c r="JLB34" s="1"/>
      <c r="JLC34" s="1"/>
      <c r="JLD34" s="1"/>
      <c r="JLE34" s="1"/>
      <c r="JLF34" s="1"/>
      <c r="JLG34" s="1"/>
      <c r="JLH34" s="1"/>
      <c r="JLI34" s="1"/>
      <c r="JLJ34" s="1"/>
      <c r="JLK34" s="1"/>
      <c r="JLL34" s="1"/>
      <c r="JLM34" s="1"/>
      <c r="JLN34" s="1"/>
      <c r="JLO34" s="1"/>
      <c r="JLP34" s="1"/>
      <c r="JLQ34" s="1"/>
      <c r="JLR34" s="1"/>
      <c r="JLS34" s="1"/>
      <c r="JLT34" s="1"/>
      <c r="JLU34" s="1"/>
      <c r="JLV34" s="1"/>
      <c r="JLW34" s="1"/>
      <c r="JLX34" s="1"/>
      <c r="JLY34" s="1"/>
      <c r="JLZ34" s="1"/>
      <c r="JMA34" s="1"/>
      <c r="JMB34" s="1"/>
      <c r="JMC34" s="1"/>
      <c r="JMD34" s="1"/>
      <c r="JME34" s="1"/>
      <c r="JMF34" s="1"/>
      <c r="JMG34" s="1"/>
      <c r="JMH34" s="1"/>
      <c r="JMI34" s="1"/>
      <c r="JMJ34" s="1"/>
      <c r="JMK34" s="1"/>
      <c r="JML34" s="1"/>
      <c r="JMM34" s="1"/>
      <c r="JMN34" s="1"/>
      <c r="JMO34" s="1"/>
      <c r="JMP34" s="1"/>
      <c r="JMQ34" s="1"/>
      <c r="JMR34" s="1"/>
      <c r="JMS34" s="1"/>
      <c r="JMT34" s="1"/>
      <c r="JMU34" s="1"/>
      <c r="JMV34" s="1"/>
      <c r="JMW34" s="1"/>
      <c r="JMX34" s="1"/>
      <c r="JMY34" s="1"/>
      <c r="JMZ34" s="1"/>
      <c r="JNA34" s="1"/>
      <c r="JNB34" s="1"/>
      <c r="JNC34" s="1"/>
      <c r="JND34" s="1"/>
      <c r="JNE34" s="1"/>
      <c r="JNF34" s="1"/>
      <c r="JNG34" s="1"/>
      <c r="JNH34" s="1"/>
      <c r="JNI34" s="1"/>
      <c r="JNJ34" s="1"/>
      <c r="JNK34" s="1"/>
      <c r="JNL34" s="1"/>
      <c r="JNM34" s="1"/>
      <c r="JNN34" s="1"/>
      <c r="JNO34" s="1"/>
      <c r="JNP34" s="1"/>
      <c r="JNQ34" s="1"/>
      <c r="JNR34" s="1"/>
      <c r="JNS34" s="1"/>
      <c r="JNT34" s="1"/>
      <c r="JNU34" s="1"/>
      <c r="JNV34" s="1"/>
      <c r="JNW34" s="1"/>
      <c r="JNX34" s="1"/>
      <c r="JNY34" s="1"/>
      <c r="JNZ34" s="1"/>
      <c r="JOA34" s="1"/>
      <c r="JOB34" s="1"/>
      <c r="JOC34" s="1"/>
      <c r="JOD34" s="1"/>
      <c r="JOE34" s="1"/>
      <c r="JOF34" s="1"/>
      <c r="JOG34" s="1"/>
      <c r="JOH34" s="1"/>
      <c r="JOI34" s="1"/>
      <c r="JOJ34" s="1"/>
      <c r="JOK34" s="1"/>
      <c r="JOL34" s="1"/>
      <c r="JOM34" s="1"/>
      <c r="JON34" s="1"/>
      <c r="JOO34" s="1"/>
      <c r="JOP34" s="1"/>
      <c r="JOQ34" s="1"/>
      <c r="JOR34" s="1"/>
      <c r="JOS34" s="1"/>
      <c r="JOT34" s="1"/>
      <c r="JOU34" s="1"/>
      <c r="JOV34" s="1"/>
      <c r="JOW34" s="1"/>
      <c r="JOX34" s="1"/>
      <c r="JOY34" s="1"/>
      <c r="JOZ34" s="1"/>
      <c r="JPA34" s="1"/>
      <c r="JPB34" s="1"/>
      <c r="JPC34" s="1"/>
      <c r="JPD34" s="1"/>
      <c r="JPE34" s="1"/>
      <c r="JPF34" s="1"/>
      <c r="JPG34" s="1"/>
      <c r="JPH34" s="1"/>
      <c r="JPI34" s="1"/>
      <c r="JPJ34" s="1"/>
      <c r="JPK34" s="1"/>
      <c r="JPL34" s="1"/>
      <c r="JPM34" s="1"/>
      <c r="JPN34" s="1"/>
      <c r="JPO34" s="1"/>
      <c r="JPP34" s="1"/>
      <c r="JPQ34" s="1"/>
      <c r="JPR34" s="1"/>
      <c r="JPS34" s="1"/>
      <c r="JPT34" s="1"/>
      <c r="JPU34" s="1"/>
      <c r="JPV34" s="1"/>
      <c r="JPW34" s="1"/>
      <c r="JPX34" s="1"/>
      <c r="JPY34" s="1"/>
      <c r="JPZ34" s="1"/>
      <c r="JQA34" s="1"/>
      <c r="JQB34" s="1"/>
      <c r="JQC34" s="1"/>
      <c r="JQD34" s="1"/>
      <c r="JQE34" s="1"/>
      <c r="JQF34" s="1"/>
      <c r="JQG34" s="1"/>
      <c r="JQH34" s="1"/>
      <c r="JQI34" s="1"/>
      <c r="JQJ34" s="1"/>
      <c r="JQK34" s="1"/>
      <c r="JQL34" s="1"/>
      <c r="JQM34" s="1"/>
      <c r="JQN34" s="1"/>
      <c r="JQO34" s="1"/>
      <c r="JQP34" s="1"/>
      <c r="JQQ34" s="1"/>
      <c r="JQR34" s="1"/>
      <c r="JQS34" s="1"/>
      <c r="JQT34" s="1"/>
      <c r="JQU34" s="1"/>
      <c r="JQV34" s="1"/>
      <c r="JQW34" s="1"/>
      <c r="JQX34" s="1"/>
      <c r="JQY34" s="1"/>
      <c r="JQZ34" s="1"/>
      <c r="JRA34" s="1"/>
      <c r="JRB34" s="1"/>
      <c r="JRC34" s="1"/>
      <c r="JRD34" s="1"/>
      <c r="JRE34" s="1"/>
      <c r="JRF34" s="1"/>
      <c r="JRG34" s="1"/>
      <c r="JRH34" s="1"/>
      <c r="JRI34" s="1"/>
      <c r="JRJ34" s="1"/>
      <c r="JRK34" s="1"/>
      <c r="JRL34" s="1"/>
      <c r="JRM34" s="1"/>
      <c r="JRN34" s="1"/>
      <c r="JRO34" s="1"/>
      <c r="JRP34" s="1"/>
      <c r="JRQ34" s="1"/>
      <c r="JRR34" s="1"/>
      <c r="JRS34" s="1"/>
      <c r="JRT34" s="1"/>
      <c r="JRU34" s="1"/>
      <c r="JRV34" s="1"/>
      <c r="JRW34" s="1"/>
      <c r="JRX34" s="1"/>
      <c r="JRY34" s="1"/>
      <c r="JRZ34" s="1"/>
      <c r="JSA34" s="1"/>
      <c r="JSB34" s="1"/>
      <c r="JSC34" s="1"/>
      <c r="JSD34" s="1"/>
      <c r="JSE34" s="1"/>
      <c r="JSF34" s="1"/>
      <c r="JSG34" s="1"/>
      <c r="JSH34" s="1"/>
      <c r="JSI34" s="1"/>
      <c r="JSJ34" s="1"/>
      <c r="JSK34" s="1"/>
      <c r="JSL34" s="1"/>
      <c r="JSM34" s="1"/>
      <c r="JSN34" s="1"/>
      <c r="JSO34" s="1"/>
      <c r="JSP34" s="1"/>
      <c r="JSQ34" s="1"/>
      <c r="JSR34" s="1"/>
      <c r="JSS34" s="1"/>
      <c r="JST34" s="1"/>
      <c r="JSU34" s="1"/>
      <c r="JSV34" s="1"/>
      <c r="JSW34" s="1"/>
      <c r="JSX34" s="1"/>
      <c r="JSY34" s="1"/>
      <c r="JSZ34" s="1"/>
      <c r="JTA34" s="1"/>
      <c r="JTB34" s="1"/>
      <c r="JTC34" s="1"/>
      <c r="JTD34" s="1"/>
      <c r="JTE34" s="1"/>
      <c r="JTF34" s="1"/>
      <c r="JTG34" s="1"/>
      <c r="JTH34" s="1"/>
      <c r="JTI34" s="1"/>
      <c r="JTJ34" s="1"/>
      <c r="JTK34" s="1"/>
      <c r="JTL34" s="1"/>
      <c r="JTM34" s="1"/>
      <c r="JTN34" s="1"/>
      <c r="JTO34" s="1"/>
      <c r="JTP34" s="1"/>
      <c r="JTQ34" s="1"/>
      <c r="JTR34" s="1"/>
      <c r="JTS34" s="1"/>
      <c r="JTT34" s="1"/>
      <c r="JTU34" s="1"/>
      <c r="JTV34" s="1"/>
      <c r="JTW34" s="1"/>
      <c r="JTX34" s="1"/>
      <c r="JTY34" s="1"/>
      <c r="JTZ34" s="1"/>
      <c r="JUA34" s="1"/>
      <c r="JUB34" s="1"/>
      <c r="JUC34" s="1"/>
      <c r="JUD34" s="1"/>
      <c r="JUE34" s="1"/>
      <c r="JUF34" s="1"/>
      <c r="JUG34" s="1"/>
      <c r="JUH34" s="1"/>
      <c r="JUI34" s="1"/>
      <c r="JUJ34" s="1"/>
      <c r="JUK34" s="1"/>
      <c r="JUL34" s="1"/>
      <c r="JUM34" s="1"/>
      <c r="JUN34" s="1"/>
      <c r="JUO34" s="1"/>
      <c r="JUP34" s="1"/>
      <c r="JUQ34" s="1"/>
      <c r="JUR34" s="1"/>
      <c r="JUS34" s="1"/>
      <c r="JUT34" s="1"/>
      <c r="JUU34" s="1"/>
      <c r="JUV34" s="1"/>
      <c r="JUW34" s="1"/>
      <c r="JUX34" s="1"/>
      <c r="JUY34" s="1"/>
      <c r="JUZ34" s="1"/>
      <c r="JVA34" s="1"/>
      <c r="JVB34" s="1"/>
      <c r="JVC34" s="1"/>
      <c r="JVD34" s="1"/>
      <c r="JVE34" s="1"/>
      <c r="JVF34" s="1"/>
      <c r="JVG34" s="1"/>
      <c r="JVH34" s="1"/>
      <c r="JVI34" s="1"/>
      <c r="JVJ34" s="1"/>
      <c r="JVK34" s="1"/>
      <c r="JVL34" s="1"/>
      <c r="JVM34" s="1"/>
      <c r="JVN34" s="1"/>
      <c r="JVO34" s="1"/>
      <c r="JVP34" s="1"/>
      <c r="JVQ34" s="1"/>
      <c r="JVR34" s="1"/>
      <c r="JVS34" s="1"/>
      <c r="JVT34" s="1"/>
      <c r="JVU34" s="1"/>
      <c r="JVV34" s="1"/>
      <c r="JVW34" s="1"/>
      <c r="JVX34" s="1"/>
      <c r="JVY34" s="1"/>
      <c r="JVZ34" s="1"/>
      <c r="JWA34" s="1"/>
      <c r="JWB34" s="1"/>
      <c r="JWC34" s="1"/>
      <c r="JWD34" s="1"/>
      <c r="JWE34" s="1"/>
      <c r="JWF34" s="1"/>
      <c r="JWG34" s="1"/>
      <c r="JWH34" s="1"/>
      <c r="JWI34" s="1"/>
      <c r="JWJ34" s="1"/>
      <c r="JWK34" s="1"/>
      <c r="JWL34" s="1"/>
      <c r="JWM34" s="1"/>
      <c r="JWN34" s="1"/>
      <c r="JWO34" s="1"/>
      <c r="JWP34" s="1"/>
      <c r="JWQ34" s="1"/>
      <c r="JWR34" s="1"/>
      <c r="JWS34" s="1"/>
      <c r="JWT34" s="1"/>
      <c r="JWU34" s="1"/>
      <c r="JWV34" s="1"/>
      <c r="JWW34" s="1"/>
      <c r="JWX34" s="1"/>
      <c r="JWY34" s="1"/>
      <c r="JWZ34" s="1"/>
      <c r="JXA34" s="1"/>
      <c r="JXB34" s="1"/>
      <c r="JXC34" s="1"/>
      <c r="JXD34" s="1"/>
      <c r="JXE34" s="1"/>
      <c r="JXF34" s="1"/>
      <c r="JXG34" s="1"/>
      <c r="JXH34" s="1"/>
      <c r="JXI34" s="1"/>
      <c r="JXJ34" s="1"/>
      <c r="JXK34" s="1"/>
      <c r="JXL34" s="1"/>
      <c r="JXM34" s="1"/>
      <c r="JXN34" s="1"/>
      <c r="JXO34" s="1"/>
      <c r="JXP34" s="1"/>
      <c r="JXQ34" s="1"/>
      <c r="JXR34" s="1"/>
      <c r="JXS34" s="1"/>
      <c r="JXT34" s="1"/>
      <c r="JXU34" s="1"/>
      <c r="JXV34" s="1"/>
      <c r="JXW34" s="1"/>
      <c r="JXX34" s="1"/>
      <c r="JXY34" s="1"/>
      <c r="JXZ34" s="1"/>
      <c r="JYA34" s="1"/>
      <c r="JYB34" s="1"/>
      <c r="JYC34" s="1"/>
      <c r="JYD34" s="1"/>
      <c r="JYE34" s="1"/>
      <c r="JYF34" s="1"/>
      <c r="JYG34" s="1"/>
      <c r="JYH34" s="1"/>
      <c r="JYI34" s="1"/>
      <c r="JYJ34" s="1"/>
      <c r="JYK34" s="1"/>
      <c r="JYL34" s="1"/>
      <c r="JYM34" s="1"/>
      <c r="JYN34" s="1"/>
      <c r="JYO34" s="1"/>
      <c r="JYP34" s="1"/>
      <c r="JYQ34" s="1"/>
      <c r="JYR34" s="1"/>
      <c r="JYS34" s="1"/>
      <c r="JYT34" s="1"/>
      <c r="JYU34" s="1"/>
      <c r="JYV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H34" s="1"/>
      <c r="JZI34" s="1"/>
      <c r="JZJ34" s="1"/>
      <c r="JZK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JZX34" s="1"/>
      <c r="JZY34" s="1"/>
      <c r="JZZ34" s="1"/>
      <c r="KAA34" s="1"/>
      <c r="KAB34" s="1"/>
      <c r="KAC34" s="1"/>
      <c r="KAD34" s="1"/>
      <c r="KAE34" s="1"/>
      <c r="KAF34" s="1"/>
      <c r="KAG34" s="1"/>
      <c r="KAH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AZ34" s="1"/>
      <c r="KBA34" s="1"/>
      <c r="KBB34" s="1"/>
      <c r="KBC34" s="1"/>
      <c r="KBD34" s="1"/>
      <c r="KBE34" s="1"/>
      <c r="KBF34" s="1"/>
      <c r="KBG34" s="1"/>
      <c r="KBH34" s="1"/>
      <c r="KBI34" s="1"/>
      <c r="KBJ34" s="1"/>
      <c r="KBK34" s="1"/>
      <c r="KBL34" s="1"/>
      <c r="KBM34" s="1"/>
      <c r="KBN34" s="1"/>
      <c r="KBO34" s="1"/>
      <c r="KBP34" s="1"/>
      <c r="KBQ34" s="1"/>
      <c r="KBR34" s="1"/>
      <c r="KBS34" s="1"/>
      <c r="KBT34" s="1"/>
      <c r="KBU34" s="1"/>
      <c r="KBV34" s="1"/>
      <c r="KBW34" s="1"/>
      <c r="KBX34" s="1"/>
      <c r="KBY34" s="1"/>
      <c r="KBZ34" s="1"/>
      <c r="KCA34" s="1"/>
      <c r="KCB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N34" s="1"/>
      <c r="KCO34" s="1"/>
      <c r="KCP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E34" s="1"/>
      <c r="KDF34" s="1"/>
      <c r="KDG34" s="1"/>
      <c r="KDH34" s="1"/>
      <c r="KDI34" s="1"/>
      <c r="KDJ34" s="1"/>
      <c r="KDK34" s="1"/>
      <c r="KDL34" s="1"/>
      <c r="KDM34" s="1"/>
      <c r="KDN34" s="1"/>
      <c r="KDO34" s="1"/>
      <c r="KDP34" s="1"/>
      <c r="KDQ34" s="1"/>
      <c r="KDR34" s="1"/>
      <c r="KDS34" s="1"/>
      <c r="KDT34" s="1"/>
      <c r="KDU34" s="1"/>
      <c r="KDV34" s="1"/>
      <c r="KDW34" s="1"/>
      <c r="KDX34" s="1"/>
      <c r="KDY34" s="1"/>
      <c r="KDZ34" s="1"/>
      <c r="KEA34" s="1"/>
      <c r="KEB34" s="1"/>
      <c r="KEC34" s="1"/>
      <c r="KED34" s="1"/>
      <c r="KEE34" s="1"/>
      <c r="KEF34" s="1"/>
      <c r="KEG34" s="1"/>
      <c r="KEH34" s="1"/>
      <c r="KEI34" s="1"/>
      <c r="KEJ34" s="1"/>
      <c r="KEK34" s="1"/>
      <c r="KEL34" s="1"/>
      <c r="KEM34" s="1"/>
      <c r="KEN34" s="1"/>
      <c r="KEO34" s="1"/>
      <c r="KEP34" s="1"/>
      <c r="KEQ34" s="1"/>
      <c r="KER34" s="1"/>
      <c r="KES34" s="1"/>
      <c r="KET34" s="1"/>
      <c r="KEU34" s="1"/>
      <c r="KEV34" s="1"/>
      <c r="KEW34" s="1"/>
      <c r="KEX34" s="1"/>
      <c r="KEY34" s="1"/>
      <c r="KEZ34" s="1"/>
      <c r="KFA34" s="1"/>
      <c r="KFB34" s="1"/>
      <c r="KFC34" s="1"/>
      <c r="KFD34" s="1"/>
      <c r="KFE34" s="1"/>
      <c r="KFF34" s="1"/>
      <c r="KFG34" s="1"/>
      <c r="KFH34" s="1"/>
      <c r="KFI34" s="1"/>
      <c r="KFJ34" s="1"/>
      <c r="KFK34" s="1"/>
      <c r="KFL34" s="1"/>
      <c r="KFM34" s="1"/>
      <c r="KFN34" s="1"/>
      <c r="KFO34" s="1"/>
      <c r="KFP34" s="1"/>
      <c r="KFQ34" s="1"/>
      <c r="KFR34" s="1"/>
      <c r="KFS34" s="1"/>
      <c r="KFT34" s="1"/>
      <c r="KFU34" s="1"/>
      <c r="KFV34" s="1"/>
      <c r="KFW34" s="1"/>
      <c r="KFX34" s="1"/>
      <c r="KFY34" s="1"/>
      <c r="KFZ34" s="1"/>
      <c r="KGA34" s="1"/>
      <c r="KGB34" s="1"/>
      <c r="KGC34" s="1"/>
      <c r="KGD34" s="1"/>
      <c r="KGE34" s="1"/>
      <c r="KGF34" s="1"/>
      <c r="KGG34" s="1"/>
      <c r="KGH34" s="1"/>
      <c r="KGI34" s="1"/>
      <c r="KGJ34" s="1"/>
      <c r="KGK34" s="1"/>
      <c r="KGL34" s="1"/>
      <c r="KGM34" s="1"/>
      <c r="KGN34" s="1"/>
      <c r="KGO34" s="1"/>
      <c r="KGP34" s="1"/>
      <c r="KGQ34" s="1"/>
      <c r="KGR34" s="1"/>
      <c r="KGS34" s="1"/>
      <c r="KGT34" s="1"/>
      <c r="KGU34" s="1"/>
      <c r="KGV34" s="1"/>
      <c r="KGW34" s="1"/>
      <c r="KGX34" s="1"/>
      <c r="KGY34" s="1"/>
      <c r="KGZ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P34" s="1"/>
      <c r="KHQ34" s="1"/>
      <c r="KHR34" s="1"/>
      <c r="KHS34" s="1"/>
      <c r="KHT34" s="1"/>
      <c r="KHU34" s="1"/>
      <c r="KHV34" s="1"/>
      <c r="KHW34" s="1"/>
      <c r="KHX34" s="1"/>
      <c r="KHY34" s="1"/>
      <c r="KHZ34" s="1"/>
      <c r="KIA34" s="1"/>
      <c r="KIB34" s="1"/>
      <c r="KIC34" s="1"/>
      <c r="KID34" s="1"/>
      <c r="KIE34" s="1"/>
      <c r="KIF34" s="1"/>
      <c r="KIG34" s="1"/>
      <c r="KIH34" s="1"/>
      <c r="KII34" s="1"/>
      <c r="KIJ34" s="1"/>
      <c r="KIK34" s="1"/>
      <c r="KIL34" s="1"/>
      <c r="KIM34" s="1"/>
      <c r="KIN34" s="1"/>
      <c r="KIO34" s="1"/>
      <c r="KIP34" s="1"/>
      <c r="KIQ34" s="1"/>
      <c r="KIR34" s="1"/>
      <c r="KIS34" s="1"/>
      <c r="KIT34" s="1"/>
      <c r="KIU34" s="1"/>
      <c r="KIV34" s="1"/>
      <c r="KIW34" s="1"/>
      <c r="KIX34" s="1"/>
      <c r="KIY34" s="1"/>
      <c r="KIZ34" s="1"/>
      <c r="KJA34" s="1"/>
      <c r="KJB34" s="1"/>
      <c r="KJC34" s="1"/>
      <c r="KJD34" s="1"/>
      <c r="KJE34" s="1"/>
      <c r="KJF34" s="1"/>
      <c r="KJG34" s="1"/>
      <c r="KJH34" s="1"/>
      <c r="KJI34" s="1"/>
      <c r="KJJ34" s="1"/>
      <c r="KJK34" s="1"/>
      <c r="KJL34" s="1"/>
      <c r="KJM34" s="1"/>
      <c r="KJN34" s="1"/>
      <c r="KJO34" s="1"/>
      <c r="KJP34" s="1"/>
      <c r="KJQ34" s="1"/>
      <c r="KJR34" s="1"/>
      <c r="KJS34" s="1"/>
      <c r="KJT34" s="1"/>
      <c r="KJU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F34" s="1"/>
      <c r="KKG34" s="1"/>
      <c r="KKH34" s="1"/>
      <c r="KKI34" s="1"/>
      <c r="KKJ34" s="1"/>
      <c r="KKK34" s="1"/>
      <c r="KKL34" s="1"/>
      <c r="KKM34" s="1"/>
      <c r="KKN34" s="1"/>
      <c r="KKO34" s="1"/>
      <c r="KKP34" s="1"/>
      <c r="KKQ34" s="1"/>
      <c r="KKR34" s="1"/>
      <c r="KKS34" s="1"/>
      <c r="KKT34" s="1"/>
      <c r="KKU34" s="1"/>
      <c r="KKV34" s="1"/>
      <c r="KKW34" s="1"/>
      <c r="KKX34" s="1"/>
      <c r="KKY34" s="1"/>
      <c r="KKZ34" s="1"/>
      <c r="KLA34" s="1"/>
      <c r="KLB34" s="1"/>
      <c r="KLC34" s="1"/>
      <c r="KLD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C34" s="1"/>
      <c r="KMD34" s="1"/>
      <c r="KME34" s="1"/>
      <c r="KMF34" s="1"/>
      <c r="KMG34" s="1"/>
      <c r="KMH34" s="1"/>
      <c r="KMI34" s="1"/>
      <c r="KMJ34" s="1"/>
      <c r="KMK34" s="1"/>
      <c r="KML34" s="1"/>
      <c r="KMM34" s="1"/>
      <c r="KMN34" s="1"/>
      <c r="KMO34" s="1"/>
      <c r="KMP34" s="1"/>
      <c r="KMQ34" s="1"/>
      <c r="KMR34" s="1"/>
      <c r="KMS34" s="1"/>
      <c r="KMT34" s="1"/>
      <c r="KMU34" s="1"/>
      <c r="KMV34" s="1"/>
      <c r="KMW34" s="1"/>
      <c r="KMX34" s="1"/>
      <c r="KMY34" s="1"/>
      <c r="KMZ34" s="1"/>
      <c r="KNA34" s="1"/>
      <c r="KNB34" s="1"/>
      <c r="KNC34" s="1"/>
      <c r="KND34" s="1"/>
      <c r="KNE34" s="1"/>
      <c r="KNF34" s="1"/>
      <c r="KNG34" s="1"/>
      <c r="KNH34" s="1"/>
      <c r="KNI34" s="1"/>
      <c r="KNJ34" s="1"/>
      <c r="KNK34" s="1"/>
      <c r="KNL34" s="1"/>
      <c r="KNM34" s="1"/>
      <c r="KNN34" s="1"/>
      <c r="KNO34" s="1"/>
      <c r="KNP34" s="1"/>
      <c r="KNQ34" s="1"/>
      <c r="KNR34" s="1"/>
      <c r="KNS34" s="1"/>
      <c r="KNT34" s="1"/>
      <c r="KNU34" s="1"/>
      <c r="KNV34" s="1"/>
      <c r="KNW34" s="1"/>
      <c r="KNX34" s="1"/>
      <c r="KNY34" s="1"/>
      <c r="KNZ34" s="1"/>
      <c r="KOA34" s="1"/>
      <c r="KOB34" s="1"/>
      <c r="KOC34" s="1"/>
      <c r="KOD34" s="1"/>
      <c r="KOE34" s="1"/>
      <c r="KOF34" s="1"/>
      <c r="KOG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R34" s="1"/>
      <c r="KOS34" s="1"/>
      <c r="KOT34" s="1"/>
      <c r="KOU34" s="1"/>
      <c r="KOV34" s="1"/>
      <c r="KOW34" s="1"/>
      <c r="KOX34" s="1"/>
      <c r="KOY34" s="1"/>
      <c r="KOZ34" s="1"/>
      <c r="KPA34" s="1"/>
      <c r="KPB34" s="1"/>
      <c r="KPC34" s="1"/>
      <c r="KPD34" s="1"/>
      <c r="KPE34" s="1"/>
      <c r="KPF34" s="1"/>
      <c r="KPG34" s="1"/>
      <c r="KPH34" s="1"/>
      <c r="KPI34" s="1"/>
      <c r="KPJ34" s="1"/>
      <c r="KPK34" s="1"/>
      <c r="KPL34" s="1"/>
      <c r="KPM34" s="1"/>
      <c r="KPN34" s="1"/>
      <c r="KPO34" s="1"/>
      <c r="KPP34" s="1"/>
      <c r="KPQ34" s="1"/>
      <c r="KPR34" s="1"/>
      <c r="KPS34" s="1"/>
      <c r="KPT34" s="1"/>
      <c r="KPU34" s="1"/>
      <c r="KPV34" s="1"/>
      <c r="KPW34" s="1"/>
      <c r="KPX34" s="1"/>
      <c r="KPY34" s="1"/>
      <c r="KPZ34" s="1"/>
      <c r="KQA34" s="1"/>
      <c r="KQB34" s="1"/>
      <c r="KQC34" s="1"/>
      <c r="KQD34" s="1"/>
      <c r="KQE34" s="1"/>
      <c r="KQF34" s="1"/>
      <c r="KQG34" s="1"/>
      <c r="KQH34" s="1"/>
      <c r="KQI34" s="1"/>
      <c r="KQJ34" s="1"/>
      <c r="KQK34" s="1"/>
      <c r="KQL34" s="1"/>
      <c r="KQM34" s="1"/>
      <c r="KQN34" s="1"/>
      <c r="KQO34" s="1"/>
      <c r="KQP34" s="1"/>
      <c r="KQQ34" s="1"/>
      <c r="KQR34" s="1"/>
      <c r="KQS34" s="1"/>
      <c r="KQT34" s="1"/>
      <c r="KQU34" s="1"/>
      <c r="KQV34" s="1"/>
      <c r="KQW34" s="1"/>
      <c r="KQX34" s="1"/>
      <c r="KQY34" s="1"/>
      <c r="KQZ34" s="1"/>
      <c r="KRA34" s="1"/>
      <c r="KRB34" s="1"/>
      <c r="KRC34" s="1"/>
      <c r="KRD34" s="1"/>
      <c r="KRE34" s="1"/>
      <c r="KRF34" s="1"/>
      <c r="KRG34" s="1"/>
      <c r="KRH34" s="1"/>
      <c r="KRI34" s="1"/>
      <c r="KRJ34" s="1"/>
      <c r="KRK34" s="1"/>
      <c r="KRL34" s="1"/>
      <c r="KRM34" s="1"/>
      <c r="KRN34" s="1"/>
      <c r="KRO34" s="1"/>
      <c r="KRP34" s="1"/>
      <c r="KRQ34" s="1"/>
      <c r="KRR34" s="1"/>
      <c r="KRS34" s="1"/>
      <c r="KRT34" s="1"/>
      <c r="KRU34" s="1"/>
      <c r="KRV34" s="1"/>
      <c r="KRW34" s="1"/>
      <c r="KRX34" s="1"/>
      <c r="KRY34" s="1"/>
      <c r="KRZ34" s="1"/>
      <c r="KSA34" s="1"/>
      <c r="KSB34" s="1"/>
      <c r="KSC34" s="1"/>
      <c r="KSD34" s="1"/>
      <c r="KSE34" s="1"/>
      <c r="KSF34" s="1"/>
      <c r="KSG34" s="1"/>
      <c r="KSH34" s="1"/>
      <c r="KSI34" s="1"/>
      <c r="KSJ34" s="1"/>
      <c r="KSK34" s="1"/>
      <c r="KSL34" s="1"/>
      <c r="KSM34" s="1"/>
      <c r="KSN34" s="1"/>
      <c r="KSO34" s="1"/>
      <c r="KSP34" s="1"/>
      <c r="KSQ34" s="1"/>
      <c r="KSR34" s="1"/>
      <c r="KSS34" s="1"/>
      <c r="KST34" s="1"/>
      <c r="KSU34" s="1"/>
      <c r="KSV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U34" s="1"/>
      <c r="KTV34" s="1"/>
      <c r="KTW34" s="1"/>
      <c r="KTX34" s="1"/>
      <c r="KTY34" s="1"/>
      <c r="KTZ34" s="1"/>
      <c r="KUA34" s="1"/>
      <c r="KUB34" s="1"/>
      <c r="KUC34" s="1"/>
      <c r="KUD34" s="1"/>
      <c r="KUE34" s="1"/>
      <c r="KUF34" s="1"/>
      <c r="KUG34" s="1"/>
      <c r="KUH34" s="1"/>
      <c r="KUI34" s="1"/>
      <c r="KUJ34" s="1"/>
      <c r="KUK34" s="1"/>
      <c r="KUL34" s="1"/>
      <c r="KUM34" s="1"/>
      <c r="KUN34" s="1"/>
      <c r="KUO34" s="1"/>
      <c r="KUP34" s="1"/>
      <c r="KUQ34" s="1"/>
      <c r="KUR34" s="1"/>
      <c r="KUS34" s="1"/>
      <c r="KUT34" s="1"/>
      <c r="KUU34" s="1"/>
      <c r="KUV34" s="1"/>
      <c r="KUW34" s="1"/>
      <c r="KUX34" s="1"/>
      <c r="KUY34" s="1"/>
      <c r="KUZ34" s="1"/>
      <c r="KVA34" s="1"/>
      <c r="KVB34" s="1"/>
      <c r="KVC34" s="1"/>
      <c r="KVD34" s="1"/>
      <c r="KVE34" s="1"/>
      <c r="KVF34" s="1"/>
      <c r="KVG34" s="1"/>
      <c r="KVH34" s="1"/>
      <c r="KVI34" s="1"/>
      <c r="KVJ34" s="1"/>
      <c r="KVK34" s="1"/>
      <c r="KVL34" s="1"/>
      <c r="KVM34" s="1"/>
      <c r="KVN34" s="1"/>
      <c r="KVO34" s="1"/>
      <c r="KVP34" s="1"/>
      <c r="KVQ34" s="1"/>
      <c r="KVR34" s="1"/>
      <c r="KVS34" s="1"/>
      <c r="KVT34" s="1"/>
      <c r="KVU34" s="1"/>
      <c r="KVV34" s="1"/>
      <c r="KVW34" s="1"/>
      <c r="KVX34" s="1"/>
      <c r="KVY34" s="1"/>
      <c r="KVZ34" s="1"/>
      <c r="KWA34" s="1"/>
      <c r="KWB34" s="1"/>
      <c r="KWC34" s="1"/>
      <c r="KWD34" s="1"/>
      <c r="KWE34" s="1"/>
      <c r="KWF34" s="1"/>
      <c r="KWG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WZ34" s="1"/>
      <c r="KXA34" s="1"/>
      <c r="KXB34" s="1"/>
      <c r="KXC34" s="1"/>
      <c r="KXD34" s="1"/>
      <c r="KXE34" s="1"/>
      <c r="KXF34" s="1"/>
      <c r="KXG34" s="1"/>
      <c r="KXH34" s="1"/>
      <c r="KXI34" s="1"/>
      <c r="KXJ34" s="1"/>
      <c r="KXK34" s="1"/>
      <c r="KXL34" s="1"/>
      <c r="KXM34" s="1"/>
      <c r="KXN34" s="1"/>
      <c r="KXO34" s="1"/>
      <c r="KXP34" s="1"/>
      <c r="KXQ34" s="1"/>
      <c r="KXR34" s="1"/>
      <c r="KXS34" s="1"/>
      <c r="KXT34" s="1"/>
      <c r="KXU34" s="1"/>
      <c r="KXV34" s="1"/>
      <c r="KXW34" s="1"/>
      <c r="KXX34" s="1"/>
      <c r="KXY34" s="1"/>
      <c r="KXZ34" s="1"/>
      <c r="KYA34" s="1"/>
      <c r="KYB34" s="1"/>
      <c r="KYC34" s="1"/>
      <c r="KYD34" s="1"/>
      <c r="KYE34" s="1"/>
      <c r="KYF34" s="1"/>
      <c r="KYG34" s="1"/>
      <c r="KYH34" s="1"/>
      <c r="KYI34" s="1"/>
      <c r="KYJ34" s="1"/>
      <c r="KYK34" s="1"/>
      <c r="KYL34" s="1"/>
      <c r="KYM34" s="1"/>
      <c r="KYN34" s="1"/>
      <c r="KYO34" s="1"/>
      <c r="KYP34" s="1"/>
      <c r="KYQ34" s="1"/>
      <c r="KYR34" s="1"/>
      <c r="KYS34" s="1"/>
      <c r="KYT34" s="1"/>
      <c r="KYU34" s="1"/>
      <c r="KYV34" s="1"/>
      <c r="KYW34" s="1"/>
      <c r="KYX34" s="1"/>
      <c r="KYY34" s="1"/>
      <c r="KYZ34" s="1"/>
      <c r="KZA34" s="1"/>
      <c r="KZB34" s="1"/>
      <c r="KZC34" s="1"/>
      <c r="KZD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P34" s="1"/>
      <c r="KZQ34" s="1"/>
      <c r="KZR34" s="1"/>
      <c r="KZS34" s="1"/>
      <c r="KZT34" s="1"/>
      <c r="KZU34" s="1"/>
      <c r="KZV34" s="1"/>
      <c r="KZW34" s="1"/>
      <c r="KZX34" s="1"/>
      <c r="KZY34" s="1"/>
      <c r="KZZ34" s="1"/>
      <c r="LAA34" s="1"/>
      <c r="LAB34" s="1"/>
      <c r="LAC34" s="1"/>
      <c r="LAD34" s="1"/>
      <c r="LAE34" s="1"/>
      <c r="LAF34" s="1"/>
      <c r="LAG34" s="1"/>
      <c r="LAH34" s="1"/>
      <c r="LAI34" s="1"/>
      <c r="LAJ34" s="1"/>
      <c r="LAK34" s="1"/>
      <c r="LAL34" s="1"/>
      <c r="LAM34" s="1"/>
      <c r="LAN34" s="1"/>
      <c r="LAO34" s="1"/>
      <c r="LAP34" s="1"/>
      <c r="LAQ34" s="1"/>
      <c r="LAR34" s="1"/>
      <c r="LAS34" s="1"/>
      <c r="LAT34" s="1"/>
      <c r="LAU34" s="1"/>
      <c r="LAV34" s="1"/>
      <c r="LAW34" s="1"/>
      <c r="LAX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M34" s="1"/>
      <c r="LBN34" s="1"/>
      <c r="LBO34" s="1"/>
      <c r="LBP34" s="1"/>
      <c r="LBQ34" s="1"/>
      <c r="LBR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K34" s="1"/>
      <c r="LCL34" s="1"/>
      <c r="LCM34" s="1"/>
      <c r="LCN34" s="1"/>
      <c r="LCO34" s="1"/>
      <c r="LCP34" s="1"/>
      <c r="LCQ34" s="1"/>
      <c r="LCR34" s="1"/>
      <c r="LCS34" s="1"/>
      <c r="LCT34" s="1"/>
      <c r="LCU34" s="1"/>
      <c r="LCV34" s="1"/>
      <c r="LCW34" s="1"/>
      <c r="LCX34" s="1"/>
      <c r="LCY34" s="1"/>
      <c r="LCZ34" s="1"/>
      <c r="LDA34" s="1"/>
      <c r="LDB34" s="1"/>
      <c r="LDC34" s="1"/>
      <c r="LDD34" s="1"/>
      <c r="LDE34" s="1"/>
      <c r="LDF34" s="1"/>
      <c r="LDG34" s="1"/>
      <c r="LDH34" s="1"/>
      <c r="LDI34" s="1"/>
      <c r="LDJ34" s="1"/>
      <c r="LDK34" s="1"/>
      <c r="LDL34" s="1"/>
      <c r="LDM34" s="1"/>
      <c r="LDN34" s="1"/>
      <c r="LDO34" s="1"/>
      <c r="LDP34" s="1"/>
      <c r="LDQ34" s="1"/>
      <c r="LDR34" s="1"/>
      <c r="LDS34" s="1"/>
      <c r="LDT34" s="1"/>
      <c r="LDU34" s="1"/>
      <c r="LDV34" s="1"/>
      <c r="LDW34" s="1"/>
      <c r="LDX34" s="1"/>
      <c r="LDY34" s="1"/>
      <c r="LDZ34" s="1"/>
      <c r="LEA34" s="1"/>
      <c r="LEB34" s="1"/>
      <c r="LEC34" s="1"/>
      <c r="LED34" s="1"/>
      <c r="LEE34" s="1"/>
      <c r="LEF34" s="1"/>
      <c r="LEG34" s="1"/>
      <c r="LEH34" s="1"/>
      <c r="LEI34" s="1"/>
      <c r="LEJ34" s="1"/>
      <c r="LEK34" s="1"/>
      <c r="LEL34" s="1"/>
      <c r="LEM34" s="1"/>
      <c r="LEN34" s="1"/>
      <c r="LEO34" s="1"/>
      <c r="LEP34" s="1"/>
      <c r="LEQ34" s="1"/>
      <c r="LER34" s="1"/>
      <c r="LES34" s="1"/>
      <c r="LET34" s="1"/>
      <c r="LEU34" s="1"/>
      <c r="LEV34" s="1"/>
      <c r="LEW34" s="1"/>
      <c r="LEX34" s="1"/>
      <c r="LEY34" s="1"/>
      <c r="LEZ34" s="1"/>
      <c r="LFA34" s="1"/>
      <c r="LFB34" s="1"/>
      <c r="LFC34" s="1"/>
      <c r="LFD34" s="1"/>
      <c r="LFE34" s="1"/>
      <c r="LFF34" s="1"/>
      <c r="LFG34" s="1"/>
      <c r="LFH34" s="1"/>
      <c r="LFI34" s="1"/>
      <c r="LFJ34" s="1"/>
      <c r="LFK34" s="1"/>
      <c r="LFL34" s="1"/>
      <c r="LFM34" s="1"/>
      <c r="LFN34" s="1"/>
      <c r="LFO34" s="1"/>
      <c r="LFP34" s="1"/>
      <c r="LFQ34" s="1"/>
      <c r="LFR34" s="1"/>
      <c r="LFS34" s="1"/>
      <c r="LFT34" s="1"/>
      <c r="LFU34" s="1"/>
      <c r="LFV34" s="1"/>
      <c r="LFW34" s="1"/>
      <c r="LFX34" s="1"/>
      <c r="LFY34" s="1"/>
      <c r="LFZ34" s="1"/>
      <c r="LGA34" s="1"/>
      <c r="LGB34" s="1"/>
      <c r="LGC34" s="1"/>
      <c r="LGD34" s="1"/>
      <c r="LGE34" s="1"/>
      <c r="LGF34" s="1"/>
      <c r="LGG34" s="1"/>
      <c r="LGH34" s="1"/>
      <c r="LGI34" s="1"/>
      <c r="LGJ34" s="1"/>
      <c r="LGK34" s="1"/>
      <c r="LGL34" s="1"/>
      <c r="LGM34" s="1"/>
      <c r="LGN34" s="1"/>
      <c r="LGO34" s="1"/>
      <c r="LGP34" s="1"/>
      <c r="LGQ34" s="1"/>
      <c r="LGR34" s="1"/>
      <c r="LGS34" s="1"/>
      <c r="LGT34" s="1"/>
      <c r="LGU34" s="1"/>
      <c r="LGV34" s="1"/>
      <c r="LGW34" s="1"/>
      <c r="LGX34" s="1"/>
      <c r="LGY34" s="1"/>
      <c r="LGZ34" s="1"/>
      <c r="LHA34" s="1"/>
      <c r="LHB34" s="1"/>
      <c r="LHC34" s="1"/>
      <c r="LHD34" s="1"/>
      <c r="LHE34" s="1"/>
      <c r="LHF34" s="1"/>
      <c r="LHG34" s="1"/>
      <c r="LHH34" s="1"/>
      <c r="LHI34" s="1"/>
      <c r="LHJ34" s="1"/>
      <c r="LHK34" s="1"/>
      <c r="LHL34" s="1"/>
      <c r="LHM34" s="1"/>
      <c r="LHN34" s="1"/>
      <c r="LHO34" s="1"/>
      <c r="LHP34" s="1"/>
      <c r="LHQ34" s="1"/>
      <c r="LHR34" s="1"/>
      <c r="LHS34" s="1"/>
      <c r="LHT34" s="1"/>
      <c r="LHU34" s="1"/>
      <c r="LHV34" s="1"/>
      <c r="LHW34" s="1"/>
      <c r="LHX34" s="1"/>
      <c r="LHY34" s="1"/>
      <c r="LHZ34" s="1"/>
      <c r="LIA34" s="1"/>
      <c r="LIB34" s="1"/>
      <c r="LIC34" s="1"/>
      <c r="LID34" s="1"/>
      <c r="LIE34" s="1"/>
      <c r="LIF34" s="1"/>
      <c r="LIG34" s="1"/>
      <c r="LIH34" s="1"/>
      <c r="LII34" s="1"/>
      <c r="LIJ34" s="1"/>
      <c r="LIK34" s="1"/>
      <c r="LIL34" s="1"/>
      <c r="LIM34" s="1"/>
      <c r="LIN34" s="1"/>
      <c r="LIO34" s="1"/>
      <c r="LIP34" s="1"/>
      <c r="LIQ34" s="1"/>
      <c r="LIR34" s="1"/>
      <c r="LIS34" s="1"/>
      <c r="LIT34" s="1"/>
      <c r="LIU34" s="1"/>
      <c r="LIV34" s="1"/>
      <c r="LIW34" s="1"/>
      <c r="LIX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L34" s="1"/>
      <c r="LJM34" s="1"/>
      <c r="LJN34" s="1"/>
      <c r="LJO34" s="1"/>
      <c r="LJP34" s="1"/>
      <c r="LJQ34" s="1"/>
      <c r="LJR34" s="1"/>
      <c r="LJS34" s="1"/>
      <c r="LJT34" s="1"/>
      <c r="LJU34" s="1"/>
      <c r="LJV34" s="1"/>
      <c r="LJW34" s="1"/>
      <c r="LJX34" s="1"/>
      <c r="LJY34" s="1"/>
      <c r="LJZ34" s="1"/>
      <c r="LKA34" s="1"/>
      <c r="LKB34" s="1"/>
      <c r="LKC34" s="1"/>
      <c r="LKD34" s="1"/>
      <c r="LKE34" s="1"/>
      <c r="LKF34" s="1"/>
      <c r="LKG34" s="1"/>
      <c r="LKH34" s="1"/>
      <c r="LKI34" s="1"/>
      <c r="LKJ34" s="1"/>
      <c r="LKK34" s="1"/>
      <c r="LKL34" s="1"/>
      <c r="LKM34" s="1"/>
      <c r="LKN34" s="1"/>
      <c r="LKO34" s="1"/>
      <c r="LKP34" s="1"/>
      <c r="LKQ34" s="1"/>
      <c r="LKR34" s="1"/>
      <c r="LKS34" s="1"/>
      <c r="LKT34" s="1"/>
      <c r="LKU34" s="1"/>
      <c r="LKV34" s="1"/>
      <c r="LKW34" s="1"/>
      <c r="LKX34" s="1"/>
      <c r="LKY34" s="1"/>
      <c r="LKZ34" s="1"/>
      <c r="LLA34" s="1"/>
      <c r="LLB34" s="1"/>
      <c r="LLC34" s="1"/>
      <c r="LLD34" s="1"/>
      <c r="LLE34" s="1"/>
      <c r="LLF34" s="1"/>
      <c r="LLG34" s="1"/>
      <c r="LLH34" s="1"/>
      <c r="LLI34" s="1"/>
      <c r="LLJ34" s="1"/>
      <c r="LLK34" s="1"/>
      <c r="LLL34" s="1"/>
      <c r="LLM34" s="1"/>
      <c r="LLN34" s="1"/>
      <c r="LLO34" s="1"/>
      <c r="LLP34" s="1"/>
      <c r="LLQ34" s="1"/>
      <c r="LLR34" s="1"/>
      <c r="LLS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F34" s="1"/>
      <c r="LMG34" s="1"/>
      <c r="LMH34" s="1"/>
      <c r="LMI34" s="1"/>
      <c r="LMJ34" s="1"/>
      <c r="LMK34" s="1"/>
      <c r="LML34" s="1"/>
      <c r="LMM34" s="1"/>
      <c r="LMN34" s="1"/>
      <c r="LMO34" s="1"/>
      <c r="LMP34" s="1"/>
      <c r="LMQ34" s="1"/>
      <c r="LMR34" s="1"/>
      <c r="LMS34" s="1"/>
      <c r="LMT34" s="1"/>
      <c r="LMU34" s="1"/>
      <c r="LMV34" s="1"/>
      <c r="LMW34" s="1"/>
      <c r="LMX34" s="1"/>
      <c r="LMY34" s="1"/>
      <c r="LMZ34" s="1"/>
      <c r="LNA34" s="1"/>
      <c r="LNB34" s="1"/>
      <c r="LNC34" s="1"/>
      <c r="LND34" s="1"/>
      <c r="LNE34" s="1"/>
      <c r="LNF34" s="1"/>
      <c r="LNG34" s="1"/>
      <c r="LNH34" s="1"/>
      <c r="LNI34" s="1"/>
      <c r="LNJ34" s="1"/>
      <c r="LNK34" s="1"/>
      <c r="LNL34" s="1"/>
      <c r="LNM34" s="1"/>
      <c r="LNN34" s="1"/>
      <c r="LNO34" s="1"/>
      <c r="LNP34" s="1"/>
      <c r="LNQ34" s="1"/>
      <c r="LNR34" s="1"/>
      <c r="LNS34" s="1"/>
      <c r="LNT34" s="1"/>
      <c r="LNU34" s="1"/>
      <c r="LNV34" s="1"/>
      <c r="LNW34" s="1"/>
      <c r="LNX34" s="1"/>
      <c r="LNY34" s="1"/>
      <c r="LNZ34" s="1"/>
      <c r="LOA34" s="1"/>
      <c r="LOB34" s="1"/>
      <c r="LOC34" s="1"/>
      <c r="LOD34" s="1"/>
      <c r="LOE34" s="1"/>
      <c r="LOF34" s="1"/>
      <c r="LOG34" s="1"/>
      <c r="LOH34" s="1"/>
      <c r="LOI34" s="1"/>
      <c r="LOJ34" s="1"/>
      <c r="LOK34" s="1"/>
      <c r="LOL34" s="1"/>
      <c r="LOM34" s="1"/>
      <c r="LON34" s="1"/>
      <c r="LOO34" s="1"/>
      <c r="LOP34" s="1"/>
      <c r="LOQ34" s="1"/>
      <c r="LOR34" s="1"/>
      <c r="LOS34" s="1"/>
      <c r="LOT34" s="1"/>
      <c r="LOU34" s="1"/>
      <c r="LOV34" s="1"/>
      <c r="LOW34" s="1"/>
      <c r="LOX34" s="1"/>
      <c r="LOY34" s="1"/>
      <c r="LOZ34" s="1"/>
      <c r="LPA34" s="1"/>
      <c r="LPB34" s="1"/>
      <c r="LPC34" s="1"/>
      <c r="LPD34" s="1"/>
      <c r="LPE34" s="1"/>
      <c r="LPF34" s="1"/>
      <c r="LPG34" s="1"/>
      <c r="LPH34" s="1"/>
      <c r="LPI34" s="1"/>
      <c r="LPJ34" s="1"/>
      <c r="LPK34" s="1"/>
      <c r="LPL34" s="1"/>
      <c r="LPM34" s="1"/>
      <c r="LPN34" s="1"/>
      <c r="LPO34" s="1"/>
      <c r="LPP34" s="1"/>
      <c r="LPQ34" s="1"/>
      <c r="LPR34" s="1"/>
      <c r="LPS34" s="1"/>
      <c r="LPT34" s="1"/>
      <c r="LPU34" s="1"/>
      <c r="LPV34" s="1"/>
      <c r="LPW34" s="1"/>
      <c r="LPX34" s="1"/>
      <c r="LPY34" s="1"/>
      <c r="LPZ34" s="1"/>
      <c r="LQA34" s="1"/>
      <c r="LQB34" s="1"/>
      <c r="LQC34" s="1"/>
      <c r="LQD34" s="1"/>
      <c r="LQE34" s="1"/>
      <c r="LQF34" s="1"/>
      <c r="LQG34" s="1"/>
      <c r="LQH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QV34" s="1"/>
      <c r="LQW34" s="1"/>
      <c r="LQX34" s="1"/>
      <c r="LQY34" s="1"/>
      <c r="LQZ34" s="1"/>
      <c r="LRA34" s="1"/>
      <c r="LRB34" s="1"/>
      <c r="LRC34" s="1"/>
      <c r="LRD34" s="1"/>
      <c r="LRE34" s="1"/>
      <c r="LRF34" s="1"/>
      <c r="LRG34" s="1"/>
      <c r="LRH34" s="1"/>
      <c r="LRI34" s="1"/>
      <c r="LRJ34" s="1"/>
      <c r="LRK34" s="1"/>
      <c r="LRL34" s="1"/>
      <c r="LRM34" s="1"/>
      <c r="LRN34" s="1"/>
      <c r="LRO34" s="1"/>
      <c r="LRP34" s="1"/>
      <c r="LRQ34" s="1"/>
      <c r="LRR34" s="1"/>
      <c r="LRS34" s="1"/>
      <c r="LRT34" s="1"/>
      <c r="LRU34" s="1"/>
      <c r="LRV34" s="1"/>
      <c r="LRW34" s="1"/>
      <c r="LRX34" s="1"/>
      <c r="LRY34" s="1"/>
      <c r="LRZ34" s="1"/>
      <c r="LSA34" s="1"/>
      <c r="LSB34" s="1"/>
      <c r="LSC34" s="1"/>
      <c r="LSD34" s="1"/>
      <c r="LSE34" s="1"/>
      <c r="LSF34" s="1"/>
      <c r="LSG34" s="1"/>
      <c r="LSH34" s="1"/>
      <c r="LSI34" s="1"/>
      <c r="LSJ34" s="1"/>
      <c r="LSK34" s="1"/>
      <c r="LSL34" s="1"/>
      <c r="LSM34" s="1"/>
      <c r="LSN34" s="1"/>
      <c r="LSO34" s="1"/>
      <c r="LSP34" s="1"/>
      <c r="LSQ34" s="1"/>
      <c r="LSR34" s="1"/>
      <c r="LSS34" s="1"/>
      <c r="LST34" s="1"/>
      <c r="LSU34" s="1"/>
      <c r="LSV34" s="1"/>
      <c r="LSW34" s="1"/>
      <c r="LSX34" s="1"/>
      <c r="LSY34" s="1"/>
      <c r="LSZ34" s="1"/>
      <c r="LTA34" s="1"/>
      <c r="LTB34" s="1"/>
      <c r="LTC34" s="1"/>
      <c r="LTD34" s="1"/>
      <c r="LTE34" s="1"/>
      <c r="LTF34" s="1"/>
      <c r="LTG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R34" s="1"/>
      <c r="LTS34" s="1"/>
      <c r="LTT34" s="1"/>
      <c r="LTU34" s="1"/>
      <c r="LTV34" s="1"/>
      <c r="LTW34" s="1"/>
      <c r="LTX34" s="1"/>
      <c r="LTY34" s="1"/>
      <c r="LTZ34" s="1"/>
      <c r="LUA34" s="1"/>
      <c r="LUB34" s="1"/>
      <c r="LUC34" s="1"/>
      <c r="LUD34" s="1"/>
      <c r="LUE34" s="1"/>
      <c r="LUF34" s="1"/>
      <c r="LUG34" s="1"/>
      <c r="LUH34" s="1"/>
      <c r="LUI34" s="1"/>
      <c r="LUJ34" s="1"/>
      <c r="LUK34" s="1"/>
      <c r="LUL34" s="1"/>
      <c r="LUM34" s="1"/>
      <c r="LUN34" s="1"/>
      <c r="LUO34" s="1"/>
      <c r="LUP34" s="1"/>
      <c r="LUQ34" s="1"/>
      <c r="LUR34" s="1"/>
      <c r="LUS34" s="1"/>
      <c r="LUT34" s="1"/>
      <c r="LUU34" s="1"/>
      <c r="LUV34" s="1"/>
      <c r="LUW34" s="1"/>
      <c r="LUX34" s="1"/>
      <c r="LUY34" s="1"/>
      <c r="LUZ34" s="1"/>
      <c r="LVA34" s="1"/>
      <c r="LVB34" s="1"/>
      <c r="LVC34" s="1"/>
      <c r="LVD34" s="1"/>
      <c r="LVE34" s="1"/>
      <c r="LVF34" s="1"/>
      <c r="LVG34" s="1"/>
      <c r="LVH34" s="1"/>
      <c r="LVI34" s="1"/>
      <c r="LVJ34" s="1"/>
      <c r="LVK34" s="1"/>
      <c r="LVL34" s="1"/>
      <c r="LVM34" s="1"/>
      <c r="LVN34" s="1"/>
      <c r="LVO34" s="1"/>
      <c r="LVP34" s="1"/>
      <c r="LVQ34" s="1"/>
      <c r="LVR34" s="1"/>
      <c r="LVS34" s="1"/>
      <c r="LVT34" s="1"/>
      <c r="LVU34" s="1"/>
      <c r="LVV34" s="1"/>
      <c r="LVW34" s="1"/>
      <c r="LVX34" s="1"/>
      <c r="LVY34" s="1"/>
      <c r="LVZ34" s="1"/>
      <c r="LWA34" s="1"/>
      <c r="LWB34" s="1"/>
      <c r="LWC34" s="1"/>
      <c r="LWD34" s="1"/>
      <c r="LWE34" s="1"/>
      <c r="LWF34" s="1"/>
      <c r="LWG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R34" s="1"/>
      <c r="LWS34" s="1"/>
      <c r="LWT34" s="1"/>
      <c r="LWU34" s="1"/>
      <c r="LWV34" s="1"/>
      <c r="LWW34" s="1"/>
      <c r="LWX34" s="1"/>
      <c r="LWY34" s="1"/>
      <c r="LWZ34" s="1"/>
      <c r="LXA34" s="1"/>
      <c r="LXB34" s="1"/>
      <c r="LXC34" s="1"/>
      <c r="LXD34" s="1"/>
      <c r="LXE34" s="1"/>
      <c r="LXF34" s="1"/>
      <c r="LXG34" s="1"/>
      <c r="LXH34" s="1"/>
      <c r="LXI34" s="1"/>
      <c r="LXJ34" s="1"/>
      <c r="LXK34" s="1"/>
      <c r="LXL34" s="1"/>
      <c r="LXM34" s="1"/>
      <c r="LXN34" s="1"/>
      <c r="LXO34" s="1"/>
      <c r="LXP34" s="1"/>
      <c r="LXQ34" s="1"/>
      <c r="LXR34" s="1"/>
      <c r="LXS34" s="1"/>
      <c r="LXT34" s="1"/>
      <c r="LXU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H34" s="1"/>
      <c r="LYI34" s="1"/>
      <c r="LYJ34" s="1"/>
      <c r="LYK34" s="1"/>
      <c r="LYL34" s="1"/>
      <c r="LYM34" s="1"/>
      <c r="LYN34" s="1"/>
      <c r="LYO34" s="1"/>
      <c r="LYP34" s="1"/>
      <c r="LYQ34" s="1"/>
      <c r="LYR34" s="1"/>
      <c r="LYS34" s="1"/>
      <c r="LYT34" s="1"/>
      <c r="LYU34" s="1"/>
      <c r="LYV34" s="1"/>
      <c r="LYW34" s="1"/>
      <c r="LYX34" s="1"/>
      <c r="LYY34" s="1"/>
      <c r="LYZ34" s="1"/>
      <c r="LZA34" s="1"/>
      <c r="LZB34" s="1"/>
      <c r="LZC34" s="1"/>
      <c r="LZD34" s="1"/>
      <c r="LZE34" s="1"/>
      <c r="LZF34" s="1"/>
      <c r="LZG34" s="1"/>
      <c r="LZH34" s="1"/>
      <c r="LZI34" s="1"/>
      <c r="LZJ34" s="1"/>
      <c r="LZK34" s="1"/>
      <c r="LZL34" s="1"/>
      <c r="LZM34" s="1"/>
      <c r="LZN34" s="1"/>
      <c r="LZO34" s="1"/>
      <c r="LZP34" s="1"/>
      <c r="LZQ34" s="1"/>
      <c r="LZR34" s="1"/>
      <c r="LZS34" s="1"/>
      <c r="LZT34" s="1"/>
      <c r="LZU34" s="1"/>
      <c r="LZV34" s="1"/>
      <c r="LZW34" s="1"/>
      <c r="LZX34" s="1"/>
      <c r="LZY34" s="1"/>
      <c r="LZZ34" s="1"/>
      <c r="MAA34" s="1"/>
      <c r="MAB34" s="1"/>
      <c r="MAC34" s="1"/>
      <c r="MAD34" s="1"/>
      <c r="MAE34" s="1"/>
      <c r="MAF34" s="1"/>
      <c r="MAG34" s="1"/>
      <c r="MAH34" s="1"/>
      <c r="MAI34" s="1"/>
      <c r="MAJ34" s="1"/>
      <c r="MAK34" s="1"/>
      <c r="MAL34" s="1"/>
      <c r="MAM34" s="1"/>
      <c r="MAN34" s="1"/>
      <c r="MAO34" s="1"/>
      <c r="MAP34" s="1"/>
      <c r="MAQ34" s="1"/>
      <c r="MAR34" s="1"/>
      <c r="MAS34" s="1"/>
      <c r="MAT34" s="1"/>
      <c r="MAU34" s="1"/>
      <c r="MAV34" s="1"/>
      <c r="MAW34" s="1"/>
      <c r="MAX34" s="1"/>
      <c r="MAY34" s="1"/>
      <c r="MAZ34" s="1"/>
      <c r="MBA34" s="1"/>
      <c r="MBB34" s="1"/>
      <c r="MBC34" s="1"/>
      <c r="MBD34" s="1"/>
      <c r="MBE34" s="1"/>
      <c r="MBF34" s="1"/>
      <c r="MBG34" s="1"/>
      <c r="MBH34" s="1"/>
      <c r="MBI34" s="1"/>
      <c r="MBJ34" s="1"/>
      <c r="MBK34" s="1"/>
      <c r="MBL34" s="1"/>
      <c r="MBM34" s="1"/>
      <c r="MBN34" s="1"/>
      <c r="MBO34" s="1"/>
      <c r="MBP34" s="1"/>
      <c r="MBQ34" s="1"/>
      <c r="MBR34" s="1"/>
      <c r="MBS34" s="1"/>
      <c r="MBT34" s="1"/>
      <c r="MBU34" s="1"/>
      <c r="MBV34" s="1"/>
      <c r="MBW34" s="1"/>
      <c r="MBX34" s="1"/>
      <c r="MBY34" s="1"/>
      <c r="MBZ34" s="1"/>
      <c r="MCA34" s="1"/>
      <c r="MCB34" s="1"/>
      <c r="MCC34" s="1"/>
      <c r="MCD34" s="1"/>
      <c r="MCE34" s="1"/>
      <c r="MCF34" s="1"/>
      <c r="MCG34" s="1"/>
      <c r="MCH34" s="1"/>
      <c r="MCI34" s="1"/>
      <c r="MCJ34" s="1"/>
      <c r="MCK34" s="1"/>
      <c r="MCL34" s="1"/>
      <c r="MCM34" s="1"/>
      <c r="MCN34" s="1"/>
      <c r="MCO34" s="1"/>
      <c r="MCP34" s="1"/>
      <c r="MCQ34" s="1"/>
      <c r="MCR34" s="1"/>
      <c r="MCS34" s="1"/>
      <c r="MCT34" s="1"/>
      <c r="MCU34" s="1"/>
      <c r="MCV34" s="1"/>
      <c r="MCW34" s="1"/>
      <c r="MCX34" s="1"/>
      <c r="MCY34" s="1"/>
      <c r="MCZ34" s="1"/>
      <c r="MDA34" s="1"/>
      <c r="MDB34" s="1"/>
      <c r="MDC34" s="1"/>
      <c r="MDD34" s="1"/>
      <c r="MDE34" s="1"/>
      <c r="MDF34" s="1"/>
      <c r="MDG34" s="1"/>
      <c r="MDH34" s="1"/>
      <c r="MDI34" s="1"/>
      <c r="MDJ34" s="1"/>
      <c r="MDK34" s="1"/>
      <c r="MDL34" s="1"/>
      <c r="MDM34" s="1"/>
      <c r="MDN34" s="1"/>
      <c r="MDO34" s="1"/>
      <c r="MDP34" s="1"/>
      <c r="MDQ34" s="1"/>
      <c r="MDR34" s="1"/>
      <c r="MDS34" s="1"/>
      <c r="MDT34" s="1"/>
      <c r="MDU34" s="1"/>
      <c r="MDV34" s="1"/>
      <c r="MDW34" s="1"/>
      <c r="MDX34" s="1"/>
      <c r="MDY34" s="1"/>
      <c r="MDZ34" s="1"/>
      <c r="MEA34" s="1"/>
      <c r="MEB34" s="1"/>
      <c r="MEC34" s="1"/>
      <c r="MED34" s="1"/>
      <c r="MEE34" s="1"/>
      <c r="MEF34" s="1"/>
      <c r="MEG34" s="1"/>
      <c r="MEH34" s="1"/>
      <c r="MEI34" s="1"/>
      <c r="MEJ34" s="1"/>
      <c r="MEK34" s="1"/>
      <c r="MEL34" s="1"/>
      <c r="MEM34" s="1"/>
      <c r="MEN34" s="1"/>
      <c r="MEO34" s="1"/>
      <c r="MEP34" s="1"/>
      <c r="MEQ34" s="1"/>
      <c r="MER34" s="1"/>
      <c r="MES34" s="1"/>
      <c r="MET34" s="1"/>
      <c r="MEU34" s="1"/>
      <c r="MEV34" s="1"/>
      <c r="MEW34" s="1"/>
      <c r="MEX34" s="1"/>
      <c r="MEY34" s="1"/>
      <c r="MEZ34" s="1"/>
      <c r="MFA34" s="1"/>
      <c r="MFB34" s="1"/>
      <c r="MFC34" s="1"/>
      <c r="MFD34" s="1"/>
      <c r="MFE34" s="1"/>
      <c r="MFF34" s="1"/>
      <c r="MFG34" s="1"/>
      <c r="MFH34" s="1"/>
      <c r="MFI34" s="1"/>
      <c r="MFJ34" s="1"/>
      <c r="MFK34" s="1"/>
      <c r="MFL34" s="1"/>
      <c r="MFM34" s="1"/>
      <c r="MFN34" s="1"/>
      <c r="MFO34" s="1"/>
      <c r="MFP34" s="1"/>
      <c r="MFQ34" s="1"/>
      <c r="MFR34" s="1"/>
      <c r="MFS34" s="1"/>
      <c r="MFT34" s="1"/>
      <c r="MFU34" s="1"/>
      <c r="MFV34" s="1"/>
      <c r="MFW34" s="1"/>
      <c r="MFX34" s="1"/>
      <c r="MFY34" s="1"/>
      <c r="MFZ34" s="1"/>
      <c r="MGA34" s="1"/>
      <c r="MGB34" s="1"/>
      <c r="MGC34" s="1"/>
      <c r="MGD34" s="1"/>
      <c r="MGE34" s="1"/>
      <c r="MGF34" s="1"/>
      <c r="MGG34" s="1"/>
      <c r="MGH34" s="1"/>
      <c r="MGI34" s="1"/>
      <c r="MGJ34" s="1"/>
      <c r="MGK34" s="1"/>
      <c r="MGL34" s="1"/>
      <c r="MGM34" s="1"/>
      <c r="MGN34" s="1"/>
      <c r="MGO34" s="1"/>
      <c r="MGP34" s="1"/>
      <c r="MGQ34" s="1"/>
      <c r="MGR34" s="1"/>
      <c r="MGS34" s="1"/>
      <c r="MGT34" s="1"/>
      <c r="MGU34" s="1"/>
      <c r="MGV34" s="1"/>
      <c r="MGW34" s="1"/>
      <c r="MGX34" s="1"/>
      <c r="MGY34" s="1"/>
      <c r="MGZ34" s="1"/>
      <c r="MHA34" s="1"/>
      <c r="MHB34" s="1"/>
      <c r="MHC34" s="1"/>
      <c r="MHD34" s="1"/>
      <c r="MHE34" s="1"/>
      <c r="MHF34" s="1"/>
      <c r="MHG34" s="1"/>
      <c r="MHH34" s="1"/>
      <c r="MHI34" s="1"/>
      <c r="MHJ34" s="1"/>
      <c r="MHK34" s="1"/>
      <c r="MHL34" s="1"/>
      <c r="MHM34" s="1"/>
      <c r="MHN34" s="1"/>
      <c r="MHO34" s="1"/>
      <c r="MHP34" s="1"/>
      <c r="MHQ34" s="1"/>
      <c r="MHR34" s="1"/>
      <c r="MHS34" s="1"/>
      <c r="MHT34" s="1"/>
      <c r="MHU34" s="1"/>
      <c r="MHV34" s="1"/>
      <c r="MHW34" s="1"/>
      <c r="MHX34" s="1"/>
      <c r="MHY34" s="1"/>
      <c r="MHZ34" s="1"/>
      <c r="MIA34" s="1"/>
      <c r="MIB34" s="1"/>
      <c r="MIC34" s="1"/>
      <c r="MID34" s="1"/>
      <c r="MIE34" s="1"/>
      <c r="MIF34" s="1"/>
      <c r="MIG34" s="1"/>
      <c r="MIH34" s="1"/>
      <c r="MII34" s="1"/>
      <c r="MIJ34" s="1"/>
      <c r="MIK34" s="1"/>
      <c r="MIL34" s="1"/>
      <c r="MIM34" s="1"/>
      <c r="MIN34" s="1"/>
      <c r="MIO34" s="1"/>
      <c r="MIP34" s="1"/>
      <c r="MIQ34" s="1"/>
      <c r="MIR34" s="1"/>
      <c r="MIS34" s="1"/>
      <c r="MIT34" s="1"/>
      <c r="MIU34" s="1"/>
      <c r="MIV34" s="1"/>
      <c r="MIW34" s="1"/>
      <c r="MIX34" s="1"/>
      <c r="MIY34" s="1"/>
      <c r="MIZ34" s="1"/>
      <c r="MJA34" s="1"/>
      <c r="MJB34" s="1"/>
      <c r="MJC34" s="1"/>
      <c r="MJD34" s="1"/>
      <c r="MJE34" s="1"/>
      <c r="MJF34" s="1"/>
      <c r="MJG34" s="1"/>
      <c r="MJH34" s="1"/>
      <c r="MJI34" s="1"/>
      <c r="MJJ34" s="1"/>
      <c r="MJK34" s="1"/>
      <c r="MJL34" s="1"/>
      <c r="MJM34" s="1"/>
      <c r="MJN34" s="1"/>
      <c r="MJO34" s="1"/>
      <c r="MJP34" s="1"/>
      <c r="MJQ34" s="1"/>
      <c r="MJR34" s="1"/>
      <c r="MJS34" s="1"/>
      <c r="MJT34" s="1"/>
      <c r="MJU34" s="1"/>
      <c r="MJV34" s="1"/>
      <c r="MJW34" s="1"/>
      <c r="MJX34" s="1"/>
      <c r="MJY34" s="1"/>
      <c r="MJZ34" s="1"/>
      <c r="MKA34" s="1"/>
      <c r="MKB34" s="1"/>
      <c r="MKC34" s="1"/>
      <c r="MKD34" s="1"/>
      <c r="MKE34" s="1"/>
      <c r="MKF34" s="1"/>
      <c r="MKG34" s="1"/>
      <c r="MKH34" s="1"/>
      <c r="MKI34" s="1"/>
      <c r="MKJ34" s="1"/>
      <c r="MKK34" s="1"/>
      <c r="MKL34" s="1"/>
      <c r="MKM34" s="1"/>
      <c r="MKN34" s="1"/>
      <c r="MKO34" s="1"/>
      <c r="MKP34" s="1"/>
      <c r="MKQ34" s="1"/>
      <c r="MKR34" s="1"/>
      <c r="MKS34" s="1"/>
      <c r="MKT34" s="1"/>
      <c r="MKU34" s="1"/>
      <c r="MKV34" s="1"/>
      <c r="MKW34" s="1"/>
      <c r="MKX34" s="1"/>
      <c r="MKY34" s="1"/>
      <c r="MKZ34" s="1"/>
      <c r="MLA34" s="1"/>
      <c r="MLB34" s="1"/>
      <c r="MLC34" s="1"/>
      <c r="MLD34" s="1"/>
      <c r="MLE34" s="1"/>
      <c r="MLF34" s="1"/>
      <c r="MLG34" s="1"/>
      <c r="MLH34" s="1"/>
      <c r="MLI34" s="1"/>
      <c r="MLJ34" s="1"/>
      <c r="MLK34" s="1"/>
      <c r="MLL34" s="1"/>
      <c r="MLM34" s="1"/>
      <c r="MLN34" s="1"/>
      <c r="MLO34" s="1"/>
      <c r="MLP34" s="1"/>
      <c r="MLQ34" s="1"/>
      <c r="MLR34" s="1"/>
      <c r="MLS34" s="1"/>
      <c r="MLT34" s="1"/>
      <c r="MLU34" s="1"/>
      <c r="MLV34" s="1"/>
      <c r="MLW34" s="1"/>
      <c r="MLX34" s="1"/>
      <c r="MLY34" s="1"/>
      <c r="MLZ34" s="1"/>
      <c r="MMA34" s="1"/>
      <c r="MMB34" s="1"/>
      <c r="MMC34" s="1"/>
      <c r="MMD34" s="1"/>
      <c r="MME34" s="1"/>
      <c r="MMF34" s="1"/>
      <c r="MMG34" s="1"/>
      <c r="MMH34" s="1"/>
      <c r="MMI34" s="1"/>
      <c r="MMJ34" s="1"/>
      <c r="MMK34" s="1"/>
      <c r="MML34" s="1"/>
      <c r="MMM34" s="1"/>
      <c r="MMN34" s="1"/>
      <c r="MMO34" s="1"/>
      <c r="MMP34" s="1"/>
      <c r="MMQ34" s="1"/>
      <c r="MMR34" s="1"/>
      <c r="MMS34" s="1"/>
      <c r="MMT34" s="1"/>
      <c r="MMU34" s="1"/>
      <c r="MMV34" s="1"/>
      <c r="MMW34" s="1"/>
      <c r="MMX34" s="1"/>
      <c r="MMY34" s="1"/>
      <c r="MMZ34" s="1"/>
      <c r="MNA34" s="1"/>
      <c r="MNB34" s="1"/>
      <c r="MNC34" s="1"/>
      <c r="MND34" s="1"/>
      <c r="MNE34" s="1"/>
      <c r="MNF34" s="1"/>
      <c r="MNG34" s="1"/>
      <c r="MNH34" s="1"/>
      <c r="MNI34" s="1"/>
      <c r="MNJ34" s="1"/>
      <c r="MNK34" s="1"/>
      <c r="MNL34" s="1"/>
      <c r="MNM34" s="1"/>
      <c r="MNN34" s="1"/>
      <c r="MNO34" s="1"/>
      <c r="MNP34" s="1"/>
      <c r="MNQ34" s="1"/>
      <c r="MNR34" s="1"/>
      <c r="MNS34" s="1"/>
      <c r="MNT34" s="1"/>
      <c r="MNU34" s="1"/>
      <c r="MNV34" s="1"/>
      <c r="MNW34" s="1"/>
      <c r="MNX34" s="1"/>
      <c r="MNY34" s="1"/>
      <c r="MNZ34" s="1"/>
      <c r="MOA34" s="1"/>
      <c r="MOB34" s="1"/>
      <c r="MOC34" s="1"/>
      <c r="MOD34" s="1"/>
      <c r="MOE34" s="1"/>
      <c r="MOF34" s="1"/>
      <c r="MOG34" s="1"/>
      <c r="MOH34" s="1"/>
      <c r="MOI34" s="1"/>
      <c r="MOJ34" s="1"/>
      <c r="MOK34" s="1"/>
      <c r="MOL34" s="1"/>
      <c r="MOM34" s="1"/>
      <c r="MON34" s="1"/>
      <c r="MOO34" s="1"/>
      <c r="MOP34" s="1"/>
      <c r="MOQ34" s="1"/>
      <c r="MOR34" s="1"/>
      <c r="MOS34" s="1"/>
      <c r="MOT34" s="1"/>
      <c r="MOU34" s="1"/>
      <c r="MOV34" s="1"/>
      <c r="MOW34" s="1"/>
      <c r="MOX34" s="1"/>
      <c r="MOY34" s="1"/>
      <c r="MOZ34" s="1"/>
      <c r="MPA34" s="1"/>
      <c r="MPB34" s="1"/>
      <c r="MPC34" s="1"/>
      <c r="MPD34" s="1"/>
      <c r="MPE34" s="1"/>
      <c r="MPF34" s="1"/>
      <c r="MPG34" s="1"/>
      <c r="MPH34" s="1"/>
      <c r="MPI34" s="1"/>
      <c r="MPJ34" s="1"/>
      <c r="MPK34" s="1"/>
      <c r="MPL34" s="1"/>
      <c r="MPM34" s="1"/>
      <c r="MPN34" s="1"/>
      <c r="MPO34" s="1"/>
      <c r="MPP34" s="1"/>
      <c r="MPQ34" s="1"/>
      <c r="MPR34" s="1"/>
      <c r="MPS34" s="1"/>
      <c r="MPT34" s="1"/>
      <c r="MPU34" s="1"/>
      <c r="MPV34" s="1"/>
      <c r="MPW34" s="1"/>
      <c r="MPX34" s="1"/>
      <c r="MPY34" s="1"/>
      <c r="MPZ34" s="1"/>
      <c r="MQA34" s="1"/>
      <c r="MQB34" s="1"/>
      <c r="MQC34" s="1"/>
      <c r="MQD34" s="1"/>
      <c r="MQE34" s="1"/>
      <c r="MQF34" s="1"/>
      <c r="MQG34" s="1"/>
      <c r="MQH34" s="1"/>
      <c r="MQI34" s="1"/>
      <c r="MQJ34" s="1"/>
      <c r="MQK34" s="1"/>
      <c r="MQL34" s="1"/>
      <c r="MQM34" s="1"/>
      <c r="MQN34" s="1"/>
      <c r="MQO34" s="1"/>
      <c r="MQP34" s="1"/>
      <c r="MQQ34" s="1"/>
      <c r="MQR34" s="1"/>
      <c r="MQS34" s="1"/>
      <c r="MQT34" s="1"/>
      <c r="MQU34" s="1"/>
      <c r="MQV34" s="1"/>
      <c r="MQW34" s="1"/>
      <c r="MQX34" s="1"/>
      <c r="MQY34" s="1"/>
      <c r="MQZ34" s="1"/>
      <c r="MRA34" s="1"/>
      <c r="MRB34" s="1"/>
      <c r="MRC34" s="1"/>
      <c r="MRD34" s="1"/>
      <c r="MRE34" s="1"/>
      <c r="MRF34" s="1"/>
      <c r="MRG34" s="1"/>
      <c r="MRH34" s="1"/>
      <c r="MRI34" s="1"/>
      <c r="MRJ34" s="1"/>
      <c r="MRK34" s="1"/>
      <c r="MRL34" s="1"/>
      <c r="MRM34" s="1"/>
      <c r="MRN34" s="1"/>
      <c r="MRO34" s="1"/>
      <c r="MRP34" s="1"/>
      <c r="MRQ34" s="1"/>
      <c r="MRR34" s="1"/>
      <c r="MRS34" s="1"/>
      <c r="MRT34" s="1"/>
      <c r="MRU34" s="1"/>
      <c r="MRV34" s="1"/>
      <c r="MRW34" s="1"/>
      <c r="MRX34" s="1"/>
      <c r="MRY34" s="1"/>
      <c r="MRZ34" s="1"/>
      <c r="MSA34" s="1"/>
      <c r="MSB34" s="1"/>
      <c r="MSC34" s="1"/>
      <c r="MSD34" s="1"/>
      <c r="MSE34" s="1"/>
      <c r="MSF34" s="1"/>
      <c r="MSG34" s="1"/>
      <c r="MSH34" s="1"/>
      <c r="MSI34" s="1"/>
      <c r="MSJ34" s="1"/>
      <c r="MSK34" s="1"/>
      <c r="MSL34" s="1"/>
      <c r="MSM34" s="1"/>
      <c r="MSN34" s="1"/>
      <c r="MSO34" s="1"/>
      <c r="MSP34" s="1"/>
      <c r="MSQ34" s="1"/>
      <c r="MSR34" s="1"/>
      <c r="MSS34" s="1"/>
      <c r="MST34" s="1"/>
      <c r="MSU34" s="1"/>
      <c r="MSV34" s="1"/>
      <c r="MSW34" s="1"/>
      <c r="MSX34" s="1"/>
      <c r="MSY34" s="1"/>
      <c r="MSZ34" s="1"/>
      <c r="MTA34" s="1"/>
      <c r="MTB34" s="1"/>
      <c r="MTC34" s="1"/>
      <c r="MTD34" s="1"/>
      <c r="MTE34" s="1"/>
      <c r="MTF34" s="1"/>
      <c r="MTG34" s="1"/>
      <c r="MTH34" s="1"/>
      <c r="MTI34" s="1"/>
      <c r="MTJ34" s="1"/>
      <c r="MTK34" s="1"/>
      <c r="MTL34" s="1"/>
      <c r="MTM34" s="1"/>
      <c r="MTN34" s="1"/>
      <c r="MTO34" s="1"/>
      <c r="MTP34" s="1"/>
      <c r="MTQ34" s="1"/>
      <c r="MTR34" s="1"/>
      <c r="MTS34" s="1"/>
      <c r="MTT34" s="1"/>
      <c r="MTU34" s="1"/>
      <c r="MTV34" s="1"/>
      <c r="MTW34" s="1"/>
      <c r="MTX34" s="1"/>
      <c r="MTY34" s="1"/>
      <c r="MTZ34" s="1"/>
      <c r="MUA34" s="1"/>
      <c r="MUB34" s="1"/>
      <c r="MUC34" s="1"/>
      <c r="MUD34" s="1"/>
      <c r="MUE34" s="1"/>
      <c r="MUF34" s="1"/>
      <c r="MUG34" s="1"/>
      <c r="MUH34" s="1"/>
      <c r="MUI34" s="1"/>
      <c r="MUJ34" s="1"/>
      <c r="MUK34" s="1"/>
      <c r="MUL34" s="1"/>
      <c r="MUM34" s="1"/>
      <c r="MUN34" s="1"/>
      <c r="MUO34" s="1"/>
      <c r="MUP34" s="1"/>
      <c r="MUQ34" s="1"/>
      <c r="MUR34" s="1"/>
      <c r="MUS34" s="1"/>
      <c r="MUT34" s="1"/>
      <c r="MUU34" s="1"/>
      <c r="MUV34" s="1"/>
      <c r="MUW34" s="1"/>
      <c r="MUX34" s="1"/>
      <c r="MUY34" s="1"/>
      <c r="MUZ34" s="1"/>
      <c r="MVA34" s="1"/>
      <c r="MVB34" s="1"/>
      <c r="MVC34" s="1"/>
      <c r="MVD34" s="1"/>
      <c r="MVE34" s="1"/>
      <c r="MVF34" s="1"/>
      <c r="MVG34" s="1"/>
      <c r="MVH34" s="1"/>
      <c r="MVI34" s="1"/>
      <c r="MVJ34" s="1"/>
      <c r="MVK34" s="1"/>
      <c r="MVL34" s="1"/>
      <c r="MVM34" s="1"/>
      <c r="MVN34" s="1"/>
      <c r="MVO34" s="1"/>
      <c r="MVP34" s="1"/>
      <c r="MVQ34" s="1"/>
      <c r="MVR34" s="1"/>
      <c r="MVS34" s="1"/>
      <c r="MVT34" s="1"/>
      <c r="MVU34" s="1"/>
      <c r="MVV34" s="1"/>
      <c r="MVW34" s="1"/>
      <c r="MVX34" s="1"/>
      <c r="MVY34" s="1"/>
      <c r="MVZ34" s="1"/>
      <c r="MWA34" s="1"/>
      <c r="MWB34" s="1"/>
      <c r="MWC34" s="1"/>
      <c r="MWD34" s="1"/>
      <c r="MWE34" s="1"/>
      <c r="MWF34" s="1"/>
      <c r="MWG34" s="1"/>
      <c r="MWH34" s="1"/>
      <c r="MWI34" s="1"/>
      <c r="MWJ34" s="1"/>
      <c r="MWK34" s="1"/>
      <c r="MWL34" s="1"/>
      <c r="MWM34" s="1"/>
      <c r="MWN34" s="1"/>
      <c r="MWO34" s="1"/>
      <c r="MWP34" s="1"/>
      <c r="MWQ34" s="1"/>
      <c r="MWR34" s="1"/>
      <c r="MWS34" s="1"/>
      <c r="MWT34" s="1"/>
      <c r="MWU34" s="1"/>
      <c r="MWV34" s="1"/>
      <c r="MWW34" s="1"/>
      <c r="MWX34" s="1"/>
      <c r="MWY34" s="1"/>
      <c r="MWZ34" s="1"/>
      <c r="MXA34" s="1"/>
      <c r="MXB34" s="1"/>
      <c r="MXC34" s="1"/>
      <c r="MXD34" s="1"/>
      <c r="MXE34" s="1"/>
      <c r="MXF34" s="1"/>
      <c r="MXG34" s="1"/>
      <c r="MXH34" s="1"/>
      <c r="MXI34" s="1"/>
      <c r="MXJ34" s="1"/>
      <c r="MXK34" s="1"/>
      <c r="MXL34" s="1"/>
      <c r="MXM34" s="1"/>
      <c r="MXN34" s="1"/>
      <c r="MXO34" s="1"/>
      <c r="MXP34" s="1"/>
      <c r="MXQ34" s="1"/>
      <c r="MXR34" s="1"/>
      <c r="MXS34" s="1"/>
      <c r="MXT34" s="1"/>
      <c r="MXU34" s="1"/>
      <c r="MXV34" s="1"/>
      <c r="MXW34" s="1"/>
      <c r="MXX34" s="1"/>
      <c r="MXY34" s="1"/>
      <c r="MXZ34" s="1"/>
      <c r="MYA34" s="1"/>
      <c r="MYB34" s="1"/>
      <c r="MYC34" s="1"/>
      <c r="MYD34" s="1"/>
      <c r="MYE34" s="1"/>
      <c r="MYF34" s="1"/>
      <c r="MYG34" s="1"/>
      <c r="MYH34" s="1"/>
      <c r="MYI34" s="1"/>
      <c r="MYJ34" s="1"/>
      <c r="MYK34" s="1"/>
      <c r="MYL34" s="1"/>
      <c r="MYM34" s="1"/>
      <c r="MYN34" s="1"/>
      <c r="MYO34" s="1"/>
      <c r="MYP34" s="1"/>
      <c r="MYQ34" s="1"/>
      <c r="MYR34" s="1"/>
      <c r="MYS34" s="1"/>
      <c r="MYT34" s="1"/>
      <c r="MYU34" s="1"/>
      <c r="MYV34" s="1"/>
      <c r="MYW34" s="1"/>
      <c r="MYX34" s="1"/>
      <c r="MYY34" s="1"/>
      <c r="MYZ34" s="1"/>
      <c r="MZA34" s="1"/>
      <c r="MZB34" s="1"/>
      <c r="MZC34" s="1"/>
      <c r="MZD34" s="1"/>
      <c r="MZE34" s="1"/>
      <c r="MZF34" s="1"/>
      <c r="MZG34" s="1"/>
      <c r="MZH34" s="1"/>
      <c r="MZI34" s="1"/>
      <c r="MZJ34" s="1"/>
      <c r="MZK34" s="1"/>
      <c r="MZL34" s="1"/>
      <c r="MZM34" s="1"/>
      <c r="MZN34" s="1"/>
      <c r="MZO34" s="1"/>
      <c r="MZP34" s="1"/>
      <c r="MZQ34" s="1"/>
      <c r="MZR34" s="1"/>
      <c r="MZS34" s="1"/>
      <c r="MZT34" s="1"/>
      <c r="MZU34" s="1"/>
      <c r="MZV34" s="1"/>
      <c r="MZW34" s="1"/>
      <c r="MZX34" s="1"/>
      <c r="MZY34" s="1"/>
      <c r="MZZ34" s="1"/>
      <c r="NAA34" s="1"/>
      <c r="NAB34" s="1"/>
      <c r="NAC34" s="1"/>
      <c r="NAD34" s="1"/>
      <c r="NAE34" s="1"/>
      <c r="NAF34" s="1"/>
      <c r="NAG34" s="1"/>
      <c r="NAH34" s="1"/>
      <c r="NAI34" s="1"/>
      <c r="NAJ34" s="1"/>
      <c r="NAK34" s="1"/>
      <c r="NAL34" s="1"/>
      <c r="NAM34" s="1"/>
      <c r="NAN34" s="1"/>
      <c r="NAO34" s="1"/>
      <c r="NAP34" s="1"/>
      <c r="NAQ34" s="1"/>
      <c r="NAR34" s="1"/>
      <c r="NAS34" s="1"/>
      <c r="NAT34" s="1"/>
      <c r="NAU34" s="1"/>
      <c r="NAV34" s="1"/>
      <c r="NAW34" s="1"/>
      <c r="NAX34" s="1"/>
      <c r="NAY34" s="1"/>
      <c r="NAZ34" s="1"/>
      <c r="NBA34" s="1"/>
      <c r="NBB34" s="1"/>
      <c r="NBC34" s="1"/>
      <c r="NBD34" s="1"/>
      <c r="NBE34" s="1"/>
      <c r="NBF34" s="1"/>
      <c r="NBG34" s="1"/>
      <c r="NBH34" s="1"/>
      <c r="NBI34" s="1"/>
      <c r="NBJ34" s="1"/>
      <c r="NBK34" s="1"/>
      <c r="NBL34" s="1"/>
      <c r="NBM34" s="1"/>
      <c r="NBN34" s="1"/>
      <c r="NBO34" s="1"/>
      <c r="NBP34" s="1"/>
      <c r="NBQ34" s="1"/>
      <c r="NBR34" s="1"/>
      <c r="NBS34" s="1"/>
      <c r="NBT34" s="1"/>
      <c r="NBU34" s="1"/>
      <c r="NBV34" s="1"/>
      <c r="NBW34" s="1"/>
      <c r="NBX34" s="1"/>
      <c r="NBY34" s="1"/>
      <c r="NBZ34" s="1"/>
      <c r="NCA34" s="1"/>
      <c r="NCB34" s="1"/>
      <c r="NCC34" s="1"/>
      <c r="NCD34" s="1"/>
      <c r="NCE34" s="1"/>
      <c r="NCF34" s="1"/>
      <c r="NCG34" s="1"/>
      <c r="NCH34" s="1"/>
      <c r="NCI34" s="1"/>
      <c r="NCJ34" s="1"/>
      <c r="NCK34" s="1"/>
      <c r="NCL34" s="1"/>
      <c r="NCM34" s="1"/>
      <c r="NCN34" s="1"/>
      <c r="NCO34" s="1"/>
      <c r="NCP34" s="1"/>
      <c r="NCQ34" s="1"/>
      <c r="NCR34" s="1"/>
      <c r="NCS34" s="1"/>
      <c r="NCT34" s="1"/>
      <c r="NCU34" s="1"/>
      <c r="NCV34" s="1"/>
      <c r="NCW34" s="1"/>
      <c r="NCX34" s="1"/>
      <c r="NCY34" s="1"/>
      <c r="NCZ34" s="1"/>
      <c r="NDA34" s="1"/>
      <c r="NDB34" s="1"/>
      <c r="NDC34" s="1"/>
      <c r="NDD34" s="1"/>
      <c r="NDE34" s="1"/>
      <c r="NDF34" s="1"/>
      <c r="NDG34" s="1"/>
      <c r="NDH34" s="1"/>
      <c r="NDI34" s="1"/>
      <c r="NDJ34" s="1"/>
      <c r="NDK34" s="1"/>
      <c r="NDL34" s="1"/>
      <c r="NDM34" s="1"/>
      <c r="NDN34" s="1"/>
      <c r="NDO34" s="1"/>
      <c r="NDP34" s="1"/>
      <c r="NDQ34" s="1"/>
      <c r="NDR34" s="1"/>
      <c r="NDS34" s="1"/>
      <c r="NDT34" s="1"/>
      <c r="NDU34" s="1"/>
      <c r="NDV34" s="1"/>
      <c r="NDW34" s="1"/>
      <c r="NDX34" s="1"/>
      <c r="NDY34" s="1"/>
      <c r="NDZ34" s="1"/>
      <c r="NEA34" s="1"/>
      <c r="NEB34" s="1"/>
      <c r="NEC34" s="1"/>
      <c r="NED34" s="1"/>
      <c r="NEE34" s="1"/>
      <c r="NEF34" s="1"/>
      <c r="NEG34" s="1"/>
      <c r="NEH34" s="1"/>
      <c r="NEI34" s="1"/>
      <c r="NEJ34" s="1"/>
      <c r="NEK34" s="1"/>
      <c r="NEL34" s="1"/>
      <c r="NEM34" s="1"/>
      <c r="NEN34" s="1"/>
      <c r="NEO34" s="1"/>
      <c r="NEP34" s="1"/>
      <c r="NEQ34" s="1"/>
      <c r="NER34" s="1"/>
      <c r="NES34" s="1"/>
      <c r="NET34" s="1"/>
      <c r="NEU34" s="1"/>
      <c r="NEV34" s="1"/>
      <c r="NEW34" s="1"/>
      <c r="NEX34" s="1"/>
      <c r="NEY34" s="1"/>
      <c r="NEZ34" s="1"/>
      <c r="NFA34" s="1"/>
      <c r="NFB34" s="1"/>
      <c r="NFC34" s="1"/>
      <c r="NFD34" s="1"/>
      <c r="NFE34" s="1"/>
      <c r="NFF34" s="1"/>
      <c r="NFG34" s="1"/>
      <c r="NFH34" s="1"/>
      <c r="NFI34" s="1"/>
      <c r="NFJ34" s="1"/>
      <c r="NFK34" s="1"/>
      <c r="NFL34" s="1"/>
      <c r="NFM34" s="1"/>
      <c r="NFN34" s="1"/>
      <c r="NFO34" s="1"/>
      <c r="NFP34" s="1"/>
      <c r="NFQ34" s="1"/>
      <c r="NFR34" s="1"/>
      <c r="NFS34" s="1"/>
      <c r="NFT34" s="1"/>
      <c r="NFU34" s="1"/>
      <c r="NFV34" s="1"/>
      <c r="NFW34" s="1"/>
      <c r="NFX34" s="1"/>
      <c r="NFY34" s="1"/>
      <c r="NFZ34" s="1"/>
      <c r="NGA34" s="1"/>
      <c r="NGB34" s="1"/>
      <c r="NGC34" s="1"/>
      <c r="NGD34" s="1"/>
      <c r="NGE34" s="1"/>
      <c r="NGF34" s="1"/>
      <c r="NGG34" s="1"/>
      <c r="NGH34" s="1"/>
      <c r="NGI34" s="1"/>
      <c r="NGJ34" s="1"/>
      <c r="NGK34" s="1"/>
      <c r="NGL34" s="1"/>
      <c r="NGM34" s="1"/>
      <c r="NGN34" s="1"/>
      <c r="NGO34" s="1"/>
      <c r="NGP34" s="1"/>
      <c r="NGQ34" s="1"/>
      <c r="NGR34" s="1"/>
      <c r="NGS34" s="1"/>
      <c r="NGT34" s="1"/>
      <c r="NGU34" s="1"/>
      <c r="NGV34" s="1"/>
      <c r="NGW34" s="1"/>
      <c r="NGX34" s="1"/>
      <c r="NGY34" s="1"/>
      <c r="NGZ34" s="1"/>
      <c r="NHA34" s="1"/>
      <c r="NHB34" s="1"/>
      <c r="NHC34" s="1"/>
      <c r="NHD34" s="1"/>
      <c r="NHE34" s="1"/>
      <c r="NHF34" s="1"/>
      <c r="NHG34" s="1"/>
      <c r="NHH34" s="1"/>
      <c r="NHI34" s="1"/>
      <c r="NHJ34" s="1"/>
      <c r="NHK34" s="1"/>
      <c r="NHL34" s="1"/>
      <c r="NHM34" s="1"/>
      <c r="NHN34" s="1"/>
      <c r="NHO34" s="1"/>
      <c r="NHP34" s="1"/>
      <c r="NHQ34" s="1"/>
      <c r="NHR34" s="1"/>
      <c r="NHS34" s="1"/>
      <c r="NHT34" s="1"/>
      <c r="NHU34" s="1"/>
      <c r="NHV34" s="1"/>
      <c r="NHW34" s="1"/>
      <c r="NHX34" s="1"/>
      <c r="NHY34" s="1"/>
      <c r="NHZ34" s="1"/>
      <c r="NIA34" s="1"/>
      <c r="NIB34" s="1"/>
      <c r="NIC34" s="1"/>
      <c r="NID34" s="1"/>
      <c r="NIE34" s="1"/>
      <c r="NIF34" s="1"/>
      <c r="NIG34" s="1"/>
      <c r="NIH34" s="1"/>
      <c r="NII34" s="1"/>
      <c r="NIJ34" s="1"/>
      <c r="NIK34" s="1"/>
      <c r="NIL34" s="1"/>
      <c r="NIM34" s="1"/>
      <c r="NIN34" s="1"/>
      <c r="NIO34" s="1"/>
      <c r="NIP34" s="1"/>
      <c r="NIQ34" s="1"/>
      <c r="NIR34" s="1"/>
      <c r="NIS34" s="1"/>
      <c r="NIT34" s="1"/>
      <c r="NIU34" s="1"/>
      <c r="NIV34" s="1"/>
      <c r="NIW34" s="1"/>
      <c r="NIX34" s="1"/>
      <c r="NIY34" s="1"/>
      <c r="NIZ34" s="1"/>
      <c r="NJA34" s="1"/>
      <c r="NJB34" s="1"/>
      <c r="NJC34" s="1"/>
      <c r="NJD34" s="1"/>
      <c r="NJE34" s="1"/>
      <c r="NJF34" s="1"/>
      <c r="NJG34" s="1"/>
      <c r="NJH34" s="1"/>
      <c r="NJI34" s="1"/>
      <c r="NJJ34" s="1"/>
      <c r="NJK34" s="1"/>
      <c r="NJL34" s="1"/>
      <c r="NJM34" s="1"/>
      <c r="NJN34" s="1"/>
      <c r="NJO34" s="1"/>
      <c r="NJP34" s="1"/>
      <c r="NJQ34" s="1"/>
      <c r="NJR34" s="1"/>
      <c r="NJS34" s="1"/>
      <c r="NJT34" s="1"/>
      <c r="NJU34" s="1"/>
      <c r="NJV34" s="1"/>
      <c r="NJW34" s="1"/>
      <c r="NJX34" s="1"/>
      <c r="NJY34" s="1"/>
      <c r="NJZ34" s="1"/>
      <c r="NKA34" s="1"/>
      <c r="NKB34" s="1"/>
      <c r="NKC34" s="1"/>
      <c r="NKD34" s="1"/>
      <c r="NKE34" s="1"/>
      <c r="NKF34" s="1"/>
      <c r="NKG34" s="1"/>
      <c r="NKH34" s="1"/>
      <c r="NKI34" s="1"/>
      <c r="NKJ34" s="1"/>
      <c r="NKK34" s="1"/>
      <c r="NKL34" s="1"/>
      <c r="NKM34" s="1"/>
      <c r="NKN34" s="1"/>
      <c r="NKO34" s="1"/>
      <c r="NKP34" s="1"/>
      <c r="NKQ34" s="1"/>
      <c r="NKR34" s="1"/>
      <c r="NKS34" s="1"/>
      <c r="NKT34" s="1"/>
      <c r="NKU34" s="1"/>
      <c r="NKV34" s="1"/>
      <c r="NKW34" s="1"/>
      <c r="NKX34" s="1"/>
      <c r="NKY34" s="1"/>
      <c r="NKZ34" s="1"/>
      <c r="NLA34" s="1"/>
      <c r="NLB34" s="1"/>
      <c r="NLC34" s="1"/>
      <c r="NLD34" s="1"/>
      <c r="NLE34" s="1"/>
      <c r="NLF34" s="1"/>
      <c r="NLG34" s="1"/>
      <c r="NLH34" s="1"/>
      <c r="NLI34" s="1"/>
      <c r="NLJ34" s="1"/>
      <c r="NLK34" s="1"/>
      <c r="NLL34" s="1"/>
      <c r="NLM34" s="1"/>
      <c r="NLN34" s="1"/>
      <c r="NLO34" s="1"/>
      <c r="NLP34" s="1"/>
      <c r="NLQ34" s="1"/>
      <c r="NLR34" s="1"/>
      <c r="NLS34" s="1"/>
      <c r="NLT34" s="1"/>
      <c r="NLU34" s="1"/>
      <c r="NLV34" s="1"/>
      <c r="NLW34" s="1"/>
      <c r="NLX34" s="1"/>
      <c r="NLY34" s="1"/>
      <c r="NLZ34" s="1"/>
      <c r="NMA34" s="1"/>
      <c r="NMB34" s="1"/>
      <c r="NMC34" s="1"/>
      <c r="NMD34" s="1"/>
      <c r="NME34" s="1"/>
      <c r="NMF34" s="1"/>
      <c r="NMG34" s="1"/>
      <c r="NMH34" s="1"/>
      <c r="NMI34" s="1"/>
      <c r="NMJ34" s="1"/>
      <c r="NMK34" s="1"/>
      <c r="NML34" s="1"/>
      <c r="NMM34" s="1"/>
      <c r="NMN34" s="1"/>
      <c r="NMO34" s="1"/>
      <c r="NMP34" s="1"/>
      <c r="NMQ34" s="1"/>
      <c r="NMR34" s="1"/>
      <c r="NMS34" s="1"/>
      <c r="NMT34" s="1"/>
      <c r="NMU34" s="1"/>
      <c r="NMV34" s="1"/>
      <c r="NMW34" s="1"/>
      <c r="NMX34" s="1"/>
      <c r="NMY34" s="1"/>
      <c r="NMZ34" s="1"/>
      <c r="NNA34" s="1"/>
      <c r="NNB34" s="1"/>
      <c r="NNC34" s="1"/>
      <c r="NND34" s="1"/>
      <c r="NNE34" s="1"/>
      <c r="NNF34" s="1"/>
      <c r="NNG34" s="1"/>
      <c r="NNH34" s="1"/>
      <c r="NNI34" s="1"/>
      <c r="NNJ34" s="1"/>
      <c r="NNK34" s="1"/>
      <c r="NNL34" s="1"/>
      <c r="NNM34" s="1"/>
      <c r="NNN34" s="1"/>
      <c r="NNO34" s="1"/>
      <c r="NNP34" s="1"/>
      <c r="NNQ34" s="1"/>
      <c r="NNR34" s="1"/>
      <c r="NNS34" s="1"/>
      <c r="NNT34" s="1"/>
      <c r="NNU34" s="1"/>
      <c r="NNV34" s="1"/>
      <c r="NNW34" s="1"/>
      <c r="NNX34" s="1"/>
      <c r="NNY34" s="1"/>
      <c r="NNZ34" s="1"/>
      <c r="NOA34" s="1"/>
      <c r="NOB34" s="1"/>
      <c r="NOC34" s="1"/>
      <c r="NOD34" s="1"/>
      <c r="NOE34" s="1"/>
      <c r="NOF34" s="1"/>
      <c r="NOG34" s="1"/>
      <c r="NOH34" s="1"/>
      <c r="NOI34" s="1"/>
      <c r="NOJ34" s="1"/>
      <c r="NOK34" s="1"/>
      <c r="NOL34" s="1"/>
      <c r="NOM34" s="1"/>
      <c r="NON34" s="1"/>
      <c r="NOO34" s="1"/>
      <c r="NOP34" s="1"/>
      <c r="NOQ34" s="1"/>
      <c r="NOR34" s="1"/>
      <c r="NOS34" s="1"/>
      <c r="NOT34" s="1"/>
      <c r="NOU34" s="1"/>
      <c r="NOV34" s="1"/>
      <c r="NOW34" s="1"/>
      <c r="NOX34" s="1"/>
      <c r="NOY34" s="1"/>
      <c r="NOZ34" s="1"/>
      <c r="NPA34" s="1"/>
      <c r="NPB34" s="1"/>
      <c r="NPC34" s="1"/>
      <c r="NPD34" s="1"/>
      <c r="NPE34" s="1"/>
      <c r="NPF34" s="1"/>
      <c r="NPG34" s="1"/>
      <c r="NPH34" s="1"/>
      <c r="NPI34" s="1"/>
      <c r="NPJ34" s="1"/>
      <c r="NPK34" s="1"/>
      <c r="NPL34" s="1"/>
      <c r="NPM34" s="1"/>
      <c r="NPN34" s="1"/>
      <c r="NPO34" s="1"/>
      <c r="NPP34" s="1"/>
      <c r="NPQ34" s="1"/>
      <c r="NPR34" s="1"/>
      <c r="NPS34" s="1"/>
      <c r="NPT34" s="1"/>
      <c r="NPU34" s="1"/>
      <c r="NPV34" s="1"/>
      <c r="NPW34" s="1"/>
      <c r="NPX34" s="1"/>
      <c r="NPY34" s="1"/>
      <c r="NPZ34" s="1"/>
      <c r="NQA34" s="1"/>
      <c r="NQB34" s="1"/>
      <c r="NQC34" s="1"/>
      <c r="NQD34" s="1"/>
      <c r="NQE34" s="1"/>
      <c r="NQF34" s="1"/>
      <c r="NQG34" s="1"/>
      <c r="NQH34" s="1"/>
      <c r="NQI34" s="1"/>
      <c r="NQJ34" s="1"/>
      <c r="NQK34" s="1"/>
      <c r="NQL34" s="1"/>
      <c r="NQM34" s="1"/>
      <c r="NQN34" s="1"/>
      <c r="NQO34" s="1"/>
      <c r="NQP34" s="1"/>
      <c r="NQQ34" s="1"/>
      <c r="NQR34" s="1"/>
      <c r="NQS34" s="1"/>
      <c r="NQT34" s="1"/>
      <c r="NQU34" s="1"/>
      <c r="NQV34" s="1"/>
      <c r="NQW34" s="1"/>
      <c r="NQX34" s="1"/>
      <c r="NQY34" s="1"/>
      <c r="NQZ34" s="1"/>
      <c r="NRA34" s="1"/>
      <c r="NRB34" s="1"/>
      <c r="NRC34" s="1"/>
      <c r="NRD34" s="1"/>
      <c r="NRE34" s="1"/>
      <c r="NRF34" s="1"/>
      <c r="NRG34" s="1"/>
      <c r="NRH34" s="1"/>
      <c r="NRI34" s="1"/>
      <c r="NRJ34" s="1"/>
      <c r="NRK34" s="1"/>
      <c r="NRL34" s="1"/>
      <c r="NRM34" s="1"/>
      <c r="NRN34" s="1"/>
      <c r="NRO34" s="1"/>
      <c r="NRP34" s="1"/>
      <c r="NRQ34" s="1"/>
      <c r="NRR34" s="1"/>
      <c r="NRS34" s="1"/>
      <c r="NRT34" s="1"/>
      <c r="NRU34" s="1"/>
      <c r="NRV34" s="1"/>
      <c r="NRW34" s="1"/>
      <c r="NRX34" s="1"/>
      <c r="NRY34" s="1"/>
      <c r="NRZ34" s="1"/>
      <c r="NSA34" s="1"/>
      <c r="NSB34" s="1"/>
      <c r="NSC34" s="1"/>
      <c r="NSD34" s="1"/>
      <c r="NSE34" s="1"/>
      <c r="NSF34" s="1"/>
      <c r="NSG34" s="1"/>
      <c r="NSH34" s="1"/>
      <c r="NSI34" s="1"/>
      <c r="NSJ34" s="1"/>
      <c r="NSK34" s="1"/>
      <c r="NSL34" s="1"/>
      <c r="NSM34" s="1"/>
      <c r="NSN34" s="1"/>
      <c r="NSO34" s="1"/>
      <c r="NSP34" s="1"/>
      <c r="NSQ34" s="1"/>
      <c r="NSR34" s="1"/>
      <c r="NSS34" s="1"/>
      <c r="NST34" s="1"/>
      <c r="NSU34" s="1"/>
      <c r="NSV34" s="1"/>
      <c r="NSW34" s="1"/>
      <c r="NSX34" s="1"/>
      <c r="NSY34" s="1"/>
      <c r="NSZ34" s="1"/>
      <c r="NTA34" s="1"/>
      <c r="NTB34" s="1"/>
      <c r="NTC34" s="1"/>
      <c r="NTD34" s="1"/>
      <c r="NTE34" s="1"/>
      <c r="NTF34" s="1"/>
      <c r="NTG34" s="1"/>
      <c r="NTH34" s="1"/>
      <c r="NTI34" s="1"/>
      <c r="NTJ34" s="1"/>
      <c r="NTK34" s="1"/>
      <c r="NTL34" s="1"/>
      <c r="NTM34" s="1"/>
      <c r="NTN34" s="1"/>
      <c r="NTO34" s="1"/>
      <c r="NTP34" s="1"/>
      <c r="NTQ34" s="1"/>
      <c r="NTR34" s="1"/>
      <c r="NTS34" s="1"/>
      <c r="NTT34" s="1"/>
      <c r="NTU34" s="1"/>
      <c r="NTV34" s="1"/>
      <c r="NTW34" s="1"/>
      <c r="NTX34" s="1"/>
      <c r="NTY34" s="1"/>
      <c r="NTZ34" s="1"/>
      <c r="NUA34" s="1"/>
      <c r="NUB34" s="1"/>
      <c r="NUC34" s="1"/>
      <c r="NUD34" s="1"/>
      <c r="NUE34" s="1"/>
      <c r="NUF34" s="1"/>
      <c r="NUG34" s="1"/>
      <c r="NUH34" s="1"/>
      <c r="NUI34" s="1"/>
      <c r="NUJ34" s="1"/>
      <c r="NUK34" s="1"/>
      <c r="NUL34" s="1"/>
      <c r="NUM34" s="1"/>
      <c r="NUN34" s="1"/>
      <c r="NUO34" s="1"/>
      <c r="NUP34" s="1"/>
      <c r="NUQ34" s="1"/>
      <c r="NUR34" s="1"/>
      <c r="NUS34" s="1"/>
      <c r="NUT34" s="1"/>
      <c r="NUU34" s="1"/>
      <c r="NUV34" s="1"/>
      <c r="NUW34" s="1"/>
      <c r="NUX34" s="1"/>
      <c r="NUY34" s="1"/>
      <c r="NUZ34" s="1"/>
      <c r="NVA34" s="1"/>
      <c r="NVB34" s="1"/>
      <c r="NVC34" s="1"/>
      <c r="NVD34" s="1"/>
      <c r="NVE34" s="1"/>
      <c r="NVF34" s="1"/>
      <c r="NVG34" s="1"/>
      <c r="NVH34" s="1"/>
      <c r="NVI34" s="1"/>
      <c r="NVJ34" s="1"/>
      <c r="NVK34" s="1"/>
      <c r="NVL34" s="1"/>
      <c r="NVM34" s="1"/>
      <c r="NVN34" s="1"/>
      <c r="NVO34" s="1"/>
      <c r="NVP34" s="1"/>
      <c r="NVQ34" s="1"/>
      <c r="NVR34" s="1"/>
      <c r="NVS34" s="1"/>
      <c r="NVT34" s="1"/>
      <c r="NVU34" s="1"/>
      <c r="NVV34" s="1"/>
      <c r="NVW34" s="1"/>
      <c r="NVX34" s="1"/>
      <c r="NVY34" s="1"/>
      <c r="NVZ34" s="1"/>
      <c r="NWA34" s="1"/>
      <c r="NWB34" s="1"/>
      <c r="NWC34" s="1"/>
      <c r="NWD34" s="1"/>
      <c r="NWE34" s="1"/>
      <c r="NWF34" s="1"/>
      <c r="NWG34" s="1"/>
      <c r="NWH34" s="1"/>
      <c r="NWI34" s="1"/>
      <c r="NWJ34" s="1"/>
      <c r="NWK34" s="1"/>
      <c r="NWL34" s="1"/>
      <c r="NWM34" s="1"/>
      <c r="NWN34" s="1"/>
      <c r="NWO34" s="1"/>
      <c r="NWP34" s="1"/>
      <c r="NWQ34" s="1"/>
      <c r="NWR34" s="1"/>
      <c r="NWS34" s="1"/>
      <c r="NWT34" s="1"/>
      <c r="NWU34" s="1"/>
      <c r="NWV34" s="1"/>
      <c r="NWW34" s="1"/>
      <c r="NWX34" s="1"/>
      <c r="NWY34" s="1"/>
      <c r="NWZ34" s="1"/>
      <c r="NXA34" s="1"/>
      <c r="NXB34" s="1"/>
      <c r="NXC34" s="1"/>
      <c r="NXD34" s="1"/>
      <c r="NXE34" s="1"/>
      <c r="NXF34" s="1"/>
      <c r="NXG34" s="1"/>
      <c r="NXH34" s="1"/>
      <c r="NXI34" s="1"/>
      <c r="NXJ34" s="1"/>
      <c r="NXK34" s="1"/>
      <c r="NXL34" s="1"/>
      <c r="NXM34" s="1"/>
      <c r="NXN34" s="1"/>
      <c r="NXO34" s="1"/>
      <c r="NXP34" s="1"/>
      <c r="NXQ34" s="1"/>
      <c r="NXR34" s="1"/>
      <c r="NXS34" s="1"/>
      <c r="NXT34" s="1"/>
      <c r="NXU34" s="1"/>
      <c r="NXV34" s="1"/>
      <c r="NXW34" s="1"/>
      <c r="NXX34" s="1"/>
      <c r="NXY34" s="1"/>
      <c r="NXZ34" s="1"/>
      <c r="NYA34" s="1"/>
      <c r="NYB34" s="1"/>
      <c r="NYC34" s="1"/>
      <c r="NYD34" s="1"/>
      <c r="NYE34" s="1"/>
      <c r="NYF34" s="1"/>
      <c r="NYG34" s="1"/>
      <c r="NYH34" s="1"/>
      <c r="NYI34" s="1"/>
      <c r="NYJ34" s="1"/>
      <c r="NYK34" s="1"/>
      <c r="NYL34" s="1"/>
      <c r="NYM34" s="1"/>
      <c r="NYN34" s="1"/>
      <c r="NYO34" s="1"/>
      <c r="NYP34" s="1"/>
      <c r="NYQ34" s="1"/>
      <c r="NYR34" s="1"/>
      <c r="NYS34" s="1"/>
      <c r="NYT34" s="1"/>
      <c r="NYU34" s="1"/>
      <c r="NYV34" s="1"/>
      <c r="NYW34" s="1"/>
      <c r="NYX34" s="1"/>
      <c r="NYY34" s="1"/>
      <c r="NYZ34" s="1"/>
      <c r="NZA34" s="1"/>
      <c r="NZB34" s="1"/>
      <c r="NZC34" s="1"/>
      <c r="NZD34" s="1"/>
      <c r="NZE34" s="1"/>
      <c r="NZF34" s="1"/>
      <c r="NZG34" s="1"/>
      <c r="NZH34" s="1"/>
      <c r="NZI34" s="1"/>
      <c r="NZJ34" s="1"/>
      <c r="NZK34" s="1"/>
      <c r="NZL34" s="1"/>
      <c r="NZM34" s="1"/>
      <c r="NZN34" s="1"/>
      <c r="NZO34" s="1"/>
      <c r="NZP34" s="1"/>
      <c r="NZQ34" s="1"/>
      <c r="NZR34" s="1"/>
      <c r="NZS34" s="1"/>
      <c r="NZT34" s="1"/>
      <c r="NZU34" s="1"/>
      <c r="NZV34" s="1"/>
      <c r="NZW34" s="1"/>
      <c r="NZX34" s="1"/>
      <c r="NZY34" s="1"/>
      <c r="NZZ34" s="1"/>
      <c r="OAA34" s="1"/>
      <c r="OAB34" s="1"/>
      <c r="OAC34" s="1"/>
      <c r="OAD34" s="1"/>
      <c r="OAE34" s="1"/>
      <c r="OAF34" s="1"/>
      <c r="OAG34" s="1"/>
      <c r="OAH34" s="1"/>
      <c r="OAI34" s="1"/>
      <c r="OAJ34" s="1"/>
      <c r="OAK34" s="1"/>
      <c r="OAL34" s="1"/>
      <c r="OAM34" s="1"/>
      <c r="OAN34" s="1"/>
      <c r="OAO34" s="1"/>
      <c r="OAP34" s="1"/>
      <c r="OAQ34" s="1"/>
      <c r="OAR34" s="1"/>
      <c r="OAS34" s="1"/>
      <c r="OAT34" s="1"/>
      <c r="OAU34" s="1"/>
      <c r="OAV34" s="1"/>
      <c r="OAW34" s="1"/>
      <c r="OAX34" s="1"/>
      <c r="OAY34" s="1"/>
      <c r="OAZ34" s="1"/>
      <c r="OBA34" s="1"/>
      <c r="OBB34" s="1"/>
      <c r="OBC34" s="1"/>
      <c r="OBD34" s="1"/>
      <c r="OBE34" s="1"/>
      <c r="OBF34" s="1"/>
      <c r="OBG34" s="1"/>
      <c r="OBH34" s="1"/>
      <c r="OBI34" s="1"/>
      <c r="OBJ34" s="1"/>
      <c r="OBK34" s="1"/>
      <c r="OBL34" s="1"/>
      <c r="OBM34" s="1"/>
      <c r="OBN34" s="1"/>
      <c r="OBO34" s="1"/>
      <c r="OBP34" s="1"/>
      <c r="OBQ34" s="1"/>
      <c r="OBR34" s="1"/>
      <c r="OBS34" s="1"/>
      <c r="OBT34" s="1"/>
      <c r="OBU34" s="1"/>
      <c r="OBV34" s="1"/>
      <c r="OBW34" s="1"/>
      <c r="OBX34" s="1"/>
      <c r="OBY34" s="1"/>
      <c r="OBZ34" s="1"/>
      <c r="OCA34" s="1"/>
      <c r="OCB34" s="1"/>
      <c r="OCC34" s="1"/>
      <c r="OCD34" s="1"/>
      <c r="OCE34" s="1"/>
      <c r="OCF34" s="1"/>
      <c r="OCG34" s="1"/>
      <c r="OCH34" s="1"/>
      <c r="OCI34" s="1"/>
      <c r="OCJ34" s="1"/>
      <c r="OCK34" s="1"/>
      <c r="OCL34" s="1"/>
      <c r="OCM34" s="1"/>
      <c r="OCN34" s="1"/>
      <c r="OCO34" s="1"/>
      <c r="OCP34" s="1"/>
      <c r="OCQ34" s="1"/>
      <c r="OCR34" s="1"/>
      <c r="OCS34" s="1"/>
      <c r="OCT34" s="1"/>
      <c r="OCU34" s="1"/>
      <c r="OCV34" s="1"/>
      <c r="OCW34" s="1"/>
      <c r="OCX34" s="1"/>
      <c r="OCY34" s="1"/>
      <c r="OCZ34" s="1"/>
      <c r="ODA34" s="1"/>
      <c r="ODB34" s="1"/>
      <c r="ODC34" s="1"/>
      <c r="ODD34" s="1"/>
      <c r="ODE34" s="1"/>
      <c r="ODF34" s="1"/>
      <c r="ODG34" s="1"/>
      <c r="ODH34" s="1"/>
      <c r="ODI34" s="1"/>
      <c r="ODJ34" s="1"/>
      <c r="ODK34" s="1"/>
      <c r="ODL34" s="1"/>
      <c r="ODM34" s="1"/>
      <c r="ODN34" s="1"/>
      <c r="ODO34" s="1"/>
      <c r="ODP34" s="1"/>
      <c r="ODQ34" s="1"/>
      <c r="ODR34" s="1"/>
      <c r="ODS34" s="1"/>
      <c r="ODT34" s="1"/>
      <c r="ODU34" s="1"/>
      <c r="ODV34" s="1"/>
      <c r="ODW34" s="1"/>
      <c r="ODX34" s="1"/>
      <c r="ODY34" s="1"/>
      <c r="ODZ34" s="1"/>
      <c r="OEA34" s="1"/>
      <c r="OEB34" s="1"/>
      <c r="OEC34" s="1"/>
      <c r="OED34" s="1"/>
      <c r="OEE34" s="1"/>
      <c r="OEF34" s="1"/>
      <c r="OEG34" s="1"/>
      <c r="OEH34" s="1"/>
      <c r="OEI34" s="1"/>
      <c r="OEJ34" s="1"/>
      <c r="OEK34" s="1"/>
      <c r="OEL34" s="1"/>
      <c r="OEM34" s="1"/>
      <c r="OEN34" s="1"/>
      <c r="OEO34" s="1"/>
      <c r="OEP34" s="1"/>
      <c r="OEQ34" s="1"/>
      <c r="OER34" s="1"/>
      <c r="OES34" s="1"/>
      <c r="OET34" s="1"/>
      <c r="OEU34" s="1"/>
      <c r="OEV34" s="1"/>
      <c r="OEW34" s="1"/>
      <c r="OEX34" s="1"/>
      <c r="OEY34" s="1"/>
      <c r="OEZ34" s="1"/>
      <c r="OFA34" s="1"/>
      <c r="OFB34" s="1"/>
      <c r="OFC34" s="1"/>
      <c r="OFD34" s="1"/>
      <c r="OFE34" s="1"/>
      <c r="OFF34" s="1"/>
      <c r="OFG34" s="1"/>
      <c r="OFH34" s="1"/>
      <c r="OFI34" s="1"/>
      <c r="OFJ34" s="1"/>
      <c r="OFK34" s="1"/>
      <c r="OFL34" s="1"/>
      <c r="OFM34" s="1"/>
      <c r="OFN34" s="1"/>
      <c r="OFO34" s="1"/>
      <c r="OFP34" s="1"/>
      <c r="OFQ34" s="1"/>
      <c r="OFR34" s="1"/>
      <c r="OFS34" s="1"/>
      <c r="OFT34" s="1"/>
      <c r="OFU34" s="1"/>
      <c r="OFV34" s="1"/>
      <c r="OFW34" s="1"/>
      <c r="OFX34" s="1"/>
      <c r="OFY34" s="1"/>
      <c r="OFZ34" s="1"/>
      <c r="OGA34" s="1"/>
      <c r="OGB34" s="1"/>
      <c r="OGC34" s="1"/>
      <c r="OGD34" s="1"/>
      <c r="OGE34" s="1"/>
      <c r="OGF34" s="1"/>
      <c r="OGG34" s="1"/>
      <c r="OGH34" s="1"/>
      <c r="OGI34" s="1"/>
      <c r="OGJ34" s="1"/>
      <c r="OGK34" s="1"/>
      <c r="OGL34" s="1"/>
      <c r="OGM34" s="1"/>
      <c r="OGN34" s="1"/>
      <c r="OGO34" s="1"/>
      <c r="OGP34" s="1"/>
      <c r="OGQ34" s="1"/>
      <c r="OGR34" s="1"/>
      <c r="OGS34" s="1"/>
      <c r="OGT34" s="1"/>
      <c r="OGU34" s="1"/>
      <c r="OGV34" s="1"/>
      <c r="OGW34" s="1"/>
      <c r="OGX34" s="1"/>
      <c r="OGY34" s="1"/>
      <c r="OGZ34" s="1"/>
      <c r="OHA34" s="1"/>
      <c r="OHB34" s="1"/>
      <c r="OHC34" s="1"/>
      <c r="OHD34" s="1"/>
      <c r="OHE34" s="1"/>
      <c r="OHF34" s="1"/>
      <c r="OHG34" s="1"/>
      <c r="OHH34" s="1"/>
      <c r="OHI34" s="1"/>
      <c r="OHJ34" s="1"/>
      <c r="OHK34" s="1"/>
      <c r="OHL34" s="1"/>
      <c r="OHM34" s="1"/>
      <c r="OHN34" s="1"/>
      <c r="OHO34" s="1"/>
      <c r="OHP34" s="1"/>
      <c r="OHQ34" s="1"/>
      <c r="OHR34" s="1"/>
      <c r="OHS34" s="1"/>
      <c r="OHT34" s="1"/>
      <c r="OHU34" s="1"/>
      <c r="OHV34" s="1"/>
      <c r="OHW34" s="1"/>
      <c r="OHX34" s="1"/>
      <c r="OHY34" s="1"/>
      <c r="OHZ34" s="1"/>
      <c r="OIA34" s="1"/>
      <c r="OIB34" s="1"/>
      <c r="OIC34" s="1"/>
      <c r="OID34" s="1"/>
      <c r="OIE34" s="1"/>
      <c r="OIF34" s="1"/>
      <c r="OIG34" s="1"/>
      <c r="OIH34" s="1"/>
      <c r="OII34" s="1"/>
      <c r="OIJ34" s="1"/>
      <c r="OIK34" s="1"/>
      <c r="OIL34" s="1"/>
      <c r="OIM34" s="1"/>
      <c r="OIN34" s="1"/>
      <c r="OIO34" s="1"/>
      <c r="OIP34" s="1"/>
      <c r="OIQ34" s="1"/>
      <c r="OIR34" s="1"/>
      <c r="OIS34" s="1"/>
      <c r="OIT34" s="1"/>
      <c r="OIU34" s="1"/>
      <c r="OIV34" s="1"/>
      <c r="OIW34" s="1"/>
      <c r="OIX34" s="1"/>
      <c r="OIY34" s="1"/>
      <c r="OIZ34" s="1"/>
      <c r="OJA34" s="1"/>
      <c r="OJB34" s="1"/>
      <c r="OJC34" s="1"/>
      <c r="OJD34" s="1"/>
      <c r="OJE34" s="1"/>
      <c r="OJF34" s="1"/>
      <c r="OJG34" s="1"/>
      <c r="OJH34" s="1"/>
      <c r="OJI34" s="1"/>
      <c r="OJJ34" s="1"/>
      <c r="OJK34" s="1"/>
      <c r="OJL34" s="1"/>
      <c r="OJM34" s="1"/>
      <c r="OJN34" s="1"/>
      <c r="OJO34" s="1"/>
      <c r="OJP34" s="1"/>
      <c r="OJQ34" s="1"/>
      <c r="OJR34" s="1"/>
      <c r="OJS34" s="1"/>
      <c r="OJT34" s="1"/>
      <c r="OJU34" s="1"/>
      <c r="OJV34" s="1"/>
      <c r="OJW34" s="1"/>
      <c r="OJX34" s="1"/>
      <c r="OJY34" s="1"/>
      <c r="OJZ34" s="1"/>
      <c r="OKA34" s="1"/>
      <c r="OKB34" s="1"/>
      <c r="OKC34" s="1"/>
      <c r="OKD34" s="1"/>
      <c r="OKE34" s="1"/>
      <c r="OKF34" s="1"/>
      <c r="OKG34" s="1"/>
      <c r="OKH34" s="1"/>
      <c r="OKI34" s="1"/>
      <c r="OKJ34" s="1"/>
      <c r="OKK34" s="1"/>
      <c r="OKL34" s="1"/>
      <c r="OKM34" s="1"/>
      <c r="OKN34" s="1"/>
      <c r="OKO34" s="1"/>
      <c r="OKP34" s="1"/>
      <c r="OKQ34" s="1"/>
      <c r="OKR34" s="1"/>
      <c r="OKS34" s="1"/>
      <c r="OKT34" s="1"/>
      <c r="OKU34" s="1"/>
      <c r="OKV34" s="1"/>
      <c r="OKW34" s="1"/>
      <c r="OKX34" s="1"/>
      <c r="OKY34" s="1"/>
      <c r="OKZ34" s="1"/>
      <c r="OLA34" s="1"/>
      <c r="OLB34" s="1"/>
      <c r="OLC34" s="1"/>
      <c r="OLD34" s="1"/>
      <c r="OLE34" s="1"/>
      <c r="OLF34" s="1"/>
      <c r="OLG34" s="1"/>
      <c r="OLH34" s="1"/>
      <c r="OLI34" s="1"/>
      <c r="OLJ34" s="1"/>
      <c r="OLK34" s="1"/>
      <c r="OLL34" s="1"/>
      <c r="OLM34" s="1"/>
      <c r="OLN34" s="1"/>
      <c r="OLO34" s="1"/>
      <c r="OLP34" s="1"/>
      <c r="OLQ34" s="1"/>
      <c r="OLR34" s="1"/>
      <c r="OLS34" s="1"/>
      <c r="OLT34" s="1"/>
      <c r="OLU34" s="1"/>
      <c r="OLV34" s="1"/>
      <c r="OLW34" s="1"/>
      <c r="OLX34" s="1"/>
      <c r="OLY34" s="1"/>
      <c r="OLZ34" s="1"/>
      <c r="OMA34" s="1"/>
      <c r="OMB34" s="1"/>
      <c r="OMC34" s="1"/>
      <c r="OMD34" s="1"/>
      <c r="OME34" s="1"/>
      <c r="OMF34" s="1"/>
      <c r="OMG34" s="1"/>
      <c r="OMH34" s="1"/>
      <c r="OMI34" s="1"/>
      <c r="OMJ34" s="1"/>
      <c r="OMK34" s="1"/>
      <c r="OML34" s="1"/>
      <c r="OMM34" s="1"/>
      <c r="OMN34" s="1"/>
      <c r="OMO34" s="1"/>
      <c r="OMP34" s="1"/>
      <c r="OMQ34" s="1"/>
      <c r="OMR34" s="1"/>
      <c r="OMS34" s="1"/>
      <c r="OMT34" s="1"/>
      <c r="OMU34" s="1"/>
      <c r="OMV34" s="1"/>
      <c r="OMW34" s="1"/>
      <c r="OMX34" s="1"/>
      <c r="OMY34" s="1"/>
      <c r="OMZ34" s="1"/>
      <c r="ONA34" s="1"/>
      <c r="ONB34" s="1"/>
      <c r="ONC34" s="1"/>
      <c r="OND34" s="1"/>
      <c r="ONE34" s="1"/>
      <c r="ONF34" s="1"/>
      <c r="ONG34" s="1"/>
      <c r="ONH34" s="1"/>
      <c r="ONI34" s="1"/>
      <c r="ONJ34" s="1"/>
      <c r="ONK34" s="1"/>
      <c r="ONL34" s="1"/>
      <c r="ONM34" s="1"/>
      <c r="ONN34" s="1"/>
      <c r="ONO34" s="1"/>
      <c r="ONP34" s="1"/>
      <c r="ONQ34" s="1"/>
      <c r="ONR34" s="1"/>
      <c r="ONS34" s="1"/>
      <c r="ONT34" s="1"/>
      <c r="ONU34" s="1"/>
      <c r="ONV34" s="1"/>
      <c r="ONW34" s="1"/>
      <c r="ONX34" s="1"/>
      <c r="ONY34" s="1"/>
      <c r="ONZ34" s="1"/>
      <c r="OOA34" s="1"/>
      <c r="OOB34" s="1"/>
      <c r="OOC34" s="1"/>
      <c r="OOD34" s="1"/>
      <c r="OOE34" s="1"/>
      <c r="OOF34" s="1"/>
      <c r="OOG34" s="1"/>
      <c r="OOH34" s="1"/>
      <c r="OOI34" s="1"/>
      <c r="OOJ34" s="1"/>
      <c r="OOK34" s="1"/>
      <c r="OOL34" s="1"/>
      <c r="OOM34" s="1"/>
      <c r="OON34" s="1"/>
      <c r="OOO34" s="1"/>
      <c r="OOP34" s="1"/>
      <c r="OOQ34" s="1"/>
      <c r="OOR34" s="1"/>
      <c r="OOS34" s="1"/>
      <c r="OOT34" s="1"/>
      <c r="OOU34" s="1"/>
      <c r="OOV34" s="1"/>
      <c r="OOW34" s="1"/>
      <c r="OOX34" s="1"/>
      <c r="OOY34" s="1"/>
      <c r="OOZ34" s="1"/>
      <c r="OPA34" s="1"/>
      <c r="OPB34" s="1"/>
      <c r="OPC34" s="1"/>
      <c r="OPD34" s="1"/>
      <c r="OPE34" s="1"/>
      <c r="OPF34" s="1"/>
      <c r="OPG34" s="1"/>
      <c r="OPH34" s="1"/>
      <c r="OPI34" s="1"/>
      <c r="OPJ34" s="1"/>
      <c r="OPK34" s="1"/>
      <c r="OPL34" s="1"/>
      <c r="OPM34" s="1"/>
      <c r="OPN34" s="1"/>
      <c r="OPO34" s="1"/>
      <c r="OPP34" s="1"/>
      <c r="OPQ34" s="1"/>
      <c r="OPR34" s="1"/>
      <c r="OPS34" s="1"/>
      <c r="OPT34" s="1"/>
      <c r="OPU34" s="1"/>
      <c r="OPV34" s="1"/>
      <c r="OPW34" s="1"/>
      <c r="OPX34" s="1"/>
      <c r="OPY34" s="1"/>
      <c r="OPZ34" s="1"/>
      <c r="OQA34" s="1"/>
      <c r="OQB34" s="1"/>
      <c r="OQC34" s="1"/>
      <c r="OQD34" s="1"/>
      <c r="OQE34" s="1"/>
      <c r="OQF34" s="1"/>
      <c r="OQG34" s="1"/>
      <c r="OQH34" s="1"/>
      <c r="OQI34" s="1"/>
      <c r="OQJ34" s="1"/>
      <c r="OQK34" s="1"/>
      <c r="OQL34" s="1"/>
      <c r="OQM34" s="1"/>
      <c r="OQN34" s="1"/>
      <c r="OQO34" s="1"/>
      <c r="OQP34" s="1"/>
      <c r="OQQ34" s="1"/>
      <c r="OQR34" s="1"/>
      <c r="OQS34" s="1"/>
      <c r="OQT34" s="1"/>
      <c r="OQU34" s="1"/>
      <c r="OQV34" s="1"/>
      <c r="OQW34" s="1"/>
      <c r="OQX34" s="1"/>
      <c r="OQY34" s="1"/>
      <c r="OQZ34" s="1"/>
      <c r="ORA34" s="1"/>
      <c r="ORB34" s="1"/>
      <c r="ORC34" s="1"/>
      <c r="ORD34" s="1"/>
      <c r="ORE34" s="1"/>
      <c r="ORF34" s="1"/>
      <c r="ORG34" s="1"/>
      <c r="ORH34" s="1"/>
      <c r="ORI34" s="1"/>
      <c r="ORJ34" s="1"/>
      <c r="ORK34" s="1"/>
      <c r="ORL34" s="1"/>
      <c r="ORM34" s="1"/>
      <c r="ORN34" s="1"/>
      <c r="ORO34" s="1"/>
      <c r="ORP34" s="1"/>
      <c r="ORQ34" s="1"/>
      <c r="ORR34" s="1"/>
      <c r="ORS34" s="1"/>
      <c r="ORT34" s="1"/>
      <c r="ORU34" s="1"/>
      <c r="ORV34" s="1"/>
      <c r="ORW34" s="1"/>
      <c r="ORX34" s="1"/>
      <c r="ORY34" s="1"/>
      <c r="ORZ34" s="1"/>
      <c r="OSA34" s="1"/>
      <c r="OSB34" s="1"/>
      <c r="OSC34" s="1"/>
      <c r="OSD34" s="1"/>
      <c r="OSE34" s="1"/>
      <c r="OSF34" s="1"/>
      <c r="OSG34" s="1"/>
      <c r="OSH34" s="1"/>
      <c r="OSI34" s="1"/>
      <c r="OSJ34" s="1"/>
      <c r="OSK34" s="1"/>
      <c r="OSL34" s="1"/>
      <c r="OSM34" s="1"/>
      <c r="OSN34" s="1"/>
      <c r="OSO34" s="1"/>
      <c r="OSP34" s="1"/>
      <c r="OSQ34" s="1"/>
      <c r="OSR34" s="1"/>
      <c r="OSS34" s="1"/>
      <c r="OST34" s="1"/>
      <c r="OSU34" s="1"/>
      <c r="OSV34" s="1"/>
      <c r="OSW34" s="1"/>
      <c r="OSX34" s="1"/>
      <c r="OSY34" s="1"/>
      <c r="OSZ34" s="1"/>
      <c r="OTA34" s="1"/>
      <c r="OTB34" s="1"/>
      <c r="OTC34" s="1"/>
      <c r="OTD34" s="1"/>
      <c r="OTE34" s="1"/>
      <c r="OTF34" s="1"/>
      <c r="OTG34" s="1"/>
      <c r="OTH34" s="1"/>
      <c r="OTI34" s="1"/>
      <c r="OTJ34" s="1"/>
      <c r="OTK34" s="1"/>
      <c r="OTL34" s="1"/>
      <c r="OTM34" s="1"/>
      <c r="OTN34" s="1"/>
      <c r="OTO34" s="1"/>
      <c r="OTP34" s="1"/>
      <c r="OTQ34" s="1"/>
      <c r="OTR34" s="1"/>
      <c r="OTS34" s="1"/>
      <c r="OTT34" s="1"/>
      <c r="OTU34" s="1"/>
      <c r="OTV34" s="1"/>
      <c r="OTW34" s="1"/>
      <c r="OTX34" s="1"/>
      <c r="OTY34" s="1"/>
      <c r="OTZ34" s="1"/>
      <c r="OUA34" s="1"/>
      <c r="OUB34" s="1"/>
      <c r="OUC34" s="1"/>
      <c r="OUD34" s="1"/>
      <c r="OUE34" s="1"/>
      <c r="OUF34" s="1"/>
      <c r="OUG34" s="1"/>
      <c r="OUH34" s="1"/>
      <c r="OUI34" s="1"/>
      <c r="OUJ34" s="1"/>
      <c r="OUK34" s="1"/>
      <c r="OUL34" s="1"/>
      <c r="OUM34" s="1"/>
      <c r="OUN34" s="1"/>
      <c r="OUO34" s="1"/>
      <c r="OUP34" s="1"/>
      <c r="OUQ34" s="1"/>
      <c r="OUR34" s="1"/>
      <c r="OUS34" s="1"/>
      <c r="OUT34" s="1"/>
      <c r="OUU34" s="1"/>
      <c r="OUV34" s="1"/>
      <c r="OUW34" s="1"/>
      <c r="OUX34" s="1"/>
      <c r="OUY34" s="1"/>
      <c r="OUZ34" s="1"/>
      <c r="OVA34" s="1"/>
      <c r="OVB34" s="1"/>
      <c r="OVC34" s="1"/>
      <c r="OVD34" s="1"/>
      <c r="OVE34" s="1"/>
      <c r="OVF34" s="1"/>
      <c r="OVG34" s="1"/>
      <c r="OVH34" s="1"/>
      <c r="OVI34" s="1"/>
      <c r="OVJ34" s="1"/>
      <c r="OVK34" s="1"/>
      <c r="OVL34" s="1"/>
      <c r="OVM34" s="1"/>
      <c r="OVN34" s="1"/>
      <c r="OVO34" s="1"/>
      <c r="OVP34" s="1"/>
      <c r="OVQ34" s="1"/>
      <c r="OVR34" s="1"/>
      <c r="OVS34" s="1"/>
      <c r="OVT34" s="1"/>
      <c r="OVU34" s="1"/>
      <c r="OVV34" s="1"/>
      <c r="OVW34" s="1"/>
      <c r="OVX34" s="1"/>
      <c r="OVY34" s="1"/>
      <c r="OVZ34" s="1"/>
      <c r="OWA34" s="1"/>
      <c r="OWB34" s="1"/>
      <c r="OWC34" s="1"/>
      <c r="OWD34" s="1"/>
      <c r="OWE34" s="1"/>
      <c r="OWF34" s="1"/>
      <c r="OWG34" s="1"/>
      <c r="OWH34" s="1"/>
      <c r="OWI34" s="1"/>
      <c r="OWJ34" s="1"/>
      <c r="OWK34" s="1"/>
      <c r="OWL34" s="1"/>
      <c r="OWM34" s="1"/>
      <c r="OWN34" s="1"/>
      <c r="OWO34" s="1"/>
      <c r="OWP34" s="1"/>
      <c r="OWQ34" s="1"/>
      <c r="OWR34" s="1"/>
      <c r="OWS34" s="1"/>
      <c r="OWT34" s="1"/>
      <c r="OWU34" s="1"/>
      <c r="OWV34" s="1"/>
      <c r="OWW34" s="1"/>
      <c r="OWX34" s="1"/>
      <c r="OWY34" s="1"/>
      <c r="OWZ34" s="1"/>
      <c r="OXA34" s="1"/>
      <c r="OXB34" s="1"/>
      <c r="OXC34" s="1"/>
      <c r="OXD34" s="1"/>
      <c r="OXE34" s="1"/>
      <c r="OXF34" s="1"/>
      <c r="OXG34" s="1"/>
      <c r="OXH34" s="1"/>
      <c r="OXI34" s="1"/>
      <c r="OXJ34" s="1"/>
      <c r="OXK34" s="1"/>
      <c r="OXL34" s="1"/>
      <c r="OXM34" s="1"/>
      <c r="OXN34" s="1"/>
      <c r="OXO34" s="1"/>
      <c r="OXP34" s="1"/>
      <c r="OXQ34" s="1"/>
      <c r="OXR34" s="1"/>
      <c r="OXS34" s="1"/>
      <c r="OXT34" s="1"/>
      <c r="OXU34" s="1"/>
      <c r="OXV34" s="1"/>
      <c r="OXW34" s="1"/>
      <c r="OXX34" s="1"/>
      <c r="OXY34" s="1"/>
      <c r="OXZ34" s="1"/>
      <c r="OYA34" s="1"/>
      <c r="OYB34" s="1"/>
      <c r="OYC34" s="1"/>
      <c r="OYD34" s="1"/>
      <c r="OYE34" s="1"/>
      <c r="OYF34" s="1"/>
      <c r="OYG34" s="1"/>
      <c r="OYH34" s="1"/>
      <c r="OYI34" s="1"/>
      <c r="OYJ34" s="1"/>
      <c r="OYK34" s="1"/>
      <c r="OYL34" s="1"/>
      <c r="OYM34" s="1"/>
      <c r="OYN34" s="1"/>
      <c r="OYO34" s="1"/>
      <c r="OYP34" s="1"/>
      <c r="OYQ34" s="1"/>
      <c r="OYR34" s="1"/>
      <c r="OYS34" s="1"/>
      <c r="OYT34" s="1"/>
      <c r="OYU34" s="1"/>
      <c r="OYV34" s="1"/>
      <c r="OYW34" s="1"/>
      <c r="OYX34" s="1"/>
      <c r="OYY34" s="1"/>
      <c r="OYZ34" s="1"/>
      <c r="OZA34" s="1"/>
      <c r="OZB34" s="1"/>
      <c r="OZC34" s="1"/>
      <c r="OZD34" s="1"/>
      <c r="OZE34" s="1"/>
      <c r="OZF34" s="1"/>
      <c r="OZG34" s="1"/>
      <c r="OZH34" s="1"/>
      <c r="OZI34" s="1"/>
      <c r="OZJ34" s="1"/>
      <c r="OZK34" s="1"/>
      <c r="OZL34" s="1"/>
      <c r="OZM34" s="1"/>
      <c r="OZN34" s="1"/>
      <c r="OZO34" s="1"/>
      <c r="OZP34" s="1"/>
      <c r="OZQ34" s="1"/>
      <c r="OZR34" s="1"/>
      <c r="OZS34" s="1"/>
      <c r="OZT34" s="1"/>
      <c r="OZU34" s="1"/>
      <c r="OZV34" s="1"/>
      <c r="OZW34" s="1"/>
      <c r="OZX34" s="1"/>
      <c r="OZY34" s="1"/>
      <c r="OZZ34" s="1"/>
      <c r="PAA34" s="1"/>
      <c r="PAB34" s="1"/>
      <c r="PAC34" s="1"/>
      <c r="PAD34" s="1"/>
      <c r="PAE34" s="1"/>
      <c r="PAF34" s="1"/>
      <c r="PAG34" s="1"/>
      <c r="PAH34" s="1"/>
      <c r="PAI34" s="1"/>
      <c r="PAJ34" s="1"/>
      <c r="PAK34" s="1"/>
      <c r="PAL34" s="1"/>
      <c r="PAM34" s="1"/>
      <c r="PAN34" s="1"/>
      <c r="PAO34" s="1"/>
      <c r="PAP34" s="1"/>
      <c r="PAQ34" s="1"/>
      <c r="PAR34" s="1"/>
      <c r="PAS34" s="1"/>
      <c r="PAT34" s="1"/>
      <c r="PAU34" s="1"/>
      <c r="PAV34" s="1"/>
      <c r="PAW34" s="1"/>
      <c r="PAX34" s="1"/>
      <c r="PAY34" s="1"/>
      <c r="PAZ34" s="1"/>
      <c r="PBA34" s="1"/>
      <c r="PBB34" s="1"/>
      <c r="PBC34" s="1"/>
      <c r="PBD34" s="1"/>
      <c r="PBE34" s="1"/>
      <c r="PBF34" s="1"/>
      <c r="PBG34" s="1"/>
      <c r="PBH34" s="1"/>
      <c r="PBI34" s="1"/>
      <c r="PBJ34" s="1"/>
      <c r="PBK34" s="1"/>
      <c r="PBL34" s="1"/>
      <c r="PBM34" s="1"/>
      <c r="PBN34" s="1"/>
      <c r="PBO34" s="1"/>
      <c r="PBP34" s="1"/>
      <c r="PBQ34" s="1"/>
      <c r="PBR34" s="1"/>
      <c r="PBS34" s="1"/>
      <c r="PBT34" s="1"/>
      <c r="PBU34" s="1"/>
      <c r="PBV34" s="1"/>
      <c r="PBW34" s="1"/>
      <c r="PBX34" s="1"/>
      <c r="PBY34" s="1"/>
      <c r="PBZ34" s="1"/>
      <c r="PCA34" s="1"/>
      <c r="PCB34" s="1"/>
      <c r="PCC34" s="1"/>
      <c r="PCD34" s="1"/>
      <c r="PCE34" s="1"/>
      <c r="PCF34" s="1"/>
      <c r="PCG34" s="1"/>
      <c r="PCH34" s="1"/>
      <c r="PCI34" s="1"/>
      <c r="PCJ34" s="1"/>
      <c r="PCK34" s="1"/>
      <c r="PCL34" s="1"/>
      <c r="PCM34" s="1"/>
      <c r="PCN34" s="1"/>
      <c r="PCO34" s="1"/>
      <c r="PCP34" s="1"/>
      <c r="PCQ34" s="1"/>
      <c r="PCR34" s="1"/>
      <c r="PCS34" s="1"/>
      <c r="PCT34" s="1"/>
      <c r="PCU34" s="1"/>
      <c r="PCV34" s="1"/>
      <c r="PCW34" s="1"/>
      <c r="PCX34" s="1"/>
      <c r="PCY34" s="1"/>
      <c r="PCZ34" s="1"/>
      <c r="PDA34" s="1"/>
      <c r="PDB34" s="1"/>
      <c r="PDC34" s="1"/>
      <c r="PDD34" s="1"/>
      <c r="PDE34" s="1"/>
      <c r="PDF34" s="1"/>
      <c r="PDG34" s="1"/>
      <c r="PDH34" s="1"/>
      <c r="PDI34" s="1"/>
      <c r="PDJ34" s="1"/>
      <c r="PDK34" s="1"/>
      <c r="PDL34" s="1"/>
      <c r="PDM34" s="1"/>
      <c r="PDN34" s="1"/>
      <c r="PDO34" s="1"/>
      <c r="PDP34" s="1"/>
      <c r="PDQ34" s="1"/>
      <c r="PDR34" s="1"/>
      <c r="PDS34" s="1"/>
      <c r="PDT34" s="1"/>
      <c r="PDU34" s="1"/>
      <c r="PDV34" s="1"/>
      <c r="PDW34" s="1"/>
      <c r="PDX34" s="1"/>
      <c r="PDY34" s="1"/>
      <c r="PDZ34" s="1"/>
      <c r="PEA34" s="1"/>
      <c r="PEB34" s="1"/>
      <c r="PEC34" s="1"/>
      <c r="PED34" s="1"/>
      <c r="PEE34" s="1"/>
      <c r="PEF34" s="1"/>
      <c r="PEG34" s="1"/>
      <c r="PEH34" s="1"/>
      <c r="PEI34" s="1"/>
      <c r="PEJ34" s="1"/>
      <c r="PEK34" s="1"/>
      <c r="PEL34" s="1"/>
      <c r="PEM34" s="1"/>
      <c r="PEN34" s="1"/>
      <c r="PEO34" s="1"/>
      <c r="PEP34" s="1"/>
      <c r="PEQ34" s="1"/>
      <c r="PER34" s="1"/>
      <c r="PES34" s="1"/>
      <c r="PET34" s="1"/>
      <c r="PEU34" s="1"/>
      <c r="PEV34" s="1"/>
      <c r="PEW34" s="1"/>
      <c r="PEX34" s="1"/>
      <c r="PEY34" s="1"/>
      <c r="PEZ34" s="1"/>
      <c r="PFA34" s="1"/>
      <c r="PFB34" s="1"/>
      <c r="PFC34" s="1"/>
      <c r="PFD34" s="1"/>
      <c r="PFE34" s="1"/>
      <c r="PFF34" s="1"/>
      <c r="PFG34" s="1"/>
      <c r="PFH34" s="1"/>
      <c r="PFI34" s="1"/>
      <c r="PFJ34" s="1"/>
      <c r="PFK34" s="1"/>
      <c r="PFL34" s="1"/>
      <c r="PFM34" s="1"/>
      <c r="PFN34" s="1"/>
      <c r="PFO34" s="1"/>
      <c r="PFP34" s="1"/>
      <c r="PFQ34" s="1"/>
      <c r="PFR34" s="1"/>
      <c r="PFS34" s="1"/>
      <c r="PFT34" s="1"/>
      <c r="PFU34" s="1"/>
      <c r="PFV34" s="1"/>
      <c r="PFW34" s="1"/>
      <c r="PFX34" s="1"/>
      <c r="PFY34" s="1"/>
      <c r="PFZ34" s="1"/>
      <c r="PGA34" s="1"/>
      <c r="PGB34" s="1"/>
      <c r="PGC34" s="1"/>
      <c r="PGD34" s="1"/>
      <c r="PGE34" s="1"/>
      <c r="PGF34" s="1"/>
      <c r="PGG34" s="1"/>
      <c r="PGH34" s="1"/>
      <c r="PGI34" s="1"/>
      <c r="PGJ34" s="1"/>
      <c r="PGK34" s="1"/>
      <c r="PGL34" s="1"/>
      <c r="PGM34" s="1"/>
      <c r="PGN34" s="1"/>
      <c r="PGO34" s="1"/>
      <c r="PGP34" s="1"/>
      <c r="PGQ34" s="1"/>
      <c r="PGR34" s="1"/>
      <c r="PGS34" s="1"/>
      <c r="PGT34" s="1"/>
      <c r="PGU34" s="1"/>
      <c r="PGV34" s="1"/>
      <c r="PGW34" s="1"/>
      <c r="PGX34" s="1"/>
      <c r="PGY34" s="1"/>
      <c r="PGZ34" s="1"/>
      <c r="PHA34" s="1"/>
      <c r="PHB34" s="1"/>
      <c r="PHC34" s="1"/>
      <c r="PHD34" s="1"/>
      <c r="PHE34" s="1"/>
      <c r="PHF34" s="1"/>
      <c r="PHG34" s="1"/>
      <c r="PHH34" s="1"/>
      <c r="PHI34" s="1"/>
      <c r="PHJ34" s="1"/>
      <c r="PHK34" s="1"/>
      <c r="PHL34" s="1"/>
      <c r="PHM34" s="1"/>
      <c r="PHN34" s="1"/>
      <c r="PHO34" s="1"/>
      <c r="PHP34" s="1"/>
      <c r="PHQ34" s="1"/>
      <c r="PHR34" s="1"/>
      <c r="PHS34" s="1"/>
      <c r="PHT34" s="1"/>
      <c r="PHU34" s="1"/>
      <c r="PHV34" s="1"/>
      <c r="PHW34" s="1"/>
      <c r="PHX34" s="1"/>
      <c r="PHY34" s="1"/>
      <c r="PHZ34" s="1"/>
      <c r="PIA34" s="1"/>
      <c r="PIB34" s="1"/>
      <c r="PIC34" s="1"/>
      <c r="PID34" s="1"/>
      <c r="PIE34" s="1"/>
      <c r="PIF34" s="1"/>
      <c r="PIG34" s="1"/>
      <c r="PIH34" s="1"/>
      <c r="PII34" s="1"/>
      <c r="PIJ34" s="1"/>
      <c r="PIK34" s="1"/>
      <c r="PIL34" s="1"/>
      <c r="PIM34" s="1"/>
      <c r="PIN34" s="1"/>
      <c r="PIO34" s="1"/>
      <c r="PIP34" s="1"/>
      <c r="PIQ34" s="1"/>
      <c r="PIR34" s="1"/>
      <c r="PIS34" s="1"/>
      <c r="PIT34" s="1"/>
      <c r="PIU34" s="1"/>
      <c r="PIV34" s="1"/>
      <c r="PIW34" s="1"/>
      <c r="PIX34" s="1"/>
      <c r="PIY34" s="1"/>
      <c r="PIZ34" s="1"/>
      <c r="PJA34" s="1"/>
      <c r="PJB34" s="1"/>
      <c r="PJC34" s="1"/>
      <c r="PJD34" s="1"/>
      <c r="PJE34" s="1"/>
      <c r="PJF34" s="1"/>
      <c r="PJG34" s="1"/>
      <c r="PJH34" s="1"/>
      <c r="PJI34" s="1"/>
      <c r="PJJ34" s="1"/>
      <c r="PJK34" s="1"/>
      <c r="PJL34" s="1"/>
      <c r="PJM34" s="1"/>
      <c r="PJN34" s="1"/>
      <c r="PJO34" s="1"/>
      <c r="PJP34" s="1"/>
      <c r="PJQ34" s="1"/>
      <c r="PJR34" s="1"/>
      <c r="PJS34" s="1"/>
      <c r="PJT34" s="1"/>
      <c r="PJU34" s="1"/>
      <c r="PJV34" s="1"/>
      <c r="PJW34" s="1"/>
      <c r="PJX34" s="1"/>
      <c r="PJY34" s="1"/>
      <c r="PJZ34" s="1"/>
      <c r="PKA34" s="1"/>
      <c r="PKB34" s="1"/>
      <c r="PKC34" s="1"/>
      <c r="PKD34" s="1"/>
      <c r="PKE34" s="1"/>
      <c r="PKF34" s="1"/>
      <c r="PKG34" s="1"/>
      <c r="PKH34" s="1"/>
      <c r="PKI34" s="1"/>
      <c r="PKJ34" s="1"/>
      <c r="PKK34" s="1"/>
      <c r="PKL34" s="1"/>
      <c r="PKM34" s="1"/>
      <c r="PKN34" s="1"/>
      <c r="PKO34" s="1"/>
      <c r="PKP34" s="1"/>
      <c r="PKQ34" s="1"/>
      <c r="PKR34" s="1"/>
      <c r="PKS34" s="1"/>
      <c r="PKT34" s="1"/>
      <c r="PKU34" s="1"/>
      <c r="PKV34" s="1"/>
      <c r="PKW34" s="1"/>
      <c r="PKX34" s="1"/>
      <c r="PKY34" s="1"/>
      <c r="PKZ34" s="1"/>
      <c r="PLA34" s="1"/>
      <c r="PLB34" s="1"/>
      <c r="PLC34" s="1"/>
      <c r="PLD34" s="1"/>
      <c r="PLE34" s="1"/>
      <c r="PLF34" s="1"/>
      <c r="PLG34" s="1"/>
      <c r="PLH34" s="1"/>
      <c r="PLI34" s="1"/>
      <c r="PLJ34" s="1"/>
      <c r="PLK34" s="1"/>
      <c r="PLL34" s="1"/>
      <c r="PLM34" s="1"/>
      <c r="PLN34" s="1"/>
      <c r="PLO34" s="1"/>
      <c r="PLP34" s="1"/>
      <c r="PLQ34" s="1"/>
      <c r="PLR34" s="1"/>
      <c r="PLS34" s="1"/>
      <c r="PLT34" s="1"/>
      <c r="PLU34" s="1"/>
      <c r="PLV34" s="1"/>
      <c r="PLW34" s="1"/>
      <c r="PLX34" s="1"/>
      <c r="PLY34" s="1"/>
      <c r="PLZ34" s="1"/>
      <c r="PMA34" s="1"/>
      <c r="PMB34" s="1"/>
      <c r="PMC34" s="1"/>
      <c r="PMD34" s="1"/>
      <c r="PME34" s="1"/>
      <c r="PMF34" s="1"/>
      <c r="PMG34" s="1"/>
      <c r="PMH34" s="1"/>
      <c r="PMI34" s="1"/>
      <c r="PMJ34" s="1"/>
      <c r="PMK34" s="1"/>
      <c r="PML34" s="1"/>
      <c r="PMM34" s="1"/>
      <c r="PMN34" s="1"/>
      <c r="PMO34" s="1"/>
      <c r="PMP34" s="1"/>
      <c r="PMQ34" s="1"/>
      <c r="PMR34" s="1"/>
      <c r="PMS34" s="1"/>
      <c r="PMT34" s="1"/>
      <c r="PMU34" s="1"/>
      <c r="PMV34" s="1"/>
      <c r="PMW34" s="1"/>
      <c r="PMX34" s="1"/>
      <c r="PMY34" s="1"/>
      <c r="PMZ34" s="1"/>
      <c r="PNA34" s="1"/>
      <c r="PNB34" s="1"/>
      <c r="PNC34" s="1"/>
      <c r="PND34" s="1"/>
      <c r="PNE34" s="1"/>
      <c r="PNF34" s="1"/>
      <c r="PNG34" s="1"/>
      <c r="PNH34" s="1"/>
      <c r="PNI34" s="1"/>
      <c r="PNJ34" s="1"/>
      <c r="PNK34" s="1"/>
      <c r="PNL34" s="1"/>
      <c r="PNM34" s="1"/>
      <c r="PNN34" s="1"/>
      <c r="PNO34" s="1"/>
      <c r="PNP34" s="1"/>
      <c r="PNQ34" s="1"/>
      <c r="PNR34" s="1"/>
      <c r="PNS34" s="1"/>
      <c r="PNT34" s="1"/>
      <c r="PNU34" s="1"/>
      <c r="PNV34" s="1"/>
      <c r="PNW34" s="1"/>
      <c r="PNX34" s="1"/>
      <c r="PNY34" s="1"/>
      <c r="PNZ34" s="1"/>
      <c r="POA34" s="1"/>
      <c r="POB34" s="1"/>
      <c r="POC34" s="1"/>
      <c r="POD34" s="1"/>
      <c r="POE34" s="1"/>
      <c r="POF34" s="1"/>
      <c r="POG34" s="1"/>
      <c r="POH34" s="1"/>
      <c r="POI34" s="1"/>
      <c r="POJ34" s="1"/>
      <c r="POK34" s="1"/>
      <c r="POL34" s="1"/>
      <c r="POM34" s="1"/>
      <c r="PON34" s="1"/>
      <c r="POO34" s="1"/>
      <c r="POP34" s="1"/>
      <c r="POQ34" s="1"/>
      <c r="POR34" s="1"/>
      <c r="POS34" s="1"/>
      <c r="POT34" s="1"/>
      <c r="POU34" s="1"/>
      <c r="POV34" s="1"/>
      <c r="POW34" s="1"/>
      <c r="POX34" s="1"/>
      <c r="POY34" s="1"/>
      <c r="POZ34" s="1"/>
      <c r="PPA34" s="1"/>
      <c r="PPB34" s="1"/>
      <c r="PPC34" s="1"/>
      <c r="PPD34" s="1"/>
      <c r="PPE34" s="1"/>
      <c r="PPF34" s="1"/>
      <c r="PPG34" s="1"/>
      <c r="PPH34" s="1"/>
      <c r="PPI34" s="1"/>
      <c r="PPJ34" s="1"/>
      <c r="PPK34" s="1"/>
      <c r="PPL34" s="1"/>
      <c r="PPM34" s="1"/>
      <c r="PPN34" s="1"/>
      <c r="PPO34" s="1"/>
      <c r="PPP34" s="1"/>
      <c r="PPQ34" s="1"/>
      <c r="PPR34" s="1"/>
      <c r="PPS34" s="1"/>
      <c r="PPT34" s="1"/>
      <c r="PPU34" s="1"/>
      <c r="PPV34" s="1"/>
      <c r="PPW34" s="1"/>
      <c r="PPX34" s="1"/>
      <c r="PPY34" s="1"/>
      <c r="PPZ34" s="1"/>
      <c r="PQA34" s="1"/>
      <c r="PQB34" s="1"/>
      <c r="PQC34" s="1"/>
      <c r="PQD34" s="1"/>
      <c r="PQE34" s="1"/>
      <c r="PQF34" s="1"/>
      <c r="PQG34" s="1"/>
      <c r="PQH34" s="1"/>
      <c r="PQI34" s="1"/>
      <c r="PQJ34" s="1"/>
      <c r="PQK34" s="1"/>
      <c r="PQL34" s="1"/>
      <c r="PQM34" s="1"/>
      <c r="PQN34" s="1"/>
      <c r="PQO34" s="1"/>
      <c r="PQP34" s="1"/>
      <c r="PQQ34" s="1"/>
      <c r="PQR34" s="1"/>
      <c r="PQS34" s="1"/>
      <c r="PQT34" s="1"/>
      <c r="PQU34" s="1"/>
      <c r="PQV34" s="1"/>
      <c r="PQW34" s="1"/>
      <c r="PQX34" s="1"/>
      <c r="PQY34" s="1"/>
      <c r="PQZ34" s="1"/>
      <c r="PRA34" s="1"/>
      <c r="PRB34" s="1"/>
      <c r="PRC34" s="1"/>
      <c r="PRD34" s="1"/>
      <c r="PRE34" s="1"/>
      <c r="PRF34" s="1"/>
      <c r="PRG34" s="1"/>
      <c r="PRH34" s="1"/>
      <c r="PRI34" s="1"/>
      <c r="PRJ34" s="1"/>
      <c r="PRK34" s="1"/>
      <c r="PRL34" s="1"/>
      <c r="PRM34" s="1"/>
      <c r="PRN34" s="1"/>
      <c r="PRO34" s="1"/>
      <c r="PRP34" s="1"/>
      <c r="PRQ34" s="1"/>
      <c r="PRR34" s="1"/>
      <c r="PRS34" s="1"/>
      <c r="PRT34" s="1"/>
      <c r="PRU34" s="1"/>
      <c r="PRV34" s="1"/>
      <c r="PRW34" s="1"/>
      <c r="PRX34" s="1"/>
      <c r="PRY34" s="1"/>
      <c r="PRZ34" s="1"/>
      <c r="PSA34" s="1"/>
      <c r="PSB34" s="1"/>
      <c r="PSC34" s="1"/>
      <c r="PSD34" s="1"/>
      <c r="PSE34" s="1"/>
      <c r="PSF34" s="1"/>
      <c r="PSG34" s="1"/>
      <c r="PSH34" s="1"/>
      <c r="PSI34" s="1"/>
      <c r="PSJ34" s="1"/>
      <c r="PSK34" s="1"/>
      <c r="PSL34" s="1"/>
      <c r="PSM34" s="1"/>
      <c r="PSN34" s="1"/>
      <c r="PSO34" s="1"/>
      <c r="PSP34" s="1"/>
      <c r="PSQ34" s="1"/>
      <c r="PSR34" s="1"/>
      <c r="PSS34" s="1"/>
      <c r="PST34" s="1"/>
      <c r="PSU34" s="1"/>
      <c r="PSV34" s="1"/>
      <c r="PSW34" s="1"/>
      <c r="PSX34" s="1"/>
      <c r="PSY34" s="1"/>
      <c r="PSZ34" s="1"/>
      <c r="PTA34" s="1"/>
      <c r="PTB34" s="1"/>
      <c r="PTC34" s="1"/>
      <c r="PTD34" s="1"/>
      <c r="PTE34" s="1"/>
      <c r="PTF34" s="1"/>
      <c r="PTG34" s="1"/>
      <c r="PTH34" s="1"/>
      <c r="PTI34" s="1"/>
      <c r="PTJ34" s="1"/>
      <c r="PTK34" s="1"/>
      <c r="PTL34" s="1"/>
      <c r="PTM34" s="1"/>
      <c r="PTN34" s="1"/>
      <c r="PTO34" s="1"/>
      <c r="PTP34" s="1"/>
      <c r="PTQ34" s="1"/>
      <c r="PTR34" s="1"/>
      <c r="PTS34" s="1"/>
      <c r="PTT34" s="1"/>
      <c r="PTU34" s="1"/>
      <c r="PTV34" s="1"/>
      <c r="PTW34" s="1"/>
      <c r="PTX34" s="1"/>
      <c r="PTY34" s="1"/>
      <c r="PTZ34" s="1"/>
      <c r="PUA34" s="1"/>
      <c r="PUB34" s="1"/>
      <c r="PUC34" s="1"/>
      <c r="PUD34" s="1"/>
      <c r="PUE34" s="1"/>
      <c r="PUF34" s="1"/>
      <c r="PUG34" s="1"/>
      <c r="PUH34" s="1"/>
      <c r="PUI34" s="1"/>
      <c r="PUJ34" s="1"/>
      <c r="PUK34" s="1"/>
      <c r="PUL34" s="1"/>
      <c r="PUM34" s="1"/>
      <c r="PUN34" s="1"/>
      <c r="PUO34" s="1"/>
      <c r="PUP34" s="1"/>
      <c r="PUQ34" s="1"/>
      <c r="PUR34" s="1"/>
      <c r="PUS34" s="1"/>
      <c r="PUT34" s="1"/>
      <c r="PUU34" s="1"/>
      <c r="PUV34" s="1"/>
      <c r="PUW34" s="1"/>
      <c r="PUX34" s="1"/>
      <c r="PUY34" s="1"/>
      <c r="PUZ34" s="1"/>
      <c r="PVA34" s="1"/>
      <c r="PVB34" s="1"/>
      <c r="PVC34" s="1"/>
      <c r="PVD34" s="1"/>
      <c r="PVE34" s="1"/>
      <c r="PVF34" s="1"/>
      <c r="PVG34" s="1"/>
      <c r="PVH34" s="1"/>
      <c r="PVI34" s="1"/>
      <c r="PVJ34" s="1"/>
      <c r="PVK34" s="1"/>
      <c r="PVL34" s="1"/>
      <c r="PVM34" s="1"/>
      <c r="PVN34" s="1"/>
      <c r="PVO34" s="1"/>
      <c r="PVP34" s="1"/>
      <c r="PVQ34" s="1"/>
      <c r="PVR34" s="1"/>
      <c r="PVS34" s="1"/>
      <c r="PVT34" s="1"/>
      <c r="PVU34" s="1"/>
      <c r="PVV34" s="1"/>
      <c r="PVW34" s="1"/>
      <c r="PVX34" s="1"/>
      <c r="PVY34" s="1"/>
      <c r="PVZ34" s="1"/>
      <c r="PWA34" s="1"/>
      <c r="PWB34" s="1"/>
      <c r="PWC34" s="1"/>
      <c r="PWD34" s="1"/>
      <c r="PWE34" s="1"/>
      <c r="PWF34" s="1"/>
      <c r="PWG34" s="1"/>
      <c r="PWH34" s="1"/>
      <c r="PWI34" s="1"/>
      <c r="PWJ34" s="1"/>
      <c r="PWK34" s="1"/>
      <c r="PWL34" s="1"/>
      <c r="PWM34" s="1"/>
      <c r="PWN34" s="1"/>
      <c r="PWO34" s="1"/>
      <c r="PWP34" s="1"/>
      <c r="PWQ34" s="1"/>
      <c r="PWR34" s="1"/>
      <c r="PWS34" s="1"/>
      <c r="PWT34" s="1"/>
      <c r="PWU34" s="1"/>
      <c r="PWV34" s="1"/>
      <c r="PWW34" s="1"/>
      <c r="PWX34" s="1"/>
      <c r="PWY34" s="1"/>
      <c r="PWZ34" s="1"/>
      <c r="PXA34" s="1"/>
      <c r="PXB34" s="1"/>
      <c r="PXC34" s="1"/>
      <c r="PXD34" s="1"/>
      <c r="PXE34" s="1"/>
      <c r="PXF34" s="1"/>
      <c r="PXG34" s="1"/>
      <c r="PXH34" s="1"/>
      <c r="PXI34" s="1"/>
      <c r="PXJ34" s="1"/>
      <c r="PXK34" s="1"/>
      <c r="PXL34" s="1"/>
      <c r="PXM34" s="1"/>
      <c r="PXN34" s="1"/>
      <c r="PXO34" s="1"/>
      <c r="PXP34" s="1"/>
      <c r="PXQ34" s="1"/>
      <c r="PXR34" s="1"/>
      <c r="PXS34" s="1"/>
      <c r="PXT34" s="1"/>
      <c r="PXU34" s="1"/>
      <c r="PXV34" s="1"/>
      <c r="PXW34" s="1"/>
      <c r="PXX34" s="1"/>
      <c r="PXY34" s="1"/>
      <c r="PXZ34" s="1"/>
      <c r="PYA34" s="1"/>
      <c r="PYB34" s="1"/>
      <c r="PYC34" s="1"/>
      <c r="PYD34" s="1"/>
      <c r="PYE34" s="1"/>
      <c r="PYF34" s="1"/>
      <c r="PYG34" s="1"/>
      <c r="PYH34" s="1"/>
      <c r="PYI34" s="1"/>
      <c r="PYJ34" s="1"/>
      <c r="PYK34" s="1"/>
      <c r="PYL34" s="1"/>
      <c r="PYM34" s="1"/>
      <c r="PYN34" s="1"/>
      <c r="PYO34" s="1"/>
      <c r="PYP34" s="1"/>
      <c r="PYQ34" s="1"/>
      <c r="PYR34" s="1"/>
      <c r="PYS34" s="1"/>
      <c r="PYT34" s="1"/>
      <c r="PYU34" s="1"/>
      <c r="PYV34" s="1"/>
      <c r="PYW34" s="1"/>
      <c r="PYX34" s="1"/>
      <c r="PYY34" s="1"/>
      <c r="PYZ34" s="1"/>
      <c r="PZA34" s="1"/>
      <c r="PZB34" s="1"/>
      <c r="PZC34" s="1"/>
      <c r="PZD34" s="1"/>
      <c r="PZE34" s="1"/>
      <c r="PZF34" s="1"/>
      <c r="PZG34" s="1"/>
      <c r="PZH34" s="1"/>
      <c r="PZI34" s="1"/>
      <c r="PZJ34" s="1"/>
      <c r="PZK34" s="1"/>
      <c r="PZL34" s="1"/>
      <c r="PZM34" s="1"/>
      <c r="PZN34" s="1"/>
      <c r="PZO34" s="1"/>
      <c r="PZP34" s="1"/>
      <c r="PZQ34" s="1"/>
      <c r="PZR34" s="1"/>
      <c r="PZS34" s="1"/>
      <c r="PZT34" s="1"/>
      <c r="PZU34" s="1"/>
      <c r="PZV34" s="1"/>
      <c r="PZW34" s="1"/>
      <c r="PZX34" s="1"/>
      <c r="PZY34" s="1"/>
      <c r="PZZ34" s="1"/>
      <c r="QAA34" s="1"/>
      <c r="QAB34" s="1"/>
      <c r="QAC34" s="1"/>
      <c r="QAD34" s="1"/>
      <c r="QAE34" s="1"/>
      <c r="QAF34" s="1"/>
      <c r="QAG34" s="1"/>
      <c r="QAH34" s="1"/>
      <c r="QAI34" s="1"/>
      <c r="QAJ34" s="1"/>
      <c r="QAK34" s="1"/>
      <c r="QAL34" s="1"/>
      <c r="QAM34" s="1"/>
      <c r="QAN34" s="1"/>
      <c r="QAO34" s="1"/>
      <c r="QAP34" s="1"/>
      <c r="QAQ34" s="1"/>
      <c r="QAR34" s="1"/>
      <c r="QAS34" s="1"/>
      <c r="QAT34" s="1"/>
      <c r="QAU34" s="1"/>
      <c r="QAV34" s="1"/>
      <c r="QAW34" s="1"/>
      <c r="QAX34" s="1"/>
      <c r="QAY34" s="1"/>
      <c r="QAZ34" s="1"/>
      <c r="QBA34" s="1"/>
      <c r="QBB34" s="1"/>
      <c r="QBC34" s="1"/>
      <c r="QBD34" s="1"/>
      <c r="QBE34" s="1"/>
      <c r="QBF34" s="1"/>
      <c r="QBG34" s="1"/>
      <c r="QBH34" s="1"/>
      <c r="QBI34" s="1"/>
      <c r="QBJ34" s="1"/>
      <c r="QBK34" s="1"/>
      <c r="QBL34" s="1"/>
      <c r="QBM34" s="1"/>
      <c r="QBN34" s="1"/>
      <c r="QBO34" s="1"/>
      <c r="QBP34" s="1"/>
      <c r="QBQ34" s="1"/>
      <c r="QBR34" s="1"/>
      <c r="QBS34" s="1"/>
      <c r="QBT34" s="1"/>
      <c r="QBU34" s="1"/>
      <c r="QBV34" s="1"/>
      <c r="QBW34" s="1"/>
      <c r="QBX34" s="1"/>
      <c r="QBY34" s="1"/>
      <c r="QBZ34" s="1"/>
      <c r="QCA34" s="1"/>
      <c r="QCB34" s="1"/>
      <c r="QCC34" s="1"/>
      <c r="QCD34" s="1"/>
      <c r="QCE34" s="1"/>
      <c r="QCF34" s="1"/>
      <c r="QCG34" s="1"/>
      <c r="QCH34" s="1"/>
      <c r="QCI34" s="1"/>
      <c r="QCJ34" s="1"/>
      <c r="QCK34" s="1"/>
      <c r="QCL34" s="1"/>
      <c r="QCM34" s="1"/>
      <c r="QCN34" s="1"/>
      <c r="QCO34" s="1"/>
      <c r="QCP34" s="1"/>
      <c r="QCQ34" s="1"/>
      <c r="QCR34" s="1"/>
      <c r="QCS34" s="1"/>
      <c r="QCT34" s="1"/>
      <c r="QCU34" s="1"/>
      <c r="QCV34" s="1"/>
      <c r="QCW34" s="1"/>
      <c r="QCX34" s="1"/>
      <c r="QCY34" s="1"/>
      <c r="QCZ34" s="1"/>
      <c r="QDA34" s="1"/>
      <c r="QDB34" s="1"/>
      <c r="QDC34" s="1"/>
      <c r="QDD34" s="1"/>
      <c r="QDE34" s="1"/>
      <c r="QDF34" s="1"/>
      <c r="QDG34" s="1"/>
      <c r="QDH34" s="1"/>
      <c r="QDI34" s="1"/>
      <c r="QDJ34" s="1"/>
      <c r="QDK34" s="1"/>
      <c r="QDL34" s="1"/>
      <c r="QDM34" s="1"/>
      <c r="QDN34" s="1"/>
      <c r="QDO34" s="1"/>
      <c r="QDP34" s="1"/>
      <c r="QDQ34" s="1"/>
      <c r="QDR34" s="1"/>
      <c r="QDS34" s="1"/>
      <c r="QDT34" s="1"/>
      <c r="QDU34" s="1"/>
      <c r="QDV34" s="1"/>
      <c r="QDW34" s="1"/>
      <c r="QDX34" s="1"/>
      <c r="QDY34" s="1"/>
      <c r="QDZ34" s="1"/>
      <c r="QEA34" s="1"/>
      <c r="QEB34" s="1"/>
      <c r="QEC34" s="1"/>
      <c r="QED34" s="1"/>
      <c r="QEE34" s="1"/>
      <c r="QEF34" s="1"/>
      <c r="QEG34" s="1"/>
      <c r="QEH34" s="1"/>
      <c r="QEI34" s="1"/>
      <c r="QEJ34" s="1"/>
      <c r="QEK34" s="1"/>
      <c r="QEL34" s="1"/>
      <c r="QEM34" s="1"/>
      <c r="QEN34" s="1"/>
      <c r="QEO34" s="1"/>
      <c r="QEP34" s="1"/>
      <c r="QEQ34" s="1"/>
      <c r="QER34" s="1"/>
      <c r="QES34" s="1"/>
      <c r="QET34" s="1"/>
      <c r="QEU34" s="1"/>
      <c r="QEV34" s="1"/>
      <c r="QEW34" s="1"/>
      <c r="QEX34" s="1"/>
      <c r="QEY34" s="1"/>
      <c r="QEZ34" s="1"/>
      <c r="QFA34" s="1"/>
      <c r="QFB34" s="1"/>
      <c r="QFC34" s="1"/>
      <c r="QFD34" s="1"/>
      <c r="QFE34" s="1"/>
      <c r="QFF34" s="1"/>
      <c r="QFG34" s="1"/>
      <c r="QFH34" s="1"/>
      <c r="QFI34" s="1"/>
      <c r="QFJ34" s="1"/>
      <c r="QFK34" s="1"/>
      <c r="QFL34" s="1"/>
      <c r="QFM34" s="1"/>
      <c r="QFN34" s="1"/>
      <c r="QFO34" s="1"/>
      <c r="QFP34" s="1"/>
      <c r="QFQ34" s="1"/>
      <c r="QFR34" s="1"/>
      <c r="QFS34" s="1"/>
      <c r="QFT34" s="1"/>
      <c r="QFU34" s="1"/>
      <c r="QFV34" s="1"/>
      <c r="QFW34" s="1"/>
      <c r="QFX34" s="1"/>
      <c r="QFY34" s="1"/>
      <c r="QFZ34" s="1"/>
      <c r="QGA34" s="1"/>
      <c r="QGB34" s="1"/>
      <c r="QGC34" s="1"/>
      <c r="QGD34" s="1"/>
      <c r="QGE34" s="1"/>
      <c r="QGF34" s="1"/>
      <c r="QGG34" s="1"/>
      <c r="QGH34" s="1"/>
      <c r="QGI34" s="1"/>
      <c r="QGJ34" s="1"/>
      <c r="QGK34" s="1"/>
      <c r="QGL34" s="1"/>
      <c r="QGM34" s="1"/>
      <c r="QGN34" s="1"/>
      <c r="QGO34" s="1"/>
      <c r="QGP34" s="1"/>
      <c r="QGQ34" s="1"/>
      <c r="QGR34" s="1"/>
      <c r="QGS34" s="1"/>
      <c r="QGT34" s="1"/>
      <c r="QGU34" s="1"/>
      <c r="QGV34" s="1"/>
      <c r="QGW34" s="1"/>
      <c r="QGX34" s="1"/>
      <c r="QGY34" s="1"/>
      <c r="QGZ34" s="1"/>
      <c r="QHA34" s="1"/>
      <c r="QHB34" s="1"/>
      <c r="QHC34" s="1"/>
      <c r="QHD34" s="1"/>
      <c r="QHE34" s="1"/>
      <c r="QHF34" s="1"/>
      <c r="QHG34" s="1"/>
      <c r="QHH34" s="1"/>
      <c r="QHI34" s="1"/>
      <c r="QHJ34" s="1"/>
      <c r="QHK34" s="1"/>
      <c r="QHL34" s="1"/>
      <c r="QHM34" s="1"/>
      <c r="QHN34" s="1"/>
      <c r="QHO34" s="1"/>
      <c r="QHP34" s="1"/>
      <c r="QHQ34" s="1"/>
      <c r="QHR34" s="1"/>
      <c r="QHS34" s="1"/>
      <c r="QHT34" s="1"/>
      <c r="QHU34" s="1"/>
      <c r="QHV34" s="1"/>
      <c r="QHW34" s="1"/>
      <c r="QHX34" s="1"/>
      <c r="QHY34" s="1"/>
      <c r="QHZ34" s="1"/>
      <c r="QIA34" s="1"/>
      <c r="QIB34" s="1"/>
      <c r="QIC34" s="1"/>
      <c r="QID34" s="1"/>
      <c r="QIE34" s="1"/>
      <c r="QIF34" s="1"/>
      <c r="QIG34" s="1"/>
      <c r="QIH34" s="1"/>
      <c r="QII34" s="1"/>
      <c r="QIJ34" s="1"/>
      <c r="QIK34" s="1"/>
      <c r="QIL34" s="1"/>
      <c r="QIM34" s="1"/>
      <c r="QIN34" s="1"/>
      <c r="QIO34" s="1"/>
      <c r="QIP34" s="1"/>
      <c r="QIQ34" s="1"/>
      <c r="QIR34" s="1"/>
      <c r="QIS34" s="1"/>
      <c r="QIT34" s="1"/>
      <c r="QIU34" s="1"/>
      <c r="QIV34" s="1"/>
      <c r="QIW34" s="1"/>
      <c r="QIX34" s="1"/>
      <c r="QIY34" s="1"/>
      <c r="QIZ34" s="1"/>
      <c r="QJA34" s="1"/>
      <c r="QJB34" s="1"/>
      <c r="QJC34" s="1"/>
      <c r="QJD34" s="1"/>
      <c r="QJE34" s="1"/>
      <c r="QJF34" s="1"/>
      <c r="QJG34" s="1"/>
      <c r="QJH34" s="1"/>
      <c r="QJI34" s="1"/>
      <c r="QJJ34" s="1"/>
      <c r="QJK34" s="1"/>
      <c r="QJL34" s="1"/>
      <c r="QJM34" s="1"/>
      <c r="QJN34" s="1"/>
      <c r="QJO34" s="1"/>
      <c r="QJP34" s="1"/>
      <c r="QJQ34" s="1"/>
      <c r="QJR34" s="1"/>
      <c r="QJS34" s="1"/>
      <c r="QJT34" s="1"/>
      <c r="QJU34" s="1"/>
      <c r="QJV34" s="1"/>
      <c r="QJW34" s="1"/>
      <c r="QJX34" s="1"/>
      <c r="QJY34" s="1"/>
      <c r="QJZ34" s="1"/>
      <c r="QKA34" s="1"/>
      <c r="QKB34" s="1"/>
      <c r="QKC34" s="1"/>
      <c r="QKD34" s="1"/>
      <c r="QKE34" s="1"/>
      <c r="QKF34" s="1"/>
      <c r="QKG34" s="1"/>
      <c r="QKH34" s="1"/>
      <c r="QKI34" s="1"/>
      <c r="QKJ34" s="1"/>
      <c r="QKK34" s="1"/>
      <c r="QKL34" s="1"/>
      <c r="QKM34" s="1"/>
      <c r="QKN34" s="1"/>
      <c r="QKO34" s="1"/>
      <c r="QKP34" s="1"/>
      <c r="QKQ34" s="1"/>
      <c r="QKR34" s="1"/>
      <c r="QKS34" s="1"/>
      <c r="QKT34" s="1"/>
      <c r="QKU34" s="1"/>
      <c r="QKV34" s="1"/>
      <c r="QKW34" s="1"/>
      <c r="QKX34" s="1"/>
      <c r="QKY34" s="1"/>
      <c r="QKZ34" s="1"/>
      <c r="QLA34" s="1"/>
      <c r="QLB34" s="1"/>
      <c r="QLC34" s="1"/>
      <c r="QLD34" s="1"/>
      <c r="QLE34" s="1"/>
      <c r="QLF34" s="1"/>
      <c r="QLG34" s="1"/>
      <c r="QLH34" s="1"/>
      <c r="QLI34" s="1"/>
      <c r="QLJ34" s="1"/>
      <c r="QLK34" s="1"/>
      <c r="QLL34" s="1"/>
      <c r="QLM34" s="1"/>
      <c r="QLN34" s="1"/>
      <c r="QLO34" s="1"/>
      <c r="QLP34" s="1"/>
      <c r="QLQ34" s="1"/>
      <c r="QLR34" s="1"/>
      <c r="QLS34" s="1"/>
      <c r="QLT34" s="1"/>
      <c r="QLU34" s="1"/>
      <c r="QLV34" s="1"/>
      <c r="QLW34" s="1"/>
      <c r="QLX34" s="1"/>
      <c r="QLY34" s="1"/>
      <c r="QLZ34" s="1"/>
      <c r="QMA34" s="1"/>
      <c r="QMB34" s="1"/>
      <c r="QMC34" s="1"/>
      <c r="QMD34" s="1"/>
      <c r="QME34" s="1"/>
      <c r="QMF34" s="1"/>
      <c r="QMG34" s="1"/>
      <c r="QMH34" s="1"/>
      <c r="QMI34" s="1"/>
      <c r="QMJ34" s="1"/>
      <c r="QMK34" s="1"/>
      <c r="QML34" s="1"/>
      <c r="QMM34" s="1"/>
      <c r="QMN34" s="1"/>
      <c r="QMO34" s="1"/>
      <c r="QMP34" s="1"/>
      <c r="QMQ34" s="1"/>
      <c r="QMR34" s="1"/>
      <c r="QMS34" s="1"/>
      <c r="QMT34" s="1"/>
      <c r="QMU34" s="1"/>
      <c r="QMV34" s="1"/>
      <c r="QMW34" s="1"/>
      <c r="QMX34" s="1"/>
      <c r="QMY34" s="1"/>
      <c r="QMZ34" s="1"/>
      <c r="QNA34" s="1"/>
      <c r="QNB34" s="1"/>
      <c r="QNC34" s="1"/>
      <c r="QND34" s="1"/>
      <c r="QNE34" s="1"/>
      <c r="QNF34" s="1"/>
      <c r="QNG34" s="1"/>
      <c r="QNH34" s="1"/>
      <c r="QNI34" s="1"/>
      <c r="QNJ34" s="1"/>
      <c r="QNK34" s="1"/>
      <c r="QNL34" s="1"/>
      <c r="QNM34" s="1"/>
      <c r="QNN34" s="1"/>
      <c r="QNO34" s="1"/>
      <c r="QNP34" s="1"/>
      <c r="QNQ34" s="1"/>
      <c r="QNR34" s="1"/>
      <c r="QNS34" s="1"/>
      <c r="QNT34" s="1"/>
      <c r="QNU34" s="1"/>
      <c r="QNV34" s="1"/>
      <c r="QNW34" s="1"/>
      <c r="QNX34" s="1"/>
      <c r="QNY34" s="1"/>
      <c r="QNZ34" s="1"/>
      <c r="QOA34" s="1"/>
      <c r="QOB34" s="1"/>
      <c r="QOC34" s="1"/>
      <c r="QOD34" s="1"/>
      <c r="QOE34" s="1"/>
      <c r="QOF34" s="1"/>
      <c r="QOG34" s="1"/>
      <c r="QOH34" s="1"/>
      <c r="QOI34" s="1"/>
      <c r="QOJ34" s="1"/>
      <c r="QOK34" s="1"/>
      <c r="QOL34" s="1"/>
      <c r="QOM34" s="1"/>
      <c r="QON34" s="1"/>
      <c r="QOO34" s="1"/>
      <c r="QOP34" s="1"/>
      <c r="QOQ34" s="1"/>
      <c r="QOR34" s="1"/>
      <c r="QOS34" s="1"/>
      <c r="QOT34" s="1"/>
      <c r="QOU34" s="1"/>
      <c r="QOV34" s="1"/>
      <c r="QOW34" s="1"/>
      <c r="QOX34" s="1"/>
      <c r="QOY34" s="1"/>
      <c r="QOZ34" s="1"/>
      <c r="QPA34" s="1"/>
      <c r="QPB34" s="1"/>
      <c r="QPC34" s="1"/>
      <c r="QPD34" s="1"/>
      <c r="QPE34" s="1"/>
      <c r="QPF34" s="1"/>
      <c r="QPG34" s="1"/>
      <c r="QPH34" s="1"/>
      <c r="QPI34" s="1"/>
      <c r="QPJ34" s="1"/>
      <c r="QPK34" s="1"/>
      <c r="QPL34" s="1"/>
      <c r="QPM34" s="1"/>
      <c r="QPN34" s="1"/>
      <c r="QPO34" s="1"/>
      <c r="QPP34" s="1"/>
      <c r="QPQ34" s="1"/>
      <c r="QPR34" s="1"/>
      <c r="QPS34" s="1"/>
      <c r="QPT34" s="1"/>
      <c r="QPU34" s="1"/>
      <c r="QPV34" s="1"/>
      <c r="QPW34" s="1"/>
      <c r="QPX34" s="1"/>
      <c r="QPY34" s="1"/>
      <c r="QPZ34" s="1"/>
      <c r="QQA34" s="1"/>
      <c r="QQB34" s="1"/>
      <c r="QQC34" s="1"/>
      <c r="QQD34" s="1"/>
      <c r="QQE34" s="1"/>
      <c r="QQF34" s="1"/>
      <c r="QQG34" s="1"/>
      <c r="QQH34" s="1"/>
      <c r="QQI34" s="1"/>
      <c r="QQJ34" s="1"/>
      <c r="QQK34" s="1"/>
      <c r="QQL34" s="1"/>
      <c r="QQM34" s="1"/>
      <c r="QQN34" s="1"/>
      <c r="QQO34" s="1"/>
      <c r="QQP34" s="1"/>
      <c r="QQQ34" s="1"/>
      <c r="QQR34" s="1"/>
      <c r="QQS34" s="1"/>
      <c r="QQT34" s="1"/>
      <c r="QQU34" s="1"/>
      <c r="QQV34" s="1"/>
      <c r="QQW34" s="1"/>
      <c r="QQX34" s="1"/>
      <c r="QQY34" s="1"/>
      <c r="QQZ34" s="1"/>
      <c r="QRA34" s="1"/>
      <c r="QRB34" s="1"/>
      <c r="QRC34" s="1"/>
      <c r="QRD34" s="1"/>
      <c r="QRE34" s="1"/>
      <c r="QRF34" s="1"/>
      <c r="QRG34" s="1"/>
      <c r="QRH34" s="1"/>
      <c r="QRI34" s="1"/>
      <c r="QRJ34" s="1"/>
      <c r="QRK34" s="1"/>
      <c r="QRL34" s="1"/>
      <c r="QRM34" s="1"/>
      <c r="QRN34" s="1"/>
      <c r="QRO34" s="1"/>
      <c r="QRP34" s="1"/>
      <c r="QRQ34" s="1"/>
      <c r="QRR34" s="1"/>
      <c r="QRS34" s="1"/>
      <c r="QRT34" s="1"/>
      <c r="QRU34" s="1"/>
      <c r="QRV34" s="1"/>
      <c r="QRW34" s="1"/>
      <c r="QRX34" s="1"/>
      <c r="QRY34" s="1"/>
      <c r="QRZ34" s="1"/>
      <c r="QSA34" s="1"/>
      <c r="QSB34" s="1"/>
      <c r="QSC34" s="1"/>
      <c r="QSD34" s="1"/>
      <c r="QSE34" s="1"/>
      <c r="QSF34" s="1"/>
      <c r="QSG34" s="1"/>
      <c r="QSH34" s="1"/>
      <c r="QSI34" s="1"/>
      <c r="QSJ34" s="1"/>
      <c r="QSK34" s="1"/>
      <c r="QSL34" s="1"/>
      <c r="QSM34" s="1"/>
      <c r="QSN34" s="1"/>
      <c r="QSO34" s="1"/>
      <c r="QSP34" s="1"/>
      <c r="QSQ34" s="1"/>
      <c r="QSR34" s="1"/>
      <c r="QSS34" s="1"/>
      <c r="QST34" s="1"/>
      <c r="QSU34" s="1"/>
      <c r="QSV34" s="1"/>
      <c r="QSW34" s="1"/>
      <c r="QSX34" s="1"/>
      <c r="QSY34" s="1"/>
      <c r="QSZ34" s="1"/>
      <c r="QTA34" s="1"/>
      <c r="QTB34" s="1"/>
      <c r="QTC34" s="1"/>
      <c r="QTD34" s="1"/>
      <c r="QTE34" s="1"/>
      <c r="QTF34" s="1"/>
      <c r="QTG34" s="1"/>
      <c r="QTH34" s="1"/>
      <c r="QTI34" s="1"/>
      <c r="QTJ34" s="1"/>
      <c r="QTK34" s="1"/>
      <c r="QTL34" s="1"/>
      <c r="QTM34" s="1"/>
      <c r="QTN34" s="1"/>
      <c r="QTO34" s="1"/>
      <c r="QTP34" s="1"/>
      <c r="QTQ34" s="1"/>
      <c r="QTR34" s="1"/>
      <c r="QTS34" s="1"/>
      <c r="QTT34" s="1"/>
      <c r="QTU34" s="1"/>
      <c r="QTV34" s="1"/>
      <c r="QTW34" s="1"/>
      <c r="QTX34" s="1"/>
      <c r="QTY34" s="1"/>
      <c r="QTZ34" s="1"/>
      <c r="QUA34" s="1"/>
      <c r="QUB34" s="1"/>
      <c r="QUC34" s="1"/>
      <c r="QUD34" s="1"/>
      <c r="QUE34" s="1"/>
      <c r="QUF34" s="1"/>
      <c r="QUG34" s="1"/>
      <c r="QUH34" s="1"/>
      <c r="QUI34" s="1"/>
      <c r="QUJ34" s="1"/>
      <c r="QUK34" s="1"/>
      <c r="QUL34" s="1"/>
      <c r="QUM34" s="1"/>
      <c r="QUN34" s="1"/>
      <c r="QUO34" s="1"/>
      <c r="QUP34" s="1"/>
      <c r="QUQ34" s="1"/>
      <c r="QUR34" s="1"/>
      <c r="QUS34" s="1"/>
      <c r="QUT34" s="1"/>
      <c r="QUU34" s="1"/>
      <c r="QUV34" s="1"/>
      <c r="QUW34" s="1"/>
      <c r="QUX34" s="1"/>
      <c r="QUY34" s="1"/>
      <c r="QUZ34" s="1"/>
      <c r="QVA34" s="1"/>
      <c r="QVB34" s="1"/>
      <c r="QVC34" s="1"/>
      <c r="QVD34" s="1"/>
      <c r="QVE34" s="1"/>
      <c r="QVF34" s="1"/>
      <c r="QVG34" s="1"/>
      <c r="QVH34" s="1"/>
      <c r="QVI34" s="1"/>
      <c r="QVJ34" s="1"/>
      <c r="QVK34" s="1"/>
      <c r="QVL34" s="1"/>
      <c r="QVM34" s="1"/>
      <c r="QVN34" s="1"/>
      <c r="QVO34" s="1"/>
      <c r="QVP34" s="1"/>
      <c r="QVQ34" s="1"/>
      <c r="QVR34" s="1"/>
      <c r="QVS34" s="1"/>
      <c r="QVT34" s="1"/>
      <c r="QVU34" s="1"/>
      <c r="QVV34" s="1"/>
      <c r="QVW34" s="1"/>
      <c r="QVX34" s="1"/>
      <c r="QVY34" s="1"/>
      <c r="QVZ34" s="1"/>
      <c r="QWA34" s="1"/>
      <c r="QWB34" s="1"/>
      <c r="QWC34" s="1"/>
      <c r="QWD34" s="1"/>
      <c r="QWE34" s="1"/>
      <c r="QWF34" s="1"/>
      <c r="QWG34" s="1"/>
      <c r="QWH34" s="1"/>
      <c r="QWI34" s="1"/>
      <c r="QWJ34" s="1"/>
      <c r="QWK34" s="1"/>
      <c r="QWL34" s="1"/>
      <c r="QWM34" s="1"/>
      <c r="QWN34" s="1"/>
      <c r="QWO34" s="1"/>
      <c r="QWP34" s="1"/>
      <c r="QWQ34" s="1"/>
      <c r="QWR34" s="1"/>
      <c r="QWS34" s="1"/>
      <c r="QWT34" s="1"/>
      <c r="QWU34" s="1"/>
      <c r="QWV34" s="1"/>
      <c r="QWW34" s="1"/>
      <c r="QWX34" s="1"/>
      <c r="QWY34" s="1"/>
      <c r="QWZ34" s="1"/>
      <c r="QXA34" s="1"/>
      <c r="QXB34" s="1"/>
      <c r="QXC34" s="1"/>
      <c r="QXD34" s="1"/>
      <c r="QXE34" s="1"/>
      <c r="QXF34" s="1"/>
      <c r="QXG34" s="1"/>
      <c r="QXH34" s="1"/>
      <c r="QXI34" s="1"/>
      <c r="QXJ34" s="1"/>
      <c r="QXK34" s="1"/>
      <c r="QXL34" s="1"/>
      <c r="QXM34" s="1"/>
      <c r="QXN34" s="1"/>
      <c r="QXO34" s="1"/>
      <c r="QXP34" s="1"/>
      <c r="QXQ34" s="1"/>
      <c r="QXR34" s="1"/>
      <c r="QXS34" s="1"/>
      <c r="QXT34" s="1"/>
      <c r="QXU34" s="1"/>
      <c r="QXV34" s="1"/>
      <c r="QXW34" s="1"/>
      <c r="QXX34" s="1"/>
      <c r="QXY34" s="1"/>
      <c r="QXZ34" s="1"/>
      <c r="QYA34" s="1"/>
      <c r="QYB34" s="1"/>
      <c r="QYC34" s="1"/>
      <c r="QYD34" s="1"/>
      <c r="QYE34" s="1"/>
      <c r="QYF34" s="1"/>
      <c r="QYG34" s="1"/>
      <c r="QYH34" s="1"/>
      <c r="QYI34" s="1"/>
      <c r="QYJ34" s="1"/>
      <c r="QYK34" s="1"/>
      <c r="QYL34" s="1"/>
      <c r="QYM34" s="1"/>
      <c r="QYN34" s="1"/>
      <c r="QYO34" s="1"/>
      <c r="QYP34" s="1"/>
      <c r="QYQ34" s="1"/>
      <c r="QYR34" s="1"/>
      <c r="QYS34" s="1"/>
      <c r="QYT34" s="1"/>
      <c r="QYU34" s="1"/>
      <c r="QYV34" s="1"/>
      <c r="QYW34" s="1"/>
      <c r="QYX34" s="1"/>
      <c r="QYY34" s="1"/>
      <c r="QYZ34" s="1"/>
      <c r="QZA34" s="1"/>
      <c r="QZB34" s="1"/>
      <c r="QZC34" s="1"/>
      <c r="QZD34" s="1"/>
      <c r="QZE34" s="1"/>
      <c r="QZF34" s="1"/>
      <c r="QZG34" s="1"/>
      <c r="QZH34" s="1"/>
      <c r="QZI34" s="1"/>
      <c r="QZJ34" s="1"/>
      <c r="QZK34" s="1"/>
      <c r="QZL34" s="1"/>
      <c r="QZM34" s="1"/>
      <c r="QZN34" s="1"/>
      <c r="QZO34" s="1"/>
      <c r="QZP34" s="1"/>
      <c r="QZQ34" s="1"/>
      <c r="QZR34" s="1"/>
      <c r="QZS34" s="1"/>
      <c r="QZT34" s="1"/>
      <c r="QZU34" s="1"/>
      <c r="QZV34" s="1"/>
      <c r="QZW34" s="1"/>
      <c r="QZX34" s="1"/>
      <c r="QZY34" s="1"/>
      <c r="QZZ34" s="1"/>
      <c r="RAA34" s="1"/>
      <c r="RAB34" s="1"/>
      <c r="RAC34" s="1"/>
      <c r="RAD34" s="1"/>
      <c r="RAE34" s="1"/>
      <c r="RAF34" s="1"/>
      <c r="RAG34" s="1"/>
      <c r="RAH34" s="1"/>
      <c r="RAI34" s="1"/>
      <c r="RAJ34" s="1"/>
      <c r="RAK34" s="1"/>
      <c r="RAL34" s="1"/>
      <c r="RAM34" s="1"/>
      <c r="RAN34" s="1"/>
      <c r="RAO34" s="1"/>
      <c r="RAP34" s="1"/>
      <c r="RAQ34" s="1"/>
      <c r="RAR34" s="1"/>
      <c r="RAS34" s="1"/>
      <c r="RAT34" s="1"/>
      <c r="RAU34" s="1"/>
      <c r="RAV34" s="1"/>
      <c r="RAW34" s="1"/>
      <c r="RAX34" s="1"/>
      <c r="RAY34" s="1"/>
      <c r="RAZ34" s="1"/>
      <c r="RBA34" s="1"/>
      <c r="RBB34" s="1"/>
      <c r="RBC34" s="1"/>
      <c r="RBD34" s="1"/>
      <c r="RBE34" s="1"/>
      <c r="RBF34" s="1"/>
      <c r="RBG34" s="1"/>
      <c r="RBH34" s="1"/>
      <c r="RBI34" s="1"/>
      <c r="RBJ34" s="1"/>
      <c r="RBK34" s="1"/>
      <c r="RBL34" s="1"/>
      <c r="RBM34" s="1"/>
      <c r="RBN34" s="1"/>
      <c r="RBO34" s="1"/>
      <c r="RBP34" s="1"/>
      <c r="RBQ34" s="1"/>
      <c r="RBR34" s="1"/>
      <c r="RBS34" s="1"/>
      <c r="RBT34" s="1"/>
      <c r="RBU34" s="1"/>
      <c r="RBV34" s="1"/>
      <c r="RBW34" s="1"/>
      <c r="RBX34" s="1"/>
      <c r="RBY34" s="1"/>
      <c r="RBZ34" s="1"/>
      <c r="RCA34" s="1"/>
      <c r="RCB34" s="1"/>
      <c r="RCC34" s="1"/>
      <c r="RCD34" s="1"/>
      <c r="RCE34" s="1"/>
      <c r="RCF34" s="1"/>
      <c r="RCG34" s="1"/>
      <c r="RCH34" s="1"/>
      <c r="RCI34" s="1"/>
      <c r="RCJ34" s="1"/>
      <c r="RCK34" s="1"/>
      <c r="RCL34" s="1"/>
      <c r="RCM34" s="1"/>
      <c r="RCN34" s="1"/>
      <c r="RCO34" s="1"/>
      <c r="RCP34" s="1"/>
      <c r="RCQ34" s="1"/>
      <c r="RCR34" s="1"/>
      <c r="RCS34" s="1"/>
      <c r="RCT34" s="1"/>
      <c r="RCU34" s="1"/>
      <c r="RCV34" s="1"/>
      <c r="RCW34" s="1"/>
      <c r="RCX34" s="1"/>
      <c r="RCY34" s="1"/>
      <c r="RCZ34" s="1"/>
      <c r="RDA34" s="1"/>
      <c r="RDB34" s="1"/>
      <c r="RDC34" s="1"/>
      <c r="RDD34" s="1"/>
      <c r="RDE34" s="1"/>
      <c r="RDF34" s="1"/>
      <c r="RDG34" s="1"/>
      <c r="RDH34" s="1"/>
      <c r="RDI34" s="1"/>
      <c r="RDJ34" s="1"/>
      <c r="RDK34" s="1"/>
      <c r="RDL34" s="1"/>
      <c r="RDM34" s="1"/>
      <c r="RDN34" s="1"/>
      <c r="RDO34" s="1"/>
      <c r="RDP34" s="1"/>
      <c r="RDQ34" s="1"/>
      <c r="RDR34" s="1"/>
      <c r="RDS34" s="1"/>
      <c r="RDT34" s="1"/>
      <c r="RDU34" s="1"/>
      <c r="RDV34" s="1"/>
      <c r="RDW34" s="1"/>
      <c r="RDX34" s="1"/>
      <c r="RDY34" s="1"/>
      <c r="RDZ34" s="1"/>
      <c r="REA34" s="1"/>
      <c r="REB34" s="1"/>
      <c r="REC34" s="1"/>
      <c r="RED34" s="1"/>
      <c r="REE34" s="1"/>
      <c r="REF34" s="1"/>
      <c r="REG34" s="1"/>
      <c r="REH34" s="1"/>
      <c r="REI34" s="1"/>
      <c r="REJ34" s="1"/>
      <c r="REK34" s="1"/>
      <c r="REL34" s="1"/>
      <c r="REM34" s="1"/>
      <c r="REN34" s="1"/>
      <c r="REO34" s="1"/>
      <c r="REP34" s="1"/>
      <c r="REQ34" s="1"/>
      <c r="RER34" s="1"/>
      <c r="RES34" s="1"/>
      <c r="RET34" s="1"/>
      <c r="REU34" s="1"/>
      <c r="REV34" s="1"/>
      <c r="REW34" s="1"/>
      <c r="REX34" s="1"/>
      <c r="REY34" s="1"/>
      <c r="REZ34" s="1"/>
      <c r="RFA34" s="1"/>
      <c r="RFB34" s="1"/>
      <c r="RFC34" s="1"/>
      <c r="RFD34" s="1"/>
      <c r="RFE34" s="1"/>
      <c r="RFF34" s="1"/>
      <c r="RFG34" s="1"/>
      <c r="RFH34" s="1"/>
      <c r="RFI34" s="1"/>
      <c r="RFJ34" s="1"/>
      <c r="RFK34" s="1"/>
      <c r="RFL34" s="1"/>
      <c r="RFM34" s="1"/>
      <c r="RFN34" s="1"/>
      <c r="RFO34" s="1"/>
      <c r="RFP34" s="1"/>
      <c r="RFQ34" s="1"/>
      <c r="RFR34" s="1"/>
      <c r="RFS34" s="1"/>
      <c r="RFT34" s="1"/>
      <c r="RFU34" s="1"/>
      <c r="RFV34" s="1"/>
      <c r="RFW34" s="1"/>
      <c r="RFX34" s="1"/>
      <c r="RFY34" s="1"/>
      <c r="RFZ34" s="1"/>
      <c r="RGA34" s="1"/>
      <c r="RGB34" s="1"/>
      <c r="RGC34" s="1"/>
      <c r="RGD34" s="1"/>
      <c r="RGE34" s="1"/>
      <c r="RGF34" s="1"/>
      <c r="RGG34" s="1"/>
      <c r="RGH34" s="1"/>
      <c r="RGI34" s="1"/>
      <c r="RGJ34" s="1"/>
      <c r="RGK34" s="1"/>
      <c r="RGL34" s="1"/>
      <c r="RGM34" s="1"/>
      <c r="RGN34" s="1"/>
      <c r="RGO34" s="1"/>
      <c r="RGP34" s="1"/>
      <c r="RGQ34" s="1"/>
      <c r="RGR34" s="1"/>
      <c r="RGS34" s="1"/>
      <c r="RGT34" s="1"/>
      <c r="RGU34" s="1"/>
      <c r="RGV34" s="1"/>
      <c r="RGW34" s="1"/>
      <c r="RGX34" s="1"/>
      <c r="RGY34" s="1"/>
      <c r="RGZ34" s="1"/>
      <c r="RHA34" s="1"/>
      <c r="RHB34" s="1"/>
      <c r="RHC34" s="1"/>
      <c r="RHD34" s="1"/>
      <c r="RHE34" s="1"/>
      <c r="RHF34" s="1"/>
      <c r="RHG34" s="1"/>
      <c r="RHH34" s="1"/>
      <c r="RHI34" s="1"/>
      <c r="RHJ34" s="1"/>
      <c r="RHK34" s="1"/>
      <c r="RHL34" s="1"/>
      <c r="RHM34" s="1"/>
      <c r="RHN34" s="1"/>
      <c r="RHO34" s="1"/>
      <c r="RHP34" s="1"/>
      <c r="RHQ34" s="1"/>
      <c r="RHR34" s="1"/>
      <c r="RHS34" s="1"/>
      <c r="RHT34" s="1"/>
      <c r="RHU34" s="1"/>
      <c r="RHV34" s="1"/>
      <c r="RHW34" s="1"/>
      <c r="RHX34" s="1"/>
      <c r="RHY34" s="1"/>
      <c r="RHZ34" s="1"/>
      <c r="RIA34" s="1"/>
      <c r="RIB34" s="1"/>
      <c r="RIC34" s="1"/>
      <c r="RID34" s="1"/>
      <c r="RIE34" s="1"/>
      <c r="RIF34" s="1"/>
      <c r="RIG34" s="1"/>
      <c r="RIH34" s="1"/>
      <c r="RII34" s="1"/>
      <c r="RIJ34" s="1"/>
      <c r="RIK34" s="1"/>
      <c r="RIL34" s="1"/>
      <c r="RIM34" s="1"/>
      <c r="RIN34" s="1"/>
      <c r="RIO34" s="1"/>
      <c r="RIP34" s="1"/>
      <c r="RIQ34" s="1"/>
      <c r="RIR34" s="1"/>
      <c r="RIS34" s="1"/>
      <c r="RIT34" s="1"/>
      <c r="RIU34" s="1"/>
      <c r="RIV34" s="1"/>
      <c r="RIW34" s="1"/>
      <c r="RIX34" s="1"/>
      <c r="RIY34" s="1"/>
      <c r="RIZ34" s="1"/>
      <c r="RJA34" s="1"/>
      <c r="RJB34" s="1"/>
      <c r="RJC34" s="1"/>
      <c r="RJD34" s="1"/>
      <c r="RJE34" s="1"/>
      <c r="RJF34" s="1"/>
      <c r="RJG34" s="1"/>
      <c r="RJH34" s="1"/>
      <c r="RJI34" s="1"/>
      <c r="RJJ34" s="1"/>
      <c r="RJK34" s="1"/>
      <c r="RJL34" s="1"/>
      <c r="RJM34" s="1"/>
      <c r="RJN34" s="1"/>
      <c r="RJO34" s="1"/>
      <c r="RJP34" s="1"/>
      <c r="RJQ34" s="1"/>
      <c r="RJR34" s="1"/>
      <c r="RJS34" s="1"/>
      <c r="RJT34" s="1"/>
      <c r="RJU34" s="1"/>
      <c r="RJV34" s="1"/>
      <c r="RJW34" s="1"/>
      <c r="RJX34" s="1"/>
      <c r="RJY34" s="1"/>
      <c r="RJZ34" s="1"/>
      <c r="RKA34" s="1"/>
      <c r="RKB34" s="1"/>
      <c r="RKC34" s="1"/>
      <c r="RKD34" s="1"/>
      <c r="RKE34" s="1"/>
      <c r="RKF34" s="1"/>
      <c r="RKG34" s="1"/>
      <c r="RKH34" s="1"/>
      <c r="RKI34" s="1"/>
      <c r="RKJ34" s="1"/>
      <c r="RKK34" s="1"/>
      <c r="RKL34" s="1"/>
      <c r="RKM34" s="1"/>
      <c r="RKN34" s="1"/>
      <c r="RKO34" s="1"/>
      <c r="RKP34" s="1"/>
      <c r="RKQ34" s="1"/>
      <c r="RKR34" s="1"/>
      <c r="RKS34" s="1"/>
      <c r="RKT34" s="1"/>
      <c r="RKU34" s="1"/>
      <c r="RKV34" s="1"/>
      <c r="RKW34" s="1"/>
      <c r="RKX34" s="1"/>
      <c r="RKY34" s="1"/>
      <c r="RKZ34" s="1"/>
      <c r="RLA34" s="1"/>
      <c r="RLB34" s="1"/>
      <c r="RLC34" s="1"/>
      <c r="RLD34" s="1"/>
      <c r="RLE34" s="1"/>
      <c r="RLF34" s="1"/>
      <c r="RLG34" s="1"/>
      <c r="RLH34" s="1"/>
      <c r="RLI34" s="1"/>
      <c r="RLJ34" s="1"/>
      <c r="RLK34" s="1"/>
      <c r="RLL34" s="1"/>
      <c r="RLM34" s="1"/>
      <c r="RLN34" s="1"/>
      <c r="RLO34" s="1"/>
      <c r="RLP34" s="1"/>
      <c r="RLQ34" s="1"/>
      <c r="RLR34" s="1"/>
      <c r="RLS34" s="1"/>
      <c r="RLT34" s="1"/>
      <c r="RLU34" s="1"/>
      <c r="RLV34" s="1"/>
      <c r="RLW34" s="1"/>
      <c r="RLX34" s="1"/>
      <c r="RLY34" s="1"/>
      <c r="RLZ34" s="1"/>
      <c r="RMA34" s="1"/>
      <c r="RMB34" s="1"/>
      <c r="RMC34" s="1"/>
      <c r="RMD34" s="1"/>
      <c r="RME34" s="1"/>
      <c r="RMF34" s="1"/>
      <c r="RMG34" s="1"/>
      <c r="RMH34" s="1"/>
      <c r="RMI34" s="1"/>
      <c r="RMJ34" s="1"/>
      <c r="RMK34" s="1"/>
      <c r="RML34" s="1"/>
      <c r="RMM34" s="1"/>
      <c r="RMN34" s="1"/>
      <c r="RMO34" s="1"/>
      <c r="RMP34" s="1"/>
      <c r="RMQ34" s="1"/>
      <c r="RMR34" s="1"/>
      <c r="RMS34" s="1"/>
      <c r="RMT34" s="1"/>
      <c r="RMU34" s="1"/>
      <c r="RMV34" s="1"/>
      <c r="RMW34" s="1"/>
      <c r="RMX34" s="1"/>
      <c r="RMY34" s="1"/>
      <c r="RMZ34" s="1"/>
      <c r="RNA34" s="1"/>
      <c r="RNB34" s="1"/>
      <c r="RNC34" s="1"/>
      <c r="RND34" s="1"/>
      <c r="RNE34" s="1"/>
      <c r="RNF34" s="1"/>
      <c r="RNG34" s="1"/>
      <c r="RNH34" s="1"/>
      <c r="RNI34" s="1"/>
      <c r="RNJ34" s="1"/>
      <c r="RNK34" s="1"/>
      <c r="RNL34" s="1"/>
      <c r="RNM34" s="1"/>
      <c r="RNN34" s="1"/>
      <c r="RNO34" s="1"/>
      <c r="RNP34" s="1"/>
      <c r="RNQ34" s="1"/>
      <c r="RNR34" s="1"/>
      <c r="RNS34" s="1"/>
      <c r="RNT34" s="1"/>
      <c r="RNU34" s="1"/>
      <c r="RNV34" s="1"/>
      <c r="RNW34" s="1"/>
      <c r="RNX34" s="1"/>
      <c r="RNY34" s="1"/>
      <c r="RNZ34" s="1"/>
      <c r="ROA34" s="1"/>
      <c r="ROB34" s="1"/>
      <c r="ROC34" s="1"/>
      <c r="ROD34" s="1"/>
      <c r="ROE34" s="1"/>
      <c r="ROF34" s="1"/>
      <c r="ROG34" s="1"/>
      <c r="ROH34" s="1"/>
      <c r="ROI34" s="1"/>
      <c r="ROJ34" s="1"/>
      <c r="ROK34" s="1"/>
      <c r="ROL34" s="1"/>
      <c r="ROM34" s="1"/>
      <c r="RON34" s="1"/>
      <c r="ROO34" s="1"/>
      <c r="ROP34" s="1"/>
      <c r="ROQ34" s="1"/>
      <c r="ROR34" s="1"/>
      <c r="ROS34" s="1"/>
      <c r="ROT34" s="1"/>
      <c r="ROU34" s="1"/>
      <c r="ROV34" s="1"/>
      <c r="ROW34" s="1"/>
      <c r="ROX34" s="1"/>
      <c r="ROY34" s="1"/>
      <c r="ROZ34" s="1"/>
      <c r="RPA34" s="1"/>
      <c r="RPB34" s="1"/>
      <c r="RPC34" s="1"/>
      <c r="RPD34" s="1"/>
      <c r="RPE34" s="1"/>
      <c r="RPF34" s="1"/>
      <c r="RPG34" s="1"/>
      <c r="RPH34" s="1"/>
      <c r="RPI34" s="1"/>
      <c r="RPJ34" s="1"/>
      <c r="RPK34" s="1"/>
      <c r="RPL34" s="1"/>
      <c r="RPM34" s="1"/>
      <c r="RPN34" s="1"/>
      <c r="RPO34" s="1"/>
      <c r="RPP34" s="1"/>
      <c r="RPQ34" s="1"/>
      <c r="RPR34" s="1"/>
      <c r="RPS34" s="1"/>
      <c r="RPT34" s="1"/>
      <c r="RPU34" s="1"/>
      <c r="RPV34" s="1"/>
      <c r="RPW34" s="1"/>
      <c r="RPX34" s="1"/>
      <c r="RPY34" s="1"/>
      <c r="RPZ34" s="1"/>
      <c r="RQA34" s="1"/>
      <c r="RQB34" s="1"/>
      <c r="RQC34" s="1"/>
      <c r="RQD34" s="1"/>
      <c r="RQE34" s="1"/>
      <c r="RQF34" s="1"/>
      <c r="RQG34" s="1"/>
      <c r="RQH34" s="1"/>
      <c r="RQI34" s="1"/>
      <c r="RQJ34" s="1"/>
      <c r="RQK34" s="1"/>
      <c r="RQL34" s="1"/>
      <c r="RQM34" s="1"/>
      <c r="RQN34" s="1"/>
      <c r="RQO34" s="1"/>
      <c r="RQP34" s="1"/>
      <c r="RQQ34" s="1"/>
      <c r="RQR34" s="1"/>
      <c r="RQS34" s="1"/>
      <c r="RQT34" s="1"/>
      <c r="RQU34" s="1"/>
      <c r="RQV34" s="1"/>
      <c r="RQW34" s="1"/>
      <c r="RQX34" s="1"/>
      <c r="RQY34" s="1"/>
      <c r="RQZ34" s="1"/>
      <c r="RRA34" s="1"/>
      <c r="RRB34" s="1"/>
      <c r="RRC34" s="1"/>
      <c r="RRD34" s="1"/>
      <c r="RRE34" s="1"/>
      <c r="RRF34" s="1"/>
      <c r="RRG34" s="1"/>
      <c r="RRH34" s="1"/>
      <c r="RRI34" s="1"/>
      <c r="RRJ34" s="1"/>
      <c r="RRK34" s="1"/>
      <c r="RRL34" s="1"/>
      <c r="RRM34" s="1"/>
      <c r="RRN34" s="1"/>
      <c r="RRO34" s="1"/>
      <c r="RRP34" s="1"/>
      <c r="RRQ34" s="1"/>
      <c r="RRR34" s="1"/>
      <c r="RRS34" s="1"/>
      <c r="RRT34" s="1"/>
      <c r="RRU34" s="1"/>
      <c r="RRV34" s="1"/>
      <c r="RRW34" s="1"/>
      <c r="RRX34" s="1"/>
      <c r="RRY34" s="1"/>
      <c r="RRZ34" s="1"/>
      <c r="RSA34" s="1"/>
      <c r="RSB34" s="1"/>
      <c r="RSC34" s="1"/>
      <c r="RSD34" s="1"/>
      <c r="RSE34" s="1"/>
      <c r="RSF34" s="1"/>
      <c r="RSG34" s="1"/>
      <c r="RSH34" s="1"/>
      <c r="RSI34" s="1"/>
      <c r="RSJ34" s="1"/>
      <c r="RSK34" s="1"/>
      <c r="RSL34" s="1"/>
      <c r="RSM34" s="1"/>
      <c r="RSN34" s="1"/>
      <c r="RSO34" s="1"/>
      <c r="RSP34" s="1"/>
      <c r="RSQ34" s="1"/>
      <c r="RSR34" s="1"/>
      <c r="RSS34" s="1"/>
      <c r="RST34" s="1"/>
      <c r="RSU34" s="1"/>
      <c r="RSV34" s="1"/>
      <c r="RSW34" s="1"/>
      <c r="RSX34" s="1"/>
      <c r="RSY34" s="1"/>
      <c r="RSZ34" s="1"/>
      <c r="RTA34" s="1"/>
      <c r="RTB34" s="1"/>
      <c r="RTC34" s="1"/>
      <c r="RTD34" s="1"/>
      <c r="RTE34" s="1"/>
      <c r="RTF34" s="1"/>
      <c r="RTG34" s="1"/>
      <c r="RTH34" s="1"/>
      <c r="RTI34" s="1"/>
      <c r="RTJ34" s="1"/>
      <c r="RTK34" s="1"/>
      <c r="RTL34" s="1"/>
      <c r="RTM34" s="1"/>
      <c r="RTN34" s="1"/>
      <c r="RTO34" s="1"/>
      <c r="RTP34" s="1"/>
      <c r="RTQ34" s="1"/>
      <c r="RTR34" s="1"/>
      <c r="RTS34" s="1"/>
      <c r="RTT34" s="1"/>
      <c r="RTU34" s="1"/>
      <c r="RTV34" s="1"/>
      <c r="RTW34" s="1"/>
      <c r="RTX34" s="1"/>
      <c r="RTY34" s="1"/>
      <c r="RTZ34" s="1"/>
      <c r="RUA34" s="1"/>
      <c r="RUB34" s="1"/>
      <c r="RUC34" s="1"/>
      <c r="RUD34" s="1"/>
      <c r="RUE34" s="1"/>
      <c r="RUF34" s="1"/>
      <c r="RUG34" s="1"/>
      <c r="RUH34" s="1"/>
      <c r="RUI34" s="1"/>
      <c r="RUJ34" s="1"/>
      <c r="RUK34" s="1"/>
      <c r="RUL34" s="1"/>
      <c r="RUM34" s="1"/>
      <c r="RUN34" s="1"/>
      <c r="RUO34" s="1"/>
      <c r="RUP34" s="1"/>
      <c r="RUQ34" s="1"/>
      <c r="RUR34" s="1"/>
      <c r="RUS34" s="1"/>
      <c r="RUT34" s="1"/>
      <c r="RUU34" s="1"/>
      <c r="RUV34" s="1"/>
      <c r="RUW34" s="1"/>
      <c r="RUX34" s="1"/>
      <c r="RUY34" s="1"/>
      <c r="RUZ34" s="1"/>
      <c r="RVA34" s="1"/>
      <c r="RVB34" s="1"/>
      <c r="RVC34" s="1"/>
      <c r="RVD34" s="1"/>
      <c r="RVE34" s="1"/>
      <c r="RVF34" s="1"/>
      <c r="RVG34" s="1"/>
      <c r="RVH34" s="1"/>
      <c r="RVI34" s="1"/>
      <c r="RVJ34" s="1"/>
      <c r="RVK34" s="1"/>
      <c r="RVL34" s="1"/>
      <c r="RVM34" s="1"/>
      <c r="RVN34" s="1"/>
      <c r="RVO34" s="1"/>
      <c r="RVP34" s="1"/>
      <c r="RVQ34" s="1"/>
      <c r="RVR34" s="1"/>
      <c r="RVS34" s="1"/>
      <c r="RVT34" s="1"/>
      <c r="RVU34" s="1"/>
      <c r="RVV34" s="1"/>
      <c r="RVW34" s="1"/>
      <c r="RVX34" s="1"/>
      <c r="RVY34" s="1"/>
      <c r="RVZ34" s="1"/>
      <c r="RWA34" s="1"/>
      <c r="RWB34" s="1"/>
      <c r="RWC34" s="1"/>
      <c r="RWD34" s="1"/>
      <c r="RWE34" s="1"/>
      <c r="RWF34" s="1"/>
      <c r="RWG34" s="1"/>
      <c r="RWH34" s="1"/>
      <c r="RWI34" s="1"/>
      <c r="RWJ34" s="1"/>
      <c r="RWK34" s="1"/>
      <c r="RWL34" s="1"/>
      <c r="RWM34" s="1"/>
      <c r="RWN34" s="1"/>
      <c r="RWO34" s="1"/>
      <c r="RWP34" s="1"/>
      <c r="RWQ34" s="1"/>
      <c r="RWR34" s="1"/>
      <c r="RWS34" s="1"/>
      <c r="RWT34" s="1"/>
      <c r="RWU34" s="1"/>
      <c r="RWV34" s="1"/>
      <c r="RWW34" s="1"/>
      <c r="RWX34" s="1"/>
      <c r="RWY34" s="1"/>
      <c r="RWZ34" s="1"/>
      <c r="RXA34" s="1"/>
      <c r="RXB34" s="1"/>
      <c r="RXC34" s="1"/>
      <c r="RXD34" s="1"/>
      <c r="RXE34" s="1"/>
      <c r="RXF34" s="1"/>
      <c r="RXG34" s="1"/>
      <c r="RXH34" s="1"/>
      <c r="RXI34" s="1"/>
      <c r="RXJ34" s="1"/>
      <c r="RXK34" s="1"/>
      <c r="RXL34" s="1"/>
      <c r="RXM34" s="1"/>
      <c r="RXN34" s="1"/>
      <c r="RXO34" s="1"/>
      <c r="RXP34" s="1"/>
      <c r="RXQ34" s="1"/>
      <c r="RXR34" s="1"/>
      <c r="RXS34" s="1"/>
      <c r="RXT34" s="1"/>
      <c r="RXU34" s="1"/>
      <c r="RXV34" s="1"/>
      <c r="RXW34" s="1"/>
      <c r="RXX34" s="1"/>
      <c r="RXY34" s="1"/>
      <c r="RXZ34" s="1"/>
      <c r="RYA34" s="1"/>
      <c r="RYB34" s="1"/>
      <c r="RYC34" s="1"/>
      <c r="RYD34" s="1"/>
      <c r="RYE34" s="1"/>
      <c r="RYF34" s="1"/>
      <c r="RYG34" s="1"/>
      <c r="RYH34" s="1"/>
      <c r="RYI34" s="1"/>
      <c r="RYJ34" s="1"/>
      <c r="RYK34" s="1"/>
      <c r="RYL34" s="1"/>
      <c r="RYM34" s="1"/>
      <c r="RYN34" s="1"/>
      <c r="RYO34" s="1"/>
      <c r="RYP34" s="1"/>
      <c r="RYQ34" s="1"/>
      <c r="RYR34" s="1"/>
      <c r="RYS34" s="1"/>
      <c r="RYT34" s="1"/>
      <c r="RYU34" s="1"/>
      <c r="RYV34" s="1"/>
      <c r="RYW34" s="1"/>
      <c r="RYX34" s="1"/>
      <c r="RYY34" s="1"/>
      <c r="RYZ34" s="1"/>
      <c r="RZA34" s="1"/>
      <c r="RZB34" s="1"/>
      <c r="RZC34" s="1"/>
      <c r="RZD34" s="1"/>
      <c r="RZE34" s="1"/>
      <c r="RZF34" s="1"/>
      <c r="RZG34" s="1"/>
      <c r="RZH34" s="1"/>
      <c r="RZI34" s="1"/>
      <c r="RZJ34" s="1"/>
      <c r="RZK34" s="1"/>
      <c r="RZL34" s="1"/>
      <c r="RZM34" s="1"/>
      <c r="RZN34" s="1"/>
      <c r="RZO34" s="1"/>
      <c r="RZP34" s="1"/>
      <c r="RZQ34" s="1"/>
      <c r="RZR34" s="1"/>
      <c r="RZS34" s="1"/>
      <c r="RZT34" s="1"/>
      <c r="RZU34" s="1"/>
      <c r="RZV34" s="1"/>
      <c r="RZW34" s="1"/>
      <c r="RZX34" s="1"/>
      <c r="RZY34" s="1"/>
      <c r="RZZ34" s="1"/>
      <c r="SAA34" s="1"/>
      <c r="SAB34" s="1"/>
      <c r="SAC34" s="1"/>
      <c r="SAD34" s="1"/>
      <c r="SAE34" s="1"/>
      <c r="SAF34" s="1"/>
      <c r="SAG34" s="1"/>
      <c r="SAH34" s="1"/>
      <c r="SAI34" s="1"/>
      <c r="SAJ34" s="1"/>
      <c r="SAK34" s="1"/>
      <c r="SAL34" s="1"/>
      <c r="SAM34" s="1"/>
      <c r="SAN34" s="1"/>
      <c r="SAO34" s="1"/>
      <c r="SAP34" s="1"/>
      <c r="SAQ34" s="1"/>
      <c r="SAR34" s="1"/>
      <c r="SAS34" s="1"/>
      <c r="SAT34" s="1"/>
      <c r="SAU34" s="1"/>
      <c r="SAV34" s="1"/>
      <c r="SAW34" s="1"/>
      <c r="SAX34" s="1"/>
      <c r="SAY34" s="1"/>
      <c r="SAZ34" s="1"/>
      <c r="SBA34" s="1"/>
      <c r="SBB34" s="1"/>
      <c r="SBC34" s="1"/>
      <c r="SBD34" s="1"/>
      <c r="SBE34" s="1"/>
      <c r="SBF34" s="1"/>
      <c r="SBG34" s="1"/>
      <c r="SBH34" s="1"/>
      <c r="SBI34" s="1"/>
      <c r="SBJ34" s="1"/>
      <c r="SBK34" s="1"/>
      <c r="SBL34" s="1"/>
      <c r="SBM34" s="1"/>
      <c r="SBN34" s="1"/>
      <c r="SBO34" s="1"/>
      <c r="SBP34" s="1"/>
      <c r="SBQ34" s="1"/>
      <c r="SBR34" s="1"/>
      <c r="SBS34" s="1"/>
      <c r="SBT34" s="1"/>
      <c r="SBU34" s="1"/>
      <c r="SBV34" s="1"/>
      <c r="SBW34" s="1"/>
      <c r="SBX34" s="1"/>
      <c r="SBY34" s="1"/>
      <c r="SBZ34" s="1"/>
      <c r="SCA34" s="1"/>
      <c r="SCB34" s="1"/>
      <c r="SCC34" s="1"/>
      <c r="SCD34" s="1"/>
      <c r="SCE34" s="1"/>
      <c r="SCF34" s="1"/>
      <c r="SCG34" s="1"/>
      <c r="SCH34" s="1"/>
      <c r="SCI34" s="1"/>
      <c r="SCJ34" s="1"/>
      <c r="SCK34" s="1"/>
      <c r="SCL34" s="1"/>
      <c r="SCM34" s="1"/>
      <c r="SCN34" s="1"/>
      <c r="SCO34" s="1"/>
      <c r="SCP34" s="1"/>
      <c r="SCQ34" s="1"/>
      <c r="SCR34" s="1"/>
      <c r="SCS34" s="1"/>
      <c r="SCT34" s="1"/>
      <c r="SCU34" s="1"/>
      <c r="SCV34" s="1"/>
      <c r="SCW34" s="1"/>
      <c r="SCX34" s="1"/>
      <c r="SCY34" s="1"/>
      <c r="SCZ34" s="1"/>
      <c r="SDA34" s="1"/>
      <c r="SDB34" s="1"/>
      <c r="SDC34" s="1"/>
      <c r="SDD34" s="1"/>
      <c r="SDE34" s="1"/>
      <c r="SDF34" s="1"/>
      <c r="SDG34" s="1"/>
      <c r="SDH34" s="1"/>
      <c r="SDI34" s="1"/>
      <c r="SDJ34" s="1"/>
      <c r="SDK34" s="1"/>
      <c r="SDL34" s="1"/>
      <c r="SDM34" s="1"/>
      <c r="SDN34" s="1"/>
      <c r="SDO34" s="1"/>
      <c r="SDP34" s="1"/>
      <c r="SDQ34" s="1"/>
      <c r="SDR34" s="1"/>
      <c r="SDS34" s="1"/>
      <c r="SDT34" s="1"/>
      <c r="SDU34" s="1"/>
      <c r="SDV34" s="1"/>
      <c r="SDW34" s="1"/>
      <c r="SDX34" s="1"/>
      <c r="SDY34" s="1"/>
      <c r="SDZ34" s="1"/>
      <c r="SEA34" s="1"/>
      <c r="SEB34" s="1"/>
      <c r="SEC34" s="1"/>
      <c r="SED34" s="1"/>
      <c r="SEE34" s="1"/>
      <c r="SEF34" s="1"/>
      <c r="SEG34" s="1"/>
      <c r="SEH34" s="1"/>
      <c r="SEI34" s="1"/>
      <c r="SEJ34" s="1"/>
      <c r="SEK34" s="1"/>
      <c r="SEL34" s="1"/>
      <c r="SEM34" s="1"/>
      <c r="SEN34" s="1"/>
      <c r="SEO34" s="1"/>
      <c r="SEP34" s="1"/>
      <c r="SEQ34" s="1"/>
      <c r="SER34" s="1"/>
      <c r="SES34" s="1"/>
      <c r="SET34" s="1"/>
      <c r="SEU34" s="1"/>
      <c r="SEV34" s="1"/>
      <c r="SEW34" s="1"/>
      <c r="SEX34" s="1"/>
      <c r="SEY34" s="1"/>
      <c r="SEZ34" s="1"/>
      <c r="SFA34" s="1"/>
      <c r="SFB34" s="1"/>
      <c r="SFC34" s="1"/>
      <c r="SFD34" s="1"/>
      <c r="SFE34" s="1"/>
      <c r="SFF34" s="1"/>
      <c r="SFG34" s="1"/>
      <c r="SFH34" s="1"/>
      <c r="SFI34" s="1"/>
      <c r="SFJ34" s="1"/>
      <c r="SFK34" s="1"/>
      <c r="SFL34" s="1"/>
      <c r="SFM34" s="1"/>
      <c r="SFN34" s="1"/>
      <c r="SFO34" s="1"/>
      <c r="SFP34" s="1"/>
      <c r="SFQ34" s="1"/>
      <c r="SFR34" s="1"/>
      <c r="SFS34" s="1"/>
      <c r="SFT34" s="1"/>
      <c r="SFU34" s="1"/>
      <c r="SFV34" s="1"/>
      <c r="SFW34" s="1"/>
      <c r="SFX34" s="1"/>
      <c r="SFY34" s="1"/>
      <c r="SFZ34" s="1"/>
      <c r="SGA34" s="1"/>
      <c r="SGB34" s="1"/>
      <c r="SGC34" s="1"/>
      <c r="SGD34" s="1"/>
      <c r="SGE34" s="1"/>
      <c r="SGF34" s="1"/>
      <c r="SGG34" s="1"/>
      <c r="SGH34" s="1"/>
      <c r="SGI34" s="1"/>
      <c r="SGJ34" s="1"/>
      <c r="SGK34" s="1"/>
      <c r="SGL34" s="1"/>
      <c r="SGM34" s="1"/>
      <c r="SGN34" s="1"/>
      <c r="SGO34" s="1"/>
      <c r="SGP34" s="1"/>
      <c r="SGQ34" s="1"/>
      <c r="SGR34" s="1"/>
      <c r="SGS34" s="1"/>
      <c r="SGT34" s="1"/>
      <c r="SGU34" s="1"/>
      <c r="SGV34" s="1"/>
      <c r="SGW34" s="1"/>
      <c r="SGX34" s="1"/>
      <c r="SGY34" s="1"/>
      <c r="SGZ34" s="1"/>
      <c r="SHA34" s="1"/>
      <c r="SHB34" s="1"/>
      <c r="SHC34" s="1"/>
      <c r="SHD34" s="1"/>
      <c r="SHE34" s="1"/>
      <c r="SHF34" s="1"/>
      <c r="SHG34" s="1"/>
      <c r="SHH34" s="1"/>
      <c r="SHI34" s="1"/>
      <c r="SHJ34" s="1"/>
      <c r="SHK34" s="1"/>
      <c r="SHL34" s="1"/>
      <c r="SHM34" s="1"/>
      <c r="SHN34" s="1"/>
      <c r="SHO34" s="1"/>
      <c r="SHP34" s="1"/>
      <c r="SHQ34" s="1"/>
      <c r="SHR34" s="1"/>
      <c r="SHS34" s="1"/>
      <c r="SHT34" s="1"/>
      <c r="SHU34" s="1"/>
      <c r="SHV34" s="1"/>
      <c r="SHW34" s="1"/>
      <c r="SHX34" s="1"/>
      <c r="SHY34" s="1"/>
      <c r="SHZ34" s="1"/>
      <c r="SIA34" s="1"/>
      <c r="SIB34" s="1"/>
      <c r="SIC34" s="1"/>
      <c r="SID34" s="1"/>
      <c r="SIE34" s="1"/>
      <c r="SIF34" s="1"/>
      <c r="SIG34" s="1"/>
      <c r="SIH34" s="1"/>
      <c r="SII34" s="1"/>
      <c r="SIJ34" s="1"/>
      <c r="SIK34" s="1"/>
      <c r="SIL34" s="1"/>
      <c r="SIM34" s="1"/>
      <c r="SIN34" s="1"/>
      <c r="SIO34" s="1"/>
      <c r="SIP34" s="1"/>
      <c r="SIQ34" s="1"/>
      <c r="SIR34" s="1"/>
      <c r="SIS34" s="1"/>
      <c r="SIT34" s="1"/>
      <c r="SIU34" s="1"/>
      <c r="SIV34" s="1"/>
      <c r="SIW34" s="1"/>
      <c r="SIX34" s="1"/>
      <c r="SIY34" s="1"/>
      <c r="SIZ34" s="1"/>
      <c r="SJA34" s="1"/>
      <c r="SJB34" s="1"/>
      <c r="SJC34" s="1"/>
      <c r="SJD34" s="1"/>
      <c r="SJE34" s="1"/>
      <c r="SJF34" s="1"/>
      <c r="SJG34" s="1"/>
      <c r="SJH34" s="1"/>
      <c r="SJI34" s="1"/>
      <c r="SJJ34" s="1"/>
      <c r="SJK34" s="1"/>
      <c r="SJL34" s="1"/>
      <c r="SJM34" s="1"/>
      <c r="SJN34" s="1"/>
      <c r="SJO34" s="1"/>
      <c r="SJP34" s="1"/>
      <c r="SJQ34" s="1"/>
      <c r="SJR34" s="1"/>
      <c r="SJS34" s="1"/>
      <c r="SJT34" s="1"/>
      <c r="SJU34" s="1"/>
      <c r="SJV34" s="1"/>
      <c r="SJW34" s="1"/>
      <c r="SJX34" s="1"/>
      <c r="SJY34" s="1"/>
      <c r="SJZ34" s="1"/>
      <c r="SKA34" s="1"/>
      <c r="SKB34" s="1"/>
      <c r="SKC34" s="1"/>
      <c r="SKD34" s="1"/>
      <c r="SKE34" s="1"/>
      <c r="SKF34" s="1"/>
      <c r="SKG34" s="1"/>
      <c r="SKH34" s="1"/>
      <c r="SKI34" s="1"/>
      <c r="SKJ34" s="1"/>
      <c r="SKK34" s="1"/>
      <c r="SKL34" s="1"/>
      <c r="SKM34" s="1"/>
      <c r="SKN34" s="1"/>
      <c r="SKO34" s="1"/>
      <c r="SKP34" s="1"/>
      <c r="SKQ34" s="1"/>
      <c r="SKR34" s="1"/>
      <c r="SKS34" s="1"/>
      <c r="SKT34" s="1"/>
      <c r="SKU34" s="1"/>
      <c r="SKV34" s="1"/>
      <c r="SKW34" s="1"/>
      <c r="SKX34" s="1"/>
      <c r="SKY34" s="1"/>
      <c r="SKZ34" s="1"/>
      <c r="SLA34" s="1"/>
      <c r="SLB34" s="1"/>
      <c r="SLC34" s="1"/>
      <c r="SLD34" s="1"/>
      <c r="SLE34" s="1"/>
      <c r="SLF34" s="1"/>
      <c r="SLG34" s="1"/>
      <c r="SLH34" s="1"/>
      <c r="SLI34" s="1"/>
      <c r="SLJ34" s="1"/>
      <c r="SLK34" s="1"/>
      <c r="SLL34" s="1"/>
      <c r="SLM34" s="1"/>
      <c r="SLN34" s="1"/>
      <c r="SLO34" s="1"/>
      <c r="SLP34" s="1"/>
      <c r="SLQ34" s="1"/>
      <c r="SLR34" s="1"/>
      <c r="SLS34" s="1"/>
      <c r="SLT34" s="1"/>
      <c r="SLU34" s="1"/>
      <c r="SLV34" s="1"/>
      <c r="SLW34" s="1"/>
      <c r="SLX34" s="1"/>
      <c r="SLY34" s="1"/>
      <c r="SLZ34" s="1"/>
      <c r="SMA34" s="1"/>
      <c r="SMB34" s="1"/>
      <c r="SMC34" s="1"/>
      <c r="SMD34" s="1"/>
      <c r="SME34" s="1"/>
      <c r="SMF34" s="1"/>
      <c r="SMG34" s="1"/>
      <c r="SMH34" s="1"/>
      <c r="SMI34" s="1"/>
      <c r="SMJ34" s="1"/>
      <c r="SMK34" s="1"/>
      <c r="SML34" s="1"/>
      <c r="SMM34" s="1"/>
      <c r="SMN34" s="1"/>
      <c r="SMO34" s="1"/>
      <c r="SMP34" s="1"/>
      <c r="SMQ34" s="1"/>
      <c r="SMR34" s="1"/>
      <c r="SMS34" s="1"/>
      <c r="SMT34" s="1"/>
      <c r="SMU34" s="1"/>
      <c r="SMV34" s="1"/>
      <c r="SMW34" s="1"/>
      <c r="SMX34" s="1"/>
      <c r="SMY34" s="1"/>
      <c r="SMZ34" s="1"/>
      <c r="SNA34" s="1"/>
      <c r="SNB34" s="1"/>
      <c r="SNC34" s="1"/>
      <c r="SND34" s="1"/>
      <c r="SNE34" s="1"/>
      <c r="SNF34" s="1"/>
      <c r="SNG34" s="1"/>
      <c r="SNH34" s="1"/>
      <c r="SNI34" s="1"/>
      <c r="SNJ34" s="1"/>
      <c r="SNK34" s="1"/>
      <c r="SNL34" s="1"/>
      <c r="SNM34" s="1"/>
      <c r="SNN34" s="1"/>
      <c r="SNO34" s="1"/>
      <c r="SNP34" s="1"/>
      <c r="SNQ34" s="1"/>
      <c r="SNR34" s="1"/>
      <c r="SNS34" s="1"/>
      <c r="SNT34" s="1"/>
      <c r="SNU34" s="1"/>
      <c r="SNV34" s="1"/>
      <c r="SNW34" s="1"/>
      <c r="SNX34" s="1"/>
      <c r="SNY34" s="1"/>
      <c r="SNZ34" s="1"/>
      <c r="SOA34" s="1"/>
      <c r="SOB34" s="1"/>
      <c r="SOC34" s="1"/>
      <c r="SOD34" s="1"/>
      <c r="SOE34" s="1"/>
      <c r="SOF34" s="1"/>
      <c r="SOG34" s="1"/>
      <c r="SOH34" s="1"/>
      <c r="SOI34" s="1"/>
      <c r="SOJ34" s="1"/>
      <c r="SOK34" s="1"/>
      <c r="SOL34" s="1"/>
      <c r="SOM34" s="1"/>
      <c r="SON34" s="1"/>
      <c r="SOO34" s="1"/>
      <c r="SOP34" s="1"/>
      <c r="SOQ34" s="1"/>
      <c r="SOR34" s="1"/>
      <c r="SOS34" s="1"/>
      <c r="SOT34" s="1"/>
      <c r="SOU34" s="1"/>
      <c r="SOV34" s="1"/>
      <c r="SOW34" s="1"/>
      <c r="SOX34" s="1"/>
      <c r="SOY34" s="1"/>
      <c r="SOZ34" s="1"/>
      <c r="SPA34" s="1"/>
      <c r="SPB34" s="1"/>
      <c r="SPC34" s="1"/>
      <c r="SPD34" s="1"/>
      <c r="SPE34" s="1"/>
      <c r="SPF34" s="1"/>
      <c r="SPG34" s="1"/>
      <c r="SPH34" s="1"/>
      <c r="SPI34" s="1"/>
      <c r="SPJ34" s="1"/>
      <c r="SPK34" s="1"/>
      <c r="SPL34" s="1"/>
      <c r="SPM34" s="1"/>
      <c r="SPN34" s="1"/>
      <c r="SPO34" s="1"/>
      <c r="SPP34" s="1"/>
      <c r="SPQ34" s="1"/>
      <c r="SPR34" s="1"/>
      <c r="SPS34" s="1"/>
      <c r="SPT34" s="1"/>
      <c r="SPU34" s="1"/>
      <c r="SPV34" s="1"/>
      <c r="SPW34" s="1"/>
      <c r="SPX34" s="1"/>
      <c r="SPY34" s="1"/>
      <c r="SPZ34" s="1"/>
      <c r="SQA34" s="1"/>
      <c r="SQB34" s="1"/>
      <c r="SQC34" s="1"/>
      <c r="SQD34" s="1"/>
      <c r="SQE34" s="1"/>
      <c r="SQF34" s="1"/>
      <c r="SQG34" s="1"/>
      <c r="SQH34" s="1"/>
      <c r="SQI34" s="1"/>
      <c r="SQJ34" s="1"/>
      <c r="SQK34" s="1"/>
      <c r="SQL34" s="1"/>
      <c r="SQM34" s="1"/>
      <c r="SQN34" s="1"/>
      <c r="SQO34" s="1"/>
      <c r="SQP34" s="1"/>
      <c r="SQQ34" s="1"/>
      <c r="SQR34" s="1"/>
      <c r="SQS34" s="1"/>
      <c r="SQT34" s="1"/>
      <c r="SQU34" s="1"/>
      <c r="SQV34" s="1"/>
      <c r="SQW34" s="1"/>
      <c r="SQX34" s="1"/>
      <c r="SQY34" s="1"/>
      <c r="SQZ34" s="1"/>
      <c r="SRA34" s="1"/>
      <c r="SRB34" s="1"/>
      <c r="SRC34" s="1"/>
      <c r="SRD34" s="1"/>
      <c r="SRE34" s="1"/>
      <c r="SRF34" s="1"/>
      <c r="SRG34" s="1"/>
      <c r="SRH34" s="1"/>
      <c r="SRI34" s="1"/>
      <c r="SRJ34" s="1"/>
      <c r="SRK34" s="1"/>
      <c r="SRL34" s="1"/>
      <c r="SRM34" s="1"/>
      <c r="SRN34" s="1"/>
      <c r="SRO34" s="1"/>
      <c r="SRP34" s="1"/>
      <c r="SRQ34" s="1"/>
      <c r="SRR34" s="1"/>
      <c r="SRS34" s="1"/>
      <c r="SRT34" s="1"/>
      <c r="SRU34" s="1"/>
      <c r="SRV34" s="1"/>
      <c r="SRW34" s="1"/>
      <c r="SRX34" s="1"/>
      <c r="SRY34" s="1"/>
      <c r="SRZ34" s="1"/>
      <c r="SSA34" s="1"/>
      <c r="SSB34" s="1"/>
      <c r="SSC34" s="1"/>
      <c r="SSD34" s="1"/>
      <c r="SSE34" s="1"/>
      <c r="SSF34" s="1"/>
      <c r="SSG34" s="1"/>
      <c r="SSH34" s="1"/>
      <c r="SSI34" s="1"/>
      <c r="SSJ34" s="1"/>
      <c r="SSK34" s="1"/>
      <c r="SSL34" s="1"/>
      <c r="SSM34" s="1"/>
      <c r="SSN34" s="1"/>
      <c r="SSO34" s="1"/>
      <c r="SSP34" s="1"/>
      <c r="SSQ34" s="1"/>
      <c r="SSR34" s="1"/>
      <c r="SSS34" s="1"/>
      <c r="SST34" s="1"/>
      <c r="SSU34" s="1"/>
      <c r="SSV34" s="1"/>
      <c r="SSW34" s="1"/>
      <c r="SSX34" s="1"/>
      <c r="SSY34" s="1"/>
      <c r="SSZ34" s="1"/>
      <c r="STA34" s="1"/>
      <c r="STB34" s="1"/>
      <c r="STC34" s="1"/>
      <c r="STD34" s="1"/>
      <c r="STE34" s="1"/>
      <c r="STF34" s="1"/>
      <c r="STG34" s="1"/>
      <c r="STH34" s="1"/>
      <c r="STI34" s="1"/>
      <c r="STJ34" s="1"/>
      <c r="STK34" s="1"/>
      <c r="STL34" s="1"/>
      <c r="STM34" s="1"/>
      <c r="STN34" s="1"/>
      <c r="STO34" s="1"/>
      <c r="STP34" s="1"/>
      <c r="STQ34" s="1"/>
      <c r="STR34" s="1"/>
      <c r="STS34" s="1"/>
      <c r="STT34" s="1"/>
      <c r="STU34" s="1"/>
      <c r="STV34" s="1"/>
      <c r="STW34" s="1"/>
      <c r="STX34" s="1"/>
      <c r="STY34" s="1"/>
      <c r="STZ34" s="1"/>
      <c r="SUA34" s="1"/>
      <c r="SUB34" s="1"/>
      <c r="SUC34" s="1"/>
      <c r="SUD34" s="1"/>
      <c r="SUE34" s="1"/>
      <c r="SUF34" s="1"/>
      <c r="SUG34" s="1"/>
      <c r="SUH34" s="1"/>
      <c r="SUI34" s="1"/>
      <c r="SUJ34" s="1"/>
      <c r="SUK34" s="1"/>
      <c r="SUL34" s="1"/>
      <c r="SUM34" s="1"/>
      <c r="SUN34" s="1"/>
      <c r="SUO34" s="1"/>
      <c r="SUP34" s="1"/>
      <c r="SUQ34" s="1"/>
      <c r="SUR34" s="1"/>
      <c r="SUS34" s="1"/>
      <c r="SUT34" s="1"/>
      <c r="SUU34" s="1"/>
      <c r="SUV34" s="1"/>
      <c r="SUW34" s="1"/>
      <c r="SUX34" s="1"/>
      <c r="SUY34" s="1"/>
      <c r="SUZ34" s="1"/>
      <c r="SVA34" s="1"/>
      <c r="SVB34" s="1"/>
      <c r="SVC34" s="1"/>
      <c r="SVD34" s="1"/>
      <c r="SVE34" s="1"/>
      <c r="SVF34" s="1"/>
      <c r="SVG34" s="1"/>
      <c r="SVH34" s="1"/>
      <c r="SVI34" s="1"/>
      <c r="SVJ34" s="1"/>
      <c r="SVK34" s="1"/>
      <c r="SVL34" s="1"/>
      <c r="SVM34" s="1"/>
      <c r="SVN34" s="1"/>
      <c r="SVO34" s="1"/>
      <c r="SVP34" s="1"/>
      <c r="SVQ34" s="1"/>
      <c r="SVR34" s="1"/>
      <c r="SVS34" s="1"/>
      <c r="SVT34" s="1"/>
      <c r="SVU34" s="1"/>
      <c r="SVV34" s="1"/>
      <c r="SVW34" s="1"/>
      <c r="SVX34" s="1"/>
      <c r="SVY34" s="1"/>
      <c r="SVZ34" s="1"/>
      <c r="SWA34" s="1"/>
      <c r="SWB34" s="1"/>
      <c r="SWC34" s="1"/>
      <c r="SWD34" s="1"/>
      <c r="SWE34" s="1"/>
      <c r="SWF34" s="1"/>
      <c r="SWG34" s="1"/>
      <c r="SWH34" s="1"/>
      <c r="SWI34" s="1"/>
      <c r="SWJ34" s="1"/>
      <c r="SWK34" s="1"/>
      <c r="SWL34" s="1"/>
      <c r="SWM34" s="1"/>
      <c r="SWN34" s="1"/>
      <c r="SWO34" s="1"/>
      <c r="SWP34" s="1"/>
      <c r="SWQ34" s="1"/>
      <c r="SWR34" s="1"/>
      <c r="SWS34" s="1"/>
      <c r="SWT34" s="1"/>
      <c r="SWU34" s="1"/>
      <c r="SWV34" s="1"/>
      <c r="SWW34" s="1"/>
      <c r="SWX34" s="1"/>
      <c r="SWY34" s="1"/>
      <c r="SWZ34" s="1"/>
      <c r="SXA34" s="1"/>
      <c r="SXB34" s="1"/>
      <c r="SXC34" s="1"/>
      <c r="SXD34" s="1"/>
      <c r="SXE34" s="1"/>
      <c r="SXF34" s="1"/>
      <c r="SXG34" s="1"/>
      <c r="SXH34" s="1"/>
      <c r="SXI34" s="1"/>
      <c r="SXJ34" s="1"/>
      <c r="SXK34" s="1"/>
      <c r="SXL34" s="1"/>
      <c r="SXM34" s="1"/>
      <c r="SXN34" s="1"/>
      <c r="SXO34" s="1"/>
      <c r="SXP34" s="1"/>
      <c r="SXQ34" s="1"/>
      <c r="SXR34" s="1"/>
      <c r="SXS34" s="1"/>
      <c r="SXT34" s="1"/>
      <c r="SXU34" s="1"/>
      <c r="SXV34" s="1"/>
      <c r="SXW34" s="1"/>
      <c r="SXX34" s="1"/>
      <c r="SXY34" s="1"/>
      <c r="SXZ34" s="1"/>
      <c r="SYA34" s="1"/>
      <c r="SYB34" s="1"/>
      <c r="SYC34" s="1"/>
      <c r="SYD34" s="1"/>
      <c r="SYE34" s="1"/>
      <c r="SYF34" s="1"/>
      <c r="SYG34" s="1"/>
      <c r="SYH34" s="1"/>
      <c r="SYI34" s="1"/>
      <c r="SYJ34" s="1"/>
      <c r="SYK34" s="1"/>
      <c r="SYL34" s="1"/>
      <c r="SYM34" s="1"/>
      <c r="SYN34" s="1"/>
      <c r="SYO34" s="1"/>
      <c r="SYP34" s="1"/>
      <c r="SYQ34" s="1"/>
      <c r="SYR34" s="1"/>
      <c r="SYS34" s="1"/>
      <c r="SYT34" s="1"/>
      <c r="SYU34" s="1"/>
      <c r="SYV34" s="1"/>
      <c r="SYW34" s="1"/>
      <c r="SYX34" s="1"/>
      <c r="SYY34" s="1"/>
      <c r="SYZ34" s="1"/>
      <c r="SZA34" s="1"/>
      <c r="SZB34" s="1"/>
      <c r="SZC34" s="1"/>
      <c r="SZD34" s="1"/>
      <c r="SZE34" s="1"/>
      <c r="SZF34" s="1"/>
      <c r="SZG34" s="1"/>
      <c r="SZH34" s="1"/>
      <c r="SZI34" s="1"/>
      <c r="SZJ34" s="1"/>
      <c r="SZK34" s="1"/>
      <c r="SZL34" s="1"/>
      <c r="SZM34" s="1"/>
      <c r="SZN34" s="1"/>
      <c r="SZO34" s="1"/>
      <c r="SZP34" s="1"/>
      <c r="SZQ34" s="1"/>
      <c r="SZR34" s="1"/>
      <c r="SZS34" s="1"/>
      <c r="SZT34" s="1"/>
      <c r="SZU34" s="1"/>
      <c r="SZV34" s="1"/>
      <c r="SZW34" s="1"/>
      <c r="SZX34" s="1"/>
      <c r="SZY34" s="1"/>
      <c r="SZZ34" s="1"/>
      <c r="TAA34" s="1"/>
      <c r="TAB34" s="1"/>
      <c r="TAC34" s="1"/>
      <c r="TAD34" s="1"/>
      <c r="TAE34" s="1"/>
      <c r="TAF34" s="1"/>
      <c r="TAG34" s="1"/>
      <c r="TAH34" s="1"/>
      <c r="TAI34" s="1"/>
      <c r="TAJ34" s="1"/>
      <c r="TAK34" s="1"/>
      <c r="TAL34" s="1"/>
      <c r="TAM34" s="1"/>
      <c r="TAN34" s="1"/>
      <c r="TAO34" s="1"/>
      <c r="TAP34" s="1"/>
      <c r="TAQ34" s="1"/>
      <c r="TAR34" s="1"/>
      <c r="TAS34" s="1"/>
      <c r="TAT34" s="1"/>
      <c r="TAU34" s="1"/>
      <c r="TAV34" s="1"/>
      <c r="TAW34" s="1"/>
      <c r="TAX34" s="1"/>
      <c r="TAY34" s="1"/>
      <c r="TAZ34" s="1"/>
      <c r="TBA34" s="1"/>
      <c r="TBB34" s="1"/>
      <c r="TBC34" s="1"/>
      <c r="TBD34" s="1"/>
      <c r="TBE34" s="1"/>
      <c r="TBF34" s="1"/>
      <c r="TBG34" s="1"/>
      <c r="TBH34" s="1"/>
      <c r="TBI34" s="1"/>
      <c r="TBJ34" s="1"/>
      <c r="TBK34" s="1"/>
      <c r="TBL34" s="1"/>
      <c r="TBM34" s="1"/>
      <c r="TBN34" s="1"/>
      <c r="TBO34" s="1"/>
      <c r="TBP34" s="1"/>
      <c r="TBQ34" s="1"/>
      <c r="TBR34" s="1"/>
      <c r="TBS34" s="1"/>
      <c r="TBT34" s="1"/>
      <c r="TBU34" s="1"/>
      <c r="TBV34" s="1"/>
      <c r="TBW34" s="1"/>
      <c r="TBX34" s="1"/>
      <c r="TBY34" s="1"/>
      <c r="TBZ34" s="1"/>
      <c r="TCA34" s="1"/>
      <c r="TCB34" s="1"/>
      <c r="TCC34" s="1"/>
      <c r="TCD34" s="1"/>
      <c r="TCE34" s="1"/>
      <c r="TCF34" s="1"/>
      <c r="TCG34" s="1"/>
      <c r="TCH34" s="1"/>
      <c r="TCI34" s="1"/>
      <c r="TCJ34" s="1"/>
      <c r="TCK34" s="1"/>
      <c r="TCL34" s="1"/>
      <c r="TCM34" s="1"/>
      <c r="TCN34" s="1"/>
      <c r="TCO34" s="1"/>
      <c r="TCP34" s="1"/>
      <c r="TCQ34" s="1"/>
      <c r="TCR34" s="1"/>
      <c r="TCS34" s="1"/>
      <c r="TCT34" s="1"/>
      <c r="TCU34" s="1"/>
      <c r="TCV34" s="1"/>
      <c r="TCW34" s="1"/>
      <c r="TCX34" s="1"/>
      <c r="TCY34" s="1"/>
      <c r="TCZ34" s="1"/>
      <c r="TDA34" s="1"/>
      <c r="TDB34" s="1"/>
      <c r="TDC34" s="1"/>
      <c r="TDD34" s="1"/>
      <c r="TDE34" s="1"/>
      <c r="TDF34" s="1"/>
      <c r="TDG34" s="1"/>
      <c r="TDH34" s="1"/>
      <c r="TDI34" s="1"/>
      <c r="TDJ34" s="1"/>
      <c r="TDK34" s="1"/>
      <c r="TDL34" s="1"/>
      <c r="TDM34" s="1"/>
      <c r="TDN34" s="1"/>
      <c r="TDO34" s="1"/>
      <c r="TDP34" s="1"/>
      <c r="TDQ34" s="1"/>
      <c r="TDR34" s="1"/>
      <c r="TDS34" s="1"/>
      <c r="TDT34" s="1"/>
      <c r="TDU34" s="1"/>
      <c r="TDV34" s="1"/>
      <c r="TDW34" s="1"/>
      <c r="TDX34" s="1"/>
      <c r="TDY34" s="1"/>
      <c r="TDZ34" s="1"/>
      <c r="TEA34" s="1"/>
      <c r="TEB34" s="1"/>
      <c r="TEC34" s="1"/>
      <c r="TED34" s="1"/>
      <c r="TEE34" s="1"/>
      <c r="TEF34" s="1"/>
      <c r="TEG34" s="1"/>
      <c r="TEH34" s="1"/>
      <c r="TEI34" s="1"/>
      <c r="TEJ34" s="1"/>
      <c r="TEK34" s="1"/>
      <c r="TEL34" s="1"/>
      <c r="TEM34" s="1"/>
      <c r="TEN34" s="1"/>
      <c r="TEO34" s="1"/>
      <c r="TEP34" s="1"/>
      <c r="TEQ34" s="1"/>
      <c r="TER34" s="1"/>
      <c r="TES34" s="1"/>
      <c r="TET34" s="1"/>
      <c r="TEU34" s="1"/>
      <c r="TEV34" s="1"/>
      <c r="TEW34" s="1"/>
      <c r="TEX34" s="1"/>
      <c r="TEY34" s="1"/>
      <c r="TEZ34" s="1"/>
      <c r="TFA34" s="1"/>
      <c r="TFB34" s="1"/>
      <c r="TFC34" s="1"/>
      <c r="TFD34" s="1"/>
      <c r="TFE34" s="1"/>
      <c r="TFF34" s="1"/>
      <c r="TFG34" s="1"/>
      <c r="TFH34" s="1"/>
      <c r="TFI34" s="1"/>
      <c r="TFJ34" s="1"/>
      <c r="TFK34" s="1"/>
      <c r="TFL34" s="1"/>
      <c r="TFM34" s="1"/>
      <c r="TFN34" s="1"/>
      <c r="TFO34" s="1"/>
      <c r="TFP34" s="1"/>
      <c r="TFQ34" s="1"/>
      <c r="TFR34" s="1"/>
      <c r="TFS34" s="1"/>
      <c r="TFT34" s="1"/>
      <c r="TFU34" s="1"/>
      <c r="TFV34" s="1"/>
      <c r="TFW34" s="1"/>
      <c r="TFX34" s="1"/>
      <c r="TFY34" s="1"/>
      <c r="TFZ34" s="1"/>
      <c r="TGA34" s="1"/>
      <c r="TGB34" s="1"/>
      <c r="TGC34" s="1"/>
      <c r="TGD34" s="1"/>
      <c r="TGE34" s="1"/>
      <c r="TGF34" s="1"/>
      <c r="TGG34" s="1"/>
      <c r="TGH34" s="1"/>
      <c r="TGI34" s="1"/>
      <c r="TGJ34" s="1"/>
      <c r="TGK34" s="1"/>
      <c r="TGL34" s="1"/>
      <c r="TGM34" s="1"/>
      <c r="TGN34" s="1"/>
      <c r="TGO34" s="1"/>
      <c r="TGP34" s="1"/>
      <c r="TGQ34" s="1"/>
      <c r="TGR34" s="1"/>
      <c r="TGS34" s="1"/>
      <c r="TGT34" s="1"/>
      <c r="TGU34" s="1"/>
      <c r="TGV34" s="1"/>
      <c r="TGW34" s="1"/>
      <c r="TGX34" s="1"/>
      <c r="TGY34" s="1"/>
      <c r="TGZ34" s="1"/>
      <c r="THA34" s="1"/>
      <c r="THB34" s="1"/>
      <c r="THC34" s="1"/>
      <c r="THD34" s="1"/>
      <c r="THE34" s="1"/>
      <c r="THF34" s="1"/>
      <c r="THG34" s="1"/>
      <c r="THH34" s="1"/>
      <c r="THI34" s="1"/>
      <c r="THJ34" s="1"/>
      <c r="THK34" s="1"/>
      <c r="THL34" s="1"/>
      <c r="THM34" s="1"/>
      <c r="THN34" s="1"/>
      <c r="THO34" s="1"/>
      <c r="THP34" s="1"/>
      <c r="THQ34" s="1"/>
      <c r="THR34" s="1"/>
      <c r="THS34" s="1"/>
      <c r="THT34" s="1"/>
      <c r="THU34" s="1"/>
      <c r="THV34" s="1"/>
      <c r="THW34" s="1"/>
      <c r="THX34" s="1"/>
      <c r="THY34" s="1"/>
      <c r="THZ34" s="1"/>
      <c r="TIA34" s="1"/>
      <c r="TIB34" s="1"/>
      <c r="TIC34" s="1"/>
      <c r="TID34" s="1"/>
      <c r="TIE34" s="1"/>
      <c r="TIF34" s="1"/>
      <c r="TIG34" s="1"/>
      <c r="TIH34" s="1"/>
      <c r="TII34" s="1"/>
      <c r="TIJ34" s="1"/>
      <c r="TIK34" s="1"/>
      <c r="TIL34" s="1"/>
      <c r="TIM34" s="1"/>
      <c r="TIN34" s="1"/>
      <c r="TIO34" s="1"/>
      <c r="TIP34" s="1"/>
      <c r="TIQ34" s="1"/>
      <c r="TIR34" s="1"/>
      <c r="TIS34" s="1"/>
      <c r="TIT34" s="1"/>
      <c r="TIU34" s="1"/>
      <c r="TIV34" s="1"/>
      <c r="TIW34" s="1"/>
      <c r="TIX34" s="1"/>
      <c r="TIY34" s="1"/>
      <c r="TIZ34" s="1"/>
      <c r="TJA34" s="1"/>
      <c r="TJB34" s="1"/>
      <c r="TJC34" s="1"/>
      <c r="TJD34" s="1"/>
      <c r="TJE34" s="1"/>
      <c r="TJF34" s="1"/>
      <c r="TJG34" s="1"/>
      <c r="TJH34" s="1"/>
      <c r="TJI34" s="1"/>
      <c r="TJJ34" s="1"/>
      <c r="TJK34" s="1"/>
      <c r="TJL34" s="1"/>
      <c r="TJM34" s="1"/>
      <c r="TJN34" s="1"/>
      <c r="TJO34" s="1"/>
      <c r="TJP34" s="1"/>
      <c r="TJQ34" s="1"/>
      <c r="TJR34" s="1"/>
      <c r="TJS34" s="1"/>
      <c r="TJT34" s="1"/>
      <c r="TJU34" s="1"/>
      <c r="TJV34" s="1"/>
      <c r="TJW34" s="1"/>
      <c r="TJX34" s="1"/>
      <c r="TJY34" s="1"/>
      <c r="TJZ34" s="1"/>
      <c r="TKA34" s="1"/>
      <c r="TKB34" s="1"/>
      <c r="TKC34" s="1"/>
      <c r="TKD34" s="1"/>
      <c r="TKE34" s="1"/>
      <c r="TKF34" s="1"/>
      <c r="TKG34" s="1"/>
      <c r="TKH34" s="1"/>
      <c r="TKI34" s="1"/>
      <c r="TKJ34" s="1"/>
      <c r="TKK34" s="1"/>
      <c r="TKL34" s="1"/>
      <c r="TKM34" s="1"/>
      <c r="TKN34" s="1"/>
      <c r="TKO34" s="1"/>
      <c r="TKP34" s="1"/>
      <c r="TKQ34" s="1"/>
      <c r="TKR34" s="1"/>
      <c r="TKS34" s="1"/>
      <c r="TKT34" s="1"/>
      <c r="TKU34" s="1"/>
      <c r="TKV34" s="1"/>
      <c r="TKW34" s="1"/>
      <c r="TKX34" s="1"/>
      <c r="TKY34" s="1"/>
      <c r="TKZ34" s="1"/>
      <c r="TLA34" s="1"/>
      <c r="TLB34" s="1"/>
      <c r="TLC34" s="1"/>
      <c r="TLD34" s="1"/>
      <c r="TLE34" s="1"/>
      <c r="TLF34" s="1"/>
      <c r="TLG34" s="1"/>
      <c r="TLH34" s="1"/>
      <c r="TLI34" s="1"/>
      <c r="TLJ34" s="1"/>
      <c r="TLK34" s="1"/>
      <c r="TLL34" s="1"/>
      <c r="TLM34" s="1"/>
      <c r="TLN34" s="1"/>
      <c r="TLO34" s="1"/>
      <c r="TLP34" s="1"/>
      <c r="TLQ34" s="1"/>
      <c r="TLR34" s="1"/>
      <c r="TLS34" s="1"/>
      <c r="TLT34" s="1"/>
      <c r="TLU34" s="1"/>
      <c r="TLV34" s="1"/>
      <c r="TLW34" s="1"/>
      <c r="TLX34" s="1"/>
      <c r="TLY34" s="1"/>
      <c r="TLZ34" s="1"/>
      <c r="TMA34" s="1"/>
      <c r="TMB34" s="1"/>
      <c r="TMC34" s="1"/>
      <c r="TMD34" s="1"/>
      <c r="TME34" s="1"/>
      <c r="TMF34" s="1"/>
      <c r="TMG34" s="1"/>
      <c r="TMH34" s="1"/>
      <c r="TMI34" s="1"/>
      <c r="TMJ34" s="1"/>
      <c r="TMK34" s="1"/>
      <c r="TML34" s="1"/>
      <c r="TMM34" s="1"/>
      <c r="TMN34" s="1"/>
      <c r="TMO34" s="1"/>
      <c r="TMP34" s="1"/>
      <c r="TMQ34" s="1"/>
      <c r="TMR34" s="1"/>
      <c r="TMS34" s="1"/>
      <c r="TMT34" s="1"/>
      <c r="TMU34" s="1"/>
      <c r="TMV34" s="1"/>
      <c r="TMW34" s="1"/>
      <c r="TMX34" s="1"/>
      <c r="TMY34" s="1"/>
      <c r="TMZ34" s="1"/>
      <c r="TNA34" s="1"/>
      <c r="TNB34" s="1"/>
      <c r="TNC34" s="1"/>
      <c r="TND34" s="1"/>
      <c r="TNE34" s="1"/>
      <c r="TNF34" s="1"/>
      <c r="TNG34" s="1"/>
      <c r="TNH34" s="1"/>
      <c r="TNI34" s="1"/>
      <c r="TNJ34" s="1"/>
      <c r="TNK34" s="1"/>
      <c r="TNL34" s="1"/>
      <c r="TNM34" s="1"/>
      <c r="TNN34" s="1"/>
      <c r="TNO34" s="1"/>
      <c r="TNP34" s="1"/>
      <c r="TNQ34" s="1"/>
      <c r="TNR34" s="1"/>
      <c r="TNS34" s="1"/>
      <c r="TNT34" s="1"/>
      <c r="TNU34" s="1"/>
      <c r="TNV34" s="1"/>
      <c r="TNW34" s="1"/>
      <c r="TNX34" s="1"/>
      <c r="TNY34" s="1"/>
      <c r="TNZ34" s="1"/>
      <c r="TOA34" s="1"/>
      <c r="TOB34" s="1"/>
      <c r="TOC34" s="1"/>
      <c r="TOD34" s="1"/>
      <c r="TOE34" s="1"/>
      <c r="TOF34" s="1"/>
      <c r="TOG34" s="1"/>
      <c r="TOH34" s="1"/>
      <c r="TOI34" s="1"/>
      <c r="TOJ34" s="1"/>
      <c r="TOK34" s="1"/>
      <c r="TOL34" s="1"/>
      <c r="TOM34" s="1"/>
      <c r="TON34" s="1"/>
      <c r="TOO34" s="1"/>
      <c r="TOP34" s="1"/>
      <c r="TOQ34" s="1"/>
      <c r="TOR34" s="1"/>
      <c r="TOS34" s="1"/>
      <c r="TOT34" s="1"/>
      <c r="TOU34" s="1"/>
      <c r="TOV34" s="1"/>
      <c r="TOW34" s="1"/>
      <c r="TOX34" s="1"/>
      <c r="TOY34" s="1"/>
      <c r="TOZ34" s="1"/>
      <c r="TPA34" s="1"/>
      <c r="TPB34" s="1"/>
      <c r="TPC34" s="1"/>
      <c r="TPD34" s="1"/>
      <c r="TPE34" s="1"/>
      <c r="TPF34" s="1"/>
      <c r="TPG34" s="1"/>
      <c r="TPH34" s="1"/>
      <c r="TPI34" s="1"/>
      <c r="TPJ34" s="1"/>
      <c r="TPK34" s="1"/>
      <c r="TPL34" s="1"/>
      <c r="TPM34" s="1"/>
      <c r="TPN34" s="1"/>
      <c r="TPO34" s="1"/>
      <c r="TPP34" s="1"/>
      <c r="TPQ34" s="1"/>
      <c r="TPR34" s="1"/>
      <c r="TPS34" s="1"/>
      <c r="TPT34" s="1"/>
      <c r="TPU34" s="1"/>
      <c r="TPV34" s="1"/>
      <c r="TPW34" s="1"/>
      <c r="TPX34" s="1"/>
      <c r="TPY34" s="1"/>
      <c r="TPZ34" s="1"/>
      <c r="TQA34" s="1"/>
      <c r="TQB34" s="1"/>
      <c r="TQC34" s="1"/>
      <c r="TQD34" s="1"/>
      <c r="TQE34" s="1"/>
      <c r="TQF34" s="1"/>
      <c r="TQG34" s="1"/>
      <c r="TQH34" s="1"/>
      <c r="TQI34" s="1"/>
      <c r="TQJ34" s="1"/>
      <c r="TQK34" s="1"/>
      <c r="TQL34" s="1"/>
      <c r="TQM34" s="1"/>
      <c r="TQN34" s="1"/>
      <c r="TQO34" s="1"/>
      <c r="TQP34" s="1"/>
      <c r="TQQ34" s="1"/>
      <c r="TQR34" s="1"/>
      <c r="TQS34" s="1"/>
      <c r="TQT34" s="1"/>
      <c r="TQU34" s="1"/>
      <c r="TQV34" s="1"/>
      <c r="TQW34" s="1"/>
      <c r="TQX34" s="1"/>
      <c r="TQY34" s="1"/>
      <c r="TQZ34" s="1"/>
      <c r="TRA34" s="1"/>
      <c r="TRB34" s="1"/>
      <c r="TRC34" s="1"/>
      <c r="TRD34" s="1"/>
      <c r="TRE34" s="1"/>
      <c r="TRF34" s="1"/>
      <c r="TRG34" s="1"/>
      <c r="TRH34" s="1"/>
      <c r="TRI34" s="1"/>
      <c r="TRJ34" s="1"/>
      <c r="TRK34" s="1"/>
      <c r="TRL34" s="1"/>
      <c r="TRM34" s="1"/>
      <c r="TRN34" s="1"/>
      <c r="TRO34" s="1"/>
      <c r="TRP34" s="1"/>
      <c r="TRQ34" s="1"/>
      <c r="TRR34" s="1"/>
      <c r="TRS34" s="1"/>
      <c r="TRT34" s="1"/>
      <c r="TRU34" s="1"/>
      <c r="TRV34" s="1"/>
      <c r="TRW34" s="1"/>
      <c r="TRX34" s="1"/>
      <c r="TRY34" s="1"/>
      <c r="TRZ34" s="1"/>
      <c r="TSA34" s="1"/>
      <c r="TSB34" s="1"/>
      <c r="TSC34" s="1"/>
      <c r="TSD34" s="1"/>
      <c r="TSE34" s="1"/>
      <c r="TSF34" s="1"/>
      <c r="TSG34" s="1"/>
      <c r="TSH34" s="1"/>
      <c r="TSI34" s="1"/>
      <c r="TSJ34" s="1"/>
      <c r="TSK34" s="1"/>
      <c r="TSL34" s="1"/>
      <c r="TSM34" s="1"/>
      <c r="TSN34" s="1"/>
      <c r="TSO34" s="1"/>
      <c r="TSP34" s="1"/>
      <c r="TSQ34" s="1"/>
      <c r="TSR34" s="1"/>
      <c r="TSS34" s="1"/>
      <c r="TST34" s="1"/>
      <c r="TSU34" s="1"/>
      <c r="TSV34" s="1"/>
      <c r="TSW34" s="1"/>
      <c r="TSX34" s="1"/>
      <c r="TSY34" s="1"/>
      <c r="TSZ34" s="1"/>
      <c r="TTA34" s="1"/>
      <c r="TTB34" s="1"/>
      <c r="TTC34" s="1"/>
      <c r="TTD34" s="1"/>
      <c r="TTE34" s="1"/>
      <c r="TTF34" s="1"/>
      <c r="TTG34" s="1"/>
      <c r="TTH34" s="1"/>
      <c r="TTI34" s="1"/>
      <c r="TTJ34" s="1"/>
      <c r="TTK34" s="1"/>
      <c r="TTL34" s="1"/>
      <c r="TTM34" s="1"/>
      <c r="TTN34" s="1"/>
      <c r="TTO34" s="1"/>
      <c r="TTP34" s="1"/>
      <c r="TTQ34" s="1"/>
      <c r="TTR34" s="1"/>
      <c r="TTS34" s="1"/>
      <c r="TTT34" s="1"/>
      <c r="TTU34" s="1"/>
      <c r="TTV34" s="1"/>
      <c r="TTW34" s="1"/>
      <c r="TTX34" s="1"/>
      <c r="TTY34" s="1"/>
      <c r="TTZ34" s="1"/>
      <c r="TUA34" s="1"/>
      <c r="TUB34" s="1"/>
      <c r="TUC34" s="1"/>
      <c r="TUD34" s="1"/>
      <c r="TUE34" s="1"/>
      <c r="TUF34" s="1"/>
      <c r="TUG34" s="1"/>
      <c r="TUH34" s="1"/>
      <c r="TUI34" s="1"/>
      <c r="TUJ34" s="1"/>
      <c r="TUK34" s="1"/>
      <c r="TUL34" s="1"/>
      <c r="TUM34" s="1"/>
      <c r="TUN34" s="1"/>
      <c r="TUO34" s="1"/>
      <c r="TUP34" s="1"/>
      <c r="TUQ34" s="1"/>
      <c r="TUR34" s="1"/>
      <c r="TUS34" s="1"/>
      <c r="TUT34" s="1"/>
      <c r="TUU34" s="1"/>
      <c r="TUV34" s="1"/>
      <c r="TUW34" s="1"/>
      <c r="TUX34" s="1"/>
      <c r="TUY34" s="1"/>
      <c r="TUZ34" s="1"/>
      <c r="TVA34" s="1"/>
      <c r="TVB34" s="1"/>
      <c r="TVC34" s="1"/>
      <c r="TVD34" s="1"/>
      <c r="TVE34" s="1"/>
      <c r="TVF34" s="1"/>
      <c r="TVG34" s="1"/>
      <c r="TVH34" s="1"/>
      <c r="TVI34" s="1"/>
      <c r="TVJ34" s="1"/>
      <c r="TVK34" s="1"/>
      <c r="TVL34" s="1"/>
      <c r="TVM34" s="1"/>
      <c r="TVN34" s="1"/>
      <c r="TVO34" s="1"/>
      <c r="TVP34" s="1"/>
      <c r="TVQ34" s="1"/>
      <c r="TVR34" s="1"/>
      <c r="TVS34" s="1"/>
      <c r="TVT34" s="1"/>
      <c r="TVU34" s="1"/>
      <c r="TVV34" s="1"/>
      <c r="TVW34" s="1"/>
      <c r="TVX34" s="1"/>
      <c r="TVY34" s="1"/>
      <c r="TVZ34" s="1"/>
      <c r="TWA34" s="1"/>
      <c r="TWB34" s="1"/>
      <c r="TWC34" s="1"/>
      <c r="TWD34" s="1"/>
      <c r="TWE34" s="1"/>
      <c r="TWF34" s="1"/>
      <c r="TWG34" s="1"/>
      <c r="TWH34" s="1"/>
      <c r="TWI34" s="1"/>
      <c r="TWJ34" s="1"/>
      <c r="TWK34" s="1"/>
      <c r="TWL34" s="1"/>
      <c r="TWM34" s="1"/>
      <c r="TWN34" s="1"/>
      <c r="TWO34" s="1"/>
      <c r="TWP34" s="1"/>
      <c r="TWQ34" s="1"/>
      <c r="TWR34" s="1"/>
      <c r="TWS34" s="1"/>
      <c r="TWT34" s="1"/>
      <c r="TWU34" s="1"/>
      <c r="TWV34" s="1"/>
      <c r="TWW34" s="1"/>
      <c r="TWX34" s="1"/>
      <c r="TWY34" s="1"/>
      <c r="TWZ34" s="1"/>
      <c r="TXA34" s="1"/>
      <c r="TXB34" s="1"/>
      <c r="TXC34" s="1"/>
      <c r="TXD34" s="1"/>
      <c r="TXE34" s="1"/>
      <c r="TXF34" s="1"/>
      <c r="TXG34" s="1"/>
      <c r="TXH34" s="1"/>
      <c r="TXI34" s="1"/>
      <c r="TXJ34" s="1"/>
      <c r="TXK34" s="1"/>
      <c r="TXL34" s="1"/>
      <c r="TXM34" s="1"/>
      <c r="TXN34" s="1"/>
      <c r="TXO34" s="1"/>
      <c r="TXP34" s="1"/>
      <c r="TXQ34" s="1"/>
      <c r="TXR34" s="1"/>
      <c r="TXS34" s="1"/>
      <c r="TXT34" s="1"/>
      <c r="TXU34" s="1"/>
      <c r="TXV34" s="1"/>
      <c r="TXW34" s="1"/>
      <c r="TXX34" s="1"/>
      <c r="TXY34" s="1"/>
      <c r="TXZ34" s="1"/>
      <c r="TYA34" s="1"/>
      <c r="TYB34" s="1"/>
      <c r="TYC34" s="1"/>
      <c r="TYD34" s="1"/>
      <c r="TYE34" s="1"/>
      <c r="TYF34" s="1"/>
      <c r="TYG34" s="1"/>
      <c r="TYH34" s="1"/>
      <c r="TYI34" s="1"/>
      <c r="TYJ34" s="1"/>
      <c r="TYK34" s="1"/>
      <c r="TYL34" s="1"/>
      <c r="TYM34" s="1"/>
      <c r="TYN34" s="1"/>
      <c r="TYO34" s="1"/>
      <c r="TYP34" s="1"/>
      <c r="TYQ34" s="1"/>
      <c r="TYR34" s="1"/>
      <c r="TYS34" s="1"/>
      <c r="TYT34" s="1"/>
      <c r="TYU34" s="1"/>
      <c r="TYV34" s="1"/>
      <c r="TYW34" s="1"/>
      <c r="TYX34" s="1"/>
      <c r="TYY34" s="1"/>
      <c r="TYZ34" s="1"/>
      <c r="TZA34" s="1"/>
      <c r="TZB34" s="1"/>
      <c r="TZC34" s="1"/>
      <c r="TZD34" s="1"/>
      <c r="TZE34" s="1"/>
      <c r="TZF34" s="1"/>
      <c r="TZG34" s="1"/>
      <c r="TZH34" s="1"/>
      <c r="TZI34" s="1"/>
      <c r="TZJ34" s="1"/>
      <c r="TZK34" s="1"/>
      <c r="TZL34" s="1"/>
      <c r="TZM34" s="1"/>
      <c r="TZN34" s="1"/>
      <c r="TZO34" s="1"/>
      <c r="TZP34" s="1"/>
      <c r="TZQ34" s="1"/>
      <c r="TZR34" s="1"/>
      <c r="TZS34" s="1"/>
      <c r="TZT34" s="1"/>
      <c r="TZU34" s="1"/>
      <c r="TZV34" s="1"/>
      <c r="TZW34" s="1"/>
      <c r="TZX34" s="1"/>
      <c r="TZY34" s="1"/>
      <c r="TZZ34" s="1"/>
      <c r="UAA34" s="1"/>
      <c r="UAB34" s="1"/>
      <c r="UAC34" s="1"/>
      <c r="UAD34" s="1"/>
      <c r="UAE34" s="1"/>
      <c r="UAF34" s="1"/>
      <c r="UAG34" s="1"/>
      <c r="UAH34" s="1"/>
      <c r="UAI34" s="1"/>
      <c r="UAJ34" s="1"/>
      <c r="UAK34" s="1"/>
      <c r="UAL34" s="1"/>
      <c r="UAM34" s="1"/>
      <c r="UAN34" s="1"/>
      <c r="UAO34" s="1"/>
      <c r="UAP34" s="1"/>
      <c r="UAQ34" s="1"/>
      <c r="UAR34" s="1"/>
      <c r="UAS34" s="1"/>
      <c r="UAT34" s="1"/>
      <c r="UAU34" s="1"/>
      <c r="UAV34" s="1"/>
      <c r="UAW34" s="1"/>
      <c r="UAX34" s="1"/>
      <c r="UAY34" s="1"/>
      <c r="UAZ34" s="1"/>
      <c r="UBA34" s="1"/>
      <c r="UBB34" s="1"/>
      <c r="UBC34" s="1"/>
      <c r="UBD34" s="1"/>
      <c r="UBE34" s="1"/>
      <c r="UBF34" s="1"/>
      <c r="UBG34" s="1"/>
      <c r="UBH34" s="1"/>
      <c r="UBI34" s="1"/>
      <c r="UBJ34" s="1"/>
      <c r="UBK34" s="1"/>
      <c r="UBL34" s="1"/>
      <c r="UBM34" s="1"/>
      <c r="UBN34" s="1"/>
      <c r="UBO34" s="1"/>
      <c r="UBP34" s="1"/>
      <c r="UBQ34" s="1"/>
      <c r="UBR34" s="1"/>
      <c r="UBS34" s="1"/>
      <c r="UBT34" s="1"/>
      <c r="UBU34" s="1"/>
      <c r="UBV34" s="1"/>
      <c r="UBW34" s="1"/>
      <c r="UBX34" s="1"/>
      <c r="UBY34" s="1"/>
      <c r="UBZ34" s="1"/>
      <c r="UCA34" s="1"/>
      <c r="UCB34" s="1"/>
      <c r="UCC34" s="1"/>
      <c r="UCD34" s="1"/>
      <c r="UCE34" s="1"/>
      <c r="UCF34" s="1"/>
      <c r="UCG34" s="1"/>
      <c r="UCH34" s="1"/>
      <c r="UCI34" s="1"/>
      <c r="UCJ34" s="1"/>
      <c r="UCK34" s="1"/>
      <c r="UCL34" s="1"/>
      <c r="UCM34" s="1"/>
      <c r="UCN34" s="1"/>
      <c r="UCO34" s="1"/>
      <c r="UCP34" s="1"/>
      <c r="UCQ34" s="1"/>
      <c r="UCR34" s="1"/>
      <c r="UCS34" s="1"/>
      <c r="UCT34" s="1"/>
      <c r="UCU34" s="1"/>
      <c r="UCV34" s="1"/>
      <c r="UCW34" s="1"/>
      <c r="UCX34" s="1"/>
      <c r="UCY34" s="1"/>
      <c r="UCZ34" s="1"/>
      <c r="UDA34" s="1"/>
      <c r="UDB34" s="1"/>
      <c r="UDC34" s="1"/>
      <c r="UDD34" s="1"/>
      <c r="UDE34" s="1"/>
      <c r="UDF34" s="1"/>
      <c r="UDG34" s="1"/>
      <c r="UDH34" s="1"/>
      <c r="UDI34" s="1"/>
      <c r="UDJ34" s="1"/>
      <c r="UDK34" s="1"/>
      <c r="UDL34" s="1"/>
      <c r="UDM34" s="1"/>
      <c r="UDN34" s="1"/>
      <c r="UDO34" s="1"/>
      <c r="UDP34" s="1"/>
      <c r="UDQ34" s="1"/>
      <c r="UDR34" s="1"/>
      <c r="UDS34" s="1"/>
      <c r="UDT34" s="1"/>
      <c r="UDU34" s="1"/>
      <c r="UDV34" s="1"/>
      <c r="UDW34" s="1"/>
      <c r="UDX34" s="1"/>
      <c r="UDY34" s="1"/>
      <c r="UDZ34" s="1"/>
      <c r="UEA34" s="1"/>
      <c r="UEB34" s="1"/>
      <c r="UEC34" s="1"/>
      <c r="UED34" s="1"/>
      <c r="UEE34" s="1"/>
      <c r="UEF34" s="1"/>
      <c r="UEG34" s="1"/>
      <c r="UEH34" s="1"/>
      <c r="UEI34" s="1"/>
      <c r="UEJ34" s="1"/>
      <c r="UEK34" s="1"/>
      <c r="UEL34" s="1"/>
      <c r="UEM34" s="1"/>
      <c r="UEN34" s="1"/>
      <c r="UEO34" s="1"/>
      <c r="UEP34" s="1"/>
      <c r="UEQ34" s="1"/>
      <c r="UER34" s="1"/>
      <c r="UES34" s="1"/>
      <c r="UET34" s="1"/>
      <c r="UEU34" s="1"/>
      <c r="UEV34" s="1"/>
      <c r="UEW34" s="1"/>
      <c r="UEX34" s="1"/>
      <c r="UEY34" s="1"/>
      <c r="UEZ34" s="1"/>
      <c r="UFA34" s="1"/>
      <c r="UFB34" s="1"/>
      <c r="UFC34" s="1"/>
      <c r="UFD34" s="1"/>
      <c r="UFE34" s="1"/>
      <c r="UFF34" s="1"/>
      <c r="UFG34" s="1"/>
      <c r="UFH34" s="1"/>
      <c r="UFI34" s="1"/>
      <c r="UFJ34" s="1"/>
      <c r="UFK34" s="1"/>
      <c r="UFL34" s="1"/>
      <c r="UFM34" s="1"/>
      <c r="UFN34" s="1"/>
      <c r="UFO34" s="1"/>
      <c r="UFP34" s="1"/>
      <c r="UFQ34" s="1"/>
      <c r="UFR34" s="1"/>
      <c r="UFS34" s="1"/>
      <c r="UFT34" s="1"/>
      <c r="UFU34" s="1"/>
      <c r="UFV34" s="1"/>
      <c r="UFW34" s="1"/>
      <c r="UFX34" s="1"/>
      <c r="UFY34" s="1"/>
      <c r="UFZ34" s="1"/>
      <c r="UGA34" s="1"/>
      <c r="UGB34" s="1"/>
      <c r="UGC34" s="1"/>
      <c r="UGD34" s="1"/>
      <c r="UGE34" s="1"/>
      <c r="UGF34" s="1"/>
      <c r="UGG34" s="1"/>
      <c r="UGH34" s="1"/>
      <c r="UGI34" s="1"/>
      <c r="UGJ34" s="1"/>
      <c r="UGK34" s="1"/>
      <c r="UGL34" s="1"/>
      <c r="UGM34" s="1"/>
      <c r="UGN34" s="1"/>
      <c r="UGO34" s="1"/>
      <c r="UGP34" s="1"/>
      <c r="UGQ34" s="1"/>
      <c r="UGR34" s="1"/>
      <c r="UGS34" s="1"/>
      <c r="UGT34" s="1"/>
      <c r="UGU34" s="1"/>
      <c r="UGV34" s="1"/>
      <c r="UGW34" s="1"/>
      <c r="UGX34" s="1"/>
      <c r="UGY34" s="1"/>
      <c r="UGZ34" s="1"/>
      <c r="UHA34" s="1"/>
      <c r="UHB34" s="1"/>
      <c r="UHC34" s="1"/>
      <c r="UHD34" s="1"/>
      <c r="UHE34" s="1"/>
      <c r="UHF34" s="1"/>
      <c r="UHG34" s="1"/>
      <c r="UHH34" s="1"/>
      <c r="UHI34" s="1"/>
      <c r="UHJ34" s="1"/>
      <c r="UHK34" s="1"/>
      <c r="UHL34" s="1"/>
      <c r="UHM34" s="1"/>
      <c r="UHN34" s="1"/>
      <c r="UHO34" s="1"/>
      <c r="UHP34" s="1"/>
      <c r="UHQ34" s="1"/>
      <c r="UHR34" s="1"/>
      <c r="UHS34" s="1"/>
      <c r="UHT34" s="1"/>
      <c r="UHU34" s="1"/>
      <c r="UHV34" s="1"/>
      <c r="UHW34" s="1"/>
      <c r="UHX34" s="1"/>
      <c r="UHY34" s="1"/>
      <c r="UHZ34" s="1"/>
      <c r="UIA34" s="1"/>
      <c r="UIB34" s="1"/>
      <c r="UIC34" s="1"/>
      <c r="UID34" s="1"/>
      <c r="UIE34" s="1"/>
      <c r="UIF34" s="1"/>
      <c r="UIG34" s="1"/>
      <c r="UIH34" s="1"/>
      <c r="UII34" s="1"/>
      <c r="UIJ34" s="1"/>
      <c r="UIK34" s="1"/>
      <c r="UIL34" s="1"/>
      <c r="UIM34" s="1"/>
      <c r="UIN34" s="1"/>
      <c r="UIO34" s="1"/>
      <c r="UIP34" s="1"/>
      <c r="UIQ34" s="1"/>
      <c r="UIR34" s="1"/>
      <c r="UIS34" s="1"/>
      <c r="UIT34" s="1"/>
      <c r="UIU34" s="1"/>
      <c r="UIV34" s="1"/>
      <c r="UIW34" s="1"/>
      <c r="UIX34" s="1"/>
      <c r="UIY34" s="1"/>
      <c r="UIZ34" s="1"/>
      <c r="UJA34" s="1"/>
      <c r="UJB34" s="1"/>
      <c r="UJC34" s="1"/>
      <c r="UJD34" s="1"/>
      <c r="UJE34" s="1"/>
      <c r="UJF34" s="1"/>
      <c r="UJG34" s="1"/>
      <c r="UJH34" s="1"/>
      <c r="UJI34" s="1"/>
      <c r="UJJ34" s="1"/>
      <c r="UJK34" s="1"/>
      <c r="UJL34" s="1"/>
      <c r="UJM34" s="1"/>
      <c r="UJN34" s="1"/>
      <c r="UJO34" s="1"/>
      <c r="UJP34" s="1"/>
      <c r="UJQ34" s="1"/>
      <c r="UJR34" s="1"/>
      <c r="UJS34" s="1"/>
      <c r="UJT34" s="1"/>
      <c r="UJU34" s="1"/>
      <c r="UJV34" s="1"/>
      <c r="UJW34" s="1"/>
      <c r="UJX34" s="1"/>
      <c r="UJY34" s="1"/>
      <c r="UJZ34" s="1"/>
      <c r="UKA34" s="1"/>
      <c r="UKB34" s="1"/>
      <c r="UKC34" s="1"/>
      <c r="UKD34" s="1"/>
      <c r="UKE34" s="1"/>
      <c r="UKF34" s="1"/>
      <c r="UKG34" s="1"/>
      <c r="UKH34" s="1"/>
      <c r="UKI34" s="1"/>
      <c r="UKJ34" s="1"/>
      <c r="UKK34" s="1"/>
      <c r="UKL34" s="1"/>
      <c r="UKM34" s="1"/>
      <c r="UKN34" s="1"/>
      <c r="UKO34" s="1"/>
      <c r="UKP34" s="1"/>
      <c r="UKQ34" s="1"/>
      <c r="UKR34" s="1"/>
      <c r="UKS34" s="1"/>
      <c r="UKT34" s="1"/>
      <c r="UKU34" s="1"/>
      <c r="UKV34" s="1"/>
      <c r="UKW34" s="1"/>
      <c r="UKX34" s="1"/>
      <c r="UKY34" s="1"/>
      <c r="UKZ34" s="1"/>
      <c r="ULA34" s="1"/>
      <c r="ULB34" s="1"/>
      <c r="ULC34" s="1"/>
      <c r="ULD34" s="1"/>
      <c r="ULE34" s="1"/>
      <c r="ULF34" s="1"/>
      <c r="ULG34" s="1"/>
      <c r="ULH34" s="1"/>
      <c r="ULI34" s="1"/>
      <c r="ULJ34" s="1"/>
      <c r="ULK34" s="1"/>
      <c r="ULL34" s="1"/>
      <c r="ULM34" s="1"/>
      <c r="ULN34" s="1"/>
      <c r="ULO34" s="1"/>
      <c r="ULP34" s="1"/>
      <c r="ULQ34" s="1"/>
      <c r="ULR34" s="1"/>
      <c r="ULS34" s="1"/>
      <c r="ULT34" s="1"/>
      <c r="ULU34" s="1"/>
      <c r="ULV34" s="1"/>
      <c r="ULW34" s="1"/>
      <c r="ULX34" s="1"/>
      <c r="ULY34" s="1"/>
      <c r="ULZ34" s="1"/>
      <c r="UMA34" s="1"/>
      <c r="UMB34" s="1"/>
      <c r="UMC34" s="1"/>
      <c r="UMD34" s="1"/>
      <c r="UME34" s="1"/>
      <c r="UMF34" s="1"/>
      <c r="UMG34" s="1"/>
      <c r="UMH34" s="1"/>
      <c r="UMI34" s="1"/>
      <c r="UMJ34" s="1"/>
      <c r="UMK34" s="1"/>
      <c r="UML34" s="1"/>
      <c r="UMM34" s="1"/>
      <c r="UMN34" s="1"/>
      <c r="UMO34" s="1"/>
      <c r="UMP34" s="1"/>
      <c r="UMQ34" s="1"/>
      <c r="UMR34" s="1"/>
      <c r="UMS34" s="1"/>
      <c r="UMT34" s="1"/>
      <c r="UMU34" s="1"/>
      <c r="UMV34" s="1"/>
      <c r="UMW34" s="1"/>
      <c r="UMX34" s="1"/>
      <c r="UMY34" s="1"/>
      <c r="UMZ34" s="1"/>
      <c r="UNA34" s="1"/>
      <c r="UNB34" s="1"/>
      <c r="UNC34" s="1"/>
      <c r="UND34" s="1"/>
      <c r="UNE34" s="1"/>
      <c r="UNF34" s="1"/>
      <c r="UNG34" s="1"/>
      <c r="UNH34" s="1"/>
      <c r="UNI34" s="1"/>
      <c r="UNJ34" s="1"/>
      <c r="UNK34" s="1"/>
      <c r="UNL34" s="1"/>
      <c r="UNM34" s="1"/>
      <c r="UNN34" s="1"/>
      <c r="UNO34" s="1"/>
      <c r="UNP34" s="1"/>
      <c r="UNQ34" s="1"/>
      <c r="UNR34" s="1"/>
      <c r="UNS34" s="1"/>
      <c r="UNT34" s="1"/>
      <c r="UNU34" s="1"/>
      <c r="UNV34" s="1"/>
      <c r="UNW34" s="1"/>
      <c r="UNX34" s="1"/>
      <c r="UNY34" s="1"/>
      <c r="UNZ34" s="1"/>
      <c r="UOA34" s="1"/>
      <c r="UOB34" s="1"/>
      <c r="UOC34" s="1"/>
      <c r="UOD34" s="1"/>
      <c r="UOE34" s="1"/>
      <c r="UOF34" s="1"/>
      <c r="UOG34" s="1"/>
      <c r="UOH34" s="1"/>
      <c r="UOI34" s="1"/>
      <c r="UOJ34" s="1"/>
      <c r="UOK34" s="1"/>
      <c r="UOL34" s="1"/>
      <c r="UOM34" s="1"/>
      <c r="UON34" s="1"/>
      <c r="UOO34" s="1"/>
      <c r="UOP34" s="1"/>
      <c r="UOQ34" s="1"/>
      <c r="UOR34" s="1"/>
      <c r="UOS34" s="1"/>
      <c r="UOT34" s="1"/>
      <c r="UOU34" s="1"/>
      <c r="UOV34" s="1"/>
      <c r="UOW34" s="1"/>
      <c r="UOX34" s="1"/>
      <c r="UOY34" s="1"/>
      <c r="UOZ34" s="1"/>
      <c r="UPA34" s="1"/>
      <c r="UPB34" s="1"/>
      <c r="UPC34" s="1"/>
      <c r="UPD34" s="1"/>
      <c r="UPE34" s="1"/>
      <c r="UPF34" s="1"/>
      <c r="UPG34" s="1"/>
      <c r="UPH34" s="1"/>
      <c r="UPI34" s="1"/>
      <c r="UPJ34" s="1"/>
      <c r="UPK34" s="1"/>
      <c r="UPL34" s="1"/>
      <c r="UPM34" s="1"/>
      <c r="UPN34" s="1"/>
      <c r="UPO34" s="1"/>
      <c r="UPP34" s="1"/>
      <c r="UPQ34" s="1"/>
      <c r="UPR34" s="1"/>
      <c r="UPS34" s="1"/>
      <c r="UPT34" s="1"/>
      <c r="UPU34" s="1"/>
      <c r="UPV34" s="1"/>
      <c r="UPW34" s="1"/>
      <c r="UPX34" s="1"/>
      <c r="UPY34" s="1"/>
      <c r="UPZ34" s="1"/>
      <c r="UQA34" s="1"/>
      <c r="UQB34" s="1"/>
      <c r="UQC34" s="1"/>
      <c r="UQD34" s="1"/>
      <c r="UQE34" s="1"/>
      <c r="UQF34" s="1"/>
      <c r="UQG34" s="1"/>
      <c r="UQH34" s="1"/>
      <c r="UQI34" s="1"/>
      <c r="UQJ34" s="1"/>
      <c r="UQK34" s="1"/>
      <c r="UQL34" s="1"/>
      <c r="UQM34" s="1"/>
      <c r="UQN34" s="1"/>
      <c r="UQO34" s="1"/>
      <c r="UQP34" s="1"/>
      <c r="UQQ34" s="1"/>
      <c r="UQR34" s="1"/>
      <c r="UQS34" s="1"/>
      <c r="UQT34" s="1"/>
      <c r="UQU34" s="1"/>
      <c r="UQV34" s="1"/>
      <c r="UQW34" s="1"/>
      <c r="UQX34" s="1"/>
      <c r="UQY34" s="1"/>
      <c r="UQZ34" s="1"/>
      <c r="URA34" s="1"/>
      <c r="URB34" s="1"/>
      <c r="URC34" s="1"/>
      <c r="URD34" s="1"/>
      <c r="URE34" s="1"/>
      <c r="URF34" s="1"/>
      <c r="URG34" s="1"/>
      <c r="URH34" s="1"/>
      <c r="URI34" s="1"/>
      <c r="URJ34" s="1"/>
      <c r="URK34" s="1"/>
      <c r="URL34" s="1"/>
      <c r="URM34" s="1"/>
      <c r="URN34" s="1"/>
      <c r="URO34" s="1"/>
      <c r="URP34" s="1"/>
      <c r="URQ34" s="1"/>
      <c r="URR34" s="1"/>
      <c r="URS34" s="1"/>
      <c r="URT34" s="1"/>
      <c r="URU34" s="1"/>
      <c r="URV34" s="1"/>
      <c r="URW34" s="1"/>
      <c r="URX34" s="1"/>
      <c r="URY34" s="1"/>
      <c r="URZ34" s="1"/>
      <c r="USA34" s="1"/>
      <c r="USB34" s="1"/>
      <c r="USC34" s="1"/>
      <c r="USD34" s="1"/>
      <c r="USE34" s="1"/>
      <c r="USF34" s="1"/>
      <c r="USG34" s="1"/>
      <c r="USH34" s="1"/>
      <c r="USI34" s="1"/>
      <c r="USJ34" s="1"/>
      <c r="USK34" s="1"/>
      <c r="USL34" s="1"/>
      <c r="USM34" s="1"/>
      <c r="USN34" s="1"/>
      <c r="USO34" s="1"/>
      <c r="USP34" s="1"/>
      <c r="USQ34" s="1"/>
      <c r="USR34" s="1"/>
      <c r="USS34" s="1"/>
      <c r="UST34" s="1"/>
      <c r="USU34" s="1"/>
      <c r="USV34" s="1"/>
      <c r="USW34" s="1"/>
      <c r="USX34" s="1"/>
      <c r="USY34" s="1"/>
      <c r="USZ34" s="1"/>
      <c r="UTA34" s="1"/>
      <c r="UTB34" s="1"/>
      <c r="UTC34" s="1"/>
      <c r="UTD34" s="1"/>
      <c r="UTE34" s="1"/>
      <c r="UTF34" s="1"/>
      <c r="UTG34" s="1"/>
      <c r="UTH34" s="1"/>
      <c r="UTI34" s="1"/>
      <c r="UTJ34" s="1"/>
      <c r="UTK34" s="1"/>
      <c r="UTL34" s="1"/>
      <c r="UTM34" s="1"/>
      <c r="UTN34" s="1"/>
      <c r="UTO34" s="1"/>
      <c r="UTP34" s="1"/>
      <c r="UTQ34" s="1"/>
      <c r="UTR34" s="1"/>
      <c r="UTS34" s="1"/>
      <c r="UTT34" s="1"/>
      <c r="UTU34" s="1"/>
      <c r="UTV34" s="1"/>
      <c r="UTW34" s="1"/>
      <c r="UTX34" s="1"/>
      <c r="UTY34" s="1"/>
      <c r="UTZ34" s="1"/>
      <c r="UUA34" s="1"/>
      <c r="UUB34" s="1"/>
      <c r="UUC34" s="1"/>
      <c r="UUD34" s="1"/>
      <c r="UUE34" s="1"/>
      <c r="UUF34" s="1"/>
      <c r="UUG34" s="1"/>
      <c r="UUH34" s="1"/>
      <c r="UUI34" s="1"/>
      <c r="UUJ34" s="1"/>
      <c r="UUK34" s="1"/>
      <c r="UUL34" s="1"/>
      <c r="UUM34" s="1"/>
      <c r="UUN34" s="1"/>
      <c r="UUO34" s="1"/>
      <c r="UUP34" s="1"/>
      <c r="UUQ34" s="1"/>
      <c r="UUR34" s="1"/>
      <c r="UUS34" s="1"/>
      <c r="UUT34" s="1"/>
      <c r="UUU34" s="1"/>
      <c r="UUV34" s="1"/>
      <c r="UUW34" s="1"/>
      <c r="UUX34" s="1"/>
      <c r="UUY34" s="1"/>
      <c r="UUZ34" s="1"/>
      <c r="UVA34" s="1"/>
      <c r="UVB34" s="1"/>
      <c r="UVC34" s="1"/>
      <c r="UVD34" s="1"/>
      <c r="UVE34" s="1"/>
      <c r="UVF34" s="1"/>
      <c r="UVG34" s="1"/>
      <c r="UVH34" s="1"/>
      <c r="UVI34" s="1"/>
      <c r="UVJ34" s="1"/>
      <c r="UVK34" s="1"/>
      <c r="UVL34" s="1"/>
      <c r="UVM34" s="1"/>
      <c r="UVN34" s="1"/>
      <c r="UVO34" s="1"/>
      <c r="UVP34" s="1"/>
      <c r="UVQ34" s="1"/>
      <c r="UVR34" s="1"/>
      <c r="UVS34" s="1"/>
      <c r="UVT34" s="1"/>
      <c r="UVU34" s="1"/>
      <c r="UVV34" s="1"/>
      <c r="UVW34" s="1"/>
      <c r="UVX34" s="1"/>
      <c r="UVY34" s="1"/>
      <c r="UVZ34" s="1"/>
      <c r="UWA34" s="1"/>
      <c r="UWB34" s="1"/>
      <c r="UWC34" s="1"/>
      <c r="UWD34" s="1"/>
      <c r="UWE34" s="1"/>
      <c r="UWF34" s="1"/>
      <c r="UWG34" s="1"/>
      <c r="UWH34" s="1"/>
      <c r="UWI34" s="1"/>
      <c r="UWJ34" s="1"/>
      <c r="UWK34" s="1"/>
      <c r="UWL34" s="1"/>
      <c r="UWM34" s="1"/>
      <c r="UWN34" s="1"/>
      <c r="UWO34" s="1"/>
      <c r="UWP34" s="1"/>
      <c r="UWQ34" s="1"/>
      <c r="UWR34" s="1"/>
      <c r="UWS34" s="1"/>
      <c r="UWT34" s="1"/>
      <c r="UWU34" s="1"/>
      <c r="UWV34" s="1"/>
      <c r="UWW34" s="1"/>
      <c r="UWX34" s="1"/>
      <c r="UWY34" s="1"/>
      <c r="UWZ34" s="1"/>
      <c r="UXA34" s="1"/>
      <c r="UXB34" s="1"/>
      <c r="UXC34" s="1"/>
      <c r="UXD34" s="1"/>
      <c r="UXE34" s="1"/>
      <c r="UXF34" s="1"/>
      <c r="UXG34" s="1"/>
      <c r="UXH34" s="1"/>
      <c r="UXI34" s="1"/>
      <c r="UXJ34" s="1"/>
      <c r="UXK34" s="1"/>
      <c r="UXL34" s="1"/>
      <c r="UXM34" s="1"/>
      <c r="UXN34" s="1"/>
      <c r="UXO34" s="1"/>
      <c r="UXP34" s="1"/>
      <c r="UXQ34" s="1"/>
      <c r="UXR34" s="1"/>
      <c r="UXS34" s="1"/>
      <c r="UXT34" s="1"/>
      <c r="UXU34" s="1"/>
      <c r="UXV34" s="1"/>
      <c r="UXW34" s="1"/>
      <c r="UXX34" s="1"/>
      <c r="UXY34" s="1"/>
      <c r="UXZ34" s="1"/>
      <c r="UYA34" s="1"/>
      <c r="UYB34" s="1"/>
      <c r="UYC34" s="1"/>
      <c r="UYD34" s="1"/>
      <c r="UYE34" s="1"/>
      <c r="UYF34" s="1"/>
      <c r="UYG34" s="1"/>
      <c r="UYH34" s="1"/>
      <c r="UYI34" s="1"/>
      <c r="UYJ34" s="1"/>
      <c r="UYK34" s="1"/>
      <c r="UYL34" s="1"/>
      <c r="UYM34" s="1"/>
      <c r="UYN34" s="1"/>
      <c r="UYO34" s="1"/>
      <c r="UYP34" s="1"/>
      <c r="UYQ34" s="1"/>
      <c r="UYR34" s="1"/>
      <c r="UYS34" s="1"/>
      <c r="UYT34" s="1"/>
      <c r="UYU34" s="1"/>
      <c r="UYV34" s="1"/>
      <c r="UYW34" s="1"/>
      <c r="UYX34" s="1"/>
      <c r="UYY34" s="1"/>
      <c r="UYZ34" s="1"/>
      <c r="UZA34" s="1"/>
      <c r="UZB34" s="1"/>
      <c r="UZC34" s="1"/>
      <c r="UZD34" s="1"/>
      <c r="UZE34" s="1"/>
      <c r="UZF34" s="1"/>
      <c r="UZG34" s="1"/>
      <c r="UZH34" s="1"/>
      <c r="UZI34" s="1"/>
      <c r="UZJ34" s="1"/>
      <c r="UZK34" s="1"/>
      <c r="UZL34" s="1"/>
      <c r="UZM34" s="1"/>
      <c r="UZN34" s="1"/>
      <c r="UZO34" s="1"/>
      <c r="UZP34" s="1"/>
      <c r="UZQ34" s="1"/>
      <c r="UZR34" s="1"/>
      <c r="UZS34" s="1"/>
      <c r="UZT34" s="1"/>
      <c r="UZU34" s="1"/>
      <c r="UZV34" s="1"/>
      <c r="UZW34" s="1"/>
      <c r="UZX34" s="1"/>
      <c r="UZY34" s="1"/>
      <c r="UZZ34" s="1"/>
      <c r="VAA34" s="1"/>
      <c r="VAB34" s="1"/>
      <c r="VAC34" s="1"/>
      <c r="VAD34" s="1"/>
      <c r="VAE34" s="1"/>
      <c r="VAF34" s="1"/>
      <c r="VAG34" s="1"/>
      <c r="VAH34" s="1"/>
      <c r="VAI34" s="1"/>
      <c r="VAJ34" s="1"/>
      <c r="VAK34" s="1"/>
      <c r="VAL34" s="1"/>
      <c r="VAM34" s="1"/>
      <c r="VAN34" s="1"/>
      <c r="VAO34" s="1"/>
      <c r="VAP34" s="1"/>
      <c r="VAQ34" s="1"/>
      <c r="VAR34" s="1"/>
      <c r="VAS34" s="1"/>
      <c r="VAT34" s="1"/>
      <c r="VAU34" s="1"/>
      <c r="VAV34" s="1"/>
      <c r="VAW34" s="1"/>
      <c r="VAX34" s="1"/>
      <c r="VAY34" s="1"/>
      <c r="VAZ34" s="1"/>
      <c r="VBA34" s="1"/>
      <c r="VBB34" s="1"/>
      <c r="VBC34" s="1"/>
      <c r="VBD34" s="1"/>
      <c r="VBE34" s="1"/>
      <c r="VBF34" s="1"/>
      <c r="VBG34" s="1"/>
      <c r="VBH34" s="1"/>
      <c r="VBI34" s="1"/>
      <c r="VBJ34" s="1"/>
      <c r="VBK34" s="1"/>
      <c r="VBL34" s="1"/>
      <c r="VBM34" s="1"/>
      <c r="VBN34" s="1"/>
      <c r="VBO34" s="1"/>
      <c r="VBP34" s="1"/>
      <c r="VBQ34" s="1"/>
      <c r="VBR34" s="1"/>
      <c r="VBS34" s="1"/>
      <c r="VBT34" s="1"/>
      <c r="VBU34" s="1"/>
      <c r="VBV34" s="1"/>
      <c r="VBW34" s="1"/>
      <c r="VBX34" s="1"/>
      <c r="VBY34" s="1"/>
      <c r="VBZ34" s="1"/>
      <c r="VCA34" s="1"/>
      <c r="VCB34" s="1"/>
      <c r="VCC34" s="1"/>
      <c r="VCD34" s="1"/>
      <c r="VCE34" s="1"/>
      <c r="VCF34" s="1"/>
      <c r="VCG34" s="1"/>
      <c r="VCH34" s="1"/>
      <c r="VCI34" s="1"/>
      <c r="VCJ34" s="1"/>
      <c r="VCK34" s="1"/>
      <c r="VCL34" s="1"/>
      <c r="VCM34" s="1"/>
      <c r="VCN34" s="1"/>
      <c r="VCO34" s="1"/>
      <c r="VCP34" s="1"/>
      <c r="VCQ34" s="1"/>
      <c r="VCR34" s="1"/>
      <c r="VCS34" s="1"/>
      <c r="VCT34" s="1"/>
      <c r="VCU34" s="1"/>
      <c r="VCV34" s="1"/>
      <c r="VCW34" s="1"/>
      <c r="VCX34" s="1"/>
      <c r="VCY34" s="1"/>
      <c r="VCZ34" s="1"/>
      <c r="VDA34" s="1"/>
      <c r="VDB34" s="1"/>
      <c r="VDC34" s="1"/>
      <c r="VDD34" s="1"/>
      <c r="VDE34" s="1"/>
      <c r="VDF34" s="1"/>
      <c r="VDG34" s="1"/>
      <c r="VDH34" s="1"/>
      <c r="VDI34" s="1"/>
      <c r="VDJ34" s="1"/>
      <c r="VDK34" s="1"/>
      <c r="VDL34" s="1"/>
      <c r="VDM34" s="1"/>
      <c r="VDN34" s="1"/>
      <c r="VDO34" s="1"/>
      <c r="VDP34" s="1"/>
      <c r="VDQ34" s="1"/>
      <c r="VDR34" s="1"/>
      <c r="VDS34" s="1"/>
      <c r="VDT34" s="1"/>
      <c r="VDU34" s="1"/>
      <c r="VDV34" s="1"/>
      <c r="VDW34" s="1"/>
      <c r="VDX34" s="1"/>
      <c r="VDY34" s="1"/>
      <c r="VDZ34" s="1"/>
      <c r="VEA34" s="1"/>
      <c r="VEB34" s="1"/>
      <c r="VEC34" s="1"/>
      <c r="VED34" s="1"/>
      <c r="VEE34" s="1"/>
      <c r="VEF34" s="1"/>
      <c r="VEG34" s="1"/>
      <c r="VEH34" s="1"/>
      <c r="VEI34" s="1"/>
      <c r="VEJ34" s="1"/>
      <c r="VEK34" s="1"/>
      <c r="VEL34" s="1"/>
      <c r="VEM34" s="1"/>
      <c r="VEN34" s="1"/>
      <c r="VEO34" s="1"/>
      <c r="VEP34" s="1"/>
      <c r="VEQ34" s="1"/>
      <c r="VER34" s="1"/>
      <c r="VES34" s="1"/>
      <c r="VET34" s="1"/>
      <c r="VEU34" s="1"/>
      <c r="VEV34" s="1"/>
      <c r="VEW34" s="1"/>
      <c r="VEX34" s="1"/>
      <c r="VEY34" s="1"/>
      <c r="VEZ34" s="1"/>
      <c r="VFA34" s="1"/>
      <c r="VFB34" s="1"/>
      <c r="VFC34" s="1"/>
      <c r="VFD34" s="1"/>
      <c r="VFE34" s="1"/>
      <c r="VFF34" s="1"/>
      <c r="VFG34" s="1"/>
      <c r="VFH34" s="1"/>
      <c r="VFI34" s="1"/>
      <c r="VFJ34" s="1"/>
      <c r="VFK34" s="1"/>
      <c r="VFL34" s="1"/>
      <c r="VFM34" s="1"/>
      <c r="VFN34" s="1"/>
      <c r="VFO34" s="1"/>
      <c r="VFP34" s="1"/>
      <c r="VFQ34" s="1"/>
      <c r="VFR34" s="1"/>
      <c r="VFS34" s="1"/>
      <c r="VFT34" s="1"/>
      <c r="VFU34" s="1"/>
      <c r="VFV34" s="1"/>
      <c r="VFW34" s="1"/>
      <c r="VFX34" s="1"/>
      <c r="VFY34" s="1"/>
      <c r="VFZ34" s="1"/>
      <c r="VGA34" s="1"/>
      <c r="VGB34" s="1"/>
      <c r="VGC34" s="1"/>
      <c r="VGD34" s="1"/>
      <c r="VGE34" s="1"/>
      <c r="VGF34" s="1"/>
      <c r="VGG34" s="1"/>
      <c r="VGH34" s="1"/>
      <c r="VGI34" s="1"/>
      <c r="VGJ34" s="1"/>
      <c r="VGK34" s="1"/>
      <c r="VGL34" s="1"/>
      <c r="VGM34" s="1"/>
      <c r="VGN34" s="1"/>
      <c r="VGO34" s="1"/>
      <c r="VGP34" s="1"/>
      <c r="VGQ34" s="1"/>
      <c r="VGR34" s="1"/>
      <c r="VGS34" s="1"/>
      <c r="VGT34" s="1"/>
      <c r="VGU34" s="1"/>
      <c r="VGV34" s="1"/>
      <c r="VGW34" s="1"/>
      <c r="VGX34" s="1"/>
      <c r="VGY34" s="1"/>
      <c r="VGZ34" s="1"/>
      <c r="VHA34" s="1"/>
      <c r="VHB34" s="1"/>
      <c r="VHC34" s="1"/>
      <c r="VHD34" s="1"/>
      <c r="VHE34" s="1"/>
      <c r="VHF34" s="1"/>
      <c r="VHG34" s="1"/>
      <c r="VHH34" s="1"/>
      <c r="VHI34" s="1"/>
      <c r="VHJ34" s="1"/>
      <c r="VHK34" s="1"/>
      <c r="VHL34" s="1"/>
      <c r="VHM34" s="1"/>
      <c r="VHN34" s="1"/>
      <c r="VHO34" s="1"/>
      <c r="VHP34" s="1"/>
      <c r="VHQ34" s="1"/>
      <c r="VHR34" s="1"/>
      <c r="VHS34" s="1"/>
      <c r="VHT34" s="1"/>
      <c r="VHU34" s="1"/>
      <c r="VHV34" s="1"/>
      <c r="VHW34" s="1"/>
      <c r="VHX34" s="1"/>
      <c r="VHY34" s="1"/>
      <c r="VHZ34" s="1"/>
      <c r="VIA34" s="1"/>
      <c r="VIB34" s="1"/>
      <c r="VIC34" s="1"/>
      <c r="VID34" s="1"/>
      <c r="VIE34" s="1"/>
      <c r="VIF34" s="1"/>
      <c r="VIG34" s="1"/>
      <c r="VIH34" s="1"/>
      <c r="VII34" s="1"/>
      <c r="VIJ34" s="1"/>
      <c r="VIK34" s="1"/>
      <c r="VIL34" s="1"/>
      <c r="VIM34" s="1"/>
      <c r="VIN34" s="1"/>
      <c r="VIO34" s="1"/>
      <c r="VIP34" s="1"/>
      <c r="VIQ34" s="1"/>
      <c r="VIR34" s="1"/>
      <c r="VIS34" s="1"/>
      <c r="VIT34" s="1"/>
      <c r="VIU34" s="1"/>
      <c r="VIV34" s="1"/>
      <c r="VIW34" s="1"/>
      <c r="VIX34" s="1"/>
      <c r="VIY34" s="1"/>
      <c r="VIZ34" s="1"/>
      <c r="VJA34" s="1"/>
      <c r="VJB34" s="1"/>
      <c r="VJC34" s="1"/>
      <c r="VJD34" s="1"/>
      <c r="VJE34" s="1"/>
      <c r="VJF34" s="1"/>
      <c r="VJG34" s="1"/>
      <c r="VJH34" s="1"/>
      <c r="VJI34" s="1"/>
      <c r="VJJ34" s="1"/>
      <c r="VJK34" s="1"/>
      <c r="VJL34" s="1"/>
      <c r="VJM34" s="1"/>
      <c r="VJN34" s="1"/>
      <c r="VJO34" s="1"/>
      <c r="VJP34" s="1"/>
      <c r="VJQ34" s="1"/>
      <c r="VJR34" s="1"/>
      <c r="VJS34" s="1"/>
      <c r="VJT34" s="1"/>
      <c r="VJU34" s="1"/>
      <c r="VJV34" s="1"/>
      <c r="VJW34" s="1"/>
      <c r="VJX34" s="1"/>
      <c r="VJY34" s="1"/>
      <c r="VJZ34" s="1"/>
      <c r="VKA34" s="1"/>
      <c r="VKB34" s="1"/>
      <c r="VKC34" s="1"/>
      <c r="VKD34" s="1"/>
      <c r="VKE34" s="1"/>
      <c r="VKF34" s="1"/>
      <c r="VKG34" s="1"/>
      <c r="VKH34" s="1"/>
      <c r="VKI34" s="1"/>
      <c r="VKJ34" s="1"/>
      <c r="VKK34" s="1"/>
      <c r="VKL34" s="1"/>
      <c r="VKM34" s="1"/>
      <c r="VKN34" s="1"/>
      <c r="VKO34" s="1"/>
      <c r="VKP34" s="1"/>
      <c r="VKQ34" s="1"/>
      <c r="VKR34" s="1"/>
      <c r="VKS34" s="1"/>
      <c r="VKT34" s="1"/>
      <c r="VKU34" s="1"/>
      <c r="VKV34" s="1"/>
      <c r="VKW34" s="1"/>
      <c r="VKX34" s="1"/>
      <c r="VKY34" s="1"/>
      <c r="VKZ34" s="1"/>
      <c r="VLA34" s="1"/>
      <c r="VLB34" s="1"/>
      <c r="VLC34" s="1"/>
      <c r="VLD34" s="1"/>
      <c r="VLE34" s="1"/>
      <c r="VLF34" s="1"/>
      <c r="VLG34" s="1"/>
      <c r="VLH34" s="1"/>
      <c r="VLI34" s="1"/>
      <c r="VLJ34" s="1"/>
      <c r="VLK34" s="1"/>
      <c r="VLL34" s="1"/>
      <c r="VLM34" s="1"/>
      <c r="VLN34" s="1"/>
      <c r="VLO34" s="1"/>
      <c r="VLP34" s="1"/>
      <c r="VLQ34" s="1"/>
      <c r="VLR34" s="1"/>
      <c r="VLS34" s="1"/>
      <c r="VLT34" s="1"/>
      <c r="VLU34" s="1"/>
      <c r="VLV34" s="1"/>
      <c r="VLW34" s="1"/>
      <c r="VLX34" s="1"/>
      <c r="VLY34" s="1"/>
      <c r="VLZ34" s="1"/>
      <c r="VMA34" s="1"/>
      <c r="VMB34" s="1"/>
      <c r="VMC34" s="1"/>
      <c r="VMD34" s="1"/>
      <c r="VME34" s="1"/>
      <c r="VMF34" s="1"/>
      <c r="VMG34" s="1"/>
      <c r="VMH34" s="1"/>
      <c r="VMI34" s="1"/>
      <c r="VMJ34" s="1"/>
      <c r="VMK34" s="1"/>
      <c r="VML34" s="1"/>
      <c r="VMM34" s="1"/>
      <c r="VMN34" s="1"/>
      <c r="VMO34" s="1"/>
      <c r="VMP34" s="1"/>
      <c r="VMQ34" s="1"/>
      <c r="VMR34" s="1"/>
      <c r="VMS34" s="1"/>
      <c r="VMT34" s="1"/>
      <c r="VMU34" s="1"/>
      <c r="VMV34" s="1"/>
      <c r="VMW34" s="1"/>
      <c r="VMX34" s="1"/>
      <c r="VMY34" s="1"/>
      <c r="VMZ34" s="1"/>
      <c r="VNA34" s="1"/>
      <c r="VNB34" s="1"/>
      <c r="VNC34" s="1"/>
      <c r="VND34" s="1"/>
      <c r="VNE34" s="1"/>
      <c r="VNF34" s="1"/>
      <c r="VNG34" s="1"/>
      <c r="VNH34" s="1"/>
      <c r="VNI34" s="1"/>
      <c r="VNJ34" s="1"/>
      <c r="VNK34" s="1"/>
      <c r="VNL34" s="1"/>
      <c r="VNM34" s="1"/>
      <c r="VNN34" s="1"/>
      <c r="VNO34" s="1"/>
      <c r="VNP34" s="1"/>
      <c r="VNQ34" s="1"/>
      <c r="VNR34" s="1"/>
      <c r="VNS34" s="1"/>
      <c r="VNT34" s="1"/>
      <c r="VNU34" s="1"/>
      <c r="VNV34" s="1"/>
      <c r="VNW34" s="1"/>
      <c r="VNX34" s="1"/>
      <c r="VNY34" s="1"/>
      <c r="VNZ34" s="1"/>
      <c r="VOA34" s="1"/>
      <c r="VOB34" s="1"/>
      <c r="VOC34" s="1"/>
      <c r="VOD34" s="1"/>
      <c r="VOE34" s="1"/>
      <c r="VOF34" s="1"/>
      <c r="VOG34" s="1"/>
      <c r="VOH34" s="1"/>
      <c r="VOI34" s="1"/>
      <c r="VOJ34" s="1"/>
      <c r="VOK34" s="1"/>
      <c r="VOL34" s="1"/>
      <c r="VOM34" s="1"/>
      <c r="VON34" s="1"/>
      <c r="VOO34" s="1"/>
      <c r="VOP34" s="1"/>
      <c r="VOQ34" s="1"/>
      <c r="VOR34" s="1"/>
      <c r="VOS34" s="1"/>
      <c r="VOT34" s="1"/>
      <c r="VOU34" s="1"/>
      <c r="VOV34" s="1"/>
      <c r="VOW34" s="1"/>
      <c r="VOX34" s="1"/>
      <c r="VOY34" s="1"/>
      <c r="VOZ34" s="1"/>
      <c r="VPA34" s="1"/>
      <c r="VPB34" s="1"/>
      <c r="VPC34" s="1"/>
      <c r="VPD34" s="1"/>
      <c r="VPE34" s="1"/>
      <c r="VPF34" s="1"/>
      <c r="VPG34" s="1"/>
      <c r="VPH34" s="1"/>
      <c r="VPI34" s="1"/>
      <c r="VPJ34" s="1"/>
      <c r="VPK34" s="1"/>
      <c r="VPL34" s="1"/>
      <c r="VPM34" s="1"/>
      <c r="VPN34" s="1"/>
      <c r="VPO34" s="1"/>
      <c r="VPP34" s="1"/>
      <c r="VPQ34" s="1"/>
      <c r="VPR34" s="1"/>
      <c r="VPS34" s="1"/>
      <c r="VPT34" s="1"/>
      <c r="VPU34" s="1"/>
      <c r="VPV34" s="1"/>
      <c r="VPW34" s="1"/>
      <c r="VPX34" s="1"/>
      <c r="VPY34" s="1"/>
      <c r="VPZ34" s="1"/>
      <c r="VQA34" s="1"/>
      <c r="VQB34" s="1"/>
      <c r="VQC34" s="1"/>
      <c r="VQD34" s="1"/>
      <c r="VQE34" s="1"/>
      <c r="VQF34" s="1"/>
      <c r="VQG34" s="1"/>
      <c r="VQH34" s="1"/>
      <c r="VQI34" s="1"/>
      <c r="VQJ34" s="1"/>
      <c r="VQK34" s="1"/>
      <c r="VQL34" s="1"/>
      <c r="VQM34" s="1"/>
      <c r="VQN34" s="1"/>
      <c r="VQO34" s="1"/>
      <c r="VQP34" s="1"/>
      <c r="VQQ34" s="1"/>
      <c r="VQR34" s="1"/>
      <c r="VQS34" s="1"/>
      <c r="VQT34" s="1"/>
      <c r="VQU34" s="1"/>
      <c r="VQV34" s="1"/>
      <c r="VQW34" s="1"/>
      <c r="VQX34" s="1"/>
      <c r="VQY34" s="1"/>
      <c r="VQZ34" s="1"/>
      <c r="VRA34" s="1"/>
      <c r="VRB34" s="1"/>
      <c r="VRC34" s="1"/>
      <c r="VRD34" s="1"/>
      <c r="VRE34" s="1"/>
      <c r="VRF34" s="1"/>
      <c r="VRG34" s="1"/>
      <c r="VRH34" s="1"/>
      <c r="VRI34" s="1"/>
      <c r="VRJ34" s="1"/>
      <c r="VRK34" s="1"/>
      <c r="VRL34" s="1"/>
      <c r="VRM34" s="1"/>
      <c r="VRN34" s="1"/>
      <c r="VRO34" s="1"/>
      <c r="VRP34" s="1"/>
      <c r="VRQ34" s="1"/>
      <c r="VRR34" s="1"/>
      <c r="VRS34" s="1"/>
      <c r="VRT34" s="1"/>
      <c r="VRU34" s="1"/>
      <c r="VRV34" s="1"/>
      <c r="VRW34" s="1"/>
      <c r="VRX34" s="1"/>
      <c r="VRY34" s="1"/>
      <c r="VRZ34" s="1"/>
      <c r="VSA34" s="1"/>
      <c r="VSB34" s="1"/>
      <c r="VSC34" s="1"/>
      <c r="VSD34" s="1"/>
      <c r="VSE34" s="1"/>
      <c r="VSF34" s="1"/>
      <c r="VSG34" s="1"/>
      <c r="VSH34" s="1"/>
      <c r="VSI34" s="1"/>
      <c r="VSJ34" s="1"/>
      <c r="VSK34" s="1"/>
      <c r="VSL34" s="1"/>
      <c r="VSM34" s="1"/>
      <c r="VSN34" s="1"/>
      <c r="VSO34" s="1"/>
      <c r="VSP34" s="1"/>
      <c r="VSQ34" s="1"/>
      <c r="VSR34" s="1"/>
      <c r="VSS34" s="1"/>
      <c r="VST34" s="1"/>
      <c r="VSU34" s="1"/>
      <c r="VSV34" s="1"/>
      <c r="VSW34" s="1"/>
      <c r="VSX34" s="1"/>
      <c r="VSY34" s="1"/>
      <c r="VSZ34" s="1"/>
      <c r="VTA34" s="1"/>
      <c r="VTB34" s="1"/>
      <c r="VTC34" s="1"/>
      <c r="VTD34" s="1"/>
      <c r="VTE34" s="1"/>
      <c r="VTF34" s="1"/>
      <c r="VTG34" s="1"/>
      <c r="VTH34" s="1"/>
      <c r="VTI34" s="1"/>
      <c r="VTJ34" s="1"/>
      <c r="VTK34" s="1"/>
      <c r="VTL34" s="1"/>
      <c r="VTM34" s="1"/>
      <c r="VTN34" s="1"/>
      <c r="VTO34" s="1"/>
      <c r="VTP34" s="1"/>
      <c r="VTQ34" s="1"/>
      <c r="VTR34" s="1"/>
      <c r="VTS34" s="1"/>
      <c r="VTT34" s="1"/>
      <c r="VTU34" s="1"/>
      <c r="VTV34" s="1"/>
      <c r="VTW34" s="1"/>
      <c r="VTX34" s="1"/>
      <c r="VTY34" s="1"/>
      <c r="VTZ34" s="1"/>
      <c r="VUA34" s="1"/>
      <c r="VUB34" s="1"/>
      <c r="VUC34" s="1"/>
      <c r="VUD34" s="1"/>
      <c r="VUE34" s="1"/>
      <c r="VUF34" s="1"/>
      <c r="VUG34" s="1"/>
      <c r="VUH34" s="1"/>
      <c r="VUI34" s="1"/>
      <c r="VUJ34" s="1"/>
      <c r="VUK34" s="1"/>
      <c r="VUL34" s="1"/>
      <c r="VUM34" s="1"/>
      <c r="VUN34" s="1"/>
      <c r="VUO34" s="1"/>
      <c r="VUP34" s="1"/>
      <c r="VUQ34" s="1"/>
      <c r="VUR34" s="1"/>
      <c r="VUS34" s="1"/>
      <c r="VUT34" s="1"/>
      <c r="VUU34" s="1"/>
      <c r="VUV34" s="1"/>
      <c r="VUW34" s="1"/>
      <c r="VUX34" s="1"/>
      <c r="VUY34" s="1"/>
      <c r="VUZ34" s="1"/>
      <c r="VVA34" s="1"/>
      <c r="VVB34" s="1"/>
      <c r="VVC34" s="1"/>
      <c r="VVD34" s="1"/>
      <c r="VVE34" s="1"/>
      <c r="VVF34" s="1"/>
      <c r="VVG34" s="1"/>
      <c r="VVH34" s="1"/>
      <c r="VVI34" s="1"/>
      <c r="VVJ34" s="1"/>
      <c r="VVK34" s="1"/>
      <c r="VVL34" s="1"/>
      <c r="VVM34" s="1"/>
      <c r="VVN34" s="1"/>
      <c r="VVO34" s="1"/>
      <c r="VVP34" s="1"/>
      <c r="VVQ34" s="1"/>
      <c r="VVR34" s="1"/>
      <c r="VVS34" s="1"/>
      <c r="VVT34" s="1"/>
      <c r="VVU34" s="1"/>
      <c r="VVV34" s="1"/>
      <c r="VVW34" s="1"/>
      <c r="VVX34" s="1"/>
      <c r="VVY34" s="1"/>
      <c r="VVZ34" s="1"/>
      <c r="VWA34" s="1"/>
      <c r="VWB34" s="1"/>
      <c r="VWC34" s="1"/>
      <c r="VWD34" s="1"/>
      <c r="VWE34" s="1"/>
      <c r="VWF34" s="1"/>
      <c r="VWG34" s="1"/>
      <c r="VWH34" s="1"/>
      <c r="VWI34" s="1"/>
      <c r="VWJ34" s="1"/>
      <c r="VWK34" s="1"/>
      <c r="VWL34" s="1"/>
      <c r="VWM34" s="1"/>
      <c r="VWN34" s="1"/>
      <c r="VWO34" s="1"/>
      <c r="VWP34" s="1"/>
      <c r="VWQ34" s="1"/>
      <c r="VWR34" s="1"/>
      <c r="VWS34" s="1"/>
      <c r="VWT34" s="1"/>
      <c r="VWU34" s="1"/>
      <c r="VWV34" s="1"/>
      <c r="VWW34" s="1"/>
      <c r="VWX34" s="1"/>
      <c r="VWY34" s="1"/>
      <c r="VWZ34" s="1"/>
      <c r="VXA34" s="1"/>
      <c r="VXB34" s="1"/>
      <c r="VXC34" s="1"/>
      <c r="VXD34" s="1"/>
      <c r="VXE34" s="1"/>
      <c r="VXF34" s="1"/>
      <c r="VXG34" s="1"/>
      <c r="VXH34" s="1"/>
      <c r="VXI34" s="1"/>
      <c r="VXJ34" s="1"/>
      <c r="VXK34" s="1"/>
      <c r="VXL34" s="1"/>
      <c r="VXM34" s="1"/>
      <c r="VXN34" s="1"/>
      <c r="VXO34" s="1"/>
      <c r="VXP34" s="1"/>
      <c r="VXQ34" s="1"/>
      <c r="VXR34" s="1"/>
      <c r="VXS34" s="1"/>
      <c r="VXT34" s="1"/>
      <c r="VXU34" s="1"/>
      <c r="VXV34" s="1"/>
      <c r="VXW34" s="1"/>
      <c r="VXX34" s="1"/>
      <c r="VXY34" s="1"/>
      <c r="VXZ34" s="1"/>
      <c r="VYA34" s="1"/>
      <c r="VYB34" s="1"/>
      <c r="VYC34" s="1"/>
      <c r="VYD34" s="1"/>
      <c r="VYE34" s="1"/>
      <c r="VYF34" s="1"/>
      <c r="VYG34" s="1"/>
      <c r="VYH34" s="1"/>
      <c r="VYI34" s="1"/>
      <c r="VYJ34" s="1"/>
      <c r="VYK34" s="1"/>
      <c r="VYL34" s="1"/>
      <c r="VYM34" s="1"/>
      <c r="VYN34" s="1"/>
      <c r="VYO34" s="1"/>
      <c r="VYP34" s="1"/>
      <c r="VYQ34" s="1"/>
      <c r="VYR34" s="1"/>
      <c r="VYS34" s="1"/>
      <c r="VYT34" s="1"/>
      <c r="VYU34" s="1"/>
      <c r="VYV34" s="1"/>
      <c r="VYW34" s="1"/>
      <c r="VYX34" s="1"/>
      <c r="VYY34" s="1"/>
      <c r="VYZ34" s="1"/>
      <c r="VZA34" s="1"/>
      <c r="VZB34" s="1"/>
      <c r="VZC34" s="1"/>
      <c r="VZD34" s="1"/>
      <c r="VZE34" s="1"/>
      <c r="VZF34" s="1"/>
      <c r="VZG34" s="1"/>
      <c r="VZH34" s="1"/>
      <c r="VZI34" s="1"/>
      <c r="VZJ34" s="1"/>
      <c r="VZK34" s="1"/>
      <c r="VZL34" s="1"/>
      <c r="VZM34" s="1"/>
      <c r="VZN34" s="1"/>
      <c r="VZO34" s="1"/>
      <c r="VZP34" s="1"/>
      <c r="VZQ34" s="1"/>
      <c r="VZR34" s="1"/>
      <c r="VZS34" s="1"/>
      <c r="VZT34" s="1"/>
      <c r="VZU34" s="1"/>
      <c r="VZV34" s="1"/>
      <c r="VZW34" s="1"/>
      <c r="VZX34" s="1"/>
      <c r="VZY34" s="1"/>
      <c r="VZZ34" s="1"/>
      <c r="WAA34" s="1"/>
      <c r="WAB34" s="1"/>
      <c r="WAC34" s="1"/>
      <c r="WAD34" s="1"/>
      <c r="WAE34" s="1"/>
      <c r="WAF34" s="1"/>
      <c r="WAG34" s="1"/>
      <c r="WAH34" s="1"/>
      <c r="WAI34" s="1"/>
      <c r="WAJ34" s="1"/>
      <c r="WAK34" s="1"/>
      <c r="WAL34" s="1"/>
      <c r="WAM34" s="1"/>
      <c r="WAN34" s="1"/>
      <c r="WAO34" s="1"/>
      <c r="WAP34" s="1"/>
      <c r="WAQ34" s="1"/>
      <c r="WAR34" s="1"/>
      <c r="WAS34" s="1"/>
      <c r="WAT34" s="1"/>
      <c r="WAU34" s="1"/>
      <c r="WAV34" s="1"/>
      <c r="WAW34" s="1"/>
      <c r="WAX34" s="1"/>
      <c r="WAY34" s="1"/>
      <c r="WAZ34" s="1"/>
      <c r="WBA34" s="1"/>
      <c r="WBB34" s="1"/>
      <c r="WBC34" s="1"/>
      <c r="WBD34" s="1"/>
      <c r="WBE34" s="1"/>
      <c r="WBF34" s="1"/>
      <c r="WBG34" s="1"/>
      <c r="WBH34" s="1"/>
      <c r="WBI34" s="1"/>
      <c r="WBJ34" s="1"/>
      <c r="WBK34" s="1"/>
      <c r="WBL34" s="1"/>
      <c r="WBM34" s="1"/>
      <c r="WBN34" s="1"/>
      <c r="WBO34" s="1"/>
      <c r="WBP34" s="1"/>
      <c r="WBQ34" s="1"/>
      <c r="WBR34" s="1"/>
      <c r="WBS34" s="1"/>
      <c r="WBT34" s="1"/>
      <c r="WBU34" s="1"/>
      <c r="WBV34" s="1"/>
      <c r="WBW34" s="1"/>
      <c r="WBX34" s="1"/>
      <c r="WBY34" s="1"/>
      <c r="WBZ34" s="1"/>
      <c r="WCA34" s="1"/>
      <c r="WCB34" s="1"/>
      <c r="WCC34" s="1"/>
      <c r="WCD34" s="1"/>
      <c r="WCE34" s="1"/>
      <c r="WCF34" s="1"/>
      <c r="WCG34" s="1"/>
      <c r="WCH34" s="1"/>
      <c r="WCI34" s="1"/>
      <c r="WCJ34" s="1"/>
      <c r="WCK34" s="1"/>
      <c r="WCL34" s="1"/>
      <c r="WCM34" s="1"/>
      <c r="WCN34" s="1"/>
      <c r="WCO34" s="1"/>
      <c r="WCP34" s="1"/>
      <c r="WCQ34" s="1"/>
      <c r="WCR34" s="1"/>
      <c r="WCS34" s="1"/>
      <c r="WCT34" s="1"/>
      <c r="WCU34" s="1"/>
      <c r="WCV34" s="1"/>
      <c r="WCW34" s="1"/>
      <c r="WCX34" s="1"/>
      <c r="WCY34" s="1"/>
      <c r="WCZ34" s="1"/>
      <c r="WDA34" s="1"/>
      <c r="WDB34" s="1"/>
      <c r="WDC34" s="1"/>
      <c r="WDD34" s="1"/>
      <c r="WDE34" s="1"/>
      <c r="WDF34" s="1"/>
      <c r="WDG34" s="1"/>
      <c r="WDH34" s="1"/>
      <c r="WDI34" s="1"/>
      <c r="WDJ34" s="1"/>
      <c r="WDK34" s="1"/>
      <c r="WDL34" s="1"/>
      <c r="WDM34" s="1"/>
      <c r="WDN34" s="1"/>
      <c r="WDO34" s="1"/>
      <c r="WDP34" s="1"/>
      <c r="WDQ34" s="1"/>
      <c r="WDR34" s="1"/>
      <c r="WDS34" s="1"/>
      <c r="WDT34" s="1"/>
      <c r="WDU34" s="1"/>
      <c r="WDV34" s="1"/>
      <c r="WDW34" s="1"/>
      <c r="WDX34" s="1"/>
      <c r="WDY34" s="1"/>
      <c r="WDZ34" s="1"/>
      <c r="WEA34" s="1"/>
      <c r="WEB34" s="1"/>
      <c r="WEC34" s="1"/>
      <c r="WED34" s="1"/>
      <c r="WEE34" s="1"/>
      <c r="WEF34" s="1"/>
      <c r="WEG34" s="1"/>
      <c r="WEH34" s="1"/>
      <c r="WEI34" s="1"/>
      <c r="WEJ34" s="1"/>
      <c r="WEK34" s="1"/>
      <c r="WEL34" s="1"/>
      <c r="WEM34" s="1"/>
      <c r="WEN34" s="1"/>
      <c r="WEO34" s="1"/>
      <c r="WEP34" s="1"/>
      <c r="WEQ34" s="1"/>
      <c r="WER34" s="1"/>
      <c r="WES34" s="1"/>
      <c r="WET34" s="1"/>
      <c r="WEU34" s="1"/>
      <c r="WEV34" s="1"/>
      <c r="WEW34" s="1"/>
      <c r="WEX34" s="1"/>
      <c r="WEY34" s="1"/>
      <c r="WEZ34" s="1"/>
      <c r="WFA34" s="1"/>
      <c r="WFB34" s="1"/>
      <c r="WFC34" s="1"/>
      <c r="WFD34" s="1"/>
      <c r="WFE34" s="1"/>
      <c r="WFF34" s="1"/>
      <c r="WFG34" s="1"/>
      <c r="WFH34" s="1"/>
      <c r="WFI34" s="1"/>
      <c r="WFJ34" s="1"/>
      <c r="WFK34" s="1"/>
      <c r="WFL34" s="1"/>
      <c r="WFM34" s="1"/>
      <c r="WFN34" s="1"/>
      <c r="WFO34" s="1"/>
      <c r="WFP34" s="1"/>
      <c r="WFQ34" s="1"/>
      <c r="WFR34" s="1"/>
      <c r="WFS34" s="1"/>
      <c r="WFT34" s="1"/>
      <c r="WFU34" s="1"/>
      <c r="WFV34" s="1"/>
      <c r="WFW34" s="1"/>
      <c r="WFX34" s="1"/>
      <c r="WFY34" s="1"/>
      <c r="WFZ34" s="1"/>
      <c r="WGA34" s="1"/>
      <c r="WGB34" s="1"/>
      <c r="WGC34" s="1"/>
      <c r="WGD34" s="1"/>
      <c r="WGE34" s="1"/>
      <c r="WGF34" s="1"/>
      <c r="WGG34" s="1"/>
      <c r="WGH34" s="1"/>
      <c r="WGI34" s="1"/>
      <c r="WGJ34" s="1"/>
      <c r="WGK34" s="1"/>
      <c r="WGL34" s="1"/>
      <c r="WGM34" s="1"/>
      <c r="WGN34" s="1"/>
      <c r="WGO34" s="1"/>
      <c r="WGP34" s="1"/>
      <c r="WGQ34" s="1"/>
      <c r="WGR34" s="1"/>
      <c r="WGS34" s="1"/>
      <c r="WGT34" s="1"/>
      <c r="WGU34" s="1"/>
      <c r="WGV34" s="1"/>
      <c r="WGW34" s="1"/>
      <c r="WGX34" s="1"/>
      <c r="WGY34" s="1"/>
      <c r="WGZ34" s="1"/>
      <c r="WHA34" s="1"/>
      <c r="WHB34" s="1"/>
      <c r="WHC34" s="1"/>
      <c r="WHD34" s="1"/>
      <c r="WHE34" s="1"/>
      <c r="WHF34" s="1"/>
      <c r="WHG34" s="1"/>
      <c r="WHH34" s="1"/>
      <c r="WHI34" s="1"/>
      <c r="WHJ34" s="1"/>
      <c r="WHK34" s="1"/>
      <c r="WHL34" s="1"/>
      <c r="WHM34" s="1"/>
      <c r="WHN34" s="1"/>
      <c r="WHO34" s="1"/>
      <c r="WHP34" s="1"/>
      <c r="WHQ34" s="1"/>
      <c r="WHR34" s="1"/>
      <c r="WHS34" s="1"/>
      <c r="WHT34" s="1"/>
      <c r="WHU34" s="1"/>
      <c r="WHV34" s="1"/>
      <c r="WHW34" s="1"/>
      <c r="WHX34" s="1"/>
      <c r="WHY34" s="1"/>
      <c r="WHZ34" s="1"/>
      <c r="WIA34" s="1"/>
      <c r="WIB34" s="1"/>
      <c r="WIC34" s="1"/>
      <c r="WID34" s="1"/>
      <c r="WIE34" s="1"/>
      <c r="WIF34" s="1"/>
      <c r="WIG34" s="1"/>
      <c r="WIH34" s="1"/>
      <c r="WII34" s="1"/>
      <c r="WIJ34" s="1"/>
      <c r="WIK34" s="1"/>
      <c r="WIL34" s="1"/>
      <c r="WIM34" s="1"/>
      <c r="WIN34" s="1"/>
      <c r="WIO34" s="1"/>
      <c r="WIP34" s="1"/>
      <c r="WIQ34" s="1"/>
      <c r="WIR34" s="1"/>
      <c r="WIS34" s="1"/>
      <c r="WIT34" s="1"/>
      <c r="WIU34" s="1"/>
      <c r="WIV34" s="1"/>
      <c r="WIW34" s="1"/>
      <c r="WIX34" s="1"/>
      <c r="WIY34" s="1"/>
      <c r="WIZ34" s="1"/>
      <c r="WJA34" s="1"/>
      <c r="WJB34" s="1"/>
      <c r="WJC34" s="1"/>
      <c r="WJD34" s="1"/>
      <c r="WJE34" s="1"/>
      <c r="WJF34" s="1"/>
      <c r="WJG34" s="1"/>
      <c r="WJH34" s="1"/>
      <c r="WJI34" s="1"/>
      <c r="WJJ34" s="1"/>
      <c r="WJK34" s="1"/>
      <c r="WJL34" s="1"/>
      <c r="WJM34" s="1"/>
      <c r="WJN34" s="1"/>
      <c r="WJO34" s="1"/>
      <c r="WJP34" s="1"/>
      <c r="WJQ34" s="1"/>
      <c r="WJR34" s="1"/>
      <c r="WJS34" s="1"/>
      <c r="WJT34" s="1"/>
      <c r="WJU34" s="1"/>
      <c r="WJV34" s="1"/>
      <c r="WJW34" s="1"/>
      <c r="WJX34" s="1"/>
      <c r="WJY34" s="1"/>
      <c r="WJZ34" s="1"/>
      <c r="WKA34" s="1"/>
      <c r="WKB34" s="1"/>
      <c r="WKC34" s="1"/>
      <c r="WKD34" s="1"/>
      <c r="WKE34" s="1"/>
      <c r="WKF34" s="1"/>
      <c r="WKG34" s="1"/>
      <c r="WKH34" s="1"/>
      <c r="WKI34" s="1"/>
      <c r="WKJ34" s="1"/>
      <c r="WKK34" s="1"/>
      <c r="WKL34" s="1"/>
      <c r="WKM34" s="1"/>
      <c r="WKN34" s="1"/>
      <c r="WKO34" s="1"/>
      <c r="WKP34" s="1"/>
      <c r="WKQ34" s="1"/>
      <c r="WKR34" s="1"/>
      <c r="WKS34" s="1"/>
      <c r="WKT34" s="1"/>
      <c r="WKU34" s="1"/>
      <c r="WKV34" s="1"/>
      <c r="WKW34" s="1"/>
      <c r="WKX34" s="1"/>
      <c r="WKY34" s="1"/>
      <c r="WKZ34" s="1"/>
      <c r="WLA34" s="1"/>
      <c r="WLB34" s="1"/>
      <c r="WLC34" s="1"/>
      <c r="WLD34" s="1"/>
      <c r="WLE34" s="1"/>
      <c r="WLF34" s="1"/>
      <c r="WLG34" s="1"/>
      <c r="WLH34" s="1"/>
      <c r="WLI34" s="1"/>
      <c r="WLJ34" s="1"/>
      <c r="WLK34" s="1"/>
      <c r="WLL34" s="1"/>
      <c r="WLM34" s="1"/>
      <c r="WLN34" s="1"/>
      <c r="WLO34" s="1"/>
      <c r="WLP34" s="1"/>
      <c r="WLQ34" s="1"/>
      <c r="WLR34" s="1"/>
      <c r="WLS34" s="1"/>
      <c r="WLT34" s="1"/>
      <c r="WLU34" s="1"/>
      <c r="WLV34" s="1"/>
      <c r="WLW34" s="1"/>
      <c r="WLX34" s="1"/>
      <c r="WLY34" s="1"/>
      <c r="WLZ34" s="1"/>
      <c r="WMA34" s="1"/>
      <c r="WMB34" s="1"/>
      <c r="WMC34" s="1"/>
      <c r="WMD34" s="1"/>
      <c r="WME34" s="1"/>
      <c r="WMF34" s="1"/>
      <c r="WMG34" s="1"/>
      <c r="WMH34" s="1"/>
      <c r="WMI34" s="1"/>
      <c r="WMJ34" s="1"/>
      <c r="WMK34" s="1"/>
      <c r="WML34" s="1"/>
      <c r="WMM34" s="1"/>
      <c r="WMN34" s="1"/>
      <c r="WMO34" s="1"/>
      <c r="WMP34" s="1"/>
      <c r="WMQ34" s="1"/>
      <c r="WMR34" s="1"/>
      <c r="WMS34" s="1"/>
      <c r="WMT34" s="1"/>
      <c r="WMU34" s="1"/>
      <c r="WMV34" s="1"/>
      <c r="WMW34" s="1"/>
      <c r="WMX34" s="1"/>
      <c r="WMY34" s="1"/>
      <c r="WMZ34" s="1"/>
      <c r="WNA34" s="1"/>
      <c r="WNB34" s="1"/>
      <c r="WNC34" s="1"/>
      <c r="WND34" s="1"/>
      <c r="WNE34" s="1"/>
      <c r="WNF34" s="1"/>
      <c r="WNG34" s="1"/>
      <c r="WNH34" s="1"/>
      <c r="WNI34" s="1"/>
      <c r="WNJ34" s="1"/>
      <c r="WNK34" s="1"/>
      <c r="WNL34" s="1"/>
      <c r="WNM34" s="1"/>
      <c r="WNN34" s="1"/>
      <c r="WNO34" s="1"/>
      <c r="WNP34" s="1"/>
      <c r="WNQ34" s="1"/>
      <c r="WNR34" s="1"/>
      <c r="WNS34" s="1"/>
      <c r="WNT34" s="1"/>
      <c r="WNU34" s="1"/>
      <c r="WNV34" s="1"/>
      <c r="WNW34" s="1"/>
      <c r="WNX34" s="1"/>
      <c r="WNY34" s="1"/>
      <c r="WNZ34" s="1"/>
      <c r="WOA34" s="1"/>
      <c r="WOB34" s="1"/>
      <c r="WOC34" s="1"/>
      <c r="WOD34" s="1"/>
      <c r="WOE34" s="1"/>
      <c r="WOF34" s="1"/>
      <c r="WOG34" s="1"/>
      <c r="WOH34" s="1"/>
      <c r="WOI34" s="1"/>
      <c r="WOJ34" s="1"/>
      <c r="WOK34" s="1"/>
      <c r="WOL34" s="1"/>
      <c r="WOM34" s="1"/>
      <c r="WON34" s="1"/>
      <c r="WOO34" s="1"/>
      <c r="WOP34" s="1"/>
      <c r="WOQ34" s="1"/>
      <c r="WOR34" s="1"/>
      <c r="WOS34" s="1"/>
      <c r="WOT34" s="1"/>
      <c r="WOU34" s="1"/>
      <c r="WOV34" s="1"/>
      <c r="WOW34" s="1"/>
      <c r="WOX34" s="1"/>
      <c r="WOY34" s="1"/>
      <c r="WOZ34" s="1"/>
      <c r="WPA34" s="1"/>
      <c r="WPB34" s="1"/>
      <c r="WPC34" s="1"/>
      <c r="WPD34" s="1"/>
      <c r="WPE34" s="1"/>
      <c r="WPF34" s="1"/>
      <c r="WPG34" s="1"/>
      <c r="WPH34" s="1"/>
      <c r="WPI34" s="1"/>
      <c r="WPJ34" s="1"/>
      <c r="WPK34" s="1"/>
      <c r="WPL34" s="1"/>
      <c r="WPM34" s="1"/>
      <c r="WPN34" s="1"/>
      <c r="WPO34" s="1"/>
      <c r="WPP34" s="1"/>
      <c r="WPQ34" s="1"/>
      <c r="WPR34" s="1"/>
      <c r="WPS34" s="1"/>
      <c r="WPT34" s="1"/>
      <c r="WPU34" s="1"/>
      <c r="WPV34" s="1"/>
      <c r="WPW34" s="1"/>
      <c r="WPX34" s="1"/>
      <c r="WPY34" s="1"/>
      <c r="WPZ34" s="1"/>
      <c r="WQA34" s="1"/>
      <c r="WQB34" s="1"/>
      <c r="WQC34" s="1"/>
      <c r="WQD34" s="1"/>
      <c r="WQE34" s="1"/>
      <c r="WQF34" s="1"/>
      <c r="WQG34" s="1"/>
      <c r="WQH34" s="1"/>
      <c r="WQI34" s="1"/>
      <c r="WQJ34" s="1"/>
      <c r="WQK34" s="1"/>
      <c r="WQL34" s="1"/>
      <c r="WQM34" s="1"/>
      <c r="WQN34" s="1"/>
      <c r="WQO34" s="1"/>
      <c r="WQP34" s="1"/>
      <c r="WQQ34" s="1"/>
      <c r="WQR34" s="1"/>
      <c r="WQS34" s="1"/>
      <c r="WQT34" s="1"/>
      <c r="WQU34" s="1"/>
      <c r="WQV34" s="1"/>
      <c r="WQW34" s="1"/>
      <c r="WQX34" s="1"/>
      <c r="WQY34" s="1"/>
      <c r="WQZ34" s="1"/>
      <c r="WRA34" s="1"/>
      <c r="WRB34" s="1"/>
      <c r="WRC34" s="1"/>
      <c r="WRD34" s="1"/>
      <c r="WRE34" s="1"/>
      <c r="WRF34" s="1"/>
      <c r="WRG34" s="1"/>
      <c r="WRH34" s="1"/>
      <c r="WRI34" s="1"/>
      <c r="WRJ34" s="1"/>
      <c r="WRK34" s="1"/>
      <c r="WRL34" s="1"/>
      <c r="WRM34" s="1"/>
      <c r="WRN34" s="1"/>
      <c r="WRO34" s="1"/>
      <c r="WRP34" s="1"/>
      <c r="WRQ34" s="1"/>
      <c r="WRR34" s="1"/>
      <c r="WRS34" s="1"/>
      <c r="WRT34" s="1"/>
      <c r="WRU34" s="1"/>
      <c r="WRV34" s="1"/>
      <c r="WRW34" s="1"/>
      <c r="WRX34" s="1"/>
      <c r="WRY34" s="1"/>
      <c r="WRZ34" s="1"/>
      <c r="WSA34" s="1"/>
      <c r="WSB34" s="1"/>
      <c r="WSC34" s="1"/>
      <c r="WSD34" s="1"/>
      <c r="WSE34" s="1"/>
      <c r="WSF34" s="1"/>
      <c r="WSG34" s="1"/>
      <c r="WSH34" s="1"/>
      <c r="WSI34" s="1"/>
      <c r="WSJ34" s="1"/>
      <c r="WSK34" s="1"/>
      <c r="WSL34" s="1"/>
      <c r="WSM34" s="1"/>
      <c r="WSN34" s="1"/>
      <c r="WSO34" s="1"/>
      <c r="WSP34"/>
      <c r="WSQ34"/>
      <c r="WSR34"/>
      <c r="WSS34"/>
      <c r="WST34"/>
      <c r="WSU34"/>
      <c r="WSV34"/>
      <c r="WSW34"/>
      <c r="WSX34"/>
      <c r="WSY34"/>
      <c r="WSZ34"/>
      <c r="WTA34"/>
      <c r="WTB34"/>
      <c r="WTC34"/>
      <c r="WTD34"/>
      <c r="WTE34"/>
      <c r="WTF34"/>
      <c r="WTG34"/>
      <c r="WTH34"/>
      <c r="WTI34"/>
      <c r="WTJ34"/>
      <c r="WTK34"/>
      <c r="WTL34"/>
      <c r="WTM34"/>
      <c r="WTN34"/>
      <c r="WTO34"/>
      <c r="WTP34"/>
      <c r="WTQ34"/>
      <c r="WTR34"/>
      <c r="WTS34"/>
      <c r="WTT34"/>
      <c r="WTU34"/>
      <c r="WTV34"/>
      <c r="WTW34"/>
      <c r="WTX34"/>
      <c r="WTY34"/>
      <c r="WTZ34"/>
      <c r="WUA34"/>
      <c r="WUB34"/>
      <c r="WUC34"/>
      <c r="WUD34"/>
      <c r="WUE34"/>
      <c r="WUF34"/>
      <c r="WUG34"/>
      <c r="WUH34"/>
      <c r="WUI34"/>
      <c r="WUJ34"/>
      <c r="WUK34"/>
      <c r="WUL34"/>
      <c r="WUM34"/>
      <c r="WUN34"/>
      <c r="WUO34"/>
      <c r="WUP34"/>
      <c r="WUQ34"/>
      <c r="WUR34"/>
      <c r="WUS34"/>
      <c r="WUT34"/>
      <c r="WUU34"/>
      <c r="WUV34"/>
      <c r="WUW34"/>
      <c r="WUX34"/>
      <c r="WUY34"/>
      <c r="WUZ34"/>
      <c r="WVA34"/>
      <c r="WVB34"/>
      <c r="WVC34"/>
      <c r="WVD34"/>
      <c r="WVE34"/>
      <c r="WVF34"/>
      <c r="WVG34"/>
      <c r="WVH34"/>
      <c r="WVI34"/>
      <c r="WVJ34"/>
      <c r="WVK34"/>
      <c r="WVL34"/>
      <c r="WVM34"/>
      <c r="WVN34"/>
      <c r="WVO34"/>
      <c r="WVP34"/>
      <c r="WVQ34"/>
      <c r="WVR34"/>
      <c r="WVS34"/>
      <c r="WVT34"/>
      <c r="WVU34"/>
      <c r="WVV34"/>
      <c r="WVW34"/>
      <c r="WVX34"/>
      <c r="WVY34"/>
      <c r="WVZ34"/>
      <c r="WWA34"/>
      <c r="WWB34"/>
      <c r="WWC34"/>
      <c r="WWD34"/>
      <c r="WWE34"/>
      <c r="WWF34"/>
      <c r="WWG34"/>
      <c r="WWH34"/>
      <c r="WWI34"/>
      <c r="WWJ34"/>
      <c r="WWK34"/>
      <c r="WWL34"/>
      <c r="WWM34"/>
      <c r="WWN34"/>
      <c r="WWO34"/>
      <c r="WWP34"/>
      <c r="WWQ34"/>
      <c r="WWR34"/>
      <c r="WWS34"/>
      <c r="WWT34"/>
      <c r="WWU34"/>
      <c r="WWV34"/>
      <c r="WWW34"/>
      <c r="WWX34"/>
      <c r="WWY34"/>
      <c r="WWZ34"/>
      <c r="WXA34"/>
      <c r="WXB34"/>
      <c r="WXC34"/>
      <c r="WXD34"/>
      <c r="WXE34"/>
      <c r="WXF34"/>
      <c r="WXG34"/>
      <c r="WXH34"/>
      <c r="WXI34"/>
      <c r="WXJ34"/>
      <c r="WXK34"/>
      <c r="WXL34"/>
      <c r="WXM34"/>
      <c r="WXN34"/>
      <c r="WXO34"/>
      <c r="WXP34"/>
      <c r="WXQ34"/>
      <c r="WXR34"/>
      <c r="WXS34"/>
      <c r="WXT34"/>
      <c r="WXU34"/>
      <c r="WXV34"/>
      <c r="WXW34"/>
      <c r="WXX34"/>
      <c r="WXY34"/>
      <c r="WXZ34"/>
      <c r="WYA34"/>
      <c r="WYB34"/>
      <c r="WYC34"/>
      <c r="WYD34"/>
      <c r="WYE34"/>
      <c r="WYF34"/>
      <c r="WYG34"/>
      <c r="WYH34"/>
      <c r="WYI34"/>
      <c r="WYJ34"/>
      <c r="WYK34"/>
      <c r="WYL34"/>
      <c r="WYM34"/>
      <c r="WYN34"/>
      <c r="WYO34"/>
      <c r="WYP34"/>
      <c r="WYQ34"/>
      <c r="WYR34"/>
      <c r="WYS34"/>
      <c r="WYT34"/>
      <c r="WYU34"/>
      <c r="WYV34"/>
      <c r="WYW34"/>
      <c r="WYX34"/>
      <c r="WYY34"/>
      <c r="WYZ34"/>
      <c r="WZA34"/>
      <c r="WZB34"/>
      <c r="WZC34"/>
      <c r="WZD34"/>
      <c r="WZE34"/>
      <c r="WZF34"/>
      <c r="WZG34"/>
      <c r="WZH34"/>
      <c r="WZI34"/>
      <c r="WZJ34"/>
      <c r="WZK34"/>
      <c r="WZL34"/>
      <c r="WZM34"/>
      <c r="WZN34"/>
      <c r="WZO34"/>
      <c r="WZP34"/>
      <c r="WZQ34"/>
      <c r="WZR34"/>
      <c r="WZS34"/>
      <c r="WZT34"/>
      <c r="WZU34"/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/>
      <c r="XBQ34"/>
      <c r="XBR34"/>
      <c r="XBS34"/>
      <c r="XBT34"/>
      <c r="XBU34"/>
      <c r="XBV34"/>
      <c r="XBW34"/>
      <c r="XBX34"/>
      <c r="XBY34"/>
      <c r="XBZ34"/>
      <c r="XCA34"/>
      <c r="XCB34"/>
      <c r="XCC34"/>
      <c r="XCD34"/>
      <c r="XCE34"/>
      <c r="XCF34"/>
      <c r="XCG34"/>
      <c r="XCH34"/>
      <c r="XCI34"/>
      <c r="XCJ34"/>
      <c r="XCK34"/>
      <c r="XCL34"/>
      <c r="XCM34"/>
      <c r="XCN34"/>
      <c r="XCO34"/>
      <c r="XCP34"/>
      <c r="XCQ34"/>
      <c r="XCR34"/>
      <c r="XCS34"/>
      <c r="XCT34"/>
      <c r="XCU34"/>
      <c r="XCV34"/>
      <c r="XCW34"/>
      <c r="XCX34"/>
      <c r="XCY34"/>
      <c r="XCZ34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  <c r="XDR34"/>
      <c r="XDS34"/>
      <c r="XDT34"/>
      <c r="XDU34"/>
      <c r="XDV34"/>
      <c r="XDW34"/>
      <c r="XDX34"/>
      <c r="XDY34"/>
      <c r="XDZ34"/>
      <c r="XEA34"/>
      <c r="XEB34"/>
      <c r="XEC34"/>
      <c r="XED34"/>
      <c r="XEE34"/>
      <c r="XEF34"/>
      <c r="XEG34"/>
      <c r="XEH34"/>
      <c r="XEI34"/>
      <c r="XEJ34"/>
      <c r="XEK34"/>
      <c r="XEL34"/>
      <c r="XEM34"/>
      <c r="XEN34"/>
      <c r="XEO34"/>
      <c r="XEP34"/>
      <c r="XEQ34"/>
      <c r="XER34"/>
      <c r="XES34"/>
      <c r="XET34"/>
      <c r="XEU34"/>
      <c r="XEV34"/>
      <c r="XEW34"/>
      <c r="XEX34"/>
      <c r="XEY34"/>
      <c r="XEZ34"/>
      <c r="XFA34"/>
      <c r="XFB34"/>
      <c r="XFC34"/>
      <c r="XFD34"/>
    </row>
    <row r="35" spans="1:16384" s="1" customFormat="1">
      <c r="C35" s="15">
        <v>99.6149336332426</v>
      </c>
      <c r="D35" s="16">
        <f t="shared" ref="D35:D38" si="2">C35%*G27</f>
        <v>4.3332496130460525</v>
      </c>
      <c r="E35" s="16">
        <f t="shared" ref="E35:E38" si="3">C35%*H27</f>
        <v>2.042106139481473</v>
      </c>
      <c r="WSP35"/>
      <c r="WSQ35"/>
      <c r="WSR35"/>
      <c r="WSS35"/>
      <c r="WST35"/>
      <c r="WSU35"/>
      <c r="WSV35"/>
      <c r="WSW35"/>
      <c r="WSX35"/>
      <c r="WSY35"/>
      <c r="WSZ35"/>
      <c r="WTA35"/>
      <c r="WTB35"/>
      <c r="WTC35"/>
      <c r="WTD35"/>
      <c r="WTE35"/>
      <c r="WTF35"/>
      <c r="WTG35"/>
      <c r="WTH35"/>
      <c r="WTI35"/>
      <c r="WTJ35"/>
      <c r="WTK35"/>
      <c r="WTL35"/>
      <c r="WTM35"/>
      <c r="WTN35"/>
      <c r="WTO35"/>
      <c r="WTP35"/>
      <c r="WTQ35"/>
      <c r="WTR35"/>
      <c r="WTS35"/>
      <c r="WTT35"/>
      <c r="WTU35"/>
      <c r="WTV35"/>
      <c r="WTW35"/>
      <c r="WTX35"/>
      <c r="WTY35"/>
      <c r="WTZ35"/>
      <c r="WUA35"/>
      <c r="WUB35"/>
      <c r="WUC35"/>
      <c r="WUD35"/>
      <c r="WUE35"/>
      <c r="WUF35"/>
      <c r="WUG35"/>
      <c r="WUH35"/>
      <c r="WUI35"/>
      <c r="WUJ35"/>
      <c r="WUK35"/>
      <c r="WUL35"/>
      <c r="WUM35"/>
      <c r="WUN35"/>
      <c r="WUO35"/>
      <c r="WUP35"/>
      <c r="WUQ35"/>
      <c r="WUR35"/>
      <c r="WUS35"/>
      <c r="WUT35"/>
      <c r="WUU35"/>
      <c r="WUV35"/>
      <c r="WUW35"/>
      <c r="WUX35"/>
      <c r="WUY35"/>
      <c r="WUZ35"/>
      <c r="WVA35"/>
      <c r="WVB35"/>
      <c r="WVC35"/>
      <c r="WVD35"/>
      <c r="WVE35"/>
      <c r="WVF35"/>
      <c r="WVG35"/>
      <c r="WVH35"/>
      <c r="WVI35"/>
      <c r="WVJ35"/>
      <c r="WVK35"/>
      <c r="WVL35"/>
      <c r="WVM35"/>
      <c r="WVN35"/>
      <c r="WVO35"/>
      <c r="WVP35"/>
      <c r="WVQ35"/>
      <c r="WVR35"/>
      <c r="WVS35"/>
      <c r="WVT35"/>
      <c r="WVU35"/>
      <c r="WVV35"/>
      <c r="WVW35"/>
      <c r="WVX35"/>
      <c r="WVY35"/>
      <c r="WVZ35"/>
      <c r="WWA35"/>
      <c r="WWB35"/>
      <c r="WWC35"/>
      <c r="WWD35"/>
      <c r="WWE35"/>
      <c r="WWF35"/>
      <c r="WWG35"/>
      <c r="WWH35"/>
      <c r="WWI35"/>
      <c r="WWJ35"/>
      <c r="WWK35"/>
      <c r="WWL35"/>
      <c r="WWM35"/>
      <c r="WWN35"/>
      <c r="WWO35"/>
      <c r="WWP35"/>
      <c r="WWQ35"/>
      <c r="WWR35"/>
      <c r="WWS35"/>
      <c r="WWT35"/>
      <c r="WWU35"/>
      <c r="WWV35"/>
      <c r="WWW35"/>
      <c r="WWX35"/>
      <c r="WWY35"/>
      <c r="WWZ35"/>
      <c r="WXA35"/>
      <c r="WXB35"/>
      <c r="WXC35"/>
      <c r="WXD35"/>
      <c r="WXE35"/>
      <c r="WXF35"/>
      <c r="WXG35"/>
      <c r="WXH35"/>
      <c r="WXI35"/>
      <c r="WXJ35"/>
      <c r="WXK35"/>
      <c r="WXL35"/>
      <c r="WXM35"/>
      <c r="WXN35"/>
      <c r="WXO35"/>
      <c r="WXP35"/>
      <c r="WXQ35"/>
      <c r="WXR35"/>
      <c r="WXS35"/>
      <c r="WXT35"/>
      <c r="WXU35"/>
      <c r="WXV35"/>
      <c r="WXW35"/>
      <c r="WXX35"/>
      <c r="WXY35"/>
      <c r="WXZ35"/>
      <c r="WYA35"/>
      <c r="WYB35"/>
      <c r="WYC35"/>
      <c r="WYD35"/>
      <c r="WYE35"/>
      <c r="WYF35"/>
      <c r="WYG35"/>
      <c r="WYH35"/>
      <c r="WYI35"/>
      <c r="WYJ35"/>
      <c r="WYK35"/>
      <c r="WYL35"/>
      <c r="WYM35"/>
      <c r="WYN35"/>
      <c r="WYO35"/>
      <c r="WYP35"/>
      <c r="WYQ35"/>
      <c r="WYR35"/>
      <c r="WYS35"/>
      <c r="WYT35"/>
      <c r="WYU35"/>
      <c r="WYV35"/>
      <c r="WYW35"/>
      <c r="WYX35"/>
      <c r="WYY35"/>
      <c r="WYZ35"/>
      <c r="WZA35"/>
      <c r="WZB35"/>
      <c r="WZC35"/>
      <c r="WZD35"/>
      <c r="WZE35"/>
      <c r="WZF35"/>
      <c r="WZG35"/>
      <c r="WZH35"/>
      <c r="WZI35"/>
      <c r="WZJ35"/>
      <c r="WZK35"/>
      <c r="WZL35"/>
      <c r="WZM35"/>
      <c r="WZN35"/>
      <c r="WZO35"/>
      <c r="WZP35"/>
      <c r="WZQ35"/>
      <c r="WZR35"/>
      <c r="WZS35"/>
      <c r="WZT35"/>
      <c r="WZU35"/>
      <c r="WZV35"/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/>
      <c r="XBP35"/>
      <c r="XBQ35"/>
      <c r="XBR35"/>
      <c r="XBS35"/>
      <c r="XBT35"/>
      <c r="XBU35"/>
      <c r="XBV35"/>
      <c r="XBW35"/>
      <c r="XBX35"/>
      <c r="XBY35"/>
      <c r="XBZ35"/>
      <c r="XCA35"/>
      <c r="XCB35"/>
      <c r="XCC35"/>
      <c r="XCD35"/>
      <c r="XCE35"/>
      <c r="XCF35"/>
      <c r="XCG35"/>
      <c r="XCH35"/>
      <c r="XCI35"/>
      <c r="XCJ35"/>
      <c r="XCK35"/>
      <c r="XCL35"/>
      <c r="XCM35"/>
      <c r="XCN35"/>
      <c r="XCO35"/>
      <c r="XCP35"/>
      <c r="XCQ35"/>
      <c r="XCR35"/>
      <c r="XCS35"/>
      <c r="XCT35"/>
      <c r="XCU35"/>
      <c r="XCV35"/>
      <c r="XCW35"/>
      <c r="XCX35"/>
      <c r="XCY35"/>
      <c r="XCZ35"/>
      <c r="XDA35"/>
      <c r="XDB35"/>
      <c r="XDC35"/>
      <c r="XDD35"/>
      <c r="XDE35"/>
      <c r="XDF35"/>
      <c r="XDG35"/>
      <c r="XDH35"/>
      <c r="XDI35"/>
      <c r="XDJ35"/>
      <c r="XDK35"/>
      <c r="XDL35"/>
      <c r="XDM35"/>
      <c r="XDN35"/>
      <c r="XDO35"/>
      <c r="XDP35"/>
      <c r="XDQ35"/>
      <c r="XDR35"/>
      <c r="XDS35"/>
      <c r="XDT35"/>
      <c r="XDU35"/>
      <c r="XDV35"/>
      <c r="XDW35"/>
      <c r="XDX35"/>
      <c r="XDY35"/>
      <c r="XDZ35"/>
      <c r="XEA35"/>
      <c r="XEB35"/>
      <c r="XEC35"/>
      <c r="XED35"/>
      <c r="XEE35"/>
      <c r="XEF35"/>
      <c r="XEG35"/>
      <c r="XEH35"/>
      <c r="XEI35"/>
      <c r="XEJ35"/>
      <c r="XEK35"/>
      <c r="XEL35"/>
      <c r="XEM35"/>
      <c r="XEN35"/>
      <c r="XEO35"/>
      <c r="XEP35"/>
      <c r="XEQ35"/>
      <c r="XER35"/>
      <c r="XES35"/>
      <c r="XET35"/>
      <c r="XEU35"/>
      <c r="XEV35"/>
      <c r="XEW35"/>
      <c r="XEX35"/>
      <c r="XEY35"/>
      <c r="XEZ35"/>
      <c r="XFA35"/>
      <c r="XFB35"/>
      <c r="XFC35"/>
      <c r="XFD35"/>
    </row>
    <row r="36" spans="1:16384" s="1" customFormat="1">
      <c r="C36" s="15">
        <v>0.38506636675740202</v>
      </c>
      <c r="D36" s="16">
        <f t="shared" si="2"/>
        <v>2.3335021825498559E-2</v>
      </c>
      <c r="E36" s="16">
        <f t="shared" si="3"/>
        <v>7.354767605066378E-3</v>
      </c>
      <c r="WSP36"/>
      <c r="WSQ36"/>
      <c r="WSR36"/>
      <c r="WSS36"/>
      <c r="WST36"/>
      <c r="WSU36"/>
      <c r="WSV36"/>
      <c r="WSW36"/>
      <c r="WSX36"/>
      <c r="WSY36"/>
      <c r="WSZ36"/>
      <c r="WTA36"/>
      <c r="WTB36"/>
      <c r="WTC36"/>
      <c r="WTD36"/>
      <c r="WTE36"/>
      <c r="WTF36"/>
      <c r="WTG36"/>
      <c r="WTH36"/>
      <c r="WTI36"/>
      <c r="WTJ36"/>
      <c r="WTK36"/>
      <c r="WTL36"/>
      <c r="WTM36"/>
      <c r="WTN36"/>
      <c r="WTO36"/>
      <c r="WTP36"/>
      <c r="WTQ36"/>
      <c r="WTR36"/>
      <c r="WTS36"/>
      <c r="WTT36"/>
      <c r="WTU36"/>
      <c r="WTV36"/>
      <c r="WTW36"/>
      <c r="WTX36"/>
      <c r="WTY36"/>
      <c r="WTZ36"/>
      <c r="WUA36"/>
      <c r="WUB36"/>
      <c r="WUC36"/>
      <c r="WUD36"/>
      <c r="WUE36"/>
      <c r="WUF36"/>
      <c r="WUG36"/>
      <c r="WUH36"/>
      <c r="WUI36"/>
      <c r="WUJ36"/>
      <c r="WUK36"/>
      <c r="WUL36"/>
      <c r="WUM36"/>
      <c r="WUN36"/>
      <c r="WUO36"/>
      <c r="WUP36"/>
      <c r="WUQ36"/>
      <c r="WUR36"/>
      <c r="WUS36"/>
      <c r="WUT36"/>
      <c r="WUU36"/>
      <c r="WUV36"/>
      <c r="WUW36"/>
      <c r="WUX36"/>
      <c r="WUY36"/>
      <c r="WUZ36"/>
      <c r="WVA36"/>
      <c r="WVB36"/>
      <c r="WVC36"/>
      <c r="WVD36"/>
      <c r="WVE36"/>
      <c r="WVF36"/>
      <c r="WVG36"/>
      <c r="WVH36"/>
      <c r="WVI36"/>
      <c r="WVJ36"/>
      <c r="WVK36"/>
      <c r="WVL36"/>
      <c r="WVM36"/>
      <c r="WVN36"/>
      <c r="WVO36"/>
      <c r="WVP36"/>
      <c r="WVQ36"/>
      <c r="WVR36"/>
      <c r="WVS36"/>
      <c r="WVT36"/>
      <c r="WVU36"/>
      <c r="WVV36"/>
      <c r="WVW36"/>
      <c r="WVX36"/>
      <c r="WVY36"/>
      <c r="WVZ36"/>
      <c r="WWA36"/>
      <c r="WWB36"/>
      <c r="WWC36"/>
      <c r="WWD36"/>
      <c r="WWE36"/>
      <c r="WWF36"/>
      <c r="WWG36"/>
      <c r="WWH36"/>
      <c r="WWI36"/>
      <c r="WWJ36"/>
      <c r="WWK36"/>
      <c r="WWL36"/>
      <c r="WWM36"/>
      <c r="WWN36"/>
      <c r="WWO36"/>
      <c r="WWP36"/>
      <c r="WWQ36"/>
      <c r="WWR36"/>
      <c r="WWS36"/>
      <c r="WWT36"/>
      <c r="WWU36"/>
      <c r="WWV36"/>
      <c r="WWW36"/>
      <c r="WWX36"/>
      <c r="WWY36"/>
      <c r="WWZ36"/>
      <c r="WXA36"/>
      <c r="WXB36"/>
      <c r="WXC36"/>
      <c r="WXD36"/>
      <c r="WXE36"/>
      <c r="WXF36"/>
      <c r="WXG36"/>
      <c r="WXH36"/>
      <c r="WXI36"/>
      <c r="WXJ36"/>
      <c r="WXK36"/>
      <c r="WXL36"/>
      <c r="WXM36"/>
      <c r="WXN36"/>
      <c r="WXO36"/>
      <c r="WXP36"/>
      <c r="WXQ36"/>
      <c r="WXR36"/>
      <c r="WXS36"/>
      <c r="WXT36"/>
      <c r="WXU36"/>
      <c r="WXV36"/>
      <c r="WXW36"/>
      <c r="WXX36"/>
      <c r="WXY36"/>
      <c r="WXZ36"/>
      <c r="WYA36"/>
      <c r="WYB36"/>
      <c r="WYC36"/>
      <c r="WYD36"/>
      <c r="WYE36"/>
      <c r="WYF36"/>
      <c r="WYG36"/>
      <c r="WYH36"/>
      <c r="WYI36"/>
      <c r="WYJ36"/>
      <c r="WYK36"/>
      <c r="WYL36"/>
      <c r="WYM36"/>
      <c r="WYN36"/>
      <c r="WYO36"/>
      <c r="WYP36"/>
      <c r="WYQ36"/>
      <c r="WYR36"/>
      <c r="WYS36"/>
      <c r="WYT36"/>
      <c r="WYU36"/>
      <c r="WYV36"/>
      <c r="WYW36"/>
      <c r="WYX36"/>
      <c r="WYY36"/>
      <c r="WYZ36"/>
      <c r="WZA36"/>
      <c r="WZB36"/>
      <c r="WZC36"/>
      <c r="WZD36"/>
      <c r="WZE36"/>
      <c r="WZF36"/>
      <c r="WZG36"/>
      <c r="WZH36"/>
      <c r="WZI36"/>
      <c r="WZJ36"/>
      <c r="WZK36"/>
      <c r="WZL36"/>
      <c r="WZM36"/>
      <c r="WZN36"/>
      <c r="WZO36"/>
      <c r="WZP36"/>
      <c r="WZQ36"/>
      <c r="WZR36"/>
      <c r="WZS36"/>
      <c r="WZT36"/>
      <c r="WZU36"/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/>
      <c r="XBR36"/>
      <c r="XBS36"/>
      <c r="XBT36"/>
      <c r="XBU36"/>
      <c r="XBV36"/>
      <c r="XBW36"/>
      <c r="XBX36"/>
      <c r="XBY36"/>
      <c r="XBZ36"/>
      <c r="XCA36"/>
      <c r="XCB36"/>
      <c r="XCC36"/>
      <c r="XCD36"/>
      <c r="XCE36"/>
      <c r="XCF36"/>
      <c r="XCG36"/>
      <c r="XCH36"/>
      <c r="XCI36"/>
      <c r="XCJ36"/>
      <c r="XCK36"/>
      <c r="XCL36"/>
      <c r="XCM36"/>
      <c r="XCN36"/>
      <c r="XCO36"/>
      <c r="XCP36"/>
      <c r="XCQ36"/>
      <c r="XCR36"/>
      <c r="XCS36"/>
      <c r="XCT36"/>
      <c r="XCU36"/>
      <c r="XCV36"/>
      <c r="XCW36"/>
      <c r="XCX36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  <c r="XDR36"/>
      <c r="XDS36"/>
      <c r="XDT36"/>
      <c r="XDU36"/>
      <c r="XDV36"/>
      <c r="XDW36"/>
      <c r="XDX36"/>
      <c r="XDY36"/>
      <c r="XDZ36"/>
      <c r="XEA36"/>
      <c r="XEB36"/>
      <c r="XEC36"/>
      <c r="XED36"/>
      <c r="XEE36"/>
      <c r="XEF36"/>
      <c r="XEG36"/>
      <c r="XEH36"/>
      <c r="XEI36"/>
      <c r="XEJ36"/>
      <c r="XEK36"/>
      <c r="XEL36"/>
      <c r="XEM36"/>
      <c r="XEN36"/>
      <c r="XEO36"/>
      <c r="XEP36"/>
      <c r="XEQ36"/>
      <c r="XER36"/>
      <c r="XES36"/>
      <c r="XET36"/>
      <c r="XEU36"/>
      <c r="XEV36"/>
      <c r="XEW36"/>
      <c r="XEX36"/>
      <c r="XEY36"/>
      <c r="XEZ36"/>
      <c r="XFA36"/>
      <c r="XFB36"/>
      <c r="XFC36"/>
      <c r="XFD36"/>
    </row>
    <row r="37" spans="1:16384" s="1" customFormat="1">
      <c r="C37" s="15"/>
      <c r="D37" s="16">
        <f t="shared" si="2"/>
        <v>0</v>
      </c>
      <c r="E37" s="16">
        <f t="shared" si="3"/>
        <v>0</v>
      </c>
      <c r="WSP37"/>
      <c r="WSQ37"/>
      <c r="WSR37"/>
      <c r="WSS37"/>
      <c r="WST37"/>
      <c r="WSU37"/>
      <c r="WSV37"/>
      <c r="WSW37"/>
      <c r="WSX37"/>
      <c r="WSY37"/>
      <c r="WSZ37"/>
      <c r="WTA37"/>
      <c r="WTB37"/>
      <c r="WTC37"/>
      <c r="WTD37"/>
      <c r="WTE37"/>
      <c r="WTF37"/>
      <c r="WTG37"/>
      <c r="WTH37"/>
      <c r="WTI37"/>
      <c r="WTJ37"/>
      <c r="WTK37"/>
      <c r="WTL37"/>
      <c r="WTM37"/>
      <c r="WTN37"/>
      <c r="WTO37"/>
      <c r="WTP37"/>
      <c r="WTQ37"/>
      <c r="WTR37"/>
      <c r="WTS37"/>
      <c r="WTT37"/>
      <c r="WTU37"/>
      <c r="WTV37"/>
      <c r="WTW37"/>
      <c r="WTX37"/>
      <c r="WTY37"/>
      <c r="WTZ37"/>
      <c r="WUA37"/>
      <c r="WUB37"/>
      <c r="WUC37"/>
      <c r="WUD37"/>
      <c r="WUE37"/>
      <c r="WUF37"/>
      <c r="WUG37"/>
      <c r="WUH37"/>
      <c r="WUI37"/>
      <c r="WUJ37"/>
      <c r="WUK37"/>
      <c r="WUL37"/>
      <c r="WUM37"/>
      <c r="WUN37"/>
      <c r="WUO37"/>
      <c r="WUP37"/>
      <c r="WUQ37"/>
      <c r="WUR37"/>
      <c r="WUS37"/>
      <c r="WUT37"/>
      <c r="WUU37"/>
      <c r="WUV37"/>
      <c r="WUW37"/>
      <c r="WUX37"/>
      <c r="WUY37"/>
      <c r="WUZ37"/>
      <c r="WVA37"/>
      <c r="WVB37"/>
      <c r="WVC37"/>
      <c r="WVD37"/>
      <c r="WVE37"/>
      <c r="WVF37"/>
      <c r="WVG37"/>
      <c r="WVH37"/>
      <c r="WVI37"/>
      <c r="WVJ37"/>
      <c r="WVK37"/>
      <c r="WVL37"/>
      <c r="WVM37"/>
      <c r="WVN37"/>
      <c r="WVO37"/>
      <c r="WVP37"/>
      <c r="WVQ37"/>
      <c r="WVR37"/>
      <c r="WVS37"/>
      <c r="WVT37"/>
      <c r="WVU37"/>
      <c r="WVV37"/>
      <c r="WVW37"/>
      <c r="WVX37"/>
      <c r="WVY37"/>
      <c r="WVZ37"/>
      <c r="WWA37"/>
      <c r="WWB37"/>
      <c r="WWC37"/>
      <c r="WWD37"/>
      <c r="WWE37"/>
      <c r="WWF37"/>
      <c r="WWG37"/>
      <c r="WWH37"/>
      <c r="WWI37"/>
      <c r="WWJ37"/>
      <c r="WWK37"/>
      <c r="WWL37"/>
      <c r="WWM37"/>
      <c r="WWN37"/>
      <c r="WWO37"/>
      <c r="WWP37"/>
      <c r="WWQ37"/>
      <c r="WWR37"/>
      <c r="WWS37"/>
      <c r="WWT37"/>
      <c r="WWU37"/>
      <c r="WWV37"/>
      <c r="WWW37"/>
      <c r="WWX37"/>
      <c r="WWY37"/>
      <c r="WWZ37"/>
      <c r="WXA37"/>
      <c r="WXB37"/>
      <c r="WXC37"/>
      <c r="WXD37"/>
      <c r="WXE37"/>
      <c r="WXF37"/>
      <c r="WXG37"/>
      <c r="WXH37"/>
      <c r="WXI37"/>
      <c r="WXJ37"/>
      <c r="WXK37"/>
      <c r="WXL37"/>
      <c r="WXM37"/>
      <c r="WXN37"/>
      <c r="WXO37"/>
      <c r="WXP37"/>
      <c r="WXQ37"/>
      <c r="WXR37"/>
      <c r="WXS37"/>
      <c r="WXT37"/>
      <c r="WXU37"/>
      <c r="WXV37"/>
      <c r="WXW37"/>
      <c r="WXX37"/>
      <c r="WXY37"/>
      <c r="WXZ37"/>
      <c r="WYA37"/>
      <c r="WYB37"/>
      <c r="WYC37"/>
      <c r="WYD37"/>
      <c r="WYE37"/>
      <c r="WYF37"/>
      <c r="WYG37"/>
      <c r="WYH37"/>
      <c r="WYI37"/>
      <c r="WYJ37"/>
      <c r="WYK37"/>
      <c r="WYL37"/>
      <c r="WYM37"/>
      <c r="WYN37"/>
      <c r="WYO37"/>
      <c r="WYP37"/>
      <c r="WYQ37"/>
      <c r="WYR37"/>
      <c r="WYS37"/>
      <c r="WYT37"/>
      <c r="WYU37"/>
      <c r="WYV37"/>
      <c r="WYW37"/>
      <c r="WYX37"/>
      <c r="WYY37"/>
      <c r="WYZ37"/>
      <c r="WZA37"/>
      <c r="WZB37"/>
      <c r="WZC37"/>
      <c r="WZD37"/>
      <c r="WZE37"/>
      <c r="WZF37"/>
      <c r="WZG37"/>
      <c r="WZH37"/>
      <c r="WZI37"/>
      <c r="WZJ37"/>
      <c r="WZK37"/>
      <c r="WZL37"/>
      <c r="WZM37"/>
      <c r="WZN37"/>
      <c r="WZO37"/>
      <c r="WZP37"/>
      <c r="WZQ37"/>
      <c r="WZR37"/>
      <c r="WZS37"/>
      <c r="WZT37"/>
      <c r="WZU37"/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/>
      <c r="XBQ37"/>
      <c r="XBR37"/>
      <c r="XBS37"/>
      <c r="XBT37"/>
      <c r="XBU37"/>
      <c r="XBV37"/>
      <c r="XBW37"/>
      <c r="XBX37"/>
      <c r="XBY37"/>
      <c r="XBZ37"/>
      <c r="XCA37"/>
      <c r="XCB37"/>
      <c r="XCC37"/>
      <c r="XCD37"/>
      <c r="XCE37"/>
      <c r="XCF37"/>
      <c r="XCG37"/>
      <c r="XCH37"/>
      <c r="XCI37"/>
      <c r="XCJ37"/>
      <c r="XCK37"/>
      <c r="XCL37"/>
      <c r="XCM37"/>
      <c r="XCN37"/>
      <c r="XCO37"/>
      <c r="XCP37"/>
      <c r="XCQ37"/>
      <c r="XCR37"/>
      <c r="XCS37"/>
      <c r="XCT37"/>
      <c r="XCU37"/>
      <c r="XCV37"/>
      <c r="XCW37"/>
      <c r="XCX37"/>
      <c r="XCY37"/>
      <c r="XCZ37"/>
      <c r="XDA37"/>
      <c r="XDB37"/>
      <c r="XDC37"/>
      <c r="XDD37"/>
      <c r="XDE37"/>
      <c r="XDF37"/>
      <c r="XDG37"/>
      <c r="XDH37"/>
      <c r="XDI37"/>
      <c r="XDJ37"/>
      <c r="XDK37"/>
      <c r="XDL37"/>
      <c r="XDM37"/>
      <c r="XDN37"/>
      <c r="XDO37"/>
      <c r="XDP37"/>
      <c r="XDQ37"/>
      <c r="XDR37"/>
      <c r="XDS37"/>
      <c r="XDT37"/>
      <c r="XDU37"/>
      <c r="XDV37"/>
      <c r="XDW37"/>
      <c r="XDX37"/>
      <c r="XDY37"/>
      <c r="XDZ37"/>
      <c r="XEA37"/>
      <c r="XEB37"/>
      <c r="XEC37"/>
      <c r="XED37"/>
      <c r="XEE37"/>
      <c r="XEF37"/>
      <c r="XEG37"/>
      <c r="XEH37"/>
      <c r="XEI37"/>
      <c r="XEJ37"/>
      <c r="XEK37"/>
      <c r="XEL37"/>
      <c r="XEM37"/>
      <c r="XEN37"/>
      <c r="XEO37"/>
      <c r="XEP37"/>
      <c r="XEQ37"/>
      <c r="XER37"/>
      <c r="XES37"/>
      <c r="XET37"/>
      <c r="XEU37"/>
      <c r="XEV37"/>
      <c r="XEW37"/>
      <c r="XEX37"/>
      <c r="XEY37"/>
      <c r="XEZ37"/>
      <c r="XFA37"/>
      <c r="XFB37"/>
      <c r="XFC37"/>
      <c r="XFD37"/>
    </row>
    <row r="38" spans="1:16384">
      <c r="C38" s="15"/>
      <c r="D38" s="16">
        <f t="shared" si="2"/>
        <v>0</v>
      </c>
      <c r="E38" s="16">
        <f t="shared" si="3"/>
        <v>0</v>
      </c>
    </row>
    <row r="39" spans="1:16384" s="1" customFormat="1" ht="13.8">
      <c r="D39" s="17">
        <f>SUM(D35:D38)</f>
        <v>4.3565846348715507</v>
      </c>
      <c r="E39" s="17">
        <f>SUM(E35:E38)</f>
        <v>2.0494609070865395</v>
      </c>
    </row>
    <row r="40" spans="1:16384" s="1" customFormat="1" ht="13.8"/>
    <row r="41" spans="1:16384" s="1" customFormat="1" ht="13.8"/>
    <row r="42" spans="1:16384" s="1" customFormat="1" ht="13.8"/>
    <row r="48" spans="1:16384" hidden="1"/>
    <row r="49" spans="16058:16071" hidden="1"/>
    <row r="55" spans="16058:16071" s="1" customFormat="1">
      <c r="WSP55"/>
      <c r="WSQ55"/>
      <c r="WSR55"/>
      <c r="WSS55"/>
      <c r="WST55"/>
      <c r="WSU55"/>
      <c r="WSV55"/>
      <c r="WSW55"/>
      <c r="WSX55"/>
      <c r="WSY55"/>
      <c r="WSZ55"/>
      <c r="WTA55"/>
      <c r="WTB55"/>
      <c r="WTC55"/>
    </row>
    <row r="56" spans="16058:16071" s="1" customFormat="1">
      <c r="WSP56"/>
      <c r="WSQ56"/>
      <c r="WSR56"/>
      <c r="WSS56"/>
      <c r="WST56"/>
      <c r="WSU56"/>
      <c r="WSV56"/>
      <c r="WSW56"/>
      <c r="WSX56"/>
      <c r="WSY56"/>
      <c r="WSZ56"/>
      <c r="WTA56"/>
      <c r="WTB56"/>
      <c r="WTC56"/>
    </row>
    <row r="59" spans="16058:16071" s="4" customFormat="1" ht="13.8"/>
    <row r="60" spans="16058:16071" s="4" customFormat="1" ht="13.8"/>
    <row r="61" spans="16058:16071" s="4" customFormat="1" ht="13.8"/>
    <row r="63" spans="16058:16071" s="5" customFormat="1" ht="13.8"/>
    <row r="64" spans="16058:16071" s="1" customFormat="1" ht="13.8"/>
    <row r="65" s="1" customFormat="1" ht="13.8"/>
    <row r="66" s="1" customFormat="1" ht="13.8"/>
    <row r="67" s="1" customFormat="1" ht="13.8"/>
    <row r="68" s="1" customFormat="1" ht="13.8"/>
    <row r="69" s="6" customFormat="1" ht="13.8"/>
    <row r="70" s="6" customFormat="1" ht="13.8"/>
    <row r="71" s="1" customFormat="1" ht="13.8"/>
    <row r="72" s="1" customFormat="1" ht="13.8"/>
    <row r="73" s="1" customFormat="1" ht="13.8"/>
    <row r="74" s="1" customFormat="1" ht="13.8"/>
    <row r="75" s="1" customFormat="1" ht="13.8"/>
    <row r="77" s="1" customFormat="1" ht="13.8"/>
    <row r="78" s="1" customFormat="1" ht="13.8"/>
    <row r="79" s="1" customFormat="1" ht="13.8"/>
    <row r="80" s="1" customFormat="1" ht="13.8"/>
    <row r="81" s="1" customFormat="1" ht="13.8"/>
    <row r="82" s="1" customFormat="1" ht="13.8"/>
    <row r="84" s="1" customFormat="1" ht="13.8"/>
    <row r="85" s="1" customFormat="1" ht="13.8"/>
    <row r="86" s="1" customFormat="1" ht="13.8"/>
    <row r="87" s="1" customFormat="1" ht="13.8"/>
    <row r="88" s="1" customFormat="1" ht="13.8"/>
    <row r="89" s="1" customFormat="1" ht="13.8"/>
    <row r="90" s="1" customFormat="1" ht="13.8"/>
    <row r="95" s="1" customFormat="1" ht="13.8"/>
    <row r="96" s="4" customFormat="1" ht="13.8"/>
    <row r="100" s="5" customFormat="1" ht="13.8"/>
    <row r="101" s="5" customFormat="1" ht="13.8"/>
    <row r="102" s="5" customFormat="1" ht="13.8"/>
    <row r="103" s="5" customFormat="1" ht="13.8"/>
    <row r="107" s="5" customFormat="1" ht="13.8"/>
    <row r="109" s="6" customFormat="1" ht="13.8"/>
    <row r="110" s="6" customFormat="1" ht="13.8"/>
    <row r="111" s="6" customFormat="1" ht="13.8"/>
    <row r="112" s="6" customFormat="1" ht="13.8"/>
    <row r="113" s="6" customFormat="1" ht="13.8"/>
    <row r="114" s="6" customFormat="1" ht="13.8"/>
    <row r="115" s="6" customFormat="1" ht="13.8"/>
    <row r="124" hidden="1"/>
    <row r="126" s="5" customFormat="1" ht="13.8"/>
    <row r="131" hidden="1"/>
    <row r="133" s="5" customFormat="1" ht="13.8"/>
    <row r="135" hidden="1"/>
    <row r="136" hidden="1"/>
    <row r="137" hidden="1"/>
    <row r="138" hidden="1"/>
    <row r="139" hidden="1"/>
    <row r="140" hidden="1"/>
  </sheetData>
  <mergeCells count="12">
    <mergeCell ref="B31:D31"/>
    <mergeCell ref="E9:E12"/>
    <mergeCell ref="E27:E30"/>
    <mergeCell ref="F9:F12"/>
    <mergeCell ref="F27:F30"/>
    <mergeCell ref="B7:D7"/>
    <mergeCell ref="E7:F7"/>
    <mergeCell ref="G7:H7"/>
    <mergeCell ref="B13:D13"/>
    <mergeCell ref="B25:D25"/>
    <mergeCell ref="E25:F25"/>
    <mergeCell ref="G25:H2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Januari</vt:lpstr>
      <vt:lpstr>Sheet1</vt:lpstr>
      <vt:lpstr>Trace 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N2N0CX10H27707B@outlook.com</cp:lastModifiedBy>
  <cp:lastPrinted>2020-09-29T04:26:00Z</cp:lastPrinted>
  <dcterms:created xsi:type="dcterms:W3CDTF">2019-05-08T06:22:00Z</dcterms:created>
  <dcterms:modified xsi:type="dcterms:W3CDTF">2025-05-06T05:36:00Z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0FD302088A264398A2DB14BB338036A8</vt:lpwstr>
  </property>
</Properties>
</file>