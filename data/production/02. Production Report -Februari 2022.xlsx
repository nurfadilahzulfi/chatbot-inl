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13_ncr:1_{B7ED973B-6ADF-4395-951C-BE5BD35044C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Januari" sheetId="40" state="hidden" r:id="rId1"/>
    <sheet name="Februari" sheetId="43" r:id="rId2"/>
    <sheet name="Sheet1" sheetId="42" state="hidden" r:id="rId3"/>
    <sheet name="Trace Quality" sheetId="41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68" i="43" l="1"/>
  <c r="AF168" i="43"/>
  <c r="AD166" i="43"/>
  <c r="AE96" i="43" l="1"/>
  <c r="AG85" i="43"/>
  <c r="AI33" i="43" l="1"/>
  <c r="AI71" i="43" l="1"/>
  <c r="AE27" i="43"/>
  <c r="AG119" i="43" l="1"/>
  <c r="AF119" i="43"/>
  <c r="AE119" i="43"/>
  <c r="F96" i="43"/>
  <c r="F97" i="43"/>
  <c r="F103" i="43"/>
  <c r="F104" i="43" s="1"/>
  <c r="F109" i="43"/>
  <c r="F110" i="43"/>
  <c r="F112" i="43"/>
  <c r="AD170" i="43"/>
  <c r="AI35" i="43" l="1"/>
  <c r="AI34" i="43"/>
  <c r="AF52" i="43"/>
  <c r="AF50" i="43" s="1"/>
  <c r="AE53" i="43"/>
  <c r="AE52" i="43"/>
  <c r="AE50" i="43" s="1"/>
  <c r="AD53" i="43"/>
  <c r="AD52" i="43"/>
  <c r="AG42" i="43"/>
  <c r="AG41" i="43"/>
  <c r="AF41" i="43"/>
  <c r="AF40" i="43" s="1"/>
  <c r="AF38" i="43"/>
  <c r="AF37" i="43"/>
  <c r="AE38" i="43"/>
  <c r="AG45" i="43"/>
  <c r="AF45" i="43"/>
  <c r="AE45" i="43"/>
  <c r="AD45" i="43"/>
  <c r="AG50" i="43"/>
  <c r="AD50" i="43" l="1"/>
  <c r="AG40" i="43"/>
  <c r="AC119" i="43" l="1"/>
  <c r="AC45" i="43" l="1"/>
  <c r="AC50" i="43"/>
  <c r="AC38" i="43"/>
  <c r="AC37" i="43"/>
  <c r="AC31" i="43"/>
  <c r="AC49" i="43" s="1"/>
  <c r="AB119" i="43" l="1"/>
  <c r="AB38" i="43" l="1"/>
  <c r="AB37" i="43"/>
  <c r="AB31" i="43"/>
  <c r="AM36" i="43" l="1"/>
  <c r="AB45" i="43"/>
  <c r="AB50" i="43"/>
  <c r="AB49" i="43"/>
  <c r="AA37" i="43" l="1"/>
  <c r="AA53" i="43"/>
  <c r="AA52" i="43"/>
  <c r="AA50" i="43" s="1"/>
  <c r="AA31" i="43"/>
  <c r="AA49" i="43" s="1"/>
  <c r="AA45" i="43"/>
  <c r="AA119" i="43"/>
  <c r="Z119" i="43" l="1"/>
  <c r="Z53" i="43" l="1"/>
  <c r="Z52" i="43"/>
  <c r="Z45" i="43"/>
  <c r="Z42" i="43"/>
  <c r="Z41" i="43"/>
  <c r="Z40" i="43" s="1"/>
  <c r="Z38" i="43"/>
  <c r="Z31" i="43"/>
  <c r="Z49" i="43" s="1"/>
  <c r="Z50" i="43" l="1"/>
  <c r="Y27" i="43"/>
  <c r="Y42" i="43" l="1"/>
  <c r="Y40" i="43" s="1"/>
  <c r="X38" i="43"/>
  <c r="X37" i="43"/>
  <c r="X31" i="43"/>
  <c r="W41" i="43"/>
  <c r="W40" i="43" s="1"/>
  <c r="W38" i="43"/>
  <c r="W37" i="43"/>
  <c r="W31" i="43"/>
  <c r="Y49" i="43"/>
  <c r="Y45" i="43"/>
  <c r="X45" i="43"/>
  <c r="W45" i="43"/>
  <c r="Y50" i="43"/>
  <c r="X50" i="43"/>
  <c r="W50" i="43"/>
  <c r="X40" i="43"/>
  <c r="Y119" i="43" l="1"/>
  <c r="X119" i="43"/>
  <c r="V119" i="43" l="1"/>
  <c r="V42" i="43" l="1"/>
  <c r="V41" i="43"/>
  <c r="V38" i="43"/>
  <c r="V37" i="43"/>
  <c r="V31" i="43"/>
  <c r="V50" i="43"/>
  <c r="V45" i="43"/>
  <c r="V40" i="43" l="1"/>
  <c r="AG27" i="43"/>
  <c r="AF27" i="43"/>
  <c r="AD27" i="43"/>
  <c r="AC27" i="43"/>
  <c r="AB27" i="43"/>
  <c r="AA27" i="43"/>
  <c r="Z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AG26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I25" i="43"/>
  <c r="AI24" i="43"/>
  <c r="AI26" i="43" l="1"/>
  <c r="U119" i="43" l="1"/>
  <c r="U38" i="43" l="1"/>
  <c r="U37" i="43"/>
  <c r="U31" i="43"/>
  <c r="U50" i="43"/>
  <c r="U45" i="43"/>
  <c r="U42" i="43"/>
  <c r="U41" i="43"/>
  <c r="U40" i="43" l="1"/>
  <c r="T130" i="43" l="1"/>
  <c r="T119" i="43"/>
  <c r="T50" i="43" l="1"/>
  <c r="T45" i="43"/>
  <c r="T42" i="43"/>
  <c r="T41" i="43"/>
  <c r="T40" i="43" s="1"/>
  <c r="T38" i="43"/>
  <c r="T37" i="43"/>
  <c r="T31" i="43"/>
  <c r="S38" i="43" l="1"/>
  <c r="S37" i="43"/>
  <c r="S31" i="43"/>
  <c r="S42" i="43"/>
  <c r="S41" i="43"/>
  <c r="S50" i="43"/>
  <c r="S45" i="43"/>
  <c r="S40" i="43" l="1"/>
  <c r="S130" i="43" l="1"/>
  <c r="R130" i="43"/>
  <c r="S119" i="43"/>
  <c r="D50" i="43" l="1"/>
  <c r="D45" i="43"/>
  <c r="D40" i="43"/>
  <c r="D37" i="43"/>
  <c r="Q130" i="43" l="1"/>
  <c r="P130" i="43"/>
  <c r="R119" i="43"/>
  <c r="Q119" i="43"/>
  <c r="AG14" i="43" l="1"/>
  <c r="AF14" i="43"/>
  <c r="AE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I13" i="43"/>
  <c r="AI12" i="43"/>
  <c r="AI14" i="43" l="1"/>
  <c r="R50" i="43"/>
  <c r="Q50" i="43"/>
  <c r="P50" i="43"/>
  <c r="O50" i="43"/>
  <c r="R45" i="43"/>
  <c r="Q45" i="43"/>
  <c r="P45" i="43"/>
  <c r="O45" i="43"/>
  <c r="R38" i="43"/>
  <c r="R37" i="43"/>
  <c r="Q38" i="43"/>
  <c r="Q37" i="43"/>
  <c r="P38" i="43"/>
  <c r="P37" i="43"/>
  <c r="O38" i="43"/>
  <c r="O37" i="43"/>
  <c r="R31" i="43"/>
  <c r="Q31" i="43"/>
  <c r="P31" i="43"/>
  <c r="O31" i="43"/>
  <c r="O119" i="43" l="1"/>
  <c r="O130" i="43"/>
  <c r="N130" i="43" l="1"/>
  <c r="M130" i="43"/>
  <c r="N119" i="43"/>
  <c r="M119" i="43"/>
  <c r="AL121" i="40" l="1"/>
  <c r="H122" i="40"/>
  <c r="H123" i="40" s="1"/>
  <c r="AH122" i="40" l="1"/>
  <c r="AG122" i="40"/>
  <c r="AF122" i="40"/>
  <c r="AE122" i="40"/>
  <c r="AD122" i="40"/>
  <c r="AJ133" i="40"/>
  <c r="AJ132" i="40"/>
  <c r="AJ77" i="40"/>
  <c r="AL67" i="40"/>
  <c r="AM47" i="43"/>
  <c r="L42" i="43"/>
  <c r="G53" i="43"/>
  <c r="H47" i="43"/>
  <c r="N50" i="43"/>
  <c r="N45" i="43"/>
  <c r="M38" i="43" l="1"/>
  <c r="M37" i="43"/>
  <c r="M31" i="43"/>
  <c r="M50" i="43"/>
  <c r="M45" i="43"/>
  <c r="L41" i="43"/>
  <c r="L40" i="43" s="1"/>
  <c r="L38" i="43"/>
  <c r="L37" i="43"/>
  <c r="L31" i="43"/>
  <c r="L50" i="43"/>
  <c r="L45" i="43"/>
  <c r="L130" i="43" l="1"/>
  <c r="L119" i="43"/>
  <c r="K130" i="43" l="1"/>
  <c r="J130" i="43"/>
  <c r="I130" i="43"/>
  <c r="K119" i="43" l="1"/>
  <c r="J119" i="43"/>
  <c r="K38" i="43" l="1"/>
  <c r="K37" i="43"/>
  <c r="K31" i="43"/>
  <c r="K41" i="43"/>
  <c r="K40" i="43" s="1"/>
  <c r="J53" i="43"/>
  <c r="J52" i="43"/>
  <c r="I53" i="43"/>
  <c r="I50" i="43" s="1"/>
  <c r="J42" i="43"/>
  <c r="J41" i="43"/>
  <c r="J38" i="43"/>
  <c r="J37" i="43"/>
  <c r="J31" i="43"/>
  <c r="I42" i="43"/>
  <c r="I41" i="43"/>
  <c r="I40" i="43" s="1"/>
  <c r="I38" i="43"/>
  <c r="I37" i="43"/>
  <c r="I31" i="43"/>
  <c r="K50" i="43"/>
  <c r="H50" i="43"/>
  <c r="K45" i="43"/>
  <c r="J45" i="43"/>
  <c r="I45" i="43"/>
  <c r="J50" i="43" l="1"/>
  <c r="J40" i="43"/>
  <c r="F130" i="43" l="1"/>
  <c r="H130" i="43"/>
  <c r="G130" i="43"/>
  <c r="H119" i="43"/>
  <c r="G119" i="43"/>
  <c r="F119" i="43"/>
  <c r="G49" i="43" l="1"/>
  <c r="H42" i="43"/>
  <c r="H41" i="43"/>
  <c r="H46" i="43"/>
  <c r="H45" i="43" s="1"/>
  <c r="H38" i="43"/>
  <c r="H37" i="43"/>
  <c r="H31" i="43"/>
  <c r="H40" i="43" l="1"/>
  <c r="K156" i="40"/>
  <c r="AL25" i="40" l="1"/>
  <c r="D45" i="40" l="1"/>
  <c r="D39" i="40"/>
  <c r="D37" i="40"/>
  <c r="D44" i="40"/>
  <c r="D38" i="40"/>
  <c r="D34" i="40"/>
  <c r="D33" i="40"/>
  <c r="D32" i="40" s="1"/>
  <c r="D23" i="40"/>
  <c r="D42" i="40" l="1"/>
  <c r="G45" i="43" l="1"/>
  <c r="G52" i="43"/>
  <c r="G50" i="43" s="1"/>
  <c r="G61" i="43" s="1"/>
  <c r="F53" i="43"/>
  <c r="F50" i="43" s="1"/>
  <c r="F61" i="43" s="1"/>
  <c r="F38" i="43"/>
  <c r="F37" i="43"/>
  <c r="F31" i="43"/>
  <c r="F49" i="43" s="1"/>
  <c r="F67" i="43" s="1"/>
  <c r="AG197" i="43"/>
  <c r="AF197" i="43"/>
  <c r="AE197" i="43"/>
  <c r="AD197" i="43"/>
  <c r="AC197" i="43"/>
  <c r="AB197" i="43"/>
  <c r="AA197" i="43"/>
  <c r="Z197" i="43"/>
  <c r="Y197" i="43"/>
  <c r="X197" i="43"/>
  <c r="W197" i="43"/>
  <c r="V197" i="43"/>
  <c r="U197" i="43"/>
  <c r="T197" i="43"/>
  <c r="S197" i="43"/>
  <c r="R197" i="43"/>
  <c r="Q197" i="43"/>
  <c r="P197" i="43"/>
  <c r="O197" i="43"/>
  <c r="N197" i="43"/>
  <c r="M197" i="43"/>
  <c r="L197" i="43"/>
  <c r="K197" i="43"/>
  <c r="J197" i="43"/>
  <c r="I197" i="43"/>
  <c r="H197" i="43"/>
  <c r="G197" i="43"/>
  <c r="F197" i="43"/>
  <c r="AI196" i="43"/>
  <c r="AI195" i="43"/>
  <c r="AI194" i="43"/>
  <c r="AI193" i="43"/>
  <c r="AI192" i="43"/>
  <c r="AG190" i="43"/>
  <c r="AF190" i="43"/>
  <c r="AE190" i="43"/>
  <c r="AD190" i="43"/>
  <c r="AC190" i="43"/>
  <c r="AB190" i="43"/>
  <c r="AA190" i="43"/>
  <c r="Z190" i="43"/>
  <c r="Y190" i="43"/>
  <c r="X190" i="43"/>
  <c r="W190" i="43"/>
  <c r="V190" i="43"/>
  <c r="U190" i="43"/>
  <c r="T190" i="43"/>
  <c r="S190" i="43"/>
  <c r="R190" i="43"/>
  <c r="Q190" i="43"/>
  <c r="P190" i="43"/>
  <c r="O190" i="43"/>
  <c r="N190" i="43"/>
  <c r="M190" i="43"/>
  <c r="L190" i="43"/>
  <c r="K190" i="43"/>
  <c r="J190" i="43"/>
  <c r="I190" i="43"/>
  <c r="H190" i="43"/>
  <c r="G190" i="43"/>
  <c r="F190" i="43"/>
  <c r="AI189" i="43"/>
  <c r="AI188" i="43"/>
  <c r="AI187" i="43"/>
  <c r="AI186" i="43"/>
  <c r="AI185" i="43"/>
  <c r="AG183" i="43"/>
  <c r="AF183" i="43"/>
  <c r="AE183" i="43"/>
  <c r="AD183" i="43"/>
  <c r="AC183" i="43"/>
  <c r="AB183" i="43"/>
  <c r="AA183" i="43"/>
  <c r="Z183" i="43"/>
  <c r="Y183" i="43"/>
  <c r="X183" i="43"/>
  <c r="W183" i="43"/>
  <c r="V183" i="43"/>
  <c r="U183" i="43"/>
  <c r="T183" i="43"/>
  <c r="S183" i="43"/>
  <c r="R183" i="43"/>
  <c r="Q183" i="43"/>
  <c r="P183" i="43"/>
  <c r="O183" i="43"/>
  <c r="N183" i="43"/>
  <c r="M183" i="43"/>
  <c r="L183" i="43"/>
  <c r="K183" i="43"/>
  <c r="J183" i="43"/>
  <c r="I183" i="43"/>
  <c r="H183" i="43"/>
  <c r="G183" i="43"/>
  <c r="F183" i="43"/>
  <c r="AI182" i="43"/>
  <c r="AI179" i="43"/>
  <c r="AG178" i="43"/>
  <c r="AF178" i="43"/>
  <c r="AE178" i="43"/>
  <c r="AD178" i="43"/>
  <c r="AC178" i="43"/>
  <c r="AB178" i="43"/>
  <c r="AA178" i="43"/>
  <c r="Z178" i="43"/>
  <c r="Y178" i="43"/>
  <c r="X178" i="43"/>
  <c r="W178" i="43"/>
  <c r="V178" i="43"/>
  <c r="U178" i="43"/>
  <c r="T178" i="43"/>
  <c r="S178" i="43"/>
  <c r="R178" i="43"/>
  <c r="Q178" i="43"/>
  <c r="P178" i="43"/>
  <c r="O178" i="43"/>
  <c r="N178" i="43"/>
  <c r="M178" i="43"/>
  <c r="L178" i="43"/>
  <c r="K178" i="43"/>
  <c r="J178" i="43"/>
  <c r="I178" i="43"/>
  <c r="H178" i="43"/>
  <c r="G178" i="43"/>
  <c r="F178" i="43"/>
  <c r="AI177" i="43"/>
  <c r="D177" i="43"/>
  <c r="D178" i="43" s="1"/>
  <c r="AI176" i="43"/>
  <c r="AI175" i="43"/>
  <c r="AI173" i="43"/>
  <c r="AG170" i="43"/>
  <c r="AG171" i="43" s="1"/>
  <c r="AF170" i="43"/>
  <c r="AF171" i="43" s="1"/>
  <c r="AE170" i="43"/>
  <c r="AE171" i="43" s="1"/>
  <c r="AD171" i="43"/>
  <c r="AC170" i="43"/>
  <c r="AC171" i="43" s="1"/>
  <c r="AB170" i="43"/>
  <c r="AB171" i="43" s="1"/>
  <c r="AA170" i="43"/>
  <c r="AA171" i="43" s="1"/>
  <c r="Z170" i="43"/>
  <c r="Z171" i="43" s="1"/>
  <c r="Y170" i="43"/>
  <c r="Y171" i="43" s="1"/>
  <c r="X170" i="43"/>
  <c r="X171" i="43" s="1"/>
  <c r="W170" i="43"/>
  <c r="W171" i="43" s="1"/>
  <c r="V170" i="43"/>
  <c r="V171" i="43" s="1"/>
  <c r="U170" i="43"/>
  <c r="U171" i="43" s="1"/>
  <c r="T170" i="43"/>
  <c r="T171" i="43" s="1"/>
  <c r="S170" i="43"/>
  <c r="S171" i="43" s="1"/>
  <c r="R170" i="43"/>
  <c r="R171" i="43" s="1"/>
  <c r="Q170" i="43"/>
  <c r="Q171" i="43" s="1"/>
  <c r="P170" i="43"/>
  <c r="P171" i="43" s="1"/>
  <c r="O170" i="43"/>
  <c r="O171" i="43" s="1"/>
  <c r="N170" i="43"/>
  <c r="N171" i="43" s="1"/>
  <c r="M170" i="43"/>
  <c r="M171" i="43" s="1"/>
  <c r="L170" i="43"/>
  <c r="L171" i="43" s="1"/>
  <c r="K170" i="43"/>
  <c r="K171" i="43" s="1"/>
  <c r="J170" i="43"/>
  <c r="J171" i="43" s="1"/>
  <c r="I170" i="43"/>
  <c r="I171" i="43" s="1"/>
  <c r="H170" i="43"/>
  <c r="H171" i="43" s="1"/>
  <c r="G170" i="43"/>
  <c r="G171" i="43" s="1"/>
  <c r="F170" i="43"/>
  <c r="AI169" i="43"/>
  <c r="AI167" i="43"/>
  <c r="AI164" i="43"/>
  <c r="D164" i="43"/>
  <c r="D170" i="43" s="1"/>
  <c r="D171" i="43" s="1"/>
  <c r="AG162" i="43"/>
  <c r="AG161" i="43" s="1"/>
  <c r="AF162" i="43"/>
  <c r="AF161" i="43" s="1"/>
  <c r="AE162" i="43"/>
  <c r="AE161" i="43" s="1"/>
  <c r="AD162" i="43"/>
  <c r="AD161" i="43" s="1"/>
  <c r="AC162" i="43"/>
  <c r="AC161" i="43" s="1"/>
  <c r="AB162" i="43"/>
  <c r="AB161" i="43" s="1"/>
  <c r="AA162" i="43"/>
  <c r="AA161" i="43" s="1"/>
  <c r="Z162" i="43"/>
  <c r="Z161" i="43" s="1"/>
  <c r="Y162" i="43"/>
  <c r="Y161" i="43" s="1"/>
  <c r="X162" i="43"/>
  <c r="X161" i="43" s="1"/>
  <c r="W162" i="43"/>
  <c r="W161" i="43" s="1"/>
  <c r="V162" i="43"/>
  <c r="U162" i="43"/>
  <c r="U161" i="43" s="1"/>
  <c r="T162" i="43"/>
  <c r="T161" i="43" s="1"/>
  <c r="S162" i="43"/>
  <c r="S161" i="43" s="1"/>
  <c r="R162" i="43"/>
  <c r="R161" i="43" s="1"/>
  <c r="Q162" i="43"/>
  <c r="Q161" i="43" s="1"/>
  <c r="P162" i="43"/>
  <c r="P161" i="43" s="1"/>
  <c r="O162" i="43"/>
  <c r="O161" i="43" s="1"/>
  <c r="N162" i="43"/>
  <c r="N161" i="43" s="1"/>
  <c r="M162" i="43"/>
  <c r="M161" i="43" s="1"/>
  <c r="L162" i="43"/>
  <c r="L161" i="43" s="1"/>
  <c r="K162" i="43"/>
  <c r="K161" i="43" s="1"/>
  <c r="J162" i="43"/>
  <c r="J161" i="43" s="1"/>
  <c r="I162" i="43"/>
  <c r="I161" i="43" s="1"/>
  <c r="H162" i="43"/>
  <c r="H161" i="43" s="1"/>
  <c r="G162" i="43"/>
  <c r="G161" i="43" s="1"/>
  <c r="F162" i="43"/>
  <c r="D162" i="43"/>
  <c r="V161" i="43"/>
  <c r="F161" i="43"/>
  <c r="AI160" i="43"/>
  <c r="AI158" i="43"/>
  <c r="AI157" i="43"/>
  <c r="AG152" i="43"/>
  <c r="AF152" i="43"/>
  <c r="AE152" i="43"/>
  <c r="AD152" i="43"/>
  <c r="AC152" i="43"/>
  <c r="AB152" i="43"/>
  <c r="AA152" i="43"/>
  <c r="Z152" i="43"/>
  <c r="Y152" i="43"/>
  <c r="X152" i="43"/>
  <c r="W152" i="43"/>
  <c r="V152" i="43"/>
  <c r="U152" i="43"/>
  <c r="T152" i="43"/>
  <c r="S152" i="43"/>
  <c r="R152" i="43"/>
  <c r="Q152" i="43"/>
  <c r="P152" i="43"/>
  <c r="O152" i="43"/>
  <c r="N152" i="43"/>
  <c r="M152" i="43"/>
  <c r="L152" i="43"/>
  <c r="K152" i="43"/>
  <c r="J152" i="43"/>
  <c r="I152" i="43"/>
  <c r="H152" i="43"/>
  <c r="G152" i="43"/>
  <c r="F152" i="43"/>
  <c r="AG151" i="43"/>
  <c r="AF151" i="43"/>
  <c r="AE151" i="43"/>
  <c r="AD151" i="43"/>
  <c r="AC151" i="43"/>
  <c r="AB151" i="43"/>
  <c r="AA151" i="43"/>
  <c r="Z151" i="43"/>
  <c r="Y151" i="43"/>
  <c r="X151" i="43"/>
  <c r="W151" i="43"/>
  <c r="V151" i="43"/>
  <c r="U151" i="43"/>
  <c r="T151" i="43"/>
  <c r="S151" i="43"/>
  <c r="R151" i="43"/>
  <c r="Q151" i="43"/>
  <c r="P151" i="43"/>
  <c r="O151" i="43"/>
  <c r="N151" i="43"/>
  <c r="M151" i="43"/>
  <c r="L151" i="43"/>
  <c r="K151" i="43"/>
  <c r="J151" i="43"/>
  <c r="I151" i="43"/>
  <c r="H151" i="43"/>
  <c r="G151" i="43"/>
  <c r="F151" i="43"/>
  <c r="AI148" i="43"/>
  <c r="AI147" i="43"/>
  <c r="AI145" i="43"/>
  <c r="AI144" i="43"/>
  <c r="AG141" i="43"/>
  <c r="AF141" i="43"/>
  <c r="AE141" i="43"/>
  <c r="AD141" i="43"/>
  <c r="AC141" i="43"/>
  <c r="AB141" i="43"/>
  <c r="AA141" i="43"/>
  <c r="Z141" i="43"/>
  <c r="Y141" i="43"/>
  <c r="X141" i="43"/>
  <c r="W141" i="43"/>
  <c r="V141" i="43"/>
  <c r="U141" i="43"/>
  <c r="T141" i="43"/>
  <c r="S141" i="43"/>
  <c r="R141" i="43"/>
  <c r="Q141" i="43"/>
  <c r="P141" i="43"/>
  <c r="O141" i="43"/>
  <c r="N141" i="43"/>
  <c r="M141" i="43"/>
  <c r="L141" i="43"/>
  <c r="K141" i="43"/>
  <c r="J141" i="43"/>
  <c r="I141" i="43"/>
  <c r="H141" i="43"/>
  <c r="G141" i="43"/>
  <c r="F141" i="43"/>
  <c r="AG140" i="43"/>
  <c r="AF140" i="43"/>
  <c r="AE140" i="43"/>
  <c r="AD140" i="43"/>
  <c r="AC140" i="43"/>
  <c r="AB140" i="43"/>
  <c r="AA140" i="43"/>
  <c r="Z140" i="43"/>
  <c r="Y140" i="43"/>
  <c r="X140" i="43"/>
  <c r="W140" i="43"/>
  <c r="V140" i="43"/>
  <c r="U140" i="43"/>
  <c r="T140" i="43"/>
  <c r="S140" i="43"/>
  <c r="R140" i="43"/>
  <c r="Q140" i="43"/>
  <c r="P140" i="43"/>
  <c r="O140" i="43"/>
  <c r="N140" i="43"/>
  <c r="M140" i="43"/>
  <c r="L140" i="43"/>
  <c r="K140" i="43"/>
  <c r="J140" i="43"/>
  <c r="I140" i="43"/>
  <c r="H140" i="43"/>
  <c r="G140" i="43"/>
  <c r="F140" i="43"/>
  <c r="AG139" i="43"/>
  <c r="AG155" i="43" s="1"/>
  <c r="AF139" i="43"/>
  <c r="AF155" i="43" s="1"/>
  <c r="AE139" i="43"/>
  <c r="AE155" i="43" s="1"/>
  <c r="AD139" i="43"/>
  <c r="AD155" i="43" s="1"/>
  <c r="AC139" i="43"/>
  <c r="AC155" i="43" s="1"/>
  <c r="AB139" i="43"/>
  <c r="AB155" i="43" s="1"/>
  <c r="AA139" i="43"/>
  <c r="AA155" i="43" s="1"/>
  <c r="Z139" i="43"/>
  <c r="Z155" i="43" s="1"/>
  <c r="Y139" i="43"/>
  <c r="Y155" i="43" s="1"/>
  <c r="X139" i="43"/>
  <c r="X155" i="43" s="1"/>
  <c r="W139" i="43"/>
  <c r="W155" i="43" s="1"/>
  <c r="V139" i="43"/>
  <c r="V155" i="43" s="1"/>
  <c r="U139" i="43"/>
  <c r="U155" i="43" s="1"/>
  <c r="T139" i="43"/>
  <c r="T155" i="43" s="1"/>
  <c r="S139" i="43"/>
  <c r="S155" i="43" s="1"/>
  <c r="R139" i="43"/>
  <c r="R155" i="43" s="1"/>
  <c r="Q139" i="43"/>
  <c r="Q155" i="43" s="1"/>
  <c r="P139" i="43"/>
  <c r="P155" i="43" s="1"/>
  <c r="O139" i="43"/>
  <c r="O155" i="43" s="1"/>
  <c r="N139" i="43"/>
  <c r="N155" i="43" s="1"/>
  <c r="M139" i="43"/>
  <c r="M155" i="43" s="1"/>
  <c r="L139" i="43"/>
  <c r="L155" i="43" s="1"/>
  <c r="K139" i="43"/>
  <c r="K155" i="43" s="1"/>
  <c r="J139" i="43"/>
  <c r="J155" i="43" s="1"/>
  <c r="I139" i="43"/>
  <c r="I155" i="43" s="1"/>
  <c r="H139" i="43"/>
  <c r="H155" i="43" s="1"/>
  <c r="G139" i="43"/>
  <c r="G155" i="43" s="1"/>
  <c r="F139" i="43"/>
  <c r="F155" i="43" s="1"/>
  <c r="AG138" i="43"/>
  <c r="AF138" i="43"/>
  <c r="AE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K138" i="43"/>
  <c r="J138" i="43"/>
  <c r="I138" i="43"/>
  <c r="H138" i="43"/>
  <c r="G138" i="43"/>
  <c r="F138" i="43"/>
  <c r="AG137" i="43"/>
  <c r="AG154" i="43" s="1"/>
  <c r="AF137" i="43"/>
  <c r="AF154" i="43" s="1"/>
  <c r="AE137" i="43"/>
  <c r="AE154" i="43" s="1"/>
  <c r="AD137" i="43"/>
  <c r="AD154" i="43" s="1"/>
  <c r="AC137" i="43"/>
  <c r="AC154" i="43" s="1"/>
  <c r="AB137" i="43"/>
  <c r="AB154" i="43" s="1"/>
  <c r="AA137" i="43"/>
  <c r="AA154" i="43" s="1"/>
  <c r="Z137" i="43"/>
  <c r="Z154" i="43" s="1"/>
  <c r="Y137" i="43"/>
  <c r="Y154" i="43" s="1"/>
  <c r="X137" i="43"/>
  <c r="X154" i="43" s="1"/>
  <c r="W137" i="43"/>
  <c r="W154" i="43" s="1"/>
  <c r="V137" i="43"/>
  <c r="V154" i="43" s="1"/>
  <c r="U137" i="43"/>
  <c r="U154" i="43" s="1"/>
  <c r="T137" i="43"/>
  <c r="T154" i="43" s="1"/>
  <c r="S137" i="43"/>
  <c r="S154" i="43" s="1"/>
  <c r="R137" i="43"/>
  <c r="R154" i="43" s="1"/>
  <c r="Q137" i="43"/>
  <c r="Q154" i="43" s="1"/>
  <c r="P137" i="43"/>
  <c r="P154" i="43" s="1"/>
  <c r="O137" i="43"/>
  <c r="O154" i="43" s="1"/>
  <c r="N137" i="43"/>
  <c r="N154" i="43" s="1"/>
  <c r="M137" i="43"/>
  <c r="M154" i="43" s="1"/>
  <c r="L137" i="43"/>
  <c r="L154" i="43" s="1"/>
  <c r="K137" i="43"/>
  <c r="K154" i="43" s="1"/>
  <c r="J137" i="43"/>
  <c r="J154" i="43" s="1"/>
  <c r="I137" i="43"/>
  <c r="I154" i="43" s="1"/>
  <c r="H137" i="43"/>
  <c r="H154" i="43" s="1"/>
  <c r="G137" i="43"/>
  <c r="G154" i="43" s="1"/>
  <c r="F137" i="43"/>
  <c r="F154" i="43" s="1"/>
  <c r="AI135" i="43"/>
  <c r="AI139" i="43" s="1"/>
  <c r="AI134" i="43"/>
  <c r="AI138" i="43" s="1"/>
  <c r="AI133" i="43"/>
  <c r="AI137" i="43" s="1"/>
  <c r="AG130" i="43"/>
  <c r="AG131" i="43" s="1"/>
  <c r="AF130" i="43"/>
  <c r="AF131" i="43" s="1"/>
  <c r="AE130" i="43"/>
  <c r="AE131" i="43" s="1"/>
  <c r="AD130" i="43"/>
  <c r="AD131" i="43" s="1"/>
  <c r="AC130" i="43"/>
  <c r="AC131" i="43" s="1"/>
  <c r="AB130" i="43"/>
  <c r="AB131" i="43" s="1"/>
  <c r="AA130" i="43"/>
  <c r="AA131" i="43" s="1"/>
  <c r="Z130" i="43"/>
  <c r="Z131" i="43" s="1"/>
  <c r="Y130" i="43"/>
  <c r="Y131" i="43" s="1"/>
  <c r="X130" i="43"/>
  <c r="X131" i="43" s="1"/>
  <c r="W130" i="43"/>
  <c r="W131" i="43" s="1"/>
  <c r="V130" i="43"/>
  <c r="V131" i="43" s="1"/>
  <c r="U130" i="43"/>
  <c r="U131" i="43" s="1"/>
  <c r="T131" i="43"/>
  <c r="Q131" i="43"/>
  <c r="P131" i="43"/>
  <c r="O131" i="43"/>
  <c r="N131" i="43"/>
  <c r="M131" i="43"/>
  <c r="L131" i="43"/>
  <c r="K131" i="43"/>
  <c r="J131" i="43"/>
  <c r="H131" i="43"/>
  <c r="G131" i="43"/>
  <c r="AI128" i="43"/>
  <c r="AG123" i="43"/>
  <c r="AF123" i="43"/>
  <c r="AE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AG122" i="43"/>
  <c r="AF122" i="43"/>
  <c r="AE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AI119" i="43"/>
  <c r="AI116" i="43"/>
  <c r="AI115" i="43"/>
  <c r="AG112" i="43"/>
  <c r="AF112" i="43"/>
  <c r="AE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AG111" i="43"/>
  <c r="AF111" i="43"/>
  <c r="AE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G110" i="43"/>
  <c r="AG126" i="43" s="1"/>
  <c r="AF110" i="43"/>
  <c r="AF126" i="43" s="1"/>
  <c r="AE110" i="43"/>
  <c r="AE126" i="43" s="1"/>
  <c r="AD110" i="43"/>
  <c r="AD126" i="43" s="1"/>
  <c r="AC110" i="43"/>
  <c r="AC126" i="43" s="1"/>
  <c r="AB110" i="43"/>
  <c r="AB126" i="43" s="1"/>
  <c r="AA110" i="43"/>
  <c r="AA126" i="43" s="1"/>
  <c r="Z110" i="43"/>
  <c r="Z126" i="43" s="1"/>
  <c r="Y110" i="43"/>
  <c r="Y126" i="43" s="1"/>
  <c r="X110" i="43"/>
  <c r="X126" i="43" s="1"/>
  <c r="W110" i="43"/>
  <c r="W126" i="43" s="1"/>
  <c r="V110" i="43"/>
  <c r="V126" i="43" s="1"/>
  <c r="U110" i="43"/>
  <c r="U126" i="43" s="1"/>
  <c r="T110" i="43"/>
  <c r="T126" i="43" s="1"/>
  <c r="S110" i="43"/>
  <c r="S126" i="43" s="1"/>
  <c r="R110" i="43"/>
  <c r="R126" i="43" s="1"/>
  <c r="Q110" i="43"/>
  <c r="Q126" i="43" s="1"/>
  <c r="P110" i="43"/>
  <c r="P126" i="43" s="1"/>
  <c r="O110" i="43"/>
  <c r="O126" i="43" s="1"/>
  <c r="N110" i="43"/>
  <c r="N126" i="43" s="1"/>
  <c r="M110" i="43"/>
  <c r="M126" i="43" s="1"/>
  <c r="L110" i="43"/>
  <c r="L126" i="43" s="1"/>
  <c r="K110" i="43"/>
  <c r="K126" i="43" s="1"/>
  <c r="J110" i="43"/>
  <c r="J126" i="43" s="1"/>
  <c r="I110" i="43"/>
  <c r="I126" i="43" s="1"/>
  <c r="H110" i="43"/>
  <c r="H126" i="43" s="1"/>
  <c r="G110" i="43"/>
  <c r="G126" i="43" s="1"/>
  <c r="F126" i="43"/>
  <c r="AG109" i="43"/>
  <c r="AF109" i="43"/>
  <c r="AE109" i="43"/>
  <c r="AD109" i="43"/>
  <c r="AD125" i="43" s="1"/>
  <c r="AC109" i="43"/>
  <c r="AB109" i="43"/>
  <c r="AA109" i="43"/>
  <c r="Z109" i="43"/>
  <c r="Y109" i="43"/>
  <c r="X109" i="43"/>
  <c r="W109" i="43"/>
  <c r="W125" i="43" s="1"/>
  <c r="V109" i="43"/>
  <c r="U109" i="43"/>
  <c r="T109" i="43"/>
  <c r="S109" i="43"/>
  <c r="R109" i="43"/>
  <c r="Q109" i="43"/>
  <c r="P109" i="43"/>
  <c r="P125" i="43" s="1"/>
  <c r="O109" i="43"/>
  <c r="N109" i="43"/>
  <c r="M109" i="43"/>
  <c r="L109" i="43"/>
  <c r="K109" i="43"/>
  <c r="J109" i="43"/>
  <c r="I109" i="43"/>
  <c r="I125" i="43" s="1"/>
  <c r="H109" i="43"/>
  <c r="G109" i="43"/>
  <c r="F125" i="43"/>
  <c r="AI107" i="43"/>
  <c r="AI110" i="43" s="1"/>
  <c r="AI106" i="43"/>
  <c r="AI109" i="43" s="1"/>
  <c r="AG103" i="43"/>
  <c r="AG104" i="43" s="1"/>
  <c r="AF103" i="43"/>
  <c r="AF104" i="43" s="1"/>
  <c r="AE103" i="43"/>
  <c r="AE104" i="43" s="1"/>
  <c r="AD103" i="43"/>
  <c r="AD104" i="43" s="1"/>
  <c r="AC104" i="43"/>
  <c r="AB104" i="43"/>
  <c r="AA103" i="43"/>
  <c r="AA104" i="43" s="1"/>
  <c r="Z103" i="43"/>
  <c r="Z104" i="43" s="1"/>
  <c r="Y103" i="43"/>
  <c r="Y104" i="43" s="1"/>
  <c r="X103" i="43"/>
  <c r="X104" i="43" s="1"/>
  <c r="W103" i="43"/>
  <c r="W104" i="43" s="1"/>
  <c r="V103" i="43"/>
  <c r="V104" i="43" s="1"/>
  <c r="U103" i="43"/>
  <c r="U104" i="43" s="1"/>
  <c r="T103" i="43"/>
  <c r="T104" i="43" s="1"/>
  <c r="S103" i="43"/>
  <c r="S104" i="43" s="1"/>
  <c r="R103" i="43"/>
  <c r="R104" i="43" s="1"/>
  <c r="Q103" i="43"/>
  <c r="Q104" i="43" s="1"/>
  <c r="P103" i="43"/>
  <c r="P104" i="43" s="1"/>
  <c r="O103" i="43"/>
  <c r="O104" i="43" s="1"/>
  <c r="N103" i="43"/>
  <c r="N104" i="43" s="1"/>
  <c r="M103" i="43"/>
  <c r="M104" i="43" s="1"/>
  <c r="L103" i="43"/>
  <c r="L104" i="43" s="1"/>
  <c r="K103" i="43"/>
  <c r="K104" i="43" s="1"/>
  <c r="J103" i="43"/>
  <c r="J104" i="43" s="1"/>
  <c r="I103" i="43"/>
  <c r="I104" i="43" s="1"/>
  <c r="H103" i="43"/>
  <c r="H104" i="43" s="1"/>
  <c r="G103" i="43"/>
  <c r="G104" i="43" s="1"/>
  <c r="H100" i="43"/>
  <c r="AG97" i="43"/>
  <c r="AF97" i="43"/>
  <c r="AE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AG96" i="43"/>
  <c r="AF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AI93" i="43"/>
  <c r="AI92" i="43"/>
  <c r="AI90" i="43"/>
  <c r="AI89" i="43"/>
  <c r="AG86" i="43"/>
  <c r="AF86" i="43"/>
  <c r="AE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AF85" i="43"/>
  <c r="AE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AG84" i="43"/>
  <c r="AG100" i="43" s="1"/>
  <c r="AF84" i="43"/>
  <c r="AF100" i="43" s="1"/>
  <c r="AE84" i="43"/>
  <c r="AE100" i="43" s="1"/>
  <c r="AD84" i="43"/>
  <c r="AD100" i="43" s="1"/>
  <c r="AC84" i="43"/>
  <c r="AC100" i="43" s="1"/>
  <c r="AB84" i="43"/>
  <c r="AB100" i="43" s="1"/>
  <c r="AA84" i="43"/>
  <c r="AA100" i="43" s="1"/>
  <c r="Z84" i="43"/>
  <c r="Z100" i="43" s="1"/>
  <c r="Y84" i="43"/>
  <c r="Y100" i="43" s="1"/>
  <c r="X84" i="43"/>
  <c r="X100" i="43" s="1"/>
  <c r="W84" i="43"/>
  <c r="W100" i="43" s="1"/>
  <c r="V84" i="43"/>
  <c r="V100" i="43" s="1"/>
  <c r="U84" i="43"/>
  <c r="U100" i="43" s="1"/>
  <c r="T84" i="43"/>
  <c r="T100" i="43" s="1"/>
  <c r="S84" i="43"/>
  <c r="S100" i="43" s="1"/>
  <c r="R84" i="43"/>
  <c r="R100" i="43" s="1"/>
  <c r="Q84" i="43"/>
  <c r="Q100" i="43" s="1"/>
  <c r="P84" i="43"/>
  <c r="P100" i="43" s="1"/>
  <c r="O84" i="43"/>
  <c r="O100" i="43" s="1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I100" i="43" s="1"/>
  <c r="G84" i="43"/>
  <c r="G100" i="43" s="1"/>
  <c r="F84" i="43"/>
  <c r="F100" i="43" s="1"/>
  <c r="AG83" i="43"/>
  <c r="AG99" i="43" s="1"/>
  <c r="AF83" i="43"/>
  <c r="AF99" i="43" s="1"/>
  <c r="AE83" i="43"/>
  <c r="AE99" i="43" s="1"/>
  <c r="AD83" i="43"/>
  <c r="AD99" i="43" s="1"/>
  <c r="AC83" i="43"/>
  <c r="AC99" i="43" s="1"/>
  <c r="AB83" i="43"/>
  <c r="AB99" i="43" s="1"/>
  <c r="AA83" i="43"/>
  <c r="AA99" i="43" s="1"/>
  <c r="Z83" i="43"/>
  <c r="Z99" i="43" s="1"/>
  <c r="Y83" i="43"/>
  <c r="Y99" i="43" s="1"/>
  <c r="X83" i="43"/>
  <c r="X99" i="43" s="1"/>
  <c r="W83" i="43"/>
  <c r="W99" i="43" s="1"/>
  <c r="V83" i="43"/>
  <c r="V99" i="43" s="1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P99" i="43" s="1"/>
  <c r="O83" i="43"/>
  <c r="O99" i="43" s="1"/>
  <c r="N83" i="43"/>
  <c r="N99" i="43" s="1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H99" i="43" s="1"/>
  <c r="G83" i="43"/>
  <c r="G99" i="43" s="1"/>
  <c r="F83" i="43"/>
  <c r="F99" i="43" s="1"/>
  <c r="AI81" i="43"/>
  <c r="AI84" i="43" s="1"/>
  <c r="AI80" i="43"/>
  <c r="AI83" i="43" s="1"/>
  <c r="AI78" i="43"/>
  <c r="AG76" i="43"/>
  <c r="AG77" i="43" s="1"/>
  <c r="AF76" i="43"/>
  <c r="AF77" i="43" s="1"/>
  <c r="AE76" i="43"/>
  <c r="AE77" i="43" s="1"/>
  <c r="AD76" i="43"/>
  <c r="AD77" i="43" s="1"/>
  <c r="AC76" i="43"/>
  <c r="AC77" i="43" s="1"/>
  <c r="AB76" i="43"/>
  <c r="AB77" i="43" s="1"/>
  <c r="AA76" i="43"/>
  <c r="AA77" i="43" s="1"/>
  <c r="Z76" i="43"/>
  <c r="Z77" i="43" s="1"/>
  <c r="Y76" i="43"/>
  <c r="Y77" i="43" s="1"/>
  <c r="X76" i="43"/>
  <c r="X77" i="43" s="1"/>
  <c r="W76" i="43"/>
  <c r="W77" i="43" s="1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Q77" i="43" s="1"/>
  <c r="P76" i="43"/>
  <c r="P77" i="43" s="1"/>
  <c r="O76" i="43"/>
  <c r="O77" i="43" s="1"/>
  <c r="N76" i="43"/>
  <c r="N77" i="43" s="1"/>
  <c r="M76" i="43"/>
  <c r="M77" i="43" s="1"/>
  <c r="L76" i="43"/>
  <c r="L77" i="43" s="1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F77" i="43" s="1"/>
  <c r="AI75" i="43"/>
  <c r="AI74" i="43"/>
  <c r="AG72" i="43"/>
  <c r="AF72" i="43"/>
  <c r="AE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M72" i="43"/>
  <c r="L72" i="43"/>
  <c r="K72" i="43"/>
  <c r="J72" i="43"/>
  <c r="I72" i="43"/>
  <c r="H72" i="43"/>
  <c r="G72" i="43"/>
  <c r="F72" i="43"/>
  <c r="N70" i="43"/>
  <c r="I70" i="43"/>
  <c r="G70" i="43"/>
  <c r="AF69" i="43"/>
  <c r="S69" i="43"/>
  <c r="Q69" i="43"/>
  <c r="N69" i="43"/>
  <c r="L69" i="43"/>
  <c r="K69" i="43"/>
  <c r="J69" i="43"/>
  <c r="I69" i="43"/>
  <c r="H69" i="43"/>
  <c r="G69" i="43"/>
  <c r="AI68" i="43"/>
  <c r="AF67" i="43"/>
  <c r="AE67" i="43"/>
  <c r="AD67" i="43"/>
  <c r="AC67" i="43"/>
  <c r="AB67" i="43"/>
  <c r="AA67" i="43"/>
  <c r="Z67" i="43"/>
  <c r="Y67" i="43"/>
  <c r="X67" i="43"/>
  <c r="W67" i="43"/>
  <c r="T67" i="43"/>
  <c r="S67" i="43"/>
  <c r="R67" i="43"/>
  <c r="Q67" i="43"/>
  <c r="P67" i="43"/>
  <c r="O67" i="43"/>
  <c r="M67" i="43"/>
  <c r="L67" i="43"/>
  <c r="K67" i="43"/>
  <c r="J67" i="43"/>
  <c r="I67" i="43"/>
  <c r="H67" i="43"/>
  <c r="G67" i="43"/>
  <c r="AI66" i="43"/>
  <c r="AF65" i="43"/>
  <c r="AB65" i="43"/>
  <c r="S65" i="43"/>
  <c r="Q65" i="43"/>
  <c r="L65" i="43"/>
  <c r="CI65" i="43" s="1"/>
  <c r="K65" i="43"/>
  <c r="CH65" i="43" s="1"/>
  <c r="J65" i="43"/>
  <c r="I65" i="43"/>
  <c r="H65" i="43"/>
  <c r="G65" i="43"/>
  <c r="AG62" i="43"/>
  <c r="AF62" i="43"/>
  <c r="AE62" i="43"/>
  <c r="AD62" i="43"/>
  <c r="AC62" i="43"/>
  <c r="AB62" i="43"/>
  <c r="AA62" i="43"/>
  <c r="Z62" i="43"/>
  <c r="Y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J62" i="43"/>
  <c r="I62" i="43"/>
  <c r="H62" i="43"/>
  <c r="AG61" i="43"/>
  <c r="AF61" i="43"/>
  <c r="AE61" i="43"/>
  <c r="AD61" i="43"/>
  <c r="AC61" i="43"/>
  <c r="AB61" i="43"/>
  <c r="AA61" i="43"/>
  <c r="Z61" i="43"/>
  <c r="Y61" i="43"/>
  <c r="U61" i="43"/>
  <c r="T61" i="43"/>
  <c r="S61" i="43"/>
  <c r="R61" i="43"/>
  <c r="Q61" i="43"/>
  <c r="P61" i="43"/>
  <c r="O61" i="43"/>
  <c r="N61" i="43"/>
  <c r="M61" i="43"/>
  <c r="L61" i="43"/>
  <c r="K61" i="43"/>
  <c r="J61" i="43"/>
  <c r="I61" i="43"/>
  <c r="H61" i="43"/>
  <c r="AG60" i="43"/>
  <c r="AF60" i="43"/>
  <c r="AE60" i="43"/>
  <c r="AD60" i="43"/>
  <c r="AC60" i="43"/>
  <c r="AB60" i="43"/>
  <c r="AA60" i="43"/>
  <c r="Z60" i="43"/>
  <c r="Y60" i="43"/>
  <c r="W60" i="43"/>
  <c r="V60" i="43"/>
  <c r="U60" i="43"/>
  <c r="T60" i="43"/>
  <c r="S60" i="43"/>
  <c r="R60" i="43"/>
  <c r="Q60" i="43"/>
  <c r="P60" i="43"/>
  <c r="AF59" i="43"/>
  <c r="AE59" i="43"/>
  <c r="AD59" i="43"/>
  <c r="AC59" i="43"/>
  <c r="AB59" i="43"/>
  <c r="AA59" i="43"/>
  <c r="Z59" i="43"/>
  <c r="Y59" i="43"/>
  <c r="W59" i="43"/>
  <c r="V59" i="43"/>
  <c r="U59" i="43"/>
  <c r="T59" i="43"/>
  <c r="S59" i="43"/>
  <c r="R59" i="43"/>
  <c r="Q59" i="43"/>
  <c r="P59" i="43"/>
  <c r="F58" i="43"/>
  <c r="V57" i="43"/>
  <c r="I56" i="43"/>
  <c r="G56" i="43"/>
  <c r="N55" i="43"/>
  <c r="I55" i="43"/>
  <c r="G55" i="43"/>
  <c r="AI51" i="43"/>
  <c r="V61" i="43"/>
  <c r="AG59" i="43"/>
  <c r="AI47" i="43"/>
  <c r="AI46" i="43"/>
  <c r="X60" i="43"/>
  <c r="N60" i="43"/>
  <c r="J60" i="43"/>
  <c r="F59" i="43"/>
  <c r="AI44" i="43"/>
  <c r="N67" i="43"/>
  <c r="S57" i="43"/>
  <c r="I57" i="43"/>
  <c r="AD58" i="43"/>
  <c r="T58" i="43"/>
  <c r="P58" i="43"/>
  <c r="K58" i="43"/>
  <c r="V58" i="43"/>
  <c r="Q58" i="43"/>
  <c r="F57" i="43"/>
  <c r="AF56" i="43"/>
  <c r="AE56" i="43"/>
  <c r="AA56" i="43"/>
  <c r="W56" i="43"/>
  <c r="S56" i="43"/>
  <c r="R56" i="43"/>
  <c r="Q56" i="43"/>
  <c r="N56" i="43"/>
  <c r="L56" i="43"/>
  <c r="K56" i="43"/>
  <c r="H56" i="43"/>
  <c r="D38" i="43"/>
  <c r="Z70" i="43"/>
  <c r="V70" i="43"/>
  <c r="J70" i="43"/>
  <c r="AI32" i="43"/>
  <c r="AE65" i="43"/>
  <c r="AB69" i="43"/>
  <c r="AA65" i="43"/>
  <c r="X69" i="43"/>
  <c r="W65" i="43"/>
  <c r="T69" i="43"/>
  <c r="O69" i="43"/>
  <c r="AI30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I21" i="43"/>
  <c r="AI20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I17" i="43"/>
  <c r="AI16" i="43"/>
  <c r="AG10" i="43"/>
  <c r="AF10" i="43"/>
  <c r="AE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I9" i="43"/>
  <c r="AI8" i="43"/>
  <c r="H88" i="40"/>
  <c r="H89" i="40"/>
  <c r="H92" i="40"/>
  <c r="H95" i="40"/>
  <c r="H96" i="40" s="1"/>
  <c r="H101" i="40"/>
  <c r="H102" i="40"/>
  <c r="H103" i="40"/>
  <c r="H104" i="40"/>
  <c r="AK158" i="43" l="1"/>
  <c r="AC118" i="43"/>
  <c r="AC125" i="43" s="1"/>
  <c r="AI96" i="43"/>
  <c r="AE118" i="43"/>
  <c r="AE125" i="43" s="1"/>
  <c r="AI85" i="43"/>
  <c r="AI97" i="43"/>
  <c r="X118" i="43"/>
  <c r="X125" i="43" s="1"/>
  <c r="AF118" i="43"/>
  <c r="AF125" i="43" s="1"/>
  <c r="Y118" i="43"/>
  <c r="Y125" i="43" s="1"/>
  <c r="AG118" i="43"/>
  <c r="AG125" i="43" s="1"/>
  <c r="Z118" i="43"/>
  <c r="Z125" i="43" s="1"/>
  <c r="AA118" i="43"/>
  <c r="AA125" i="43" s="1"/>
  <c r="V118" i="43"/>
  <c r="V125" i="43" s="1"/>
  <c r="AB118" i="43"/>
  <c r="AB125" i="43" s="1"/>
  <c r="AI122" i="43"/>
  <c r="AI27" i="43"/>
  <c r="F56" i="43"/>
  <c r="F55" i="43"/>
  <c r="F69" i="43"/>
  <c r="U118" i="43"/>
  <c r="U125" i="43" s="1"/>
  <c r="F65" i="43"/>
  <c r="S118" i="43"/>
  <c r="S125" i="43" s="1"/>
  <c r="T118" i="43"/>
  <c r="T125" i="43" s="1"/>
  <c r="F70" i="43"/>
  <c r="Q118" i="43"/>
  <c r="Q125" i="43" s="1"/>
  <c r="R118" i="43"/>
  <c r="R125" i="43" s="1"/>
  <c r="J118" i="43"/>
  <c r="J125" i="43" s="1"/>
  <c r="N118" i="43"/>
  <c r="N125" i="43" s="1"/>
  <c r="G118" i="43"/>
  <c r="G125" i="43" s="1"/>
  <c r="O118" i="43"/>
  <c r="O125" i="43" s="1"/>
  <c r="H118" i="43"/>
  <c r="H125" i="43" s="1"/>
  <c r="L118" i="43"/>
  <c r="L125" i="43" s="1"/>
  <c r="M118" i="43"/>
  <c r="M125" i="43" s="1"/>
  <c r="G62" i="43"/>
  <c r="K118" i="43"/>
  <c r="I131" i="43"/>
  <c r="AI130" i="43"/>
  <c r="AI18" i="43"/>
  <c r="AI178" i="43"/>
  <c r="AI123" i="43"/>
  <c r="AI103" i="43"/>
  <c r="F62" i="43"/>
  <c r="AI22" i="43"/>
  <c r="F60" i="43"/>
  <c r="AI38" i="43"/>
  <c r="AI41" i="43"/>
  <c r="AI53" i="43"/>
  <c r="AI86" i="43"/>
  <c r="AI140" i="43"/>
  <c r="AI141" i="43"/>
  <c r="AI151" i="43"/>
  <c r="AI183" i="43"/>
  <c r="AI190" i="43"/>
  <c r="Z56" i="43"/>
  <c r="AD56" i="43"/>
  <c r="Z57" i="43"/>
  <c r="J58" i="43"/>
  <c r="N58" i="43"/>
  <c r="AA69" i="43"/>
  <c r="AI111" i="43"/>
  <c r="AI112" i="43"/>
  <c r="AI126" i="43"/>
  <c r="AI152" i="43"/>
  <c r="AI170" i="43"/>
  <c r="AI171" i="43" s="1"/>
  <c r="AI197" i="43"/>
  <c r="V69" i="43"/>
  <c r="V67" i="43"/>
  <c r="Z69" i="43"/>
  <c r="Z65" i="43"/>
  <c r="AD69" i="43"/>
  <c r="AD65" i="43"/>
  <c r="X58" i="43"/>
  <c r="K60" i="43"/>
  <c r="K59" i="43"/>
  <c r="AI77" i="43"/>
  <c r="AK164" i="43"/>
  <c r="AK165" i="43" s="1"/>
  <c r="AK182" i="43"/>
  <c r="R69" i="43"/>
  <c r="R65" i="43"/>
  <c r="H70" i="43"/>
  <c r="H55" i="43"/>
  <c r="M70" i="43"/>
  <c r="M55" i="43"/>
  <c r="S70" i="43"/>
  <c r="S55" i="43"/>
  <c r="X70" i="43"/>
  <c r="X55" i="43"/>
  <c r="AB70" i="43"/>
  <c r="AB55" i="43"/>
  <c r="AF70" i="43"/>
  <c r="AF55" i="43"/>
  <c r="M56" i="43"/>
  <c r="X56" i="43"/>
  <c r="AB56" i="43"/>
  <c r="K57" i="43"/>
  <c r="O57" i="43"/>
  <c r="T57" i="43"/>
  <c r="AE57" i="43"/>
  <c r="L58" i="43"/>
  <c r="H60" i="43"/>
  <c r="H59" i="43"/>
  <c r="L60" i="43"/>
  <c r="L59" i="43"/>
  <c r="O60" i="43"/>
  <c r="AI52" i="43"/>
  <c r="X61" i="43"/>
  <c r="R55" i="43"/>
  <c r="J56" i="43"/>
  <c r="J57" i="43"/>
  <c r="J59" i="43"/>
  <c r="AG67" i="43"/>
  <c r="AE69" i="43"/>
  <c r="R70" i="43"/>
  <c r="L70" i="43"/>
  <c r="L55" i="43"/>
  <c r="Q70" i="43"/>
  <c r="Q55" i="43"/>
  <c r="W70" i="43"/>
  <c r="W55" i="43"/>
  <c r="AA70" i="43"/>
  <c r="AA55" i="43"/>
  <c r="AE70" i="43"/>
  <c r="AE55" i="43"/>
  <c r="G58" i="43"/>
  <c r="G57" i="43"/>
  <c r="W58" i="43"/>
  <c r="W57" i="43"/>
  <c r="G60" i="43"/>
  <c r="G59" i="43"/>
  <c r="V56" i="43"/>
  <c r="AD70" i="43"/>
  <c r="M69" i="43"/>
  <c r="M65" i="43"/>
  <c r="AG69" i="43"/>
  <c r="AG65" i="43"/>
  <c r="AI31" i="43"/>
  <c r="O70" i="43"/>
  <c r="O55" i="43"/>
  <c r="T70" i="43"/>
  <c r="T55" i="43"/>
  <c r="Y70" i="43"/>
  <c r="Y55" i="43"/>
  <c r="AC70" i="43"/>
  <c r="AC55" i="43"/>
  <c r="AG70" i="43"/>
  <c r="AG55" i="43"/>
  <c r="AI37" i="43"/>
  <c r="T56" i="43"/>
  <c r="Y56" i="43"/>
  <c r="AC56" i="43"/>
  <c r="AG56" i="43"/>
  <c r="Y58" i="43"/>
  <c r="AC58" i="43"/>
  <c r="L57" i="43"/>
  <c r="P57" i="43"/>
  <c r="U57" i="43"/>
  <c r="AB57" i="43"/>
  <c r="AF57" i="43"/>
  <c r="H58" i="43"/>
  <c r="M58" i="43"/>
  <c r="S58" i="43"/>
  <c r="AE58" i="43"/>
  <c r="AI42" i="43"/>
  <c r="I60" i="43"/>
  <c r="I59" i="43"/>
  <c r="M60" i="43"/>
  <c r="M59" i="43"/>
  <c r="O59" i="43"/>
  <c r="V55" i="43"/>
  <c r="N57" i="43"/>
  <c r="AD57" i="43"/>
  <c r="N59" i="43"/>
  <c r="T65" i="43"/>
  <c r="U67" i="43"/>
  <c r="P56" i="43"/>
  <c r="P69" i="43"/>
  <c r="AA58" i="43"/>
  <c r="AA57" i="43"/>
  <c r="O58" i="43"/>
  <c r="AG58" i="43"/>
  <c r="AD55" i="43"/>
  <c r="AI10" i="43"/>
  <c r="O65" i="43"/>
  <c r="O56" i="43"/>
  <c r="U70" i="43"/>
  <c r="U56" i="43"/>
  <c r="U55" i="43"/>
  <c r="U69" i="43"/>
  <c r="U65" i="43"/>
  <c r="Y69" i="43"/>
  <c r="Y65" i="43"/>
  <c r="AC69" i="43"/>
  <c r="AC65" i="43"/>
  <c r="K70" i="43"/>
  <c r="K55" i="43"/>
  <c r="P70" i="43"/>
  <c r="P55" i="43"/>
  <c r="R58" i="43"/>
  <c r="H57" i="43"/>
  <c r="M57" i="43"/>
  <c r="Q57" i="43"/>
  <c r="X57" i="43"/>
  <c r="AG57" i="43"/>
  <c r="I58" i="43"/>
  <c r="U58" i="43"/>
  <c r="AB58" i="43"/>
  <c r="AF58" i="43"/>
  <c r="AI45" i="43"/>
  <c r="AI59" i="43" s="1"/>
  <c r="X59" i="43"/>
  <c r="J55" i="43"/>
  <c r="Z55" i="43"/>
  <c r="N65" i="43"/>
  <c r="N72" i="43"/>
  <c r="AI64" i="43"/>
  <c r="AI72" i="43" s="1"/>
  <c r="P65" i="43"/>
  <c r="X65" i="43"/>
  <c r="W69" i="43"/>
  <c r="W61" i="43"/>
  <c r="W62" i="43"/>
  <c r="AI154" i="43"/>
  <c r="AI76" i="43"/>
  <c r="AI99" i="43"/>
  <c r="AI104" i="43"/>
  <c r="AI155" i="43"/>
  <c r="AI161" i="43"/>
  <c r="AI162" i="43" s="1"/>
  <c r="AK173" i="43"/>
  <c r="AI100" i="43"/>
  <c r="F131" i="43"/>
  <c r="F171" i="43"/>
  <c r="AL63" i="40"/>
  <c r="AL27" i="40"/>
  <c r="AL26" i="40"/>
  <c r="AM31" i="43" l="1"/>
  <c r="AK31" i="43"/>
  <c r="AK27" i="43"/>
  <c r="AI118" i="43"/>
  <c r="AI125" i="43" s="1"/>
  <c r="AI131" i="43"/>
  <c r="AI129" i="43" s="1"/>
  <c r="K125" i="43"/>
  <c r="AI102" i="43"/>
  <c r="AI69" i="43"/>
  <c r="AK69" i="43" s="1"/>
  <c r="Y57" i="43"/>
  <c r="AI50" i="43"/>
  <c r="AI62" i="43" s="1"/>
  <c r="AI60" i="43"/>
  <c r="R57" i="43"/>
  <c r="X62" i="43"/>
  <c r="AI40" i="43"/>
  <c r="Z58" i="43"/>
  <c r="AM35" i="43"/>
  <c r="V65" i="43"/>
  <c r="AI49" i="43"/>
  <c r="AI67" i="43" s="1"/>
  <c r="AK67" i="43" s="1"/>
  <c r="AI70" i="43"/>
  <c r="AI55" i="43"/>
  <c r="AC57" i="43"/>
  <c r="AI56" i="43"/>
  <c r="AJ32" i="40"/>
  <c r="AJ45" i="40"/>
  <c r="AJ44" i="40"/>
  <c r="AJ42" i="40" s="1"/>
  <c r="AJ30" i="40"/>
  <c r="AJ29" i="40"/>
  <c r="AJ23" i="40"/>
  <c r="AJ41" i="40" s="1"/>
  <c r="AL81" i="40"/>
  <c r="AM42" i="43" l="1"/>
  <c r="AM43" i="43" s="1"/>
  <c r="AI65" i="43"/>
  <c r="AK65" i="43" s="1"/>
  <c r="AI58" i="43"/>
  <c r="AI57" i="43"/>
  <c r="AI61" i="43"/>
  <c r="AM33" i="43"/>
  <c r="AM37" i="43"/>
  <c r="AL58" i="40"/>
  <c r="AI30" i="40"/>
  <c r="AI29" i="40"/>
  <c r="AI23" i="40"/>
  <c r="AH45" i="40"/>
  <c r="AH44" i="40"/>
  <c r="AH42" i="40" s="1"/>
  <c r="AH34" i="40"/>
  <c r="AH33" i="40"/>
  <c r="AH30" i="40"/>
  <c r="AH29" i="40"/>
  <c r="AH23" i="40"/>
  <c r="AH41" i="40" s="1"/>
  <c r="AI42" i="40"/>
  <c r="AG41" i="40"/>
  <c r="AG34" i="40"/>
  <c r="AG33" i="40"/>
  <c r="AI32" i="40"/>
  <c r="AG30" i="40"/>
  <c r="AG29" i="40"/>
  <c r="AG23" i="40"/>
  <c r="AI41" i="40"/>
  <c r="AF34" i="40"/>
  <c r="AF33" i="40"/>
  <c r="AF32" i="40" s="1"/>
  <c r="AF30" i="40"/>
  <c r="AF29" i="40"/>
  <c r="AG32" i="40" l="1"/>
  <c r="AM46" i="43"/>
  <c r="AM48" i="43" s="1"/>
  <c r="AH32" i="40"/>
  <c r="AE34" i="40"/>
  <c r="AE33" i="40"/>
  <c r="AE32" i="40" s="1"/>
  <c r="AE30" i="40"/>
  <c r="AE29" i="40"/>
  <c r="AE23" i="40"/>
  <c r="AP39" i="40"/>
  <c r="AP28" i="40"/>
  <c r="X45" i="40" l="1"/>
  <c r="X34" i="40" l="1"/>
  <c r="AD34" i="40" l="1"/>
  <c r="AD32" i="40" s="1"/>
  <c r="AD33" i="40"/>
  <c r="AD30" i="40"/>
  <c r="AD29" i="40"/>
  <c r="AD23" i="40"/>
  <c r="AA32" i="40"/>
  <c r="W32" i="40"/>
  <c r="V32" i="40"/>
  <c r="AJ122" i="40" l="1"/>
  <c r="AI122" i="40"/>
  <c r="AC34" i="40" l="1"/>
  <c r="AC33" i="40"/>
  <c r="AC30" i="40"/>
  <c r="AC29" i="40"/>
  <c r="AC23" i="40"/>
  <c r="AC32" i="40" l="1"/>
  <c r="AC122" i="40"/>
  <c r="AB122" i="40"/>
  <c r="AA122" i="40"/>
  <c r="Z122" i="40"/>
  <c r="V133" i="40"/>
  <c r="Y132" i="40"/>
  <c r="AC131" i="40"/>
  <c r="AB131" i="40"/>
  <c r="AA131" i="40"/>
  <c r="Z131" i="40"/>
  <c r="Y131" i="40"/>
  <c r="X131" i="40"/>
  <c r="AC130" i="40"/>
  <c r="AB130" i="40"/>
  <c r="AA130" i="40"/>
  <c r="Z130" i="40"/>
  <c r="Y130" i="40"/>
  <c r="X130" i="40"/>
  <c r="AC129" i="40"/>
  <c r="AB129" i="40"/>
  <c r="AA129" i="40"/>
  <c r="Z129" i="40"/>
  <c r="Y129" i="40"/>
  <c r="X129" i="40"/>
  <c r="AB34" i="40" l="1"/>
  <c r="AB33" i="40"/>
  <c r="Z34" i="40"/>
  <c r="Z33" i="40"/>
  <c r="Z30" i="40"/>
  <c r="Z29" i="40"/>
  <c r="Z23" i="40"/>
  <c r="Z32" i="40" l="1"/>
  <c r="AB32" i="40"/>
  <c r="AA30" i="40"/>
  <c r="AA29" i="40"/>
  <c r="AA23" i="40"/>
  <c r="AB30" i="40"/>
  <c r="AB29" i="40"/>
  <c r="AB23" i="40"/>
  <c r="X38" i="40" l="1"/>
  <c r="X33" i="40"/>
  <c r="X32" i="40" s="1"/>
  <c r="X30" i="40"/>
  <c r="X23" i="40"/>
  <c r="X29" i="40"/>
  <c r="AL22" i="40" l="1"/>
  <c r="Y64" i="40"/>
  <c r="Y122" i="40" l="1"/>
  <c r="X122" i="40"/>
  <c r="W122" i="40"/>
  <c r="V122" i="40"/>
  <c r="U122" i="40"/>
  <c r="T122" i="40"/>
  <c r="Y34" i="40" l="1"/>
  <c r="Y33" i="40"/>
  <c r="Y32" i="40" s="1"/>
  <c r="Y30" i="40"/>
  <c r="Y29" i="40"/>
  <c r="Y23" i="40"/>
  <c r="X133" i="40"/>
  <c r="X132" i="40"/>
  <c r="X42" i="40" l="1"/>
  <c r="X37" i="40"/>
  <c r="S122" i="40" l="1"/>
  <c r="P133" i="40"/>
  <c r="W130" i="40"/>
  <c r="V130" i="40"/>
  <c r="U130" i="40"/>
  <c r="T130" i="40"/>
  <c r="S130" i="40"/>
  <c r="R130" i="40"/>
  <c r="W131" i="40"/>
  <c r="V131" i="40"/>
  <c r="U131" i="40"/>
  <c r="T131" i="40"/>
  <c r="S131" i="40"/>
  <c r="R131" i="40"/>
  <c r="Q131" i="40"/>
  <c r="P131" i="40"/>
  <c r="O131" i="40"/>
  <c r="N131" i="40"/>
  <c r="M131" i="40"/>
  <c r="L131" i="40"/>
  <c r="K131" i="40"/>
  <c r="J131" i="40"/>
  <c r="I131" i="40"/>
  <c r="H131" i="40"/>
  <c r="G131" i="40"/>
  <c r="F131" i="40"/>
  <c r="AJ130" i="40"/>
  <c r="AI130" i="40"/>
  <c r="AH130" i="40"/>
  <c r="AG130" i="40"/>
  <c r="AF130" i="40"/>
  <c r="AE130" i="40"/>
  <c r="AD130" i="40"/>
  <c r="Q130" i="40"/>
  <c r="P130" i="40"/>
  <c r="O130" i="40"/>
  <c r="N130" i="40"/>
  <c r="M130" i="40"/>
  <c r="L130" i="40"/>
  <c r="K130" i="40"/>
  <c r="J130" i="40"/>
  <c r="I130" i="40"/>
  <c r="H130" i="40"/>
  <c r="G130" i="40"/>
  <c r="F130" i="40"/>
  <c r="AL126" i="40"/>
  <c r="AL130" i="40" s="1"/>
  <c r="H29" i="40" l="1"/>
  <c r="H30" i="40"/>
  <c r="W45" i="40"/>
  <c r="W44" i="40"/>
  <c r="W30" i="40"/>
  <c r="W29" i="40"/>
  <c r="W23" i="40"/>
  <c r="V42" i="40"/>
  <c r="V53" i="40" s="1"/>
  <c r="V30" i="40"/>
  <c r="V29" i="40"/>
  <c r="V23" i="40"/>
  <c r="V41" i="40" s="1"/>
  <c r="W42" i="40" l="1"/>
  <c r="U41" i="40"/>
  <c r="D29" i="40" l="1"/>
  <c r="S34" i="40"/>
  <c r="S32" i="40" s="1"/>
  <c r="S30" i="40"/>
  <c r="S29" i="40"/>
  <c r="T33" i="40"/>
  <c r="T32" i="40" s="1"/>
  <c r="T30" i="40"/>
  <c r="T29" i="40"/>
  <c r="T23" i="40"/>
  <c r="AJ57" i="40"/>
  <c r="AI57" i="40"/>
  <c r="AH57" i="40"/>
  <c r="AG57" i="40"/>
  <c r="AF57" i="40"/>
  <c r="AE57" i="40"/>
  <c r="AD57" i="40"/>
  <c r="AC57" i="40"/>
  <c r="AB57" i="40"/>
  <c r="AA57" i="40"/>
  <c r="Z57" i="40"/>
  <c r="Y57" i="40"/>
  <c r="X57" i="40"/>
  <c r="W57" i="40"/>
  <c r="V57" i="40"/>
  <c r="T57" i="40"/>
  <c r="S57" i="40"/>
  <c r="Q57" i="40"/>
  <c r="U59" i="40"/>
  <c r="U34" i="40"/>
  <c r="U33" i="40"/>
  <c r="U23" i="40"/>
  <c r="U57" i="40" s="1"/>
  <c r="H34" i="40"/>
  <c r="H33" i="40"/>
  <c r="I34" i="40"/>
  <c r="I32" i="40" s="1"/>
  <c r="J34" i="40"/>
  <c r="J33" i="40"/>
  <c r="J30" i="40"/>
  <c r="J29" i="40"/>
  <c r="K33" i="40"/>
  <c r="K32" i="40" s="1"/>
  <c r="K30" i="40"/>
  <c r="K29" i="40"/>
  <c r="L34" i="40"/>
  <c r="L33" i="40"/>
  <c r="L30" i="40"/>
  <c r="L29" i="40"/>
  <c r="M34" i="40"/>
  <c r="M33" i="40"/>
  <c r="M32" i="40" s="1"/>
  <c r="M30" i="40"/>
  <c r="M29" i="40"/>
  <c r="M23" i="40"/>
  <c r="N34" i="40"/>
  <c r="N33" i="40"/>
  <c r="N36" i="40"/>
  <c r="N30" i="40"/>
  <c r="O39" i="40"/>
  <c r="O34" i="40"/>
  <c r="O38" i="40"/>
  <c r="O33" i="40"/>
  <c r="O29" i="40"/>
  <c r="O23" i="40"/>
  <c r="O57" i="40" s="1"/>
  <c r="P33" i="40"/>
  <c r="P32" i="40" s="1"/>
  <c r="P29" i="40"/>
  <c r="P23" i="40"/>
  <c r="P57" i="40" s="1"/>
  <c r="Q33" i="40"/>
  <c r="Q32" i="40" s="1"/>
  <c r="Q30" i="40"/>
  <c r="Q29" i="40"/>
  <c r="R30" i="40"/>
  <c r="R23" i="40"/>
  <c r="R57" i="40" s="1"/>
  <c r="R34" i="40"/>
  <c r="R33" i="40"/>
  <c r="H32" i="40" l="1"/>
  <c r="R32" i="40"/>
  <c r="U32" i="40"/>
  <c r="L32" i="40"/>
  <c r="N32" i="40"/>
  <c r="J32" i="40"/>
  <c r="O32" i="40"/>
  <c r="AL23" i="40"/>
  <c r="AT57" i="40"/>
  <c r="AL29" i="40"/>
  <c r="AL30" i="40"/>
  <c r="AP23" i="40" l="1"/>
  <c r="AP27" i="40" s="1"/>
  <c r="AP29" i="40" s="1"/>
  <c r="AN23" i="40"/>
  <c r="AP25" i="40"/>
  <c r="N56" i="40"/>
  <c r="N57" i="40" s="1"/>
  <c r="O37" i="40" l="1"/>
  <c r="AL38" i="40"/>
  <c r="H149" i="40" l="1"/>
  <c r="D156" i="40"/>
  <c r="D160" i="40" s="1"/>
  <c r="N37" i="40"/>
  <c r="M37" i="40"/>
  <c r="L37" i="40"/>
  <c r="K37" i="40"/>
  <c r="J37" i="40"/>
  <c r="I37" i="40"/>
  <c r="H37" i="40"/>
  <c r="G37" i="40"/>
  <c r="F37" i="40"/>
  <c r="G32" i="40" l="1"/>
  <c r="F32" i="40"/>
  <c r="AL17" i="40" l="1"/>
  <c r="AJ19" i="40"/>
  <c r="AI19" i="40"/>
  <c r="AH19" i="40"/>
  <c r="AG19" i="40"/>
  <c r="AF19" i="40"/>
  <c r="AE19" i="40"/>
  <c r="AD19" i="40"/>
  <c r="AC19" i="40"/>
  <c r="AB19" i="40"/>
  <c r="AL13" i="40"/>
  <c r="AL9" i="40"/>
  <c r="AL19" i="40" l="1"/>
  <c r="AN19" i="40" s="1"/>
  <c r="AJ131" i="40"/>
  <c r="AI131" i="40"/>
  <c r="AH131" i="40"/>
  <c r="AG131" i="40"/>
  <c r="AF131" i="40"/>
  <c r="AE131" i="40"/>
  <c r="AD131" i="40"/>
  <c r="AJ129" i="40"/>
  <c r="AI129" i="40"/>
  <c r="AH129" i="40"/>
  <c r="AG129" i="40"/>
  <c r="AF129" i="40"/>
  <c r="AE129" i="40"/>
  <c r="AD129" i="40"/>
  <c r="AI132" i="40" l="1"/>
  <c r="AH132" i="40"/>
  <c r="AG132" i="40"/>
  <c r="AF132" i="40"/>
  <c r="AE132" i="40"/>
  <c r="AD132" i="40"/>
  <c r="AC132" i="40"/>
  <c r="AI95" i="40"/>
  <c r="AI104" i="40"/>
  <c r="AI78" i="40"/>
  <c r="AI68" i="40"/>
  <c r="AH133" i="40" l="1"/>
  <c r="AL44" i="40" l="1"/>
  <c r="AE10" i="40" l="1"/>
  <c r="AB132" i="40" l="1"/>
  <c r="AA132" i="40"/>
  <c r="Z132" i="40"/>
  <c r="AI187" i="40" l="1"/>
  <c r="AI180" i="40"/>
  <c r="AI173" i="40"/>
  <c r="AI168" i="40"/>
  <c r="AI160" i="40"/>
  <c r="AI161" i="40" s="1"/>
  <c r="AI154" i="40"/>
  <c r="AI153" i="40" s="1"/>
  <c r="AI144" i="40"/>
  <c r="AI143" i="40"/>
  <c r="AI133" i="40"/>
  <c r="AI147" i="40"/>
  <c r="AI146" i="40"/>
  <c r="AI123" i="40"/>
  <c r="AI115" i="40"/>
  <c r="AI114" i="40"/>
  <c r="AI103" i="40"/>
  <c r="AI102" i="40"/>
  <c r="AI118" i="40" s="1"/>
  <c r="AI101" i="40"/>
  <c r="AI117" i="40" s="1"/>
  <c r="AI96" i="40"/>
  <c r="AI89" i="40"/>
  <c r="AI88" i="40"/>
  <c r="AI77" i="40"/>
  <c r="AI76" i="40"/>
  <c r="AI92" i="40" s="1"/>
  <c r="AI75" i="40"/>
  <c r="AI91" i="40" s="1"/>
  <c r="AI69" i="40"/>
  <c r="AI64" i="40"/>
  <c r="AI62" i="40"/>
  <c r="AI61" i="40"/>
  <c r="AI59" i="40"/>
  <c r="AI54" i="40"/>
  <c r="AI53" i="40"/>
  <c r="AI52" i="40"/>
  <c r="AI51" i="40"/>
  <c r="AI50" i="40"/>
  <c r="AI49" i="40"/>
  <c r="AI48" i="40"/>
  <c r="AI47" i="40"/>
  <c r="AI18" i="40"/>
  <c r="AI14" i="40"/>
  <c r="AI10" i="40"/>
  <c r="W132" i="40" l="1"/>
  <c r="V132" i="40"/>
  <c r="U132" i="40"/>
  <c r="T132" i="40"/>
  <c r="S132" i="40"/>
  <c r="R132" i="40"/>
  <c r="Q132" i="40"/>
  <c r="P132" i="40"/>
  <c r="O132" i="40"/>
  <c r="N132" i="40"/>
  <c r="M132" i="40"/>
  <c r="L132" i="40"/>
  <c r="K132" i="40"/>
  <c r="J132" i="40"/>
  <c r="Y103" i="40"/>
  <c r="X103" i="40"/>
  <c r="W103" i="40"/>
  <c r="V103" i="40"/>
  <c r="U103" i="40"/>
  <c r="T103" i="40"/>
  <c r="S103" i="40"/>
  <c r="R103" i="40"/>
  <c r="Q103" i="40"/>
  <c r="P103" i="40"/>
  <c r="O103" i="40"/>
  <c r="N103" i="40"/>
  <c r="M103" i="40"/>
  <c r="L103" i="40"/>
  <c r="K103" i="40"/>
  <c r="J103" i="40"/>
  <c r="I103" i="40"/>
  <c r="Y77" i="40"/>
  <c r="X77" i="40"/>
  <c r="W77" i="40"/>
  <c r="V77" i="40"/>
  <c r="W129" i="40" l="1"/>
  <c r="V129" i="40"/>
  <c r="U129" i="40"/>
  <c r="T129" i="40"/>
  <c r="S129" i="40"/>
  <c r="R129" i="40"/>
  <c r="Q129" i="40"/>
  <c r="P129" i="40"/>
  <c r="O129" i="40" l="1"/>
  <c r="N129" i="40"/>
  <c r="M129" i="40"/>
  <c r="L129" i="40"/>
  <c r="K129" i="40"/>
  <c r="J129" i="40"/>
  <c r="Q122" i="40"/>
  <c r="P122" i="40"/>
  <c r="O122" i="40"/>
  <c r="N122" i="40"/>
  <c r="M122" i="40"/>
  <c r="L122" i="40"/>
  <c r="K122" i="40"/>
  <c r="J122" i="40"/>
  <c r="H59" i="40" l="1"/>
  <c r="J64" i="40"/>
  <c r="K57" i="40"/>
  <c r="I53" i="40" l="1"/>
  <c r="I54" i="40" l="1"/>
  <c r="K54" i="40"/>
  <c r="K53" i="40" l="1"/>
  <c r="K62" i="40"/>
  <c r="I122" i="40"/>
  <c r="G122" i="40"/>
  <c r="F122" i="40"/>
  <c r="I132" i="40"/>
  <c r="H132" i="40"/>
  <c r="G132" i="40"/>
  <c r="F132" i="40"/>
  <c r="I129" i="40"/>
  <c r="H129" i="40"/>
  <c r="G129" i="40"/>
  <c r="F129" i="40" l="1"/>
  <c r="G103" i="40"/>
  <c r="J54" i="40" l="1"/>
  <c r="AL42" i="40"/>
  <c r="J53" i="40"/>
  <c r="AJ103" i="40" l="1"/>
  <c r="AH77" i="40" l="1"/>
  <c r="AH103" i="40"/>
  <c r="AH62" i="40" l="1"/>
  <c r="AG103" i="40" l="1"/>
  <c r="AF103" i="40"/>
  <c r="AE103" i="40"/>
  <c r="AD103" i="40"/>
  <c r="AC103" i="40"/>
  <c r="AB103" i="40"/>
  <c r="AA103" i="40"/>
  <c r="Z103" i="40"/>
  <c r="AD77" i="40"/>
  <c r="AG77" i="40"/>
  <c r="AF77" i="40"/>
  <c r="AE77" i="40"/>
  <c r="AD62" i="40" l="1"/>
  <c r="AC77" i="40" l="1"/>
  <c r="AB77" i="40" l="1"/>
  <c r="AA77" i="40" l="1"/>
  <c r="Z77" i="40" l="1"/>
  <c r="U77" i="40" l="1"/>
  <c r="T77" i="40"/>
  <c r="S77" i="40"/>
  <c r="R77" i="40"/>
  <c r="Q77" i="40"/>
  <c r="P77" i="40"/>
  <c r="O77" i="40"/>
  <c r="N77" i="40"/>
  <c r="M77" i="40"/>
  <c r="L77" i="40"/>
  <c r="K77" i="40"/>
  <c r="J77" i="40"/>
  <c r="I77" i="40"/>
  <c r="H77" i="40"/>
  <c r="G77" i="40"/>
  <c r="F77" i="40"/>
  <c r="R122" i="40" l="1"/>
  <c r="AL122" i="40" s="1"/>
  <c r="AL120" i="40"/>
  <c r="S147" i="40" l="1"/>
  <c r="R147" i="40"/>
  <c r="AJ144" i="40"/>
  <c r="AH144" i="40"/>
  <c r="AG144" i="40"/>
  <c r="AF144" i="40"/>
  <c r="AE144" i="40"/>
  <c r="AD144" i="40"/>
  <c r="AC144" i="40"/>
  <c r="AB144" i="40"/>
  <c r="AA144" i="40"/>
  <c r="Z144" i="40"/>
  <c r="Y144" i="40"/>
  <c r="X144" i="40"/>
  <c r="W144" i="40"/>
  <c r="V144" i="40"/>
  <c r="U144" i="40"/>
  <c r="T144" i="40"/>
  <c r="S144" i="40"/>
  <c r="R144" i="40"/>
  <c r="Q144" i="40"/>
  <c r="P144" i="40"/>
  <c r="O144" i="40"/>
  <c r="N144" i="40"/>
  <c r="M144" i="40"/>
  <c r="L144" i="40"/>
  <c r="K144" i="40"/>
  <c r="J144" i="40"/>
  <c r="I144" i="40"/>
  <c r="H144" i="40"/>
  <c r="G144" i="40"/>
  <c r="F144" i="40"/>
  <c r="AJ143" i="40"/>
  <c r="AH143" i="40"/>
  <c r="AG143" i="40"/>
  <c r="AF143" i="40"/>
  <c r="AE143" i="40"/>
  <c r="AD143" i="40"/>
  <c r="AC143" i="40"/>
  <c r="AB143" i="40"/>
  <c r="AA143" i="40"/>
  <c r="Z143" i="40"/>
  <c r="Y143" i="40"/>
  <c r="X143" i="40"/>
  <c r="W143" i="40"/>
  <c r="V143" i="40"/>
  <c r="U143" i="40"/>
  <c r="T143" i="40"/>
  <c r="S143" i="40"/>
  <c r="R143" i="40"/>
  <c r="Q143" i="40"/>
  <c r="P143" i="40"/>
  <c r="O143" i="40"/>
  <c r="N143" i="40"/>
  <c r="M143" i="40"/>
  <c r="L143" i="40"/>
  <c r="K143" i="40"/>
  <c r="J143" i="40"/>
  <c r="I143" i="40"/>
  <c r="H143" i="40"/>
  <c r="G143" i="40"/>
  <c r="F143" i="40"/>
  <c r="AL140" i="40"/>
  <c r="AL139" i="40"/>
  <c r="AL137" i="40"/>
  <c r="AL136" i="40"/>
  <c r="AG133" i="40"/>
  <c r="AF133" i="40"/>
  <c r="AE133" i="40"/>
  <c r="AD133" i="40"/>
  <c r="AC133" i="40"/>
  <c r="AB133" i="40"/>
  <c r="AA133" i="40"/>
  <c r="Z133" i="40"/>
  <c r="Y133" i="40"/>
  <c r="W133" i="40"/>
  <c r="U133" i="40"/>
  <c r="T133" i="40"/>
  <c r="S133" i="40"/>
  <c r="R133" i="40"/>
  <c r="Q133" i="40"/>
  <c r="O133" i="40"/>
  <c r="N133" i="40"/>
  <c r="M133" i="40"/>
  <c r="L133" i="40"/>
  <c r="K133" i="40"/>
  <c r="J133" i="40"/>
  <c r="I133" i="40"/>
  <c r="H133" i="40"/>
  <c r="G133" i="40"/>
  <c r="F133" i="40"/>
  <c r="AL132" i="40"/>
  <c r="AJ147" i="40"/>
  <c r="AH147" i="40"/>
  <c r="AG147" i="40"/>
  <c r="AF147" i="40"/>
  <c r="AE147" i="40"/>
  <c r="AD147" i="40"/>
  <c r="AC147" i="40"/>
  <c r="AB147" i="40"/>
  <c r="AA147" i="40"/>
  <c r="Z147" i="40"/>
  <c r="Y147" i="40"/>
  <c r="X147" i="40"/>
  <c r="W147" i="40"/>
  <c r="V147" i="40"/>
  <c r="U147" i="40"/>
  <c r="T147" i="40"/>
  <c r="Q147" i="40"/>
  <c r="P147" i="40"/>
  <c r="O147" i="40"/>
  <c r="N147" i="40"/>
  <c r="M147" i="40"/>
  <c r="L147" i="40"/>
  <c r="K147" i="40"/>
  <c r="J147" i="40"/>
  <c r="I147" i="40"/>
  <c r="H147" i="40"/>
  <c r="G147" i="40"/>
  <c r="F147" i="40"/>
  <c r="AJ146" i="40"/>
  <c r="AH146" i="40"/>
  <c r="AG146" i="40"/>
  <c r="AF146" i="40"/>
  <c r="AE146" i="40"/>
  <c r="AD146" i="40"/>
  <c r="AC146" i="40"/>
  <c r="AB146" i="40"/>
  <c r="AA146" i="40"/>
  <c r="Z146" i="40"/>
  <c r="Y146" i="40"/>
  <c r="X146" i="40"/>
  <c r="W146" i="40"/>
  <c r="V146" i="40"/>
  <c r="U146" i="40"/>
  <c r="T146" i="40"/>
  <c r="S146" i="40"/>
  <c r="R146" i="40"/>
  <c r="Q146" i="40"/>
  <c r="P146" i="40"/>
  <c r="O146" i="40"/>
  <c r="N146" i="40"/>
  <c r="M146" i="40"/>
  <c r="L146" i="40"/>
  <c r="K146" i="40"/>
  <c r="J146" i="40"/>
  <c r="I146" i="40"/>
  <c r="H146" i="40"/>
  <c r="G146" i="40"/>
  <c r="F146" i="40"/>
  <c r="AL127" i="40"/>
  <c r="AL131" i="40" s="1"/>
  <c r="AL125" i="40"/>
  <c r="AL129" i="40" s="1"/>
  <c r="AJ123" i="40"/>
  <c r="AH123" i="40"/>
  <c r="AG123" i="40"/>
  <c r="AF123" i="40"/>
  <c r="AE123" i="40"/>
  <c r="AD123" i="40"/>
  <c r="AC123" i="40"/>
  <c r="AB123" i="40"/>
  <c r="AA123" i="40"/>
  <c r="Z123" i="40"/>
  <c r="Y123" i="40"/>
  <c r="X123" i="40"/>
  <c r="W123" i="40"/>
  <c r="V123" i="40"/>
  <c r="U123" i="40"/>
  <c r="T123" i="40"/>
  <c r="Q123" i="40"/>
  <c r="P123" i="40"/>
  <c r="O123" i="40"/>
  <c r="N123" i="40"/>
  <c r="M123" i="40"/>
  <c r="L123" i="40"/>
  <c r="K123" i="40"/>
  <c r="J123" i="40"/>
  <c r="I123" i="40"/>
  <c r="G123" i="40"/>
  <c r="F123" i="40"/>
  <c r="Q95" i="40"/>
  <c r="AL123" i="40" l="1"/>
  <c r="AL133" i="40"/>
  <c r="AL144" i="40"/>
  <c r="AL143" i="40"/>
  <c r="AL146" i="40"/>
  <c r="AL147" i="40"/>
  <c r="AL103" i="40" l="1"/>
  <c r="J104" i="40"/>
  <c r="E38" i="41" l="1"/>
  <c r="D38" i="41"/>
  <c r="E37" i="41"/>
  <c r="D37" i="41"/>
  <c r="E36" i="41"/>
  <c r="D36" i="41"/>
  <c r="E35" i="41"/>
  <c r="E39" i="41" s="1"/>
  <c r="D35" i="41"/>
  <c r="H31" i="41"/>
  <c r="G31" i="41"/>
  <c r="D30" i="41"/>
  <c r="D29" i="41"/>
  <c r="D28" i="41"/>
  <c r="D27" i="41"/>
  <c r="E20" i="41"/>
  <c r="D20" i="41"/>
  <c r="E19" i="41"/>
  <c r="D19" i="41"/>
  <c r="E18" i="41"/>
  <c r="D18" i="41"/>
  <c r="E17" i="41"/>
  <c r="D17" i="41"/>
  <c r="H13" i="41"/>
  <c r="G13" i="41"/>
  <c r="D12" i="41"/>
  <c r="D11" i="41"/>
  <c r="D10" i="41"/>
  <c r="D9" i="41"/>
  <c r="AJ187" i="40"/>
  <c r="AH187" i="40"/>
  <c r="AG187" i="40"/>
  <c r="AF187" i="40"/>
  <c r="AE187" i="40"/>
  <c r="AD187" i="40"/>
  <c r="AC187" i="40"/>
  <c r="AB187" i="40"/>
  <c r="AA187" i="40"/>
  <c r="Z187" i="40"/>
  <c r="Y187" i="40"/>
  <c r="X187" i="40"/>
  <c r="W187" i="40"/>
  <c r="V187" i="40"/>
  <c r="U187" i="40"/>
  <c r="T187" i="40"/>
  <c r="S187" i="40"/>
  <c r="R187" i="40"/>
  <c r="Q187" i="40"/>
  <c r="P187" i="40"/>
  <c r="O187" i="40"/>
  <c r="N187" i="40"/>
  <c r="M187" i="40"/>
  <c r="L187" i="40"/>
  <c r="K187" i="40"/>
  <c r="J187" i="40"/>
  <c r="I187" i="40"/>
  <c r="H187" i="40"/>
  <c r="G187" i="40"/>
  <c r="F187" i="40"/>
  <c r="AL186" i="40"/>
  <c r="AL185" i="40"/>
  <c r="AL184" i="40"/>
  <c r="AL183" i="40"/>
  <c r="AL182" i="40"/>
  <c r="AJ180" i="40"/>
  <c r="AH180" i="40"/>
  <c r="AG180" i="40"/>
  <c r="AF180" i="40"/>
  <c r="AE180" i="40"/>
  <c r="AD180" i="40"/>
  <c r="AC180" i="40"/>
  <c r="AB180" i="40"/>
  <c r="AA180" i="40"/>
  <c r="Z180" i="40"/>
  <c r="Y180" i="40"/>
  <c r="X180" i="40"/>
  <c r="W180" i="40"/>
  <c r="V180" i="40"/>
  <c r="U180" i="40"/>
  <c r="T180" i="40"/>
  <c r="S180" i="40"/>
  <c r="R180" i="40"/>
  <c r="Q180" i="40"/>
  <c r="P180" i="40"/>
  <c r="O180" i="40"/>
  <c r="N180" i="40"/>
  <c r="M180" i="40"/>
  <c r="L180" i="40"/>
  <c r="K180" i="40"/>
  <c r="J180" i="40"/>
  <c r="I180" i="40"/>
  <c r="H180" i="40"/>
  <c r="G180" i="40"/>
  <c r="F180" i="40"/>
  <c r="AL179" i="40"/>
  <c r="AL178" i="40"/>
  <c r="AL177" i="40"/>
  <c r="AL176" i="40"/>
  <c r="AL175" i="40"/>
  <c r="AJ173" i="40"/>
  <c r="AH173" i="40"/>
  <c r="AG173" i="40"/>
  <c r="AF173" i="40"/>
  <c r="AE173" i="40"/>
  <c r="AD173" i="40"/>
  <c r="AC173" i="40"/>
  <c r="AB173" i="40"/>
  <c r="AA173" i="40"/>
  <c r="Z173" i="40"/>
  <c r="Y173" i="40"/>
  <c r="X173" i="40"/>
  <c r="W173" i="40"/>
  <c r="V173" i="40"/>
  <c r="U173" i="40"/>
  <c r="T173" i="40"/>
  <c r="S173" i="40"/>
  <c r="R173" i="40"/>
  <c r="Q173" i="40"/>
  <c r="P173" i="40"/>
  <c r="O173" i="40"/>
  <c r="N173" i="40"/>
  <c r="M173" i="40"/>
  <c r="L173" i="40"/>
  <c r="K173" i="40"/>
  <c r="J173" i="40"/>
  <c r="I173" i="40"/>
  <c r="H173" i="40"/>
  <c r="G173" i="40"/>
  <c r="F173" i="40"/>
  <c r="AL172" i="40"/>
  <c r="AN172" i="40" s="1"/>
  <c r="AL169" i="40"/>
  <c r="AJ168" i="40"/>
  <c r="AH168" i="40"/>
  <c r="AG168" i="40"/>
  <c r="AF168" i="40"/>
  <c r="AE168" i="40"/>
  <c r="AD168" i="40"/>
  <c r="AC168" i="40"/>
  <c r="AB168" i="40"/>
  <c r="AA168" i="40"/>
  <c r="Z168" i="40"/>
  <c r="Y168" i="40"/>
  <c r="X168" i="40"/>
  <c r="W168" i="40"/>
  <c r="V168" i="40"/>
  <c r="U168" i="40"/>
  <c r="T168" i="40"/>
  <c r="S168" i="40"/>
  <c r="R168" i="40"/>
  <c r="Q168" i="40"/>
  <c r="P168" i="40"/>
  <c r="O168" i="40"/>
  <c r="N168" i="40"/>
  <c r="M168" i="40"/>
  <c r="L168" i="40"/>
  <c r="K168" i="40"/>
  <c r="J168" i="40"/>
  <c r="I168" i="40"/>
  <c r="H168" i="40"/>
  <c r="G168" i="40"/>
  <c r="F168" i="40"/>
  <c r="AL167" i="40"/>
  <c r="D167" i="40"/>
  <c r="D168" i="40" s="1"/>
  <c r="AL166" i="40"/>
  <c r="AL165" i="40"/>
  <c r="AL163" i="40"/>
  <c r="D161" i="40"/>
  <c r="AJ160" i="40"/>
  <c r="AJ161" i="40" s="1"/>
  <c r="AH160" i="40"/>
  <c r="AH161" i="40" s="1"/>
  <c r="AG160" i="40"/>
  <c r="AG161" i="40" s="1"/>
  <c r="AF160" i="40"/>
  <c r="AF161" i="40" s="1"/>
  <c r="AE160" i="40"/>
  <c r="AE161" i="40" s="1"/>
  <c r="AD160" i="40"/>
  <c r="AD161" i="40" s="1"/>
  <c r="AC160" i="40"/>
  <c r="AC161" i="40" s="1"/>
  <c r="AB160" i="40"/>
  <c r="AB161" i="40" s="1"/>
  <c r="AA160" i="40"/>
  <c r="AA161" i="40" s="1"/>
  <c r="Z160" i="40"/>
  <c r="Z161" i="40" s="1"/>
  <c r="Y160" i="40"/>
  <c r="Y161" i="40" s="1"/>
  <c r="X160" i="40"/>
  <c r="X161" i="40" s="1"/>
  <c r="W160" i="40"/>
  <c r="W161" i="40" s="1"/>
  <c r="V160" i="40"/>
  <c r="V161" i="40" s="1"/>
  <c r="U160" i="40"/>
  <c r="U161" i="40" s="1"/>
  <c r="T160" i="40"/>
  <c r="T161" i="40" s="1"/>
  <c r="S160" i="40"/>
  <c r="S161" i="40" s="1"/>
  <c r="R160" i="40"/>
  <c r="R161" i="40" s="1"/>
  <c r="Q160" i="40"/>
  <c r="Q161" i="40" s="1"/>
  <c r="P160" i="40"/>
  <c r="P161" i="40" s="1"/>
  <c r="O160" i="40"/>
  <c r="O161" i="40" s="1"/>
  <c r="N160" i="40"/>
  <c r="N161" i="40" s="1"/>
  <c r="M160" i="40"/>
  <c r="M161" i="40" s="1"/>
  <c r="L160" i="40"/>
  <c r="L161" i="40" s="1"/>
  <c r="K160" i="40"/>
  <c r="K161" i="40" s="1"/>
  <c r="J160" i="40"/>
  <c r="J161" i="40" s="1"/>
  <c r="I160" i="40"/>
  <c r="I161" i="40" s="1"/>
  <c r="H160" i="40"/>
  <c r="H161" i="40" s="1"/>
  <c r="G160" i="40"/>
  <c r="F160" i="40"/>
  <c r="F161" i="40" s="1"/>
  <c r="AL159" i="40"/>
  <c r="AL158" i="40"/>
  <c r="AL156" i="40"/>
  <c r="AN156" i="40" s="1"/>
  <c r="AJ154" i="40"/>
  <c r="AJ153" i="40" s="1"/>
  <c r="AH154" i="40"/>
  <c r="AH153" i="40" s="1"/>
  <c r="AG154" i="40"/>
  <c r="AG153" i="40" s="1"/>
  <c r="AF154" i="40"/>
  <c r="AF153" i="40" s="1"/>
  <c r="AE154" i="40"/>
  <c r="AE153" i="40" s="1"/>
  <c r="AD154" i="40"/>
  <c r="AD153" i="40" s="1"/>
  <c r="AC154" i="40"/>
  <c r="AC153" i="40" s="1"/>
  <c r="AB154" i="40"/>
  <c r="AB153" i="40" s="1"/>
  <c r="AA154" i="40"/>
  <c r="AA153" i="40" s="1"/>
  <c r="Z154" i="40"/>
  <c r="Z153" i="40" s="1"/>
  <c r="Y154" i="40"/>
  <c r="Y153" i="40" s="1"/>
  <c r="X154" i="40"/>
  <c r="X153" i="40" s="1"/>
  <c r="W154" i="40"/>
  <c r="W153" i="40" s="1"/>
  <c r="V154" i="40"/>
  <c r="V153" i="40" s="1"/>
  <c r="U154" i="40"/>
  <c r="U153" i="40" s="1"/>
  <c r="T154" i="40"/>
  <c r="T153" i="40" s="1"/>
  <c r="S154" i="40"/>
  <c r="S153" i="40" s="1"/>
  <c r="R154" i="40"/>
  <c r="R153" i="40" s="1"/>
  <c r="Q154" i="40"/>
  <c r="Q153" i="40" s="1"/>
  <c r="P154" i="40"/>
  <c r="P153" i="40" s="1"/>
  <c r="O154" i="40"/>
  <c r="O153" i="40" s="1"/>
  <c r="N154" i="40"/>
  <c r="N153" i="40" s="1"/>
  <c r="M154" i="40"/>
  <c r="M153" i="40" s="1"/>
  <c r="L154" i="40"/>
  <c r="L153" i="40" s="1"/>
  <c r="K154" i="40"/>
  <c r="K153" i="40" s="1"/>
  <c r="J154" i="40"/>
  <c r="J153" i="40" s="1"/>
  <c r="I154" i="40"/>
  <c r="I153" i="40" s="1"/>
  <c r="H154" i="40"/>
  <c r="H153" i="40" s="1"/>
  <c r="G154" i="40"/>
  <c r="G153" i="40" s="1"/>
  <c r="F154" i="40"/>
  <c r="F153" i="40" s="1"/>
  <c r="D154" i="40"/>
  <c r="AL152" i="40"/>
  <c r="AL150" i="40"/>
  <c r="AN150" i="40" s="1"/>
  <c r="AL149" i="40"/>
  <c r="AJ115" i="40"/>
  <c r="AH115" i="40"/>
  <c r="AG115" i="40"/>
  <c r="AF115" i="40"/>
  <c r="AE115" i="40"/>
  <c r="AD115" i="40"/>
  <c r="AC115" i="40"/>
  <c r="AB115" i="40"/>
  <c r="AA115" i="40"/>
  <c r="Z115" i="40"/>
  <c r="Y115" i="40"/>
  <c r="X115" i="40"/>
  <c r="W115" i="40"/>
  <c r="V115" i="40"/>
  <c r="U115" i="40"/>
  <c r="T115" i="40"/>
  <c r="S115" i="40"/>
  <c r="R115" i="40"/>
  <c r="Q115" i="40"/>
  <c r="P115" i="40"/>
  <c r="O115" i="40"/>
  <c r="N115" i="40"/>
  <c r="M115" i="40"/>
  <c r="L115" i="40"/>
  <c r="K115" i="40"/>
  <c r="J115" i="40"/>
  <c r="I115" i="40"/>
  <c r="H115" i="40"/>
  <c r="G115" i="40"/>
  <c r="F115" i="40"/>
  <c r="AJ114" i="40"/>
  <c r="AH114" i="40"/>
  <c r="AG114" i="40"/>
  <c r="AF114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S114" i="40"/>
  <c r="R114" i="40"/>
  <c r="Q114" i="40"/>
  <c r="P114" i="40"/>
  <c r="O114" i="40"/>
  <c r="N114" i="40"/>
  <c r="M114" i="40"/>
  <c r="L114" i="40"/>
  <c r="K114" i="40"/>
  <c r="J114" i="40"/>
  <c r="I114" i="40"/>
  <c r="H114" i="40"/>
  <c r="G114" i="40"/>
  <c r="F114" i="40"/>
  <c r="AL111" i="40"/>
  <c r="AL110" i="40"/>
  <c r="AL108" i="40"/>
  <c r="AL107" i="40"/>
  <c r="AJ104" i="40"/>
  <c r="AH104" i="40"/>
  <c r="AG104" i="40"/>
  <c r="AF104" i="40"/>
  <c r="AE104" i="40"/>
  <c r="AD104" i="40"/>
  <c r="AC104" i="40"/>
  <c r="AB104" i="40"/>
  <c r="AA104" i="40"/>
  <c r="Z104" i="40"/>
  <c r="Y104" i="40"/>
  <c r="X104" i="40"/>
  <c r="W104" i="40"/>
  <c r="V104" i="40"/>
  <c r="U104" i="40"/>
  <c r="T104" i="40"/>
  <c r="S104" i="40"/>
  <c r="R104" i="40"/>
  <c r="Q104" i="40"/>
  <c r="P104" i="40"/>
  <c r="O104" i="40"/>
  <c r="N104" i="40"/>
  <c r="M104" i="40"/>
  <c r="L104" i="40"/>
  <c r="K104" i="40"/>
  <c r="I104" i="40"/>
  <c r="G104" i="40"/>
  <c r="F104" i="40"/>
  <c r="AJ102" i="40"/>
  <c r="AJ118" i="40" s="1"/>
  <c r="AH102" i="40"/>
  <c r="AH118" i="40" s="1"/>
  <c r="AG102" i="40"/>
  <c r="AG118" i="40" s="1"/>
  <c r="AF102" i="40"/>
  <c r="AF118" i="40" s="1"/>
  <c r="AE102" i="40"/>
  <c r="AE118" i="40" s="1"/>
  <c r="AD102" i="40"/>
  <c r="AD118" i="40" s="1"/>
  <c r="AC102" i="40"/>
  <c r="AC118" i="40" s="1"/>
  <c r="AB102" i="40"/>
  <c r="AB118" i="40" s="1"/>
  <c r="AA102" i="40"/>
  <c r="AA118" i="40" s="1"/>
  <c r="Z102" i="40"/>
  <c r="Z118" i="40" s="1"/>
  <c r="Y102" i="40"/>
  <c r="Y118" i="40" s="1"/>
  <c r="X102" i="40"/>
  <c r="X118" i="40" s="1"/>
  <c r="W102" i="40"/>
  <c r="W118" i="40" s="1"/>
  <c r="V102" i="40"/>
  <c r="V118" i="40" s="1"/>
  <c r="U102" i="40"/>
  <c r="U118" i="40" s="1"/>
  <c r="T102" i="40"/>
  <c r="T118" i="40" s="1"/>
  <c r="S102" i="40"/>
  <c r="S118" i="40" s="1"/>
  <c r="R102" i="40"/>
  <c r="R118" i="40" s="1"/>
  <c r="Q102" i="40"/>
  <c r="Q118" i="40" s="1"/>
  <c r="P102" i="40"/>
  <c r="P118" i="40" s="1"/>
  <c r="O102" i="40"/>
  <c r="O118" i="40" s="1"/>
  <c r="N102" i="40"/>
  <c r="N118" i="40" s="1"/>
  <c r="M102" i="40"/>
  <c r="M118" i="40" s="1"/>
  <c r="L102" i="40"/>
  <c r="L118" i="40" s="1"/>
  <c r="K102" i="40"/>
  <c r="K118" i="40" s="1"/>
  <c r="J102" i="40"/>
  <c r="J118" i="40" s="1"/>
  <c r="I102" i="40"/>
  <c r="I118" i="40" s="1"/>
  <c r="H118" i="40"/>
  <c r="G102" i="40"/>
  <c r="G118" i="40" s="1"/>
  <c r="F102" i="40"/>
  <c r="F118" i="40" s="1"/>
  <c r="AJ101" i="40"/>
  <c r="AJ117" i="40" s="1"/>
  <c r="AH101" i="40"/>
  <c r="AH117" i="40" s="1"/>
  <c r="AG101" i="40"/>
  <c r="AG117" i="40" s="1"/>
  <c r="AF101" i="40"/>
  <c r="AF117" i="40" s="1"/>
  <c r="AE101" i="40"/>
  <c r="AE117" i="40" s="1"/>
  <c r="AD101" i="40"/>
  <c r="AD117" i="40" s="1"/>
  <c r="AC101" i="40"/>
  <c r="AC117" i="40" s="1"/>
  <c r="AB101" i="40"/>
  <c r="AB117" i="40" s="1"/>
  <c r="AA101" i="40"/>
  <c r="AA117" i="40" s="1"/>
  <c r="Z101" i="40"/>
  <c r="Z117" i="40" s="1"/>
  <c r="Y101" i="40"/>
  <c r="Y117" i="40" s="1"/>
  <c r="X101" i="40"/>
  <c r="X117" i="40" s="1"/>
  <c r="W101" i="40"/>
  <c r="W117" i="40" s="1"/>
  <c r="V101" i="40"/>
  <c r="V117" i="40" s="1"/>
  <c r="U101" i="40"/>
  <c r="U117" i="40" s="1"/>
  <c r="T101" i="40"/>
  <c r="T117" i="40" s="1"/>
  <c r="S101" i="40"/>
  <c r="S117" i="40" s="1"/>
  <c r="R101" i="40"/>
  <c r="R117" i="40" s="1"/>
  <c r="Q101" i="40"/>
  <c r="Q117" i="40" s="1"/>
  <c r="P101" i="40"/>
  <c r="P117" i="40" s="1"/>
  <c r="O101" i="40"/>
  <c r="O117" i="40" s="1"/>
  <c r="N101" i="40"/>
  <c r="N117" i="40" s="1"/>
  <c r="M101" i="40"/>
  <c r="M117" i="40" s="1"/>
  <c r="L101" i="40"/>
  <c r="L117" i="40" s="1"/>
  <c r="K101" i="40"/>
  <c r="K117" i="40" s="1"/>
  <c r="J101" i="40"/>
  <c r="J117" i="40" s="1"/>
  <c r="I101" i="40"/>
  <c r="I117" i="40" s="1"/>
  <c r="H117" i="40"/>
  <c r="G101" i="40"/>
  <c r="G117" i="40" s="1"/>
  <c r="F101" i="40"/>
  <c r="F117" i="40" s="1"/>
  <c r="AL99" i="40"/>
  <c r="AL102" i="40" s="1"/>
  <c r="AL98" i="40"/>
  <c r="AL101" i="40" s="1"/>
  <c r="AJ95" i="40"/>
  <c r="AJ96" i="40" s="1"/>
  <c r="AH95" i="40"/>
  <c r="AH96" i="40" s="1"/>
  <c r="AG95" i="40"/>
  <c r="AG96" i="40" s="1"/>
  <c r="AF95" i="40"/>
  <c r="AF96" i="40" s="1"/>
  <c r="AE95" i="40"/>
  <c r="AE96" i="40" s="1"/>
  <c r="AD95" i="40"/>
  <c r="AD96" i="40" s="1"/>
  <c r="AC95" i="40"/>
  <c r="AC96" i="40" s="1"/>
  <c r="AB95" i="40"/>
  <c r="AB96" i="40" s="1"/>
  <c r="AA95" i="40"/>
  <c r="AA96" i="40" s="1"/>
  <c r="Z95" i="40"/>
  <c r="Z96" i="40" s="1"/>
  <c r="Y95" i="40"/>
  <c r="Y96" i="40" s="1"/>
  <c r="X95" i="40"/>
  <c r="X96" i="40" s="1"/>
  <c r="W95" i="40"/>
  <c r="W96" i="40" s="1"/>
  <c r="V95" i="40"/>
  <c r="V96" i="40" s="1"/>
  <c r="U95" i="40"/>
  <c r="U96" i="40" s="1"/>
  <c r="T95" i="40"/>
  <c r="T96" i="40" s="1"/>
  <c r="S95" i="40"/>
  <c r="S96" i="40" s="1"/>
  <c r="R95" i="40"/>
  <c r="R96" i="40" s="1"/>
  <c r="Q96" i="40"/>
  <c r="P95" i="40"/>
  <c r="P96" i="40" s="1"/>
  <c r="O95" i="40"/>
  <c r="O96" i="40" s="1"/>
  <c r="N95" i="40"/>
  <c r="N96" i="40" s="1"/>
  <c r="M95" i="40"/>
  <c r="M96" i="40" s="1"/>
  <c r="L95" i="40"/>
  <c r="L96" i="40" s="1"/>
  <c r="K95" i="40"/>
  <c r="K96" i="40" s="1"/>
  <c r="J95" i="40"/>
  <c r="J96" i="40" s="1"/>
  <c r="I95" i="40"/>
  <c r="I96" i="40" s="1"/>
  <c r="G95" i="40"/>
  <c r="G96" i="40" s="1"/>
  <c r="F95" i="40"/>
  <c r="F96" i="40" s="1"/>
  <c r="AJ89" i="40"/>
  <c r="AH89" i="40"/>
  <c r="AG89" i="40"/>
  <c r="AF89" i="40"/>
  <c r="AE89" i="40"/>
  <c r="AD89" i="40"/>
  <c r="AC89" i="40"/>
  <c r="AB89" i="40"/>
  <c r="AA89" i="40"/>
  <c r="Z89" i="40"/>
  <c r="Y89" i="40"/>
  <c r="X89" i="40"/>
  <c r="W89" i="40"/>
  <c r="V89" i="40"/>
  <c r="U89" i="40"/>
  <c r="T89" i="40"/>
  <c r="S89" i="40"/>
  <c r="R89" i="40"/>
  <c r="Q89" i="40"/>
  <c r="P89" i="40"/>
  <c r="O89" i="40"/>
  <c r="N89" i="40"/>
  <c r="M89" i="40"/>
  <c r="L89" i="40"/>
  <c r="K89" i="40"/>
  <c r="J89" i="40"/>
  <c r="I89" i="40"/>
  <c r="G89" i="40"/>
  <c r="F89" i="40"/>
  <c r="AJ88" i="40"/>
  <c r="AH88" i="40"/>
  <c r="AG88" i="40"/>
  <c r="AF88" i="40"/>
  <c r="AE88" i="40"/>
  <c r="AD88" i="40"/>
  <c r="AC88" i="40"/>
  <c r="AB88" i="40"/>
  <c r="AA88" i="40"/>
  <c r="Z88" i="40"/>
  <c r="Y88" i="40"/>
  <c r="X88" i="40"/>
  <c r="W88" i="40"/>
  <c r="V88" i="40"/>
  <c r="U88" i="40"/>
  <c r="T88" i="40"/>
  <c r="S88" i="40"/>
  <c r="R88" i="40"/>
  <c r="Q88" i="40"/>
  <c r="P88" i="40"/>
  <c r="O88" i="40"/>
  <c r="N88" i="40"/>
  <c r="M88" i="40"/>
  <c r="L88" i="40"/>
  <c r="K88" i="40"/>
  <c r="J88" i="40"/>
  <c r="I88" i="40"/>
  <c r="G88" i="40"/>
  <c r="F88" i="40"/>
  <c r="AL85" i="40"/>
  <c r="AL84" i="40"/>
  <c r="AL82" i="40"/>
  <c r="AJ78" i="40"/>
  <c r="AH78" i="40"/>
  <c r="AG78" i="40"/>
  <c r="AF78" i="40"/>
  <c r="AE78" i="40"/>
  <c r="AD78" i="40"/>
  <c r="AC78" i="40"/>
  <c r="AB78" i="40"/>
  <c r="AA78" i="40"/>
  <c r="Z78" i="40"/>
  <c r="Y78" i="40"/>
  <c r="X78" i="40"/>
  <c r="W78" i="40"/>
  <c r="V78" i="40"/>
  <c r="U78" i="40"/>
  <c r="T78" i="40"/>
  <c r="S78" i="40"/>
  <c r="R78" i="40"/>
  <c r="Q78" i="40"/>
  <c r="P78" i="40"/>
  <c r="O78" i="40"/>
  <c r="N78" i="40"/>
  <c r="M78" i="40"/>
  <c r="L78" i="40"/>
  <c r="K78" i="40"/>
  <c r="J78" i="40"/>
  <c r="I78" i="40"/>
  <c r="H78" i="40"/>
  <c r="G78" i="40"/>
  <c r="F78" i="40"/>
  <c r="AL77" i="40"/>
  <c r="AJ76" i="40"/>
  <c r="AJ92" i="40" s="1"/>
  <c r="AH76" i="40"/>
  <c r="AH92" i="40" s="1"/>
  <c r="AG76" i="40"/>
  <c r="AG92" i="40" s="1"/>
  <c r="AF76" i="40"/>
  <c r="AF92" i="40" s="1"/>
  <c r="AE76" i="40"/>
  <c r="AE92" i="40" s="1"/>
  <c r="AD76" i="40"/>
  <c r="AD92" i="40" s="1"/>
  <c r="AC76" i="40"/>
  <c r="AC92" i="40" s="1"/>
  <c r="AB76" i="40"/>
  <c r="AB92" i="40" s="1"/>
  <c r="AA76" i="40"/>
  <c r="AA92" i="40" s="1"/>
  <c r="Z76" i="40"/>
  <c r="Z92" i="40" s="1"/>
  <c r="Y76" i="40"/>
  <c r="Y92" i="40" s="1"/>
  <c r="X76" i="40"/>
  <c r="X92" i="40" s="1"/>
  <c r="W76" i="40"/>
  <c r="W92" i="40" s="1"/>
  <c r="V76" i="40"/>
  <c r="V92" i="40" s="1"/>
  <c r="U76" i="40"/>
  <c r="U92" i="40" s="1"/>
  <c r="T76" i="40"/>
  <c r="T92" i="40" s="1"/>
  <c r="S76" i="40"/>
  <c r="S92" i="40" s="1"/>
  <c r="R76" i="40"/>
  <c r="R92" i="40" s="1"/>
  <c r="Q76" i="40"/>
  <c r="Q92" i="40" s="1"/>
  <c r="P76" i="40"/>
  <c r="P92" i="40" s="1"/>
  <c r="O76" i="40"/>
  <c r="O92" i="40" s="1"/>
  <c r="N76" i="40"/>
  <c r="N92" i="40" s="1"/>
  <c r="M76" i="40"/>
  <c r="M92" i="40" s="1"/>
  <c r="L76" i="40"/>
  <c r="L92" i="40" s="1"/>
  <c r="K76" i="40"/>
  <c r="K92" i="40" s="1"/>
  <c r="J76" i="40"/>
  <c r="J92" i="40" s="1"/>
  <c r="I76" i="40"/>
  <c r="I92" i="40" s="1"/>
  <c r="G76" i="40"/>
  <c r="G92" i="40" s="1"/>
  <c r="F76" i="40"/>
  <c r="F92" i="40" s="1"/>
  <c r="AJ75" i="40"/>
  <c r="AJ91" i="40" s="1"/>
  <c r="AH75" i="40"/>
  <c r="AH91" i="40" s="1"/>
  <c r="AG75" i="40"/>
  <c r="AG91" i="40" s="1"/>
  <c r="AF75" i="40"/>
  <c r="AF91" i="40" s="1"/>
  <c r="AE75" i="40"/>
  <c r="AE91" i="40" s="1"/>
  <c r="AD75" i="40"/>
  <c r="AD91" i="40" s="1"/>
  <c r="AC75" i="40"/>
  <c r="AC91" i="40" s="1"/>
  <c r="AB75" i="40"/>
  <c r="AB91" i="40" s="1"/>
  <c r="AA75" i="40"/>
  <c r="AA91" i="40" s="1"/>
  <c r="Z75" i="40"/>
  <c r="Z91" i="40" s="1"/>
  <c r="Y75" i="40"/>
  <c r="Y91" i="40" s="1"/>
  <c r="X75" i="40"/>
  <c r="X91" i="40" s="1"/>
  <c r="W75" i="40"/>
  <c r="W91" i="40" s="1"/>
  <c r="V75" i="40"/>
  <c r="V91" i="40" s="1"/>
  <c r="U75" i="40"/>
  <c r="U91" i="40" s="1"/>
  <c r="T75" i="40"/>
  <c r="T91" i="40" s="1"/>
  <c r="S75" i="40"/>
  <c r="S91" i="40" s="1"/>
  <c r="R75" i="40"/>
  <c r="R91" i="40" s="1"/>
  <c r="Q75" i="40"/>
  <c r="Q91" i="40" s="1"/>
  <c r="P75" i="40"/>
  <c r="P91" i="40" s="1"/>
  <c r="O75" i="40"/>
  <c r="O91" i="40" s="1"/>
  <c r="N75" i="40"/>
  <c r="N91" i="40" s="1"/>
  <c r="M75" i="40"/>
  <c r="M91" i="40" s="1"/>
  <c r="L75" i="40"/>
  <c r="L91" i="40" s="1"/>
  <c r="K75" i="40"/>
  <c r="K91" i="40" s="1"/>
  <c r="J75" i="40"/>
  <c r="J91" i="40" s="1"/>
  <c r="I75" i="40"/>
  <c r="I91" i="40" s="1"/>
  <c r="H75" i="40"/>
  <c r="H91" i="40" s="1"/>
  <c r="G75" i="40"/>
  <c r="G91" i="40" s="1"/>
  <c r="F75" i="40"/>
  <c r="F91" i="40" s="1"/>
  <c r="AL73" i="40"/>
  <c r="AL76" i="40" s="1"/>
  <c r="AL72" i="40"/>
  <c r="AL75" i="40" s="1"/>
  <c r="AL70" i="40"/>
  <c r="AJ68" i="40"/>
  <c r="AJ69" i="40" s="1"/>
  <c r="AH68" i="40"/>
  <c r="AH69" i="40" s="1"/>
  <c r="AG68" i="40"/>
  <c r="AG69" i="40" s="1"/>
  <c r="AF68" i="40"/>
  <c r="AF69" i="40" s="1"/>
  <c r="AE68" i="40"/>
  <c r="AE69" i="40" s="1"/>
  <c r="AD68" i="40"/>
  <c r="AD69" i="40" s="1"/>
  <c r="AC68" i="40"/>
  <c r="AC69" i="40" s="1"/>
  <c r="AB68" i="40"/>
  <c r="AB69" i="40" s="1"/>
  <c r="AA68" i="40"/>
  <c r="AA69" i="40" s="1"/>
  <c r="Z68" i="40"/>
  <c r="Z69" i="40" s="1"/>
  <c r="Y68" i="40"/>
  <c r="Y69" i="40" s="1"/>
  <c r="X68" i="40"/>
  <c r="X69" i="40" s="1"/>
  <c r="W68" i="40"/>
  <c r="W69" i="40" s="1"/>
  <c r="V68" i="40"/>
  <c r="V69" i="40" s="1"/>
  <c r="U68" i="40"/>
  <c r="U69" i="40" s="1"/>
  <c r="T68" i="40"/>
  <c r="T69" i="40" s="1"/>
  <c r="S68" i="40"/>
  <c r="S69" i="40" s="1"/>
  <c r="R68" i="40"/>
  <c r="R69" i="40" s="1"/>
  <c r="Q68" i="40"/>
  <c r="Q69" i="40" s="1"/>
  <c r="P68" i="40"/>
  <c r="P69" i="40" s="1"/>
  <c r="O68" i="40"/>
  <c r="O69" i="40" s="1"/>
  <c r="N68" i="40"/>
  <c r="N69" i="40" s="1"/>
  <c r="M68" i="40"/>
  <c r="M69" i="40" s="1"/>
  <c r="L68" i="40"/>
  <c r="L69" i="40" s="1"/>
  <c r="K68" i="40"/>
  <c r="K69" i="40" s="1"/>
  <c r="J68" i="40"/>
  <c r="J69" i="40" s="1"/>
  <c r="I68" i="40"/>
  <c r="I69" i="40" s="1"/>
  <c r="H68" i="40"/>
  <c r="H69" i="40" s="1"/>
  <c r="G68" i="40"/>
  <c r="G69" i="40" s="1"/>
  <c r="F68" i="40"/>
  <c r="F69" i="40" s="1"/>
  <c r="AL66" i="40"/>
  <c r="AJ64" i="40"/>
  <c r="AH64" i="40"/>
  <c r="AG64" i="40"/>
  <c r="AF64" i="40"/>
  <c r="AE64" i="40"/>
  <c r="AD64" i="40"/>
  <c r="AC64" i="40"/>
  <c r="AB64" i="40"/>
  <c r="AA64" i="40"/>
  <c r="Z64" i="40"/>
  <c r="X64" i="40"/>
  <c r="W64" i="40"/>
  <c r="V64" i="40"/>
  <c r="U64" i="40"/>
  <c r="T64" i="40"/>
  <c r="S64" i="40"/>
  <c r="R64" i="40"/>
  <c r="Q64" i="40"/>
  <c r="P64" i="40"/>
  <c r="O64" i="40"/>
  <c r="N64" i="40"/>
  <c r="M64" i="40"/>
  <c r="L64" i="40"/>
  <c r="K64" i="40"/>
  <c r="I64" i="40"/>
  <c r="H64" i="40"/>
  <c r="G64" i="40"/>
  <c r="F64" i="40"/>
  <c r="AJ62" i="40"/>
  <c r="AG62" i="40"/>
  <c r="AF62" i="40"/>
  <c r="AE62" i="40"/>
  <c r="AC62" i="40"/>
  <c r="AB62" i="40"/>
  <c r="AA62" i="40"/>
  <c r="Z62" i="40"/>
  <c r="Y62" i="40"/>
  <c r="X62" i="40"/>
  <c r="W62" i="40"/>
  <c r="V62" i="40"/>
  <c r="U62" i="40"/>
  <c r="T62" i="40"/>
  <c r="S62" i="40"/>
  <c r="R62" i="40"/>
  <c r="Q62" i="40"/>
  <c r="P62" i="40"/>
  <c r="O62" i="40"/>
  <c r="N62" i="40"/>
  <c r="M62" i="40"/>
  <c r="L62" i="40"/>
  <c r="J62" i="40"/>
  <c r="I62" i="40"/>
  <c r="H62" i="40"/>
  <c r="G62" i="40"/>
  <c r="F62" i="40"/>
  <c r="AJ61" i="40"/>
  <c r="AH61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G61" i="40"/>
  <c r="F61" i="40"/>
  <c r="AL60" i="40"/>
  <c r="AJ59" i="40"/>
  <c r="AH59" i="40"/>
  <c r="AG59" i="40"/>
  <c r="AF59" i="40"/>
  <c r="AB59" i="40"/>
  <c r="AA59" i="40"/>
  <c r="Z59" i="40"/>
  <c r="Y59" i="40"/>
  <c r="X59" i="40"/>
  <c r="W59" i="40"/>
  <c r="V59" i="40"/>
  <c r="T59" i="40"/>
  <c r="S59" i="40"/>
  <c r="M59" i="40"/>
  <c r="I59" i="40"/>
  <c r="G59" i="40"/>
  <c r="F59" i="40"/>
  <c r="M57" i="40"/>
  <c r="I57" i="40"/>
  <c r="H57" i="40"/>
  <c r="G57" i="40"/>
  <c r="F57" i="40"/>
  <c r="AL56" i="40"/>
  <c r="AJ54" i="40"/>
  <c r="AH54" i="40"/>
  <c r="AG54" i="40"/>
  <c r="AF54" i="40"/>
  <c r="AE54" i="40"/>
  <c r="AD54" i="40"/>
  <c r="AC54" i="40"/>
  <c r="AB54" i="40"/>
  <c r="AA54" i="40"/>
  <c r="Z54" i="40"/>
  <c r="Y54" i="40"/>
  <c r="X54" i="40"/>
  <c r="W54" i="40"/>
  <c r="V54" i="40"/>
  <c r="U54" i="40"/>
  <c r="T54" i="40"/>
  <c r="S54" i="40"/>
  <c r="R54" i="40"/>
  <c r="Q54" i="40"/>
  <c r="P54" i="40"/>
  <c r="O54" i="40"/>
  <c r="N54" i="40"/>
  <c r="M54" i="40"/>
  <c r="L54" i="40"/>
  <c r="AJ53" i="40"/>
  <c r="AH53" i="40"/>
  <c r="AG53" i="40"/>
  <c r="AF53" i="40"/>
  <c r="AE53" i="40"/>
  <c r="AD53" i="40"/>
  <c r="AC53" i="40"/>
  <c r="AB53" i="40"/>
  <c r="AA53" i="40"/>
  <c r="Z53" i="40"/>
  <c r="Y53" i="40"/>
  <c r="X53" i="40"/>
  <c r="W53" i="40"/>
  <c r="U53" i="40"/>
  <c r="T53" i="40"/>
  <c r="S53" i="40"/>
  <c r="R53" i="40"/>
  <c r="Q53" i="40"/>
  <c r="P53" i="40"/>
  <c r="O53" i="40"/>
  <c r="N53" i="40"/>
  <c r="M53" i="40"/>
  <c r="L53" i="40"/>
  <c r="AJ52" i="40"/>
  <c r="AH52" i="40"/>
  <c r="AG52" i="40"/>
  <c r="AF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AJ51" i="40"/>
  <c r="AH51" i="40"/>
  <c r="AG51" i="40"/>
  <c r="AF51" i="40"/>
  <c r="AC51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F51" i="40"/>
  <c r="AJ50" i="40"/>
  <c r="AH50" i="40"/>
  <c r="AG50" i="40"/>
  <c r="AF50" i="40"/>
  <c r="AE50" i="40"/>
  <c r="AD50" i="40"/>
  <c r="AC50" i="40"/>
  <c r="AB50" i="40"/>
  <c r="AA50" i="40"/>
  <c r="Z50" i="40"/>
  <c r="Y50" i="40"/>
  <c r="X50" i="40"/>
  <c r="W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AJ49" i="40"/>
  <c r="AH49" i="40"/>
  <c r="AG49" i="40"/>
  <c r="AF49" i="40"/>
  <c r="AE49" i="40"/>
  <c r="AD49" i="40"/>
  <c r="AC49" i="40"/>
  <c r="AB49" i="40"/>
  <c r="AA49" i="40"/>
  <c r="Z49" i="40"/>
  <c r="Y49" i="40"/>
  <c r="X49" i="40"/>
  <c r="W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AJ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AJ47" i="40"/>
  <c r="AH47" i="40"/>
  <c r="AG47" i="40"/>
  <c r="AF47" i="40"/>
  <c r="AE47" i="40"/>
  <c r="AE51" i="40" s="1"/>
  <c r="AD47" i="40"/>
  <c r="AD51" i="40" s="1"/>
  <c r="AC47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AL36" i="40" s="1"/>
  <c r="M47" i="40"/>
  <c r="L47" i="40"/>
  <c r="L59" i="40" s="1"/>
  <c r="K47" i="40"/>
  <c r="J47" i="40"/>
  <c r="I47" i="40"/>
  <c r="H47" i="40"/>
  <c r="G47" i="40"/>
  <c r="F47" i="40"/>
  <c r="AL45" i="40"/>
  <c r="AL43" i="40"/>
  <c r="H54" i="40"/>
  <c r="G53" i="40"/>
  <c r="F53" i="40"/>
  <c r="AL39" i="40"/>
  <c r="AL37" i="40"/>
  <c r="AL51" i="40" s="1"/>
  <c r="AL34" i="40"/>
  <c r="AL33" i="40"/>
  <c r="H50" i="40"/>
  <c r="G49" i="40"/>
  <c r="F49" i="40"/>
  <c r="D30" i="40"/>
  <c r="AL24" i="40"/>
  <c r="AL62" i="40" s="1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AJ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AL16" i="40"/>
  <c r="AJ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AL12" i="40"/>
  <c r="AJ10" i="40"/>
  <c r="AH10" i="40"/>
  <c r="AG10" i="40"/>
  <c r="AF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AL8" i="40"/>
  <c r="D21" i="41" l="1"/>
  <c r="D39" i="41"/>
  <c r="E21" i="41"/>
  <c r="AL114" i="40"/>
  <c r="N59" i="40"/>
  <c r="AL153" i="40"/>
  <c r="AL154" i="40" s="1"/>
  <c r="O59" i="40"/>
  <c r="P59" i="40"/>
  <c r="AD59" i="40"/>
  <c r="AE59" i="40"/>
  <c r="AC59" i="40"/>
  <c r="R59" i="40"/>
  <c r="Q59" i="40"/>
  <c r="J59" i="40"/>
  <c r="J57" i="40"/>
  <c r="K59" i="40"/>
  <c r="L57" i="40"/>
  <c r="AL52" i="40"/>
  <c r="AL64" i="40"/>
  <c r="AL32" i="40"/>
  <c r="AL104" i="40"/>
  <c r="H49" i="40"/>
  <c r="AL115" i="40"/>
  <c r="AL117" i="40"/>
  <c r="AL118" i="40"/>
  <c r="H53" i="40"/>
  <c r="AL18" i="40"/>
  <c r="AL14" i="40"/>
  <c r="AL160" i="40"/>
  <c r="AL161" i="40" s="1"/>
  <c r="AL168" i="40"/>
  <c r="AL173" i="40"/>
  <c r="AN157" i="40"/>
  <c r="AL89" i="40"/>
  <c r="AL78" i="40"/>
  <c r="AL91" i="40"/>
  <c r="AL88" i="40"/>
  <c r="AL180" i="40"/>
  <c r="AL187" i="40"/>
  <c r="AL10" i="40"/>
  <c r="AL48" i="40"/>
  <c r="AL61" i="40"/>
  <c r="AL69" i="40"/>
  <c r="AL68" i="40"/>
  <c r="AL96" i="40"/>
  <c r="AL92" i="40"/>
  <c r="AN163" i="40"/>
  <c r="G161" i="40"/>
  <c r="AL47" i="40"/>
  <c r="F50" i="40"/>
  <c r="F54" i="40"/>
  <c r="AL95" i="40"/>
  <c r="G50" i="40"/>
  <c r="G54" i="40"/>
  <c r="AP34" i="40" l="1"/>
  <c r="AP38" i="40" s="1"/>
  <c r="AP40" i="40" s="1"/>
  <c r="AP35" i="40"/>
  <c r="AL41" i="40"/>
  <c r="AL59" i="40" s="1"/>
  <c r="AN61" i="40"/>
  <c r="AL49" i="40"/>
  <c r="AL94" i="40"/>
  <c r="AL50" i="40"/>
  <c r="AL53" i="40"/>
  <c r="AL54" i="40"/>
  <c r="AL57" i="40" l="1"/>
  <c r="AN57" i="40" s="1"/>
  <c r="AN59" i="40"/>
</calcChain>
</file>

<file path=xl/sharedStrings.xml><?xml version="1.0" encoding="utf-8"?>
<sst xmlns="http://schemas.openxmlformats.org/spreadsheetml/2006/main" count="793" uniqueCount="147">
  <si>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</si>
  <si>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</si>
  <si>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</si>
  <si>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</si>
  <si>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</si>
  <si>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</si>
  <si>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</si>
  <si>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</si>
  <si>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</si>
  <si>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</si>
  <si>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</si>
  <si>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</si>
  <si>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</si>
  <si>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Incoming CPO (Group) Piping Line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</si>
  <si>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</si>
  <si>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</si>
  <si>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</si>
  <si>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</si>
  <si>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</si>
  <si>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</si>
  <si>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</si>
  <si>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</si>
  <si>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</si>
  <si>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</si>
  <si>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</si>
  <si>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</si>
  <si>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</si>
  <si>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</si>
  <si>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</si>
  <si>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</si>
  <si>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</si>
  <si>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</si>
  <si>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</si>
  <si>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</si>
  <si>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</si>
  <si>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</si>
  <si>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</si>
  <si>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</si>
  <si>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</si>
  <si>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</si>
  <si>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</si>
  <si>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</si>
  <si>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</si>
  <si>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</si>
  <si>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</si>
  <si>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</si>
  <si>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</si>
  <si>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</si>
  <si>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</si>
  <si>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</si>
  <si>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</si>
  <si>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</si>
  <si>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</si>
  <si>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</si>
  <si>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</si>
  <si>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</si>
  <si>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</si>
  <si>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</si>
  <si>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</si>
  <si>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</si>
  <si>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</si>
  <si>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</si>
  <si>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</si>
  <si>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</si>
  <si>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</si>
  <si>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</si>
  <si>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</si>
  <si>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</si>
  <si>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</si>
  <si>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</si>
  <si>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</si>
  <si>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</si>
  <si>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</si>
  <si>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</si>
  <si>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</si>
  <si>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</si>
  <si>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</si>
  <si>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</si>
  <si>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</si>
  <si>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</si>
  <si>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</si>
  <si>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</si>
  <si>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</si>
  <si>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</si>
  <si>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</si>
  <si>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</si>
  <si>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</si>
  <si>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</si>
  <si>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</si>
  <si>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</si>
  <si>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</si>
  <si>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</si>
  <si>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</si>
  <si>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</si>
  <si>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</si>
  <si>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</si>
  <si>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</si>
  <si>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</si>
  <si>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</si>
  <si>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</si>
  <si>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</si>
  <si>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</si>
  <si>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</si>
  <si>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</si>
  <si>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</si>
  <si>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</si>
  <si>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</si>
  <si>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</si>
  <si>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</si>
  <si>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</si>
  <si>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</si>
  <si>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</si>
  <si>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</si>
  <si>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</si>
  <si>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</si>
  <si>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Component of Oil</t>
  </si>
  <si>
    <t xml:space="preserve">3 - 5 Agustus </t>
  </si>
  <si>
    <t>30 Juli - 2 Agst</t>
  </si>
  <si>
    <t>27 - 29 Juli</t>
  </si>
  <si>
    <t>23 - 26 Juli</t>
  </si>
  <si>
    <t>16 - 22 Juli</t>
  </si>
  <si>
    <t>9 - 15 Juli</t>
  </si>
  <si>
    <t>2 - 8 Juli</t>
  </si>
  <si>
    <t>OLEIN IV 60</t>
  </si>
  <si>
    <t>Feed to Refinery</t>
  </si>
  <si>
    <t>Quality Feed</t>
  </si>
  <si>
    <t>Quality on Tank</t>
  </si>
  <si>
    <t>Storage Tank</t>
  </si>
  <si>
    <t xml:space="preserve">Qty Feed </t>
  </si>
  <si>
    <t>FFA</t>
  </si>
  <si>
    <t>DOBI</t>
  </si>
  <si>
    <t>Average</t>
  </si>
  <si>
    <t>Perhitungan Quality secara Proporsional</t>
  </si>
  <si>
    <t>% CPO Feed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</si>
  <si>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</si>
  <si>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</si>
  <si>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</si>
  <si>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</si>
  <si>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</si>
  <si>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</si>
  <si>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</si>
  <si>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>Januari</t>
  </si>
  <si>
    <t xml:space="preserve">INL 1800 mL </t>
  </si>
  <si>
    <t>Februari</t>
  </si>
  <si>
    <t>Inc. CPO Piping Line -PKS Sei Mangkei</t>
  </si>
  <si>
    <t>Inc. CPO Piping Line -Dryport</t>
  </si>
  <si>
    <t>Inc. CPO Tolling 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</si>
</sst>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(* #,##0.0_);_(* \(#,##0.0\);_(* &quot;-&quot;??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84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2" borderId="0" xfId="0" applyFont="1" applyFill="1"/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4" fontId="3" fillId="0" borderId="4" xfId="1" applyNumberFormat="1" applyFont="1" applyBorder="1"/>
    <xf numFmtId="166" fontId="3" fillId="0" borderId="4" xfId="1" applyFont="1" applyBorder="1"/>
    <xf numFmtId="0" fontId="3" fillId="0" borderId="5" xfId="0" applyFont="1" applyBorder="1"/>
    <xf numFmtId="166" fontId="3" fillId="0" borderId="5" xfId="1" applyFont="1" applyBorder="1"/>
    <xf numFmtId="166" fontId="3" fillId="4" borderId="5" xfId="1" applyFont="1" applyFill="1" applyBorder="1"/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6" fontId="3" fillId="5" borderId="0" xfId="0" applyNumberFormat="1" applyFont="1" applyFill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6" fontId="3" fillId="0" borderId="7" xfId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6" fontId="3" fillId="0" borderId="9" xfId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1" applyFont="1" applyAlignment="1">
      <alignment horizontal="center"/>
    </xf>
    <xf numFmtId="0" fontId="5" fillId="0" borderId="3" xfId="0" applyFont="1" applyBorder="1" applyAlignment="1">
      <alignment horizontal="center"/>
    </xf>
    <xf numFmtId="166" fontId="3" fillId="0" borderId="10" xfId="1" applyFont="1" applyBorder="1" applyAlignment="1">
      <alignment horizontal="center"/>
    </xf>
    <xf numFmtId="166" fontId="3" fillId="0" borderId="11" xfId="1" applyFont="1" applyBorder="1" applyAlignment="1">
      <alignment horizontal="center"/>
    </xf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6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top"/>
    </xf>
    <xf numFmtId="0" fontId="5" fillId="5" borderId="13" xfId="0" applyFont="1" applyFill="1" applyBorder="1" applyAlignment="1">
      <alignment vertical="center"/>
    </xf>
    <xf numFmtId="0" fontId="3" fillId="7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13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7" fillId="0" borderId="9" xfId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vertical="center"/>
    </xf>
    <xf numFmtId="166" fontId="7" fillId="0" borderId="7" xfId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164" fontId="3" fillId="5" borderId="13" xfId="1" applyNumberFormat="1" applyFont="1" applyFill="1" applyBorder="1"/>
    <xf numFmtId="0" fontId="5" fillId="0" borderId="7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164" fontId="3" fillId="0" borderId="13" xfId="1" applyNumberFormat="1" applyFont="1" applyFill="1" applyBorder="1"/>
    <xf numFmtId="164" fontId="3" fillId="0" borderId="7" xfId="1" applyNumberFormat="1" applyFont="1" applyFill="1" applyBorder="1"/>
    <xf numFmtId="0" fontId="3" fillId="8" borderId="7" xfId="0" applyFont="1" applyFill="1" applyBorder="1"/>
    <xf numFmtId="164" fontId="3" fillId="7" borderId="7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164" fontId="3" fillId="8" borderId="7" xfId="1" applyNumberFormat="1" applyFont="1" applyFill="1" applyBorder="1"/>
    <xf numFmtId="0" fontId="9" fillId="0" borderId="7" xfId="0" applyFont="1" applyBorder="1" applyAlignment="1">
      <alignment horizontal="center"/>
    </xf>
    <xf numFmtId="166" fontId="4" fillId="7" borderId="7" xfId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8" fontId="3" fillId="0" borderId="7" xfId="2" applyNumberFormat="1" applyFont="1" applyFill="1" applyBorder="1"/>
    <xf numFmtId="166" fontId="3" fillId="7" borderId="7" xfId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6" fontId="3" fillId="7" borderId="7" xfId="1" applyFont="1" applyFill="1" applyBorder="1" applyAlignment="1">
      <alignment horizontal="right"/>
    </xf>
    <xf numFmtId="168" fontId="4" fillId="0" borderId="7" xfId="2" applyNumberFormat="1" applyFont="1" applyFill="1" applyBorder="1"/>
    <xf numFmtId="0" fontId="10" fillId="2" borderId="7" xfId="0" applyFont="1" applyFill="1" applyBorder="1"/>
    <xf numFmtId="0" fontId="3" fillId="7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8" fillId="0" borderId="13" xfId="0" applyFont="1" applyBorder="1"/>
    <xf numFmtId="0" fontId="11" fillId="7" borderId="13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9" borderId="7" xfId="0" applyFont="1" applyFill="1" applyBorder="1" applyAlignment="1">
      <alignment vertical="center"/>
    </xf>
    <xf numFmtId="0" fontId="3" fillId="9" borderId="7" xfId="0" applyFont="1" applyFill="1" applyBorder="1" applyAlignment="1">
      <alignment horizontal="center" vertical="center"/>
    </xf>
    <xf numFmtId="0" fontId="5" fillId="5" borderId="13" xfId="0" applyFont="1" applyFill="1" applyBorder="1"/>
    <xf numFmtId="0" fontId="3" fillId="5" borderId="13" xfId="0" applyFont="1" applyFill="1" applyBorder="1" applyAlignment="1">
      <alignment horizontal="center"/>
    </xf>
    <xf numFmtId="0" fontId="3" fillId="2" borderId="7" xfId="0" applyFont="1" applyFill="1" applyBorder="1"/>
    <xf numFmtId="166" fontId="3" fillId="0" borderId="7" xfId="1" applyFont="1" applyFill="1" applyBorder="1"/>
    <xf numFmtId="0" fontId="3" fillId="0" borderId="7" xfId="0" applyFont="1" applyBorder="1"/>
    <xf numFmtId="166" fontId="3" fillId="7" borderId="14" xfId="1" applyFont="1" applyFill="1" applyBorder="1" applyAlignment="1">
      <alignment horizontal="center"/>
    </xf>
    <xf numFmtId="164" fontId="3" fillId="0" borderId="14" xfId="1" applyNumberFormat="1" applyFont="1" applyFill="1" applyBorder="1"/>
    <xf numFmtId="0" fontId="3" fillId="0" borderId="15" xfId="0" applyFont="1" applyBorder="1"/>
    <xf numFmtId="0" fontId="3" fillId="7" borderId="15" xfId="0" applyFont="1" applyFill="1" applyBorder="1" applyAlignment="1">
      <alignment horizontal="center"/>
    </xf>
    <xf numFmtId="166" fontId="3" fillId="0" borderId="15" xfId="1" applyFont="1" applyFill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69" fontId="3" fillId="0" borderId="7" xfId="1" applyNumberFormat="1" applyFont="1" applyFill="1" applyBorder="1"/>
    <xf numFmtId="0" fontId="5" fillId="2" borderId="13" xfId="0" applyFont="1" applyFill="1" applyBorder="1" applyAlignment="1">
      <alignment horizontal="center"/>
    </xf>
    <xf numFmtId="170" fontId="3" fillId="7" borderId="13" xfId="1" applyNumberFormat="1" applyFont="1" applyFill="1" applyBorder="1" applyAlignment="1">
      <alignment horizontal="center"/>
    </xf>
    <xf numFmtId="166" fontId="12" fillId="0" borderId="13" xfId="1" applyFont="1" applyFill="1" applyBorder="1"/>
    <xf numFmtId="171" fontId="3" fillId="7" borderId="7" xfId="1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0" borderId="13" xfId="1" applyNumberFormat="1" applyFont="1" applyFill="1" applyBorder="1"/>
    <xf numFmtId="164" fontId="5" fillId="0" borderId="13" xfId="1" applyNumberFormat="1" applyFont="1" applyFill="1" applyBorder="1"/>
    <xf numFmtId="164" fontId="5" fillId="2" borderId="13" xfId="1" applyNumberFormat="1" applyFont="1" applyFill="1" applyBorder="1"/>
    <xf numFmtId="164" fontId="3" fillId="0" borderId="16" xfId="1" applyNumberFormat="1" applyFont="1" applyFill="1" applyBorder="1"/>
    <xf numFmtId="164" fontId="3" fillId="5" borderId="13" xfId="1" applyNumberFormat="1" applyFont="1" applyFill="1" applyBorder="1" applyAlignment="1">
      <alignment horizontal="right" vertical="center"/>
    </xf>
    <xf numFmtId="164" fontId="5" fillId="0" borderId="13" xfId="1" applyNumberFormat="1" applyFont="1" applyFill="1" applyBorder="1" applyAlignment="1">
      <alignment horizontal="center"/>
    </xf>
    <xf numFmtId="164" fontId="3" fillId="9" borderId="7" xfId="1" applyNumberFormat="1" applyFont="1" applyFill="1" applyBorder="1" applyAlignment="1">
      <alignment horizontal="center" vertical="center"/>
    </xf>
    <xf numFmtId="169" fontId="4" fillId="0" borderId="7" xfId="1" applyNumberFormat="1" applyFont="1" applyFill="1" applyBorder="1"/>
    <xf numFmtId="164" fontId="3" fillId="0" borderId="0" xfId="0" applyNumberFormat="1" applyFont="1"/>
    <xf numFmtId="0" fontId="14" fillId="5" borderId="19" xfId="0" applyFont="1" applyFill="1" applyBorder="1" applyAlignment="1">
      <alignment vertical="center"/>
    </xf>
    <xf numFmtId="164" fontId="3" fillId="0" borderId="19" xfId="1" applyNumberFormat="1" applyFont="1" applyBorder="1"/>
    <xf numFmtId="172" fontId="15" fillId="0" borderId="19" xfId="0" applyNumberFormat="1" applyFont="1" applyBorder="1"/>
    <xf numFmtId="0" fontId="14" fillId="5" borderId="20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9" xfId="0" applyNumberFormat="1" applyFont="1" applyBorder="1"/>
    <xf numFmtId="164" fontId="5" fillId="0" borderId="21" xfId="1" applyNumberFormat="1" applyFont="1" applyBorder="1" applyAlignment="1">
      <alignment vertical="center"/>
    </xf>
    <xf numFmtId="0" fontId="10" fillId="0" borderId="19" xfId="0" applyFont="1" applyBorder="1"/>
    <xf numFmtId="164" fontId="3" fillId="0" borderId="19" xfId="0" applyNumberFormat="1" applyFont="1" applyBorder="1"/>
    <xf numFmtId="0" fontId="16" fillId="0" borderId="0" xfId="0" applyFont="1"/>
    <xf numFmtId="164" fontId="3" fillId="0" borderId="0" xfId="1" applyNumberFormat="1" applyFont="1" applyFill="1"/>
    <xf numFmtId="166" fontId="3" fillId="0" borderId="19" xfId="0" applyNumberFormat="1" applyFont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9" xfId="0" applyNumberFormat="1" applyFont="1" applyBorder="1"/>
    <xf numFmtId="164" fontId="10" fillId="0" borderId="19" xfId="0" applyNumberFormat="1" applyFont="1" applyBorder="1"/>
    <xf numFmtId="0" fontId="16" fillId="0" borderId="0" xfId="0" applyFont="1" applyAlignment="1">
      <alignment vertical="center"/>
    </xf>
    <xf numFmtId="164" fontId="3" fillId="0" borderId="19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9" xfId="1" applyNumberFormat="1" applyFont="1" applyBorder="1" applyAlignment="1">
      <alignment vertical="center"/>
    </xf>
    <xf numFmtId="0" fontId="5" fillId="5" borderId="20" xfId="0" applyFont="1" applyFill="1" applyBorder="1"/>
    <xf numFmtId="166" fontId="3" fillId="0" borderId="19" xfId="1" applyFont="1" applyBorder="1"/>
    <xf numFmtId="166" fontId="3" fillId="0" borderId="0" xfId="1" applyFont="1" applyFill="1" applyBorder="1"/>
    <xf numFmtId="164" fontId="3" fillId="0" borderId="22" xfId="0" applyNumberFormat="1" applyFont="1" applyBorder="1"/>
    <xf numFmtId="166" fontId="3" fillId="0" borderId="23" xfId="1" applyFont="1" applyBorder="1"/>
    <xf numFmtId="169" fontId="3" fillId="0" borderId="19" xfId="1" applyNumberFormat="1" applyFont="1" applyBorder="1"/>
    <xf numFmtId="0" fontId="12" fillId="2" borderId="0" xfId="0" applyFont="1" applyFill="1"/>
    <xf numFmtId="166" fontId="12" fillId="0" borderId="20" xfId="1" applyFont="1" applyFill="1" applyBorder="1"/>
    <xf numFmtId="164" fontId="3" fillId="2" borderId="0" xfId="1" applyNumberFormat="1" applyFont="1" applyFill="1"/>
    <xf numFmtId="166" fontId="3" fillId="2" borderId="19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NumberFormat="1" applyFont="1" applyFill="1" applyBorder="1"/>
    <xf numFmtId="0" fontId="5" fillId="7" borderId="7" xfId="0" applyFont="1" applyFill="1" applyBorder="1" applyAlignment="1">
      <alignment horizontal="center"/>
    </xf>
    <xf numFmtId="166" fontId="5" fillId="0" borderId="7" xfId="1" applyFont="1" applyFill="1" applyBorder="1"/>
    <xf numFmtId="164" fontId="3" fillId="0" borderId="7" xfId="1" applyNumberFormat="1" applyFont="1" applyFill="1" applyBorder="1" applyAlignment="1">
      <alignment vertical="center"/>
    </xf>
    <xf numFmtId="164" fontId="3" fillId="0" borderId="10" xfId="1" applyNumberFormat="1" applyFont="1" applyFill="1" applyBorder="1" applyAlignment="1">
      <alignment wrapText="1"/>
    </xf>
    <xf numFmtId="0" fontId="5" fillId="2" borderId="7" xfId="0" applyFont="1" applyFill="1" applyBorder="1" applyAlignment="1">
      <alignment horizontal="center"/>
    </xf>
    <xf numFmtId="173" fontId="13" fillId="0" borderId="7" xfId="1" applyNumberFormat="1" applyFont="1" applyFill="1" applyBorder="1"/>
    <xf numFmtId="170" fontId="3" fillId="7" borderId="7" xfId="1" applyNumberFormat="1" applyFont="1" applyFill="1" applyBorder="1" applyAlignment="1">
      <alignment horizontal="center"/>
    </xf>
    <xf numFmtId="173" fontId="3" fillId="0" borderId="7" xfId="1" applyNumberFormat="1" applyFont="1" applyFill="1" applyBorder="1"/>
    <xf numFmtId="164" fontId="3" fillId="0" borderId="7" xfId="1" applyNumberFormat="1" applyFont="1" applyBorder="1"/>
    <xf numFmtId="174" fontId="13" fillId="0" borderId="7" xfId="1" applyNumberFormat="1" applyFont="1" applyFill="1" applyBorder="1"/>
    <xf numFmtId="175" fontId="3" fillId="0" borderId="7" xfId="1" applyNumberFormat="1" applyFont="1" applyFill="1" applyBorder="1"/>
    <xf numFmtId="174" fontId="3" fillId="0" borderId="7" xfId="1" applyNumberFormat="1" applyFont="1" applyFill="1" applyBorder="1"/>
    <xf numFmtId="164" fontId="5" fillId="0" borderId="0" xfId="0" applyNumberFormat="1" applyFont="1"/>
    <xf numFmtId="166" fontId="5" fillId="0" borderId="19" xfId="0" applyNumberFormat="1" applyFont="1" applyBorder="1"/>
    <xf numFmtId="164" fontId="5" fillId="0" borderId="0" xfId="1" applyNumberFormat="1" applyFont="1" applyFill="1"/>
    <xf numFmtId="0" fontId="17" fillId="0" borderId="0" xfId="0" applyFont="1"/>
    <xf numFmtId="164" fontId="3" fillId="0" borderId="0" xfId="1" applyNumberFormat="1" applyFont="1" applyFill="1" applyAlignment="1">
      <alignment vertical="center"/>
    </xf>
    <xf numFmtId="174" fontId="3" fillId="0" borderId="19" xfId="0" applyNumberFormat="1" applyFont="1" applyBorder="1"/>
    <xf numFmtId="174" fontId="5" fillId="0" borderId="19" xfId="0" applyNumberFormat="1" applyFont="1" applyBorder="1"/>
    <xf numFmtId="0" fontId="5" fillId="0" borderId="9" xfId="0" applyFont="1" applyBorder="1" applyAlignment="1">
      <alignment horizontal="center"/>
    </xf>
    <xf numFmtId="166" fontId="5" fillId="7" borderId="9" xfId="1" applyFont="1" applyFill="1" applyBorder="1" applyAlignment="1">
      <alignment horizontal="center"/>
    </xf>
    <xf numFmtId="173" fontId="5" fillId="0" borderId="9" xfId="1" applyNumberFormat="1" applyFont="1" applyFill="1" applyBorder="1"/>
    <xf numFmtId="0" fontId="5" fillId="5" borderId="7" xfId="0" applyFont="1" applyFill="1" applyBorder="1" applyAlignment="1">
      <alignment horizontal="center"/>
    </xf>
    <xf numFmtId="174" fontId="5" fillId="5" borderId="7" xfId="1" applyNumberFormat="1" applyFont="1" applyFill="1" applyBorder="1"/>
    <xf numFmtId="164" fontId="5" fillId="7" borderId="7" xfId="1" applyNumberFormat="1" applyFont="1" applyFill="1" applyBorder="1" applyAlignment="1">
      <alignment horizontal="center"/>
    </xf>
    <xf numFmtId="166" fontId="3" fillId="7" borderId="7" xfId="1" applyFont="1" applyFill="1" applyBorder="1" applyAlignment="1">
      <alignment horizontal="center" vertical="center"/>
    </xf>
    <xf numFmtId="166" fontId="3" fillId="0" borderId="7" xfId="1" applyFont="1" applyFill="1" applyBorder="1" applyAlignment="1">
      <alignment vertical="center"/>
    </xf>
    <xf numFmtId="166" fontId="3" fillId="7" borderId="7" xfId="1" applyFont="1" applyFill="1" applyBorder="1" applyAlignment="1">
      <alignment vertical="center"/>
    </xf>
    <xf numFmtId="0" fontId="3" fillId="7" borderId="7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164" fontId="13" fillId="0" borderId="7" xfId="1" applyNumberFormat="1" applyFont="1" applyFill="1" applyBorder="1"/>
    <xf numFmtId="0" fontId="3" fillId="5" borderId="13" xfId="0" applyFont="1" applyFill="1" applyBorder="1"/>
    <xf numFmtId="0" fontId="5" fillId="2" borderId="9" xfId="0" applyFont="1" applyFill="1" applyBorder="1"/>
    <xf numFmtId="0" fontId="5" fillId="7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5" fillId="0" borderId="9" xfId="1" applyNumberFormat="1" applyFont="1" applyBorder="1"/>
    <xf numFmtId="174" fontId="5" fillId="0" borderId="9" xfId="1" applyNumberFormat="1" applyFont="1" applyFill="1" applyBorder="1"/>
    <xf numFmtId="164" fontId="4" fillId="0" borderId="7" xfId="1" applyNumberFormat="1" applyFont="1" applyFill="1" applyBorder="1"/>
    <xf numFmtId="166" fontId="3" fillId="5" borderId="13" xfId="1" applyFont="1" applyFill="1" applyBorder="1"/>
    <xf numFmtId="0" fontId="14" fillId="0" borderId="19" xfId="0" applyFont="1" applyBorder="1"/>
    <xf numFmtId="177" fontId="3" fillId="0" borderId="19" xfId="0" applyNumberFormat="1" applyFont="1" applyBorder="1"/>
    <xf numFmtId="174" fontId="5" fillId="0" borderId="18" xfId="0" applyNumberFormat="1" applyFont="1" applyBorder="1"/>
    <xf numFmtId="164" fontId="5" fillId="0" borderId="0" xfId="1" applyNumberFormat="1" applyFont="1"/>
    <xf numFmtId="166" fontId="5" fillId="5" borderId="20" xfId="1" applyFont="1" applyFill="1" applyBorder="1"/>
    <xf numFmtId="164" fontId="5" fillId="0" borderId="19" xfId="0" applyNumberFormat="1" applyFont="1" applyBorder="1"/>
    <xf numFmtId="165" fontId="14" fillId="0" borderId="19" xfId="0" applyNumberFormat="1" applyFont="1" applyBorder="1"/>
    <xf numFmtId="166" fontId="5" fillId="0" borderId="19" xfId="1" applyFont="1" applyBorder="1" applyAlignment="1">
      <alignment vertical="center"/>
    </xf>
    <xf numFmtId="164" fontId="14" fillId="0" borderId="19" xfId="0" applyNumberFormat="1" applyFont="1" applyBorder="1" applyAlignment="1">
      <alignment vertical="center"/>
    </xf>
    <xf numFmtId="166" fontId="3" fillId="0" borderId="19" xfId="1" applyFont="1" applyBorder="1" applyAlignment="1">
      <alignment vertical="center"/>
    </xf>
    <xf numFmtId="164" fontId="5" fillId="5" borderId="20" xfId="1" applyNumberFormat="1" applyFont="1" applyFill="1" applyBorder="1"/>
    <xf numFmtId="0" fontId="10" fillId="5" borderId="20" xfId="0" applyFont="1" applyFill="1" applyBorder="1"/>
    <xf numFmtId="164" fontId="5" fillId="0" borderId="18" xfId="0" applyNumberFormat="1" applyFont="1" applyBorder="1"/>
    <xf numFmtId="0" fontId="10" fillId="5" borderId="19" xfId="0" applyFont="1" applyFill="1" applyBorder="1"/>
    <xf numFmtId="164" fontId="5" fillId="0" borderId="24" xfId="0" applyNumberFormat="1" applyFont="1" applyBorder="1"/>
    <xf numFmtId="0" fontId="5" fillId="5" borderId="19" xfId="0" quotePrefix="1" applyFont="1" applyFill="1" applyBorder="1"/>
    <xf numFmtId="0" fontId="4" fillId="0" borderId="7" xfId="0" quotePrefix="1" applyFont="1" applyBorder="1"/>
    <xf numFmtId="0" fontId="3" fillId="0" borderId="7" xfId="0" quotePrefix="1" applyFont="1" applyBorder="1"/>
    <xf numFmtId="0" fontId="3" fillId="8" borderId="7" xfId="0" quotePrefix="1" applyFont="1" applyFill="1" applyBorder="1"/>
    <xf numFmtId="0" fontId="3" fillId="8" borderId="7" xfId="0" quotePrefix="1" applyFont="1" applyFill="1" applyBorder="1" applyAlignment="1">
      <alignment horizontal="center"/>
    </xf>
    <xf numFmtId="0" fontId="5" fillId="5" borderId="13" xfId="0" quotePrefix="1" applyFont="1" applyFill="1" applyBorder="1"/>
    <xf numFmtId="0" fontId="5" fillId="5" borderId="20" xfId="0" quotePrefix="1" applyFont="1" applyFill="1" applyBorder="1"/>
    <xf numFmtId="0" fontId="3" fillId="2" borderId="7" xfId="0" quotePrefix="1" applyFont="1" applyFill="1" applyBorder="1"/>
    <xf numFmtId="0" fontId="3" fillId="2" borderId="7" xfId="0" quotePrefix="1" applyFont="1" applyFill="1" applyBorder="1" applyAlignment="1">
      <alignment horizontal="center"/>
    </xf>
    <xf numFmtId="0" fontId="3" fillId="0" borderId="7" xfId="0" quotePrefix="1" applyFont="1" applyBorder="1" applyAlignment="1">
      <alignment horizontal="center"/>
    </xf>
    <xf numFmtId="0" fontId="3" fillId="0" borderId="14" xfId="0" quotePrefix="1" applyFont="1" applyBorder="1"/>
    <xf numFmtId="0" fontId="3" fillId="0" borderId="14" xfId="0" quotePrefix="1" applyFont="1" applyBorder="1" applyAlignment="1">
      <alignment horizontal="center"/>
    </xf>
    <xf numFmtId="0" fontId="3" fillId="0" borderId="15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5" fillId="2" borderId="13" xfId="0" quotePrefix="1" applyFont="1" applyFill="1" applyBorder="1"/>
    <xf numFmtId="0" fontId="3" fillId="2" borderId="13" xfId="0" quotePrefix="1" applyFont="1" applyFill="1" applyBorder="1" applyAlignment="1">
      <alignment horizontal="center"/>
    </xf>
    <xf numFmtId="0" fontId="3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5" fillId="0" borderId="7" xfId="0" quotePrefix="1" applyFont="1" applyBorder="1"/>
    <xf numFmtId="0" fontId="5" fillId="0" borderId="7" xfId="0" quotePrefix="1" applyFont="1" applyBorder="1" applyAlignment="1">
      <alignment horizontal="center"/>
    </xf>
    <xf numFmtId="0" fontId="14" fillId="0" borderId="7" xfId="0" quotePrefix="1" applyFont="1" applyBorder="1"/>
    <xf numFmtId="0" fontId="3" fillId="0" borderId="7" xfId="0" quotePrefix="1" applyFont="1" applyBorder="1" applyAlignment="1">
      <alignment vertical="center"/>
    </xf>
    <xf numFmtId="0" fontId="3" fillId="0" borderId="7" xfId="0" quotePrefix="1" applyFont="1" applyBorder="1" applyAlignment="1">
      <alignment horizontal="center" vertical="center"/>
    </xf>
    <xf numFmtId="0" fontId="5" fillId="0" borderId="9" xfId="0" quotePrefix="1" applyFont="1" applyBorder="1"/>
    <xf numFmtId="0" fontId="5" fillId="0" borderId="9" xfId="0" quotePrefix="1" applyFont="1" applyBorder="1" applyAlignment="1">
      <alignment horizontal="center"/>
    </xf>
    <xf numFmtId="0" fontId="5" fillId="5" borderId="7" xfId="0" quotePrefix="1" applyFont="1" applyFill="1" applyBorder="1"/>
    <xf numFmtId="0" fontId="5" fillId="0" borderId="7" xfId="0" quotePrefix="1" applyFont="1" applyBorder="1" applyAlignment="1">
      <alignment vertical="center"/>
    </xf>
    <xf numFmtId="0" fontId="5" fillId="2" borderId="7" xfId="0" quotePrefix="1" applyFont="1" applyFill="1" applyBorder="1"/>
    <xf numFmtId="0" fontId="5" fillId="2" borderId="7" xfId="0" quotePrefix="1" applyFont="1" applyFill="1" applyBorder="1" applyAlignment="1">
      <alignment horizontal="center"/>
    </xf>
    <xf numFmtId="164" fontId="22" fillId="0" borderId="7" xfId="1" applyNumberFormat="1" applyFont="1" applyFill="1" applyBorder="1"/>
    <xf numFmtId="41" fontId="3" fillId="0" borderId="0" xfId="2" applyFont="1" applyFill="1"/>
    <xf numFmtId="41" fontId="3" fillId="0" borderId="0" xfId="0" applyNumberFormat="1" applyFont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13" xfId="1" applyFont="1" applyFill="1" applyBorder="1"/>
    <xf numFmtId="164" fontId="3" fillId="0" borderId="9" xfId="1" applyNumberFormat="1" applyFont="1" applyFill="1" applyBorder="1" applyAlignment="1">
      <alignment vertical="center"/>
    </xf>
    <xf numFmtId="168" fontId="3" fillId="0" borderId="7" xfId="2" applyNumberFormat="1" applyFont="1" applyBorder="1"/>
    <xf numFmtId="168" fontId="3" fillId="0" borderId="7" xfId="2" applyNumberFormat="1" applyFont="1" applyFill="1" applyBorder="1" applyAlignment="1">
      <alignment vertical="center"/>
    </xf>
    <xf numFmtId="41" fontId="3" fillId="0" borderId="7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/>
    <xf numFmtId="164" fontId="3" fillId="0" borderId="9" xfId="1" applyNumberFormat="1" applyFont="1" applyFill="1" applyBorder="1"/>
    <xf numFmtId="175" fontId="13" fillId="0" borderId="7" xfId="1" applyNumberFormat="1" applyFont="1" applyFill="1" applyBorder="1"/>
    <xf numFmtId="43" fontId="3" fillId="2" borderId="0" xfId="0" applyNumberFormat="1" applyFont="1" applyFill="1"/>
    <xf numFmtId="166" fontId="3" fillId="0" borderId="0" xfId="1" applyFont="1" applyFill="1"/>
    <xf numFmtId="168" fontId="3" fillId="0" borderId="7" xfId="1" applyNumberFormat="1" applyFont="1" applyFill="1" applyBorder="1"/>
    <xf numFmtId="176" fontId="3" fillId="0" borderId="7" xfId="1" applyNumberFormat="1" applyFont="1" applyFill="1" applyBorder="1"/>
    <xf numFmtId="164" fontId="3" fillId="9" borderId="7" xfId="1" applyNumberFormat="1" applyFont="1" applyFill="1" applyBorder="1"/>
    <xf numFmtId="41" fontId="4" fillId="0" borderId="0" xfId="2" applyFont="1"/>
    <xf numFmtId="179" fontId="3" fillId="0" borderId="7" xfId="1" applyNumberFormat="1" applyFont="1" applyFill="1" applyBorder="1"/>
    <xf numFmtId="166" fontId="5" fillId="0" borderId="9" xfId="1" applyFont="1" applyFill="1" applyBorder="1"/>
    <xf numFmtId="41" fontId="3" fillId="2" borderId="7" xfId="2" applyFont="1" applyFill="1" applyBorder="1"/>
    <xf numFmtId="166" fontId="4" fillId="0" borderId="0" xfId="1" applyFont="1"/>
    <xf numFmtId="41" fontId="3" fillId="0" borderId="0" xfId="2" applyFont="1"/>
    <xf numFmtId="166" fontId="4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13" xfId="1" applyNumberFormat="1" applyFont="1" applyFill="1" applyBorder="1" applyAlignment="1">
      <alignment horizontal="center"/>
    </xf>
    <xf numFmtId="164" fontId="3" fillId="2" borderId="7" xfId="1" applyNumberFormat="1" applyFont="1" applyFill="1" applyBorder="1"/>
    <xf numFmtId="164" fontId="3" fillId="8" borderId="9" xfId="1" applyNumberFormat="1" applyFont="1" applyFill="1" applyBorder="1"/>
    <xf numFmtId="168" fontId="13" fillId="0" borderId="7" xfId="2" applyNumberFormat="1" applyFont="1" applyFill="1" applyBorder="1"/>
    <xf numFmtId="166" fontId="13" fillId="0" borderId="7" xfId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41" fontId="3" fillId="7" borderId="7" xfId="2" applyFont="1" applyFill="1" applyBorder="1" applyAlignment="1">
      <alignment horizontal="center"/>
    </xf>
    <xf numFmtId="41" fontId="11" fillId="7" borderId="13" xfId="2" applyFont="1" applyFill="1" applyBorder="1" applyAlignment="1">
      <alignment horizontal="center"/>
    </xf>
    <xf numFmtId="41" fontId="11" fillId="7" borderId="7" xfId="2" applyFont="1" applyFill="1" applyBorder="1" applyAlignment="1">
      <alignment horizontal="center" vertical="center"/>
    </xf>
    <xf numFmtId="178" fontId="3" fillId="2" borderId="0" xfId="0" applyNumberFormat="1" applyFont="1" applyFill="1"/>
    <xf numFmtId="174" fontId="4" fillId="0" borderId="7" xfId="1" applyNumberFormat="1" applyFont="1" applyFill="1" applyBorder="1"/>
    <xf numFmtId="168" fontId="4" fillId="0" borderId="0" xfId="2" applyNumberFormat="1" applyFont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9" fontId="13" fillId="0" borderId="7" xfId="1" applyNumberFormat="1" applyFont="1" applyFill="1" applyBorder="1"/>
    <xf numFmtId="166" fontId="4" fillId="0" borderId="7" xfId="1" applyFont="1" applyFill="1" applyBorder="1"/>
    <xf numFmtId="41" fontId="3" fillId="2" borderId="0" xfId="2" applyFont="1" applyFill="1"/>
    <xf numFmtId="41" fontId="5" fillId="0" borderId="0" xfId="2" applyFont="1"/>
    <xf numFmtId="164" fontId="5" fillId="2" borderId="4" xfId="1" applyNumberFormat="1" applyFont="1" applyFill="1" applyBorder="1" applyAlignment="1">
      <alignment horizontal="right" vertical="center"/>
    </xf>
    <xf numFmtId="0" fontId="5" fillId="5" borderId="7" xfId="0" applyFont="1" applyFill="1" applyBorder="1"/>
    <xf numFmtId="0" fontId="3" fillId="5" borderId="7" xfId="0" applyFont="1" applyFill="1" applyBorder="1"/>
    <xf numFmtId="0" fontId="5" fillId="6" borderId="3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top"/>
    </xf>
    <xf numFmtId="164" fontId="3" fillId="0" borderId="35" xfId="1" applyNumberFormat="1" applyFont="1" applyFill="1" applyBorder="1" applyAlignment="1">
      <alignment horizontal="right" vertical="center"/>
    </xf>
    <xf numFmtId="164" fontId="3" fillId="0" borderId="36" xfId="1" applyNumberFormat="1" applyFont="1" applyFill="1" applyBorder="1" applyAlignment="1">
      <alignment horizontal="right" vertical="center"/>
    </xf>
    <xf numFmtId="166" fontId="7" fillId="0" borderId="37" xfId="1" applyFont="1" applyFill="1" applyBorder="1" applyAlignment="1">
      <alignment horizontal="right" vertical="center"/>
    </xf>
    <xf numFmtId="166" fontId="7" fillId="0" borderId="36" xfId="1" applyFont="1" applyFill="1" applyBorder="1" applyAlignment="1">
      <alignment horizontal="right" vertical="center"/>
    </xf>
    <xf numFmtId="164" fontId="5" fillId="0" borderId="33" xfId="1" applyNumberFormat="1" applyFont="1" applyFill="1" applyBorder="1" applyAlignment="1">
      <alignment horizontal="right" vertical="center"/>
    </xf>
    <xf numFmtId="0" fontId="5" fillId="0" borderId="38" xfId="0" applyFont="1" applyBorder="1" applyAlignment="1">
      <alignment horizontal="center"/>
    </xf>
    <xf numFmtId="164" fontId="3" fillId="5" borderId="35" xfId="1" applyNumberFormat="1" applyFont="1" applyFill="1" applyBorder="1"/>
    <xf numFmtId="0" fontId="5" fillId="0" borderId="34" xfId="0" applyFont="1" applyBorder="1" applyAlignment="1">
      <alignment horizontal="center"/>
    </xf>
    <xf numFmtId="164" fontId="3" fillId="0" borderId="35" xfId="1" applyNumberFormat="1" applyFont="1" applyFill="1" applyBorder="1"/>
    <xf numFmtId="164" fontId="3" fillId="0" borderId="36" xfId="1" applyNumberFormat="1" applyFont="1" applyFill="1" applyBorder="1"/>
    <xf numFmtId="164" fontId="3" fillId="8" borderId="36" xfId="1" applyNumberFormat="1" applyFont="1" applyFill="1" applyBorder="1"/>
    <xf numFmtId="0" fontId="9" fillId="0" borderId="34" xfId="0" applyFont="1" applyBorder="1" applyAlignment="1">
      <alignment horizontal="center"/>
    </xf>
    <xf numFmtId="168" fontId="3" fillId="0" borderId="36" xfId="2" applyNumberFormat="1" applyFont="1" applyFill="1" applyBorder="1"/>
    <xf numFmtId="0" fontId="3" fillId="0" borderId="34" xfId="0" applyFont="1" applyBorder="1" applyAlignment="1">
      <alignment horizontal="center"/>
    </xf>
    <xf numFmtId="164" fontId="5" fillId="0" borderId="35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164" fontId="3" fillId="9" borderId="36" xfId="1" applyNumberFormat="1" applyFont="1" applyFill="1" applyBorder="1" applyAlignment="1">
      <alignment horizontal="center" vertical="center"/>
    </xf>
    <xf numFmtId="166" fontId="3" fillId="0" borderId="36" xfId="1" applyFont="1" applyFill="1" applyBorder="1"/>
    <xf numFmtId="164" fontId="3" fillId="0" borderId="39" xfId="1" applyNumberFormat="1" applyFont="1" applyFill="1" applyBorder="1"/>
    <xf numFmtId="166" fontId="3" fillId="0" borderId="40" xfId="1" applyFont="1" applyFill="1" applyBorder="1"/>
    <xf numFmtId="0" fontId="3" fillId="0" borderId="41" xfId="0" applyFont="1" applyBorder="1" applyAlignment="1">
      <alignment horizontal="center"/>
    </xf>
    <xf numFmtId="169" fontId="3" fillId="0" borderId="36" xfId="1" applyNumberFormat="1" applyFont="1" applyFill="1" applyBorder="1"/>
    <xf numFmtId="0" fontId="5" fillId="2" borderId="38" xfId="0" applyFont="1" applyFill="1" applyBorder="1" applyAlignment="1">
      <alignment horizontal="center"/>
    </xf>
    <xf numFmtId="166" fontId="12" fillId="0" borderId="35" xfId="1" applyFont="1" applyFill="1" applyBorder="1"/>
    <xf numFmtId="0" fontId="3" fillId="2" borderId="34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64" fontId="5" fillId="0" borderId="36" xfId="1" applyNumberFormat="1" applyFont="1" applyFill="1" applyBorder="1"/>
    <xf numFmtId="164" fontId="3" fillId="0" borderId="36" xfId="1" applyNumberFormat="1" applyFont="1" applyFill="1" applyBorder="1" applyAlignment="1">
      <alignment vertical="center"/>
    </xf>
    <xf numFmtId="164" fontId="3" fillId="0" borderId="42" xfId="1" applyNumberFormat="1" applyFont="1" applyFill="1" applyBorder="1" applyAlignment="1">
      <alignment wrapText="1"/>
    </xf>
    <xf numFmtId="164" fontId="3" fillId="0" borderId="37" xfId="1" applyNumberFormat="1" applyFont="1" applyFill="1" applyBorder="1" applyAlignment="1">
      <alignment vertical="center"/>
    </xf>
    <xf numFmtId="166" fontId="5" fillId="0" borderId="36" xfId="1" applyFont="1" applyFill="1" applyBorder="1"/>
    <xf numFmtId="174" fontId="13" fillId="0" borderId="36" xfId="1" applyNumberFormat="1" applyFont="1" applyFill="1" applyBorder="1"/>
    <xf numFmtId="176" fontId="13" fillId="0" borderId="36" xfId="1" applyNumberFormat="1" applyFont="1" applyFill="1" applyBorder="1"/>
    <xf numFmtId="174" fontId="3" fillId="0" borderId="36" xfId="1" applyNumberFormat="1" applyFont="1" applyFill="1" applyBorder="1"/>
    <xf numFmtId="0" fontId="5" fillId="0" borderId="41" xfId="0" applyFont="1" applyBorder="1" applyAlignment="1">
      <alignment horizontal="center"/>
    </xf>
    <xf numFmtId="174" fontId="5" fillId="0" borderId="37" xfId="1" applyNumberFormat="1" applyFont="1" applyFill="1" applyBorder="1"/>
    <xf numFmtId="174" fontId="5" fillId="5" borderId="36" xfId="1" applyNumberFormat="1" applyFont="1" applyFill="1" applyBorder="1"/>
    <xf numFmtId="166" fontId="3" fillId="5" borderId="35" xfId="1" applyFont="1" applyFill="1" applyBorder="1"/>
    <xf numFmtId="166" fontId="3" fillId="0" borderId="36" xfId="1" applyFont="1" applyFill="1" applyBorder="1" applyAlignment="1">
      <alignment vertical="center"/>
    </xf>
    <xf numFmtId="0" fontId="5" fillId="2" borderId="34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5" fillId="2" borderId="44" xfId="0" quotePrefix="1" applyFont="1" applyFill="1" applyBorder="1"/>
    <xf numFmtId="0" fontId="5" fillId="7" borderId="44" xfId="0" applyFont="1" applyFill="1" applyBorder="1" applyAlignment="1">
      <alignment horizontal="center"/>
    </xf>
    <xf numFmtId="0" fontId="5" fillId="2" borderId="44" xfId="0" quotePrefix="1" applyFont="1" applyFill="1" applyBorder="1" applyAlignment="1">
      <alignment horizontal="center"/>
    </xf>
    <xf numFmtId="164" fontId="5" fillId="0" borderId="44" xfId="1" applyNumberFormat="1" applyFont="1" applyFill="1" applyBorder="1"/>
    <xf numFmtId="164" fontId="5" fillId="0" borderId="45" xfId="1" applyNumberFormat="1" applyFont="1" applyFill="1" applyBorder="1"/>
    <xf numFmtId="166" fontId="5" fillId="0" borderId="0" xfId="0" applyNumberFormat="1" applyFont="1"/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0" xfId="0" applyFont="1" applyFill="1"/>
    <xf numFmtId="0" fontId="5" fillId="5" borderId="4" xfId="0" applyFont="1" applyFill="1" applyBorder="1" applyAlignment="1">
      <alignment horizontal="center" vertical="center" wrapText="1"/>
    </xf>
    <xf numFmtId="164" fontId="3" fillId="5" borderId="7" xfId="1" applyNumberFormat="1" applyFont="1" applyFill="1" applyBorder="1" applyAlignment="1">
      <alignment horizontal="right" vertical="center"/>
    </xf>
    <xf numFmtId="166" fontId="7" fillId="5" borderId="9" xfId="1" applyFont="1" applyFill="1" applyBorder="1" applyAlignment="1">
      <alignment horizontal="right" vertical="center"/>
    </xf>
    <xf numFmtId="166" fontId="7" fillId="5" borderId="7" xfId="1" applyFont="1" applyFill="1" applyBorder="1" applyAlignment="1">
      <alignment horizontal="right" vertical="center"/>
    </xf>
    <xf numFmtId="164" fontId="5" fillId="5" borderId="4" xfId="1" applyNumberFormat="1" applyFont="1" applyFill="1" applyBorder="1" applyAlignment="1">
      <alignment horizontal="right" vertical="center"/>
    </xf>
    <xf numFmtId="164" fontId="3" fillId="5" borderId="7" xfId="1" applyNumberFormat="1" applyFont="1" applyFill="1" applyBorder="1"/>
    <xf numFmtId="168" fontId="3" fillId="5" borderId="7" xfId="2" applyNumberFormat="1" applyFont="1" applyFill="1" applyBorder="1"/>
    <xf numFmtId="166" fontId="3" fillId="5" borderId="7" xfId="1" applyFont="1" applyFill="1" applyBorder="1"/>
    <xf numFmtId="164" fontId="3" fillId="5" borderId="14" xfId="1" applyNumberFormat="1" applyFont="1" applyFill="1" applyBorder="1"/>
    <xf numFmtId="166" fontId="3" fillId="5" borderId="15" xfId="1" applyFont="1" applyFill="1" applyBorder="1"/>
    <xf numFmtId="169" fontId="3" fillId="5" borderId="7" xfId="1" applyNumberFormat="1" applyFont="1" applyFill="1" applyBorder="1"/>
    <xf numFmtId="166" fontId="12" fillId="5" borderId="13" xfId="1" applyFont="1" applyFill="1" applyBorder="1"/>
    <xf numFmtId="164" fontId="5" fillId="5" borderId="7" xfId="1" applyNumberFormat="1" applyFont="1" applyFill="1" applyBorder="1"/>
    <xf numFmtId="164" fontId="3" fillId="5" borderId="7" xfId="1" applyNumberFormat="1" applyFont="1" applyFill="1" applyBorder="1" applyAlignment="1">
      <alignment vertical="center"/>
    </xf>
    <xf numFmtId="164" fontId="3" fillId="5" borderId="10" xfId="1" applyNumberFormat="1" applyFont="1" applyFill="1" applyBorder="1" applyAlignment="1">
      <alignment wrapText="1"/>
    </xf>
    <xf numFmtId="164" fontId="3" fillId="5" borderId="9" xfId="1" applyNumberFormat="1" applyFont="1" applyFill="1" applyBorder="1"/>
    <xf numFmtId="166" fontId="5" fillId="5" borderId="7" xfId="1" applyFont="1" applyFill="1" applyBorder="1"/>
    <xf numFmtId="174" fontId="3" fillId="5" borderId="7" xfId="1" applyNumberFormat="1" applyFont="1" applyFill="1" applyBorder="1"/>
    <xf numFmtId="174" fontId="5" fillId="5" borderId="9" xfId="1" applyNumberFormat="1" applyFont="1" applyFill="1" applyBorder="1"/>
    <xf numFmtId="166" fontId="3" fillId="5" borderId="7" xfId="1" applyFont="1" applyFill="1" applyBorder="1" applyAlignment="1">
      <alignment vertical="center"/>
    </xf>
    <xf numFmtId="164" fontId="5" fillId="5" borderId="44" xfId="1" applyNumberFormat="1" applyFont="1" applyFill="1" applyBorder="1"/>
    <xf numFmtId="164" fontId="5" fillId="5" borderId="9" xfId="1" applyNumberFormat="1" applyFont="1" applyFill="1" applyBorder="1"/>
    <xf numFmtId="164" fontId="5" fillId="5" borderId="13" xfId="1" applyNumberFormat="1" applyFont="1" applyFill="1" applyBorder="1" applyAlignment="1">
      <alignment horizontal="center"/>
    </xf>
    <xf numFmtId="164" fontId="3" fillId="5" borderId="7" xfId="1" applyNumberFormat="1" applyFont="1" applyFill="1" applyBorder="1" applyAlignment="1">
      <alignment horizontal="center" vertical="center"/>
    </xf>
    <xf numFmtId="169" fontId="4" fillId="5" borderId="7" xfId="1" applyNumberFormat="1" applyFont="1" applyFill="1" applyBorder="1"/>
    <xf numFmtId="174" fontId="13" fillId="5" borderId="7" xfId="1" applyNumberFormat="1" applyFont="1" applyFill="1" applyBorder="1"/>
    <xf numFmtId="168" fontId="3" fillId="5" borderId="7" xfId="1" applyNumberFormat="1" applyFont="1" applyFill="1" applyBorder="1"/>
    <xf numFmtId="41" fontId="3" fillId="5" borderId="7" xfId="2" applyFont="1" applyFill="1" applyBorder="1"/>
    <xf numFmtId="164" fontId="3" fillId="5" borderId="16" xfId="1" applyNumberFormat="1" applyFont="1" applyFill="1" applyBorder="1"/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O191"/>
  <sheetViews>
    <sheetView showGridLines="0" topLeftCell="A4" zoomScale="80" zoomScaleNormal="80" workbookViewId="0">
      <pane xSplit="5" ySplit="3" topLeftCell="F7" activePane="bottomRight" state="frozen"/>
      <selection pane="topRight"/>
      <selection pane="bottomLeft"/>
      <selection pane="bottomRight" activeCell="BZ16" sqref="BZ16"/>
    </sheetView>
  </sheetViews>
  <sheetFormatPr defaultColWidth="9" defaultRowHeight="14.4"/>
  <cols>
    <col min="1" max="1" width="1.5546875" style="1" customWidth="1"/>
    <col min="2" max="2" width="4.6640625" style="14" customWidth="1"/>
    <col min="3" max="3" width="40.6640625" style="1" customWidth="1"/>
    <col min="4" max="4" width="14" style="1" customWidth="1"/>
    <col min="5" max="5" width="8.109375" style="1" bestFit="1" customWidth="1"/>
    <col min="6" max="23" width="14" style="1" customWidth="1"/>
    <col min="24" max="25" width="13.6640625" style="1" bestFit="1" customWidth="1"/>
    <col min="26" max="27" width="14.5546875" style="1" customWidth="1"/>
    <col min="28" max="32" width="13.6640625" style="1" bestFit="1" customWidth="1"/>
    <col min="33" max="34" width="15.109375" style="1" customWidth="1"/>
    <col min="35" max="35" width="13.6640625" style="1" bestFit="1" customWidth="1"/>
    <col min="36" max="36" width="13.6640625" style="1" customWidth="1"/>
    <col min="37" max="37" width="9.44140625" style="1" customWidth="1"/>
    <col min="38" max="38" width="19.33203125" style="1" bestFit="1" customWidth="1"/>
    <col min="39" max="39" width="13.6640625" style="1" bestFit="1" customWidth="1"/>
    <col min="40" max="40" width="11.33203125" style="29" bestFit="1" customWidth="1"/>
    <col min="41" max="41" width="7" style="1" hidden="1" customWidth="1"/>
    <col min="42" max="42" width="9.44140625" style="1" hidden="1" customWidth="1"/>
    <col min="43" max="45" width="11.33203125" style="1" hidden="1" customWidth="1"/>
    <col min="46" max="46" width="7" style="1" hidden="1" customWidth="1"/>
    <col min="47" max="50" width="11.33203125" style="1" hidden="1" customWidth="1"/>
    <col min="51" max="76" width="8.109375" style="1" hidden="1" customWidth="1"/>
    <col min="77" max="77" width="18.33203125" style="1" hidden="1" customWidth="1"/>
    <col min="78" max="78" width="15" style="1" customWidth="1"/>
    <col min="79" max="95" width="8.109375" style="1" customWidth="1"/>
    <col min="96" max="15090" width="9.109375" style="1"/>
    <col min="15091" max="15092" width="9" style="1"/>
    <col min="15093" max="15094" width="9.109375"/>
  </cols>
  <sheetData>
    <row r="1" spans="2:38">
      <c r="B1" s="30"/>
    </row>
    <row r="2" spans="2:38" ht="17.399999999999999">
      <c r="B2" s="331" t="s">
        <v>0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31"/>
    </row>
    <row r="3" spans="2:38">
      <c r="B3" s="32"/>
    </row>
    <row r="4" spans="2:38" ht="15" thickBot="1">
      <c r="C4" s="33"/>
      <c r="D4" s="29"/>
      <c r="Z4" s="107"/>
      <c r="AB4" s="107"/>
    </row>
    <row r="5" spans="2:38">
      <c r="B5" s="334" t="s">
        <v>1</v>
      </c>
      <c r="C5" s="334" t="s">
        <v>2</v>
      </c>
      <c r="D5" s="335" t="s">
        <v>3</v>
      </c>
      <c r="E5" s="337" t="s">
        <v>4</v>
      </c>
      <c r="F5" s="332" t="s">
        <v>141</v>
      </c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333"/>
      <c r="AG5" s="333"/>
      <c r="AH5" s="333"/>
      <c r="AI5" s="333"/>
      <c r="AJ5" s="333"/>
      <c r="AL5" s="329" t="s">
        <v>5</v>
      </c>
    </row>
    <row r="6" spans="2:38">
      <c r="B6" s="334"/>
      <c r="C6" s="334"/>
      <c r="D6" s="336"/>
      <c r="E6" s="338"/>
      <c r="F6" s="34">
        <v>1</v>
      </c>
      <c r="G6" s="34">
        <v>2</v>
      </c>
      <c r="H6" s="34">
        <v>3</v>
      </c>
      <c r="I6" s="34">
        <v>4</v>
      </c>
      <c r="J6" s="34">
        <v>5</v>
      </c>
      <c r="K6" s="34">
        <v>6</v>
      </c>
      <c r="L6" s="34">
        <v>7</v>
      </c>
      <c r="M6" s="34">
        <v>8</v>
      </c>
      <c r="N6" s="34">
        <v>9</v>
      </c>
      <c r="O6" s="34">
        <v>10</v>
      </c>
      <c r="P6" s="34">
        <v>11</v>
      </c>
      <c r="Q6" s="34">
        <v>12</v>
      </c>
      <c r="R6" s="34">
        <v>13</v>
      </c>
      <c r="S6" s="34">
        <v>14</v>
      </c>
      <c r="T6" s="34">
        <v>15</v>
      </c>
      <c r="U6" s="34">
        <v>16</v>
      </c>
      <c r="V6" s="34">
        <v>17</v>
      </c>
      <c r="W6" s="34">
        <v>18</v>
      </c>
      <c r="X6" s="34">
        <v>19</v>
      </c>
      <c r="Y6" s="34">
        <v>20</v>
      </c>
      <c r="Z6" s="34">
        <v>21</v>
      </c>
      <c r="AA6" s="34">
        <v>22</v>
      </c>
      <c r="AB6" s="34">
        <v>23</v>
      </c>
      <c r="AC6" s="34">
        <v>24</v>
      </c>
      <c r="AD6" s="34">
        <v>25</v>
      </c>
      <c r="AE6" s="34">
        <v>26</v>
      </c>
      <c r="AF6" s="34">
        <v>27</v>
      </c>
      <c r="AG6" s="34">
        <v>28</v>
      </c>
      <c r="AH6" s="34">
        <v>29</v>
      </c>
      <c r="AI6" s="34">
        <v>30</v>
      </c>
      <c r="AJ6" s="34">
        <v>31</v>
      </c>
      <c r="AL6" s="330"/>
    </row>
    <row r="7" spans="2:38">
      <c r="B7" s="35">
        <v>1</v>
      </c>
      <c r="C7" s="36" t="s">
        <v>6</v>
      </c>
      <c r="D7" s="37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107"/>
      <c r="AL7" s="108" t="s">
        <v>7</v>
      </c>
    </row>
    <row r="8" spans="2:38">
      <c r="B8" s="35"/>
      <c r="C8" s="40" t="s">
        <v>8</v>
      </c>
      <c r="D8" s="41"/>
      <c r="E8" s="42" t="s">
        <v>9</v>
      </c>
      <c r="F8" s="43">
        <v>0</v>
      </c>
      <c r="G8" s="43">
        <v>0</v>
      </c>
      <c r="H8" s="43">
        <v>0</v>
      </c>
      <c r="I8" s="43">
        <v>337860</v>
      </c>
      <c r="J8" s="43">
        <v>1051860</v>
      </c>
      <c r="K8" s="43">
        <v>1410140</v>
      </c>
      <c r="L8" s="43">
        <v>1408250</v>
      </c>
      <c r="M8" s="43">
        <v>1173300</v>
      </c>
      <c r="N8" s="43">
        <v>346130</v>
      </c>
      <c r="O8" s="43">
        <v>1092470</v>
      </c>
      <c r="P8" s="43">
        <v>1182310</v>
      </c>
      <c r="Q8" s="43">
        <v>857330</v>
      </c>
      <c r="R8" s="43">
        <v>1250330</v>
      </c>
      <c r="S8" s="43">
        <v>898080</v>
      </c>
      <c r="T8" s="43">
        <v>796550</v>
      </c>
      <c r="U8" s="43">
        <v>127880</v>
      </c>
      <c r="V8" s="43">
        <v>828590</v>
      </c>
      <c r="W8" s="43">
        <v>1039450</v>
      </c>
      <c r="X8" s="43">
        <v>1013990</v>
      </c>
      <c r="Y8" s="43">
        <v>891240</v>
      </c>
      <c r="Z8" s="43">
        <v>1862270</v>
      </c>
      <c r="AA8" s="43">
        <v>1261810</v>
      </c>
      <c r="AB8" s="43">
        <v>1066340</v>
      </c>
      <c r="AC8" s="43">
        <v>978460</v>
      </c>
      <c r="AD8" s="43">
        <v>1631710</v>
      </c>
      <c r="AE8" s="43">
        <v>1563130</v>
      </c>
      <c r="AF8" s="43">
        <v>1359550</v>
      </c>
      <c r="AG8" s="43">
        <v>1714710</v>
      </c>
      <c r="AH8" s="43">
        <v>1510610</v>
      </c>
      <c r="AI8" s="43">
        <v>596200</v>
      </c>
      <c r="AJ8" s="43">
        <v>1194440</v>
      </c>
      <c r="AK8" s="107"/>
      <c r="AL8" s="109">
        <f>SUM(F8:AJ8)</f>
        <v>30444990</v>
      </c>
    </row>
    <row r="9" spans="2:38">
      <c r="B9" s="35"/>
      <c r="C9" s="40" t="s">
        <v>10</v>
      </c>
      <c r="D9" s="41"/>
      <c r="E9" s="42" t="s">
        <v>9</v>
      </c>
      <c r="F9" s="43">
        <v>0</v>
      </c>
      <c r="G9" s="43">
        <v>0</v>
      </c>
      <c r="H9" s="43">
        <v>0</v>
      </c>
      <c r="I9" s="43">
        <v>338080</v>
      </c>
      <c r="J9" s="43">
        <v>1050140</v>
      </c>
      <c r="K9" s="43">
        <v>1408760</v>
      </c>
      <c r="L9" s="43">
        <v>1406760</v>
      </c>
      <c r="M9" s="43">
        <v>1172090</v>
      </c>
      <c r="N9" s="43">
        <v>345800</v>
      </c>
      <c r="O9" s="43">
        <v>1091340</v>
      </c>
      <c r="P9" s="43">
        <v>1181110</v>
      </c>
      <c r="Q9" s="43">
        <v>856880</v>
      </c>
      <c r="R9" s="43">
        <v>1249200</v>
      </c>
      <c r="S9" s="43">
        <v>897560</v>
      </c>
      <c r="T9" s="43">
        <v>795630</v>
      </c>
      <c r="U9" s="43">
        <v>127750</v>
      </c>
      <c r="V9" s="43">
        <v>827640</v>
      </c>
      <c r="W9" s="43">
        <v>1038620</v>
      </c>
      <c r="X9" s="43">
        <v>1012620</v>
      </c>
      <c r="Y9" s="43">
        <v>890150</v>
      </c>
      <c r="Z9" s="43">
        <v>1859760</v>
      </c>
      <c r="AA9" s="43">
        <v>1260120</v>
      </c>
      <c r="AB9" s="43">
        <v>1064760</v>
      </c>
      <c r="AC9" s="43">
        <v>977720</v>
      </c>
      <c r="AD9" s="43">
        <v>1630430</v>
      </c>
      <c r="AE9" s="43">
        <v>1562580</v>
      </c>
      <c r="AF9" s="43">
        <v>1358120</v>
      </c>
      <c r="AG9" s="43">
        <v>1712100</v>
      </c>
      <c r="AH9" s="43">
        <v>1509150</v>
      </c>
      <c r="AI9" s="43">
        <v>595770</v>
      </c>
      <c r="AJ9" s="43">
        <v>1192890</v>
      </c>
      <c r="AK9" s="107"/>
      <c r="AL9" s="109">
        <f>SUM(F9:AJ9)</f>
        <v>30413530</v>
      </c>
    </row>
    <row r="10" spans="2:38">
      <c r="B10" s="35"/>
      <c r="C10" s="44" t="s">
        <v>11</v>
      </c>
      <c r="D10" s="45"/>
      <c r="E10" s="46" t="s">
        <v>12</v>
      </c>
      <c r="F10" s="47" t="e">
        <f t="shared" ref="F10:AJ10" si="0">((F9-F8)/F8)*100</f>
        <v>#DIV/0!</v>
      </c>
      <c r="G10" s="47" t="e">
        <f t="shared" si="0"/>
        <v>#DIV/0!</v>
      </c>
      <c r="H10" s="47" t="e">
        <f t="shared" si="0"/>
        <v>#DIV/0!</v>
      </c>
      <c r="I10" s="47">
        <f t="shared" si="0"/>
        <v>6.5115728408216417E-2</v>
      </c>
      <c r="J10" s="47">
        <f t="shared" si="0"/>
        <v>-0.16351986005742208</v>
      </c>
      <c r="K10" s="47">
        <f t="shared" si="0"/>
        <v>-9.7862623569290985E-2</v>
      </c>
      <c r="L10" s="47">
        <f t="shared" si="0"/>
        <v>-0.10580507722350435</v>
      </c>
      <c r="M10" s="47">
        <f t="shared" si="0"/>
        <v>-0.10312792977073212</v>
      </c>
      <c r="N10" s="47">
        <f t="shared" si="0"/>
        <v>-9.5339901193193299E-2</v>
      </c>
      <c r="O10" s="47">
        <f t="shared" si="0"/>
        <v>-0.10343533460873068</v>
      </c>
      <c r="P10" s="47">
        <f t="shared" si="0"/>
        <v>-0.10149622349468414</v>
      </c>
      <c r="Q10" s="47">
        <f t="shared" si="0"/>
        <v>-5.2488540002099536E-2</v>
      </c>
      <c r="R10" s="47">
        <f t="shared" si="0"/>
        <v>-9.0376140698855509E-2</v>
      </c>
      <c r="S10" s="47">
        <f t="shared" si="0"/>
        <v>-5.7901300552289328E-2</v>
      </c>
      <c r="T10" s="47">
        <f t="shared" si="0"/>
        <v>-0.11549808549369155</v>
      </c>
      <c r="U10" s="47">
        <f t="shared" si="0"/>
        <v>-0.10165780419142947</v>
      </c>
      <c r="V10" s="47">
        <f t="shared" si="0"/>
        <v>-0.11465260261407935</v>
      </c>
      <c r="W10" s="47">
        <f t="shared" si="0"/>
        <v>-7.984992063110298E-2</v>
      </c>
      <c r="X10" s="47">
        <f t="shared" si="0"/>
        <v>-0.13510981370624958</v>
      </c>
      <c r="Y10" s="47">
        <f t="shared" si="0"/>
        <v>-0.12230151249943899</v>
      </c>
      <c r="Z10" s="47">
        <f t="shared" si="0"/>
        <v>-0.13478174485976793</v>
      </c>
      <c r="AA10" s="47">
        <f t="shared" si="0"/>
        <v>-0.13393458603117744</v>
      </c>
      <c r="AB10" s="47">
        <f t="shared" si="0"/>
        <v>-0.14817037717801076</v>
      </c>
      <c r="AC10" s="47">
        <f t="shared" si="0"/>
        <v>-7.5629049731210263E-2</v>
      </c>
      <c r="AD10" s="47">
        <f t="shared" si="0"/>
        <v>-7.8445311973328602E-2</v>
      </c>
      <c r="AE10" s="47">
        <f>((AE9-AE8)/AE8)*100</f>
        <v>-3.5185813080166078E-2</v>
      </c>
      <c r="AF10" s="47">
        <f t="shared" si="0"/>
        <v>-0.10518186164539738</v>
      </c>
      <c r="AG10" s="47">
        <f t="shared" si="0"/>
        <v>-0.15221232744895638</v>
      </c>
      <c r="AH10" s="47">
        <f t="shared" si="0"/>
        <v>-9.6649697804198312E-2</v>
      </c>
      <c r="AI10" s="47">
        <f t="shared" ref="AI10" si="1">((AI9-AI8)/AI8)*100</f>
        <v>-7.2123448507212348E-2</v>
      </c>
      <c r="AJ10" s="47">
        <f t="shared" si="0"/>
        <v>-0.12976792471785942</v>
      </c>
      <c r="AK10" s="107"/>
      <c r="AL10" s="110">
        <f>((AL9-AL8)/AL8)*100</f>
        <v>-0.10333391470977654</v>
      </c>
    </row>
    <row r="11" spans="2:38">
      <c r="B11" s="35"/>
      <c r="C11" s="36" t="s">
        <v>13</v>
      </c>
      <c r="D11" s="37"/>
      <c r="E11" s="38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107"/>
      <c r="AL11" s="108" t="s">
        <v>7</v>
      </c>
    </row>
    <row r="12" spans="2:38">
      <c r="B12" s="35"/>
      <c r="C12" s="40" t="s">
        <v>14</v>
      </c>
      <c r="D12" s="41"/>
      <c r="E12" s="42" t="s">
        <v>9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305725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555332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234703</v>
      </c>
      <c r="AI12" s="43">
        <v>0</v>
      </c>
      <c r="AJ12" s="43">
        <v>399114</v>
      </c>
      <c r="AK12" s="107"/>
      <c r="AL12" s="109">
        <f>SUM(F12:AJ12)</f>
        <v>1494874</v>
      </c>
    </row>
    <row r="13" spans="2:38">
      <c r="B13" s="35"/>
      <c r="C13" s="40" t="s">
        <v>15</v>
      </c>
      <c r="D13" s="41"/>
      <c r="E13" s="42" t="s">
        <v>9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305503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556528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236855</v>
      </c>
      <c r="AI13" s="43">
        <v>0</v>
      </c>
      <c r="AJ13" s="43">
        <v>406481</v>
      </c>
      <c r="AK13" s="107"/>
      <c r="AL13" s="109">
        <f>SUM(F13:AJ13)</f>
        <v>1505367</v>
      </c>
    </row>
    <row r="14" spans="2:38">
      <c r="B14" s="35"/>
      <c r="C14" s="44" t="s">
        <v>16</v>
      </c>
      <c r="D14" s="45"/>
      <c r="E14" s="46" t="s">
        <v>12</v>
      </c>
      <c r="F14" s="47" t="e">
        <f t="shared" ref="F14:AJ14" si="2">((F13-F12)/F12)*100</f>
        <v>#DIV/0!</v>
      </c>
      <c r="G14" s="47" t="e">
        <f t="shared" si="2"/>
        <v>#DIV/0!</v>
      </c>
      <c r="H14" s="47" t="e">
        <f t="shared" si="2"/>
        <v>#DIV/0!</v>
      </c>
      <c r="I14" s="47" t="e">
        <f t="shared" si="2"/>
        <v>#DIV/0!</v>
      </c>
      <c r="J14" s="47" t="e">
        <f t="shared" si="2"/>
        <v>#DIV/0!</v>
      </c>
      <c r="K14" s="47" t="e">
        <f t="shared" si="2"/>
        <v>#DIV/0!</v>
      </c>
      <c r="L14" s="47" t="e">
        <f t="shared" si="2"/>
        <v>#DIV/0!</v>
      </c>
      <c r="M14" s="47" t="e">
        <f t="shared" si="2"/>
        <v>#DIV/0!</v>
      </c>
      <c r="N14" s="47" t="e">
        <f t="shared" si="2"/>
        <v>#DIV/0!</v>
      </c>
      <c r="O14" s="47" t="e">
        <f t="shared" si="2"/>
        <v>#DIV/0!</v>
      </c>
      <c r="P14" s="47" t="e">
        <f t="shared" si="2"/>
        <v>#DIV/0!</v>
      </c>
      <c r="Q14" s="47" t="e">
        <f t="shared" si="2"/>
        <v>#DIV/0!</v>
      </c>
      <c r="R14" s="47" t="e">
        <f t="shared" si="2"/>
        <v>#DIV/0!</v>
      </c>
      <c r="S14" s="47" t="e">
        <f t="shared" si="2"/>
        <v>#DIV/0!</v>
      </c>
      <c r="T14" s="47">
        <f t="shared" si="2"/>
        <v>-7.2614277537002198E-2</v>
      </c>
      <c r="U14" s="47" t="e">
        <f t="shared" si="2"/>
        <v>#DIV/0!</v>
      </c>
      <c r="V14" s="47" t="e">
        <f t="shared" si="2"/>
        <v>#DIV/0!</v>
      </c>
      <c r="W14" s="47" t="e">
        <f t="shared" si="2"/>
        <v>#DIV/0!</v>
      </c>
      <c r="X14" s="47" t="e">
        <f t="shared" si="2"/>
        <v>#DIV/0!</v>
      </c>
      <c r="Y14" s="47" t="e">
        <f t="shared" si="2"/>
        <v>#DIV/0!</v>
      </c>
      <c r="Z14" s="47" t="e">
        <f t="shared" si="2"/>
        <v>#DIV/0!</v>
      </c>
      <c r="AA14" s="47">
        <f t="shared" si="2"/>
        <v>0.21536666354541067</v>
      </c>
      <c r="AB14" s="47" t="e">
        <f t="shared" si="2"/>
        <v>#DIV/0!</v>
      </c>
      <c r="AC14" s="47" t="e">
        <f t="shared" si="2"/>
        <v>#DIV/0!</v>
      </c>
      <c r="AD14" s="47" t="e">
        <f t="shared" si="2"/>
        <v>#DIV/0!</v>
      </c>
      <c r="AE14" s="47" t="e">
        <f t="shared" si="2"/>
        <v>#DIV/0!</v>
      </c>
      <c r="AF14" s="47" t="e">
        <f t="shared" si="2"/>
        <v>#DIV/0!</v>
      </c>
      <c r="AG14" s="47" t="e">
        <f t="shared" si="2"/>
        <v>#DIV/0!</v>
      </c>
      <c r="AH14" s="47">
        <f t="shared" si="2"/>
        <v>0.91690349079474909</v>
      </c>
      <c r="AI14" s="47" t="e">
        <f t="shared" ref="AI14" si="3">((AI13-AI12)/AI12)*100</f>
        <v>#DIV/0!</v>
      </c>
      <c r="AJ14" s="47">
        <f t="shared" si="2"/>
        <v>1.8458385323491533</v>
      </c>
      <c r="AK14" s="107"/>
      <c r="AL14" s="110">
        <f>((AL13-AL12)/AL12)*100</f>
        <v>0.70193206919111573</v>
      </c>
    </row>
    <row r="15" spans="2:38">
      <c r="B15" s="35"/>
      <c r="C15" s="48" t="s">
        <v>17</v>
      </c>
      <c r="D15" s="41"/>
      <c r="E15" s="42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107"/>
      <c r="AL15" s="111" t="s">
        <v>18</v>
      </c>
    </row>
    <row r="16" spans="2:38">
      <c r="B16" s="35"/>
      <c r="C16" s="40" t="s">
        <v>8</v>
      </c>
      <c r="D16" s="41"/>
      <c r="E16" s="42" t="s">
        <v>9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34460</v>
      </c>
      <c r="AC16" s="43">
        <v>36310</v>
      </c>
      <c r="AD16" s="43">
        <v>65600</v>
      </c>
      <c r="AE16" s="43">
        <v>27950</v>
      </c>
      <c r="AF16" s="43">
        <v>36370</v>
      </c>
      <c r="AG16" s="43">
        <v>59410</v>
      </c>
      <c r="AH16" s="43">
        <v>109670</v>
      </c>
      <c r="AI16" s="43">
        <v>81930</v>
      </c>
      <c r="AJ16" s="43">
        <v>0</v>
      </c>
      <c r="AK16" s="107"/>
      <c r="AL16" s="109">
        <f>SUM(F16:AJ16)</f>
        <v>451700</v>
      </c>
    </row>
    <row r="17" spans="2:94 15096:15140">
      <c r="B17" s="35"/>
      <c r="C17" s="40" t="s">
        <v>10</v>
      </c>
      <c r="D17" s="41"/>
      <c r="E17" s="42" t="s">
        <v>9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34250</v>
      </c>
      <c r="AC17" s="43">
        <v>36210</v>
      </c>
      <c r="AD17" s="43">
        <v>65350</v>
      </c>
      <c r="AE17" s="43">
        <v>27820</v>
      </c>
      <c r="AF17" s="43">
        <v>36470</v>
      </c>
      <c r="AG17" s="43">
        <v>59230</v>
      </c>
      <c r="AH17" s="43">
        <v>109390</v>
      </c>
      <c r="AI17" s="43">
        <v>81870</v>
      </c>
      <c r="AJ17" s="43">
        <v>0</v>
      </c>
      <c r="AK17" s="107"/>
      <c r="AL17" s="109">
        <f>SUM(F17:AJ17)</f>
        <v>450590</v>
      </c>
    </row>
    <row r="18" spans="2:94 15096:15140">
      <c r="B18" s="35"/>
      <c r="C18" s="40" t="s">
        <v>11</v>
      </c>
      <c r="D18" s="41"/>
      <c r="E18" s="42" t="s">
        <v>12</v>
      </c>
      <c r="F18" s="49" t="e">
        <f t="shared" ref="F18:AJ18" si="4">((F17-F16)/F16)*100</f>
        <v>#DIV/0!</v>
      </c>
      <c r="G18" s="49" t="e">
        <f t="shared" si="4"/>
        <v>#DIV/0!</v>
      </c>
      <c r="H18" s="49" t="e">
        <f t="shared" si="4"/>
        <v>#DIV/0!</v>
      </c>
      <c r="I18" s="49" t="e">
        <f t="shared" si="4"/>
        <v>#DIV/0!</v>
      </c>
      <c r="J18" s="49" t="e">
        <f t="shared" si="4"/>
        <v>#DIV/0!</v>
      </c>
      <c r="K18" s="49" t="e">
        <f t="shared" si="4"/>
        <v>#DIV/0!</v>
      </c>
      <c r="L18" s="49" t="e">
        <f t="shared" si="4"/>
        <v>#DIV/0!</v>
      </c>
      <c r="M18" s="49" t="e">
        <f t="shared" si="4"/>
        <v>#DIV/0!</v>
      </c>
      <c r="N18" s="49" t="e">
        <f t="shared" si="4"/>
        <v>#DIV/0!</v>
      </c>
      <c r="O18" s="49" t="e">
        <f t="shared" si="4"/>
        <v>#DIV/0!</v>
      </c>
      <c r="P18" s="49" t="e">
        <f t="shared" si="4"/>
        <v>#DIV/0!</v>
      </c>
      <c r="Q18" s="49" t="e">
        <f t="shared" si="4"/>
        <v>#DIV/0!</v>
      </c>
      <c r="R18" s="49" t="e">
        <f t="shared" si="4"/>
        <v>#DIV/0!</v>
      </c>
      <c r="S18" s="49" t="e">
        <f t="shared" si="4"/>
        <v>#DIV/0!</v>
      </c>
      <c r="T18" s="49" t="e">
        <f t="shared" si="4"/>
        <v>#DIV/0!</v>
      </c>
      <c r="U18" s="49" t="e">
        <f t="shared" si="4"/>
        <v>#DIV/0!</v>
      </c>
      <c r="V18" s="49" t="e">
        <f t="shared" si="4"/>
        <v>#DIV/0!</v>
      </c>
      <c r="W18" s="49" t="e">
        <f t="shared" si="4"/>
        <v>#DIV/0!</v>
      </c>
      <c r="X18" s="49" t="e">
        <f t="shared" si="4"/>
        <v>#DIV/0!</v>
      </c>
      <c r="Y18" s="49" t="e">
        <f t="shared" si="4"/>
        <v>#DIV/0!</v>
      </c>
      <c r="Z18" s="49" t="e">
        <f t="shared" si="4"/>
        <v>#DIV/0!</v>
      </c>
      <c r="AA18" s="49" t="e">
        <f t="shared" si="4"/>
        <v>#DIV/0!</v>
      </c>
      <c r="AB18" s="49">
        <f t="shared" si="4"/>
        <v>-0.60940220545560064</v>
      </c>
      <c r="AC18" s="49">
        <f t="shared" si="4"/>
        <v>-0.27540622418066646</v>
      </c>
      <c r="AD18" s="49">
        <f t="shared" si="4"/>
        <v>-0.38109756097560976</v>
      </c>
      <c r="AE18" s="49">
        <f t="shared" si="4"/>
        <v>-0.46511627906976744</v>
      </c>
      <c r="AF18" s="49">
        <f t="shared" si="4"/>
        <v>0.27495188342040144</v>
      </c>
      <c r="AG18" s="49">
        <f t="shared" si="4"/>
        <v>-0.30297929641474497</v>
      </c>
      <c r="AH18" s="49">
        <f t="shared" si="4"/>
        <v>-0.25531138871158932</v>
      </c>
      <c r="AI18" s="49">
        <f t="shared" ref="AI18" si="5">((AI17-AI16)/AI16)*100</f>
        <v>-7.3233247894544135E-2</v>
      </c>
      <c r="AJ18" s="49" t="e">
        <f t="shared" si="4"/>
        <v>#DIV/0!</v>
      </c>
      <c r="AK18" s="112"/>
      <c r="AL18" s="113">
        <f>((AL17-AL16)/AL16)*100</f>
        <v>-0.24573832189506312</v>
      </c>
    </row>
    <row r="19" spans="2:94 15096:15140">
      <c r="B19" s="35"/>
      <c r="C19" s="50" t="s">
        <v>19</v>
      </c>
      <c r="D19" s="51"/>
      <c r="E19" s="52" t="s">
        <v>9</v>
      </c>
      <c r="F19" s="53">
        <f t="shared" ref="F19:AA19" si="6">SUM(F9,F13,F17)</f>
        <v>0</v>
      </c>
      <c r="G19" s="53">
        <f t="shared" si="6"/>
        <v>0</v>
      </c>
      <c r="H19" s="53">
        <f t="shared" si="6"/>
        <v>0</v>
      </c>
      <c r="I19" s="53">
        <f t="shared" si="6"/>
        <v>338080</v>
      </c>
      <c r="J19" s="53">
        <f t="shared" si="6"/>
        <v>1050140</v>
      </c>
      <c r="K19" s="53">
        <f t="shared" si="6"/>
        <v>1408760</v>
      </c>
      <c r="L19" s="53">
        <f t="shared" si="6"/>
        <v>1406760</v>
      </c>
      <c r="M19" s="53">
        <f t="shared" si="6"/>
        <v>1172090</v>
      </c>
      <c r="N19" s="53">
        <f t="shared" si="6"/>
        <v>345800</v>
      </c>
      <c r="O19" s="53">
        <f t="shared" si="6"/>
        <v>1091340</v>
      </c>
      <c r="P19" s="53">
        <f t="shared" si="6"/>
        <v>1181110</v>
      </c>
      <c r="Q19" s="53">
        <f t="shared" si="6"/>
        <v>856880</v>
      </c>
      <c r="R19" s="53">
        <f t="shared" si="6"/>
        <v>1249200</v>
      </c>
      <c r="S19" s="53">
        <f t="shared" si="6"/>
        <v>897560</v>
      </c>
      <c r="T19" s="53">
        <f t="shared" si="6"/>
        <v>1101133</v>
      </c>
      <c r="U19" s="53">
        <f t="shared" si="6"/>
        <v>127750</v>
      </c>
      <c r="V19" s="53">
        <f t="shared" si="6"/>
        <v>827640</v>
      </c>
      <c r="W19" s="53">
        <f t="shared" si="6"/>
        <v>1038620</v>
      </c>
      <c r="X19" s="53">
        <f t="shared" si="6"/>
        <v>1012620</v>
      </c>
      <c r="Y19" s="53">
        <f t="shared" si="6"/>
        <v>890150</v>
      </c>
      <c r="Z19" s="53">
        <f t="shared" si="6"/>
        <v>1859760</v>
      </c>
      <c r="AA19" s="53">
        <f t="shared" si="6"/>
        <v>1816648</v>
      </c>
      <c r="AB19" s="53">
        <f>SUM(AB9,AB13,AB17)</f>
        <v>1099010</v>
      </c>
      <c r="AC19" s="53">
        <f t="shared" ref="AC19:AJ19" si="7">SUM(AC9,AC13,AC17)</f>
        <v>1013930</v>
      </c>
      <c r="AD19" s="53">
        <f t="shared" si="7"/>
        <v>1695780</v>
      </c>
      <c r="AE19" s="53">
        <f t="shared" si="7"/>
        <v>1590400</v>
      </c>
      <c r="AF19" s="53">
        <f t="shared" si="7"/>
        <v>1394590</v>
      </c>
      <c r="AG19" s="53">
        <f t="shared" si="7"/>
        <v>1771330</v>
      </c>
      <c r="AH19" s="53">
        <f t="shared" si="7"/>
        <v>1855395</v>
      </c>
      <c r="AI19" s="53">
        <f t="shared" si="7"/>
        <v>677640</v>
      </c>
      <c r="AJ19" s="53">
        <f t="shared" si="7"/>
        <v>1599371</v>
      </c>
      <c r="AK19" s="107"/>
      <c r="AL19" s="114">
        <f>SUM(AL9,AL13,AL17)</f>
        <v>32369487</v>
      </c>
      <c r="AM19" s="107"/>
      <c r="AN19" s="29">
        <f>AL19/AL22/1000</f>
        <v>1156.053107142857</v>
      </c>
    </row>
    <row r="20" spans="2:94 15096:15140">
      <c r="B20" s="54">
        <v>2</v>
      </c>
      <c r="C20" s="36" t="s">
        <v>20</v>
      </c>
      <c r="D20" s="55"/>
      <c r="E20" s="55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103"/>
      <c r="AD20" s="56"/>
      <c r="AE20" s="56"/>
      <c r="AF20" s="56"/>
      <c r="AG20" s="56"/>
      <c r="AH20" s="103"/>
      <c r="AI20" s="103"/>
      <c r="AJ20" s="103"/>
      <c r="AK20" s="107"/>
      <c r="AL20" s="197" t="s">
        <v>21</v>
      </c>
    </row>
    <row r="21" spans="2:94 15096:15140">
      <c r="B21" s="57"/>
      <c r="C21" s="58" t="s">
        <v>22</v>
      </c>
      <c r="D21" s="37"/>
      <c r="E21" s="38"/>
      <c r="F21" s="59"/>
      <c r="G21" s="231"/>
      <c r="H21" s="59"/>
      <c r="I21" s="59"/>
      <c r="J21" s="100"/>
      <c r="K21" s="59"/>
      <c r="L21" s="59"/>
      <c r="M21" s="59"/>
      <c r="N21" s="59"/>
      <c r="O21" s="59"/>
      <c r="P21" s="59"/>
      <c r="Q21" s="59"/>
      <c r="R21" s="59"/>
      <c r="S21" s="59"/>
      <c r="T21" s="100"/>
      <c r="U21" s="101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107"/>
      <c r="AL21" s="115" t="s">
        <v>22</v>
      </c>
    </row>
    <row r="22" spans="2:94 15096:15140">
      <c r="B22" s="57"/>
      <c r="C22" s="40" t="s">
        <v>23</v>
      </c>
      <c r="D22" s="41"/>
      <c r="E22" s="42" t="s">
        <v>24</v>
      </c>
      <c r="F22" s="60">
        <v>0</v>
      </c>
      <c r="G22" s="60">
        <v>0</v>
      </c>
      <c r="H22" s="60">
        <v>0</v>
      </c>
      <c r="I22" s="60">
        <v>1</v>
      </c>
      <c r="J22" s="60">
        <v>1</v>
      </c>
      <c r="K22" s="60">
        <v>1</v>
      </c>
      <c r="L22" s="60">
        <v>1</v>
      </c>
      <c r="M22" s="60">
        <v>1</v>
      </c>
      <c r="N22" s="60">
        <v>1</v>
      </c>
      <c r="O22" s="60">
        <v>1</v>
      </c>
      <c r="P22" s="60">
        <v>1</v>
      </c>
      <c r="Q22" s="60">
        <v>1</v>
      </c>
      <c r="R22" s="60">
        <v>1</v>
      </c>
      <c r="S22" s="60">
        <v>1</v>
      </c>
      <c r="T22" s="60">
        <v>1</v>
      </c>
      <c r="U22" s="60">
        <v>1</v>
      </c>
      <c r="V22" s="60">
        <v>1</v>
      </c>
      <c r="W22" s="60">
        <v>1</v>
      </c>
      <c r="X22" s="60">
        <v>1</v>
      </c>
      <c r="Y22" s="60">
        <v>1</v>
      </c>
      <c r="Z22" s="60">
        <v>1</v>
      </c>
      <c r="AA22" s="60">
        <v>1</v>
      </c>
      <c r="AB22" s="60">
        <v>1</v>
      </c>
      <c r="AC22" s="60">
        <v>1</v>
      </c>
      <c r="AD22" s="60">
        <v>1</v>
      </c>
      <c r="AE22" s="60">
        <v>1</v>
      </c>
      <c r="AF22" s="60">
        <v>1</v>
      </c>
      <c r="AG22" s="60">
        <v>1</v>
      </c>
      <c r="AH22" s="60">
        <v>1</v>
      </c>
      <c r="AI22" s="60">
        <v>1</v>
      </c>
      <c r="AJ22" s="60">
        <v>1</v>
      </c>
      <c r="AK22" s="107"/>
      <c r="AL22" s="116">
        <f>SUM(F22:AJ22)</f>
        <v>28</v>
      </c>
      <c r="AM22" s="29"/>
      <c r="AP22" s="253">
        <v>55689</v>
      </c>
    </row>
    <row r="23" spans="2:94 15096:15140" s="1" customFormat="1" ht="13.8">
      <c r="B23" s="57"/>
      <c r="C23" s="61" t="s">
        <v>25</v>
      </c>
      <c r="D23" s="62">
        <f>1796.40718562874*1000</f>
        <v>1796407.1856287401</v>
      </c>
      <c r="E23" s="63" t="s">
        <v>9</v>
      </c>
      <c r="F23" s="64">
        <v>0</v>
      </c>
      <c r="G23" s="64">
        <v>0</v>
      </c>
      <c r="H23" s="64">
        <v>0</v>
      </c>
      <c r="I23" s="247">
        <v>1141003</v>
      </c>
      <c r="J23" s="247">
        <v>2075800</v>
      </c>
      <c r="K23" s="247">
        <v>1697300</v>
      </c>
      <c r="L23" s="247">
        <v>2010000</v>
      </c>
      <c r="M23" s="247">
        <f>1921.39999999999*1000</f>
        <v>1921399.99999999</v>
      </c>
      <c r="N23" s="247">
        <v>2003800</v>
      </c>
      <c r="O23" s="247">
        <f>2103.39999999999*1000</f>
        <v>2103399.9999999902</v>
      </c>
      <c r="P23" s="247">
        <f>2115.90000000001*1000</f>
        <v>2115900.0000000102</v>
      </c>
      <c r="Q23" s="64">
        <v>2011000</v>
      </c>
      <c r="R23" s="64">
        <f>1853.5*1000</f>
        <v>1853500</v>
      </c>
      <c r="S23" s="64">
        <v>1554200</v>
      </c>
      <c r="T23" s="64">
        <f>1595.60000000001*1000</f>
        <v>1595600.00000001</v>
      </c>
      <c r="U23" s="64">
        <f>1508.29999999999*1000</f>
        <v>1508299.99999999</v>
      </c>
      <c r="V23" s="247">
        <f>1560.33*1000</f>
        <v>1560330</v>
      </c>
      <c r="W23" s="247">
        <f>1336.12*1000</f>
        <v>1336120</v>
      </c>
      <c r="X23" s="64">
        <f>1316.89999999999*1000</f>
        <v>1316899.99999999</v>
      </c>
      <c r="Y23" s="64">
        <f>1043.81000000001*1000</f>
        <v>1043810.0000000099</v>
      </c>
      <c r="Z23" s="64">
        <f>1242.59999999999*1000</f>
        <v>1242599.99999999</v>
      </c>
      <c r="AA23" s="64">
        <f>1320.31*1000</f>
        <v>1320310</v>
      </c>
      <c r="AB23" s="64">
        <f>1303.49000000001*1000</f>
        <v>1303490.00000001</v>
      </c>
      <c r="AC23" s="64">
        <f>1315.83*1000</f>
        <v>1315830</v>
      </c>
      <c r="AD23" s="64">
        <f>1329.22*1000</f>
        <v>1329220</v>
      </c>
      <c r="AE23" s="64">
        <f>1428.91*1000</f>
        <v>1428910</v>
      </c>
      <c r="AF23" s="64">
        <v>1316360</v>
      </c>
      <c r="AG23" s="64">
        <f>1550.9*1000</f>
        <v>1550900</v>
      </c>
      <c r="AH23" s="64">
        <f>1457.99000000001*1000</f>
        <v>1457990.00000001</v>
      </c>
      <c r="AI23" s="64">
        <f>1542.15999999999*1000</f>
        <v>1542159.99999999</v>
      </c>
      <c r="AJ23" s="64">
        <f>1382.91*1000</f>
        <v>1382910</v>
      </c>
      <c r="AK23" s="117"/>
      <c r="AL23" s="116">
        <f>SUM(F23:AJ23)</f>
        <v>44039042.999999993</v>
      </c>
      <c r="AM23" s="118"/>
      <c r="AN23" s="118">
        <f>AL23/1000/AL22</f>
        <v>1572.8229642857139</v>
      </c>
      <c r="AP23" s="107">
        <f>AL23/1000</f>
        <v>44039.042999999991</v>
      </c>
      <c r="CP23" s="228"/>
    </row>
    <row r="24" spans="2:94 15096:15140" s="1" customFormat="1" ht="13.8" hidden="1">
      <c r="B24" s="57"/>
      <c r="C24" s="61" t="s">
        <v>26</v>
      </c>
      <c r="D24" s="62"/>
      <c r="E24" s="63" t="s">
        <v>9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117"/>
      <c r="AL24" s="109">
        <f>SUM(F24:AJ24)</f>
        <v>0</v>
      </c>
      <c r="AM24" s="118"/>
      <c r="AN24" s="118"/>
    </row>
    <row r="25" spans="2:94 15096:15140" s="2" customFormat="1" ht="13.8">
      <c r="B25" s="65"/>
      <c r="C25" s="198" t="s">
        <v>27</v>
      </c>
      <c r="D25" s="66">
        <v>5</v>
      </c>
      <c r="E25" s="67" t="s">
        <v>12</v>
      </c>
      <c r="F25" s="68">
        <v>0</v>
      </c>
      <c r="G25" s="68">
        <v>0</v>
      </c>
      <c r="H25" s="68">
        <v>0</v>
      </c>
      <c r="I25" s="68">
        <v>4.4000000000000004</v>
      </c>
      <c r="J25" s="68">
        <v>4.05</v>
      </c>
      <c r="K25" s="68">
        <v>4.29</v>
      </c>
      <c r="L25" s="68">
        <v>4.3499999999999996</v>
      </c>
      <c r="M25" s="68">
        <v>4.04</v>
      </c>
      <c r="N25" s="68">
        <v>3.91</v>
      </c>
      <c r="O25" s="68">
        <v>4.37</v>
      </c>
      <c r="P25" s="68">
        <v>4.43</v>
      </c>
      <c r="Q25" s="68">
        <v>4.32</v>
      </c>
      <c r="R25" s="68">
        <v>4.3499999999999996</v>
      </c>
      <c r="S25" s="68">
        <v>4.3600000000000003</v>
      </c>
      <c r="T25" s="68">
        <v>4.38</v>
      </c>
      <c r="U25" s="68">
        <v>4.3</v>
      </c>
      <c r="V25" s="68">
        <v>4.32</v>
      </c>
      <c r="W25" s="68">
        <v>4.3899999999999997</v>
      </c>
      <c r="X25" s="68">
        <v>4.43</v>
      </c>
      <c r="Y25" s="68">
        <v>4.41</v>
      </c>
      <c r="Z25" s="68">
        <v>4.37</v>
      </c>
      <c r="AA25" s="260">
        <v>5.28</v>
      </c>
      <c r="AB25" s="260">
        <v>5.96</v>
      </c>
      <c r="AC25" s="260">
        <v>5.75</v>
      </c>
      <c r="AD25" s="68">
        <v>4.3600000000000003</v>
      </c>
      <c r="AE25" s="68">
        <v>4.3899999999999997</v>
      </c>
      <c r="AF25" s="68">
        <v>4.3</v>
      </c>
      <c r="AG25" s="68">
        <v>4.28</v>
      </c>
      <c r="AH25" s="68">
        <v>4.3</v>
      </c>
      <c r="AI25" s="68">
        <v>4.13</v>
      </c>
      <c r="AJ25" s="68">
        <v>4.0999999999999996</v>
      </c>
      <c r="AL25" s="119">
        <f>AVERAGE(I25:AJ25)</f>
        <v>4.4399999999999995</v>
      </c>
      <c r="AM25" s="269"/>
      <c r="AN25" s="120"/>
      <c r="AP25" s="254">
        <f>AP23/AP22*100</f>
        <v>79.080326455853026</v>
      </c>
      <c r="AQ25" s="262"/>
      <c r="AT25" s="262"/>
    </row>
    <row r="26" spans="2:94 15096:15140" s="1" customFormat="1" ht="13.8">
      <c r="B26" s="57"/>
      <c r="C26" s="199" t="s">
        <v>28</v>
      </c>
      <c r="D26" s="69">
        <v>0.5</v>
      </c>
      <c r="E26" s="70" t="s">
        <v>12</v>
      </c>
      <c r="F26" s="68">
        <v>0</v>
      </c>
      <c r="G26" s="68">
        <v>0</v>
      </c>
      <c r="H26" s="68">
        <v>0</v>
      </c>
      <c r="I26" s="68">
        <v>0.37</v>
      </c>
      <c r="J26" s="68">
        <v>0.37</v>
      </c>
      <c r="K26" s="68">
        <v>0.37</v>
      </c>
      <c r="L26" s="68">
        <v>0.36</v>
      </c>
      <c r="M26" s="68">
        <v>0.37</v>
      </c>
      <c r="N26" s="68">
        <v>0.36</v>
      </c>
      <c r="O26" s="68">
        <v>0.37</v>
      </c>
      <c r="P26" s="68">
        <v>0.38</v>
      </c>
      <c r="Q26" s="68">
        <v>0.37</v>
      </c>
      <c r="R26" s="68">
        <v>0.38</v>
      </c>
      <c r="S26" s="68">
        <v>0.36</v>
      </c>
      <c r="T26" s="68">
        <v>0.37</v>
      </c>
      <c r="U26" s="68">
        <v>0.37</v>
      </c>
      <c r="V26" s="68">
        <v>0.36</v>
      </c>
      <c r="W26" s="68">
        <v>0.37</v>
      </c>
      <c r="X26" s="68">
        <v>0.37</v>
      </c>
      <c r="Y26" s="68">
        <v>0.36</v>
      </c>
      <c r="Z26" s="68">
        <v>0.38</v>
      </c>
      <c r="AA26" s="68">
        <v>0.37</v>
      </c>
      <c r="AB26" s="68">
        <v>0.39</v>
      </c>
      <c r="AC26" s="68">
        <v>0.42499999999999999</v>
      </c>
      <c r="AD26" s="68">
        <v>0.37</v>
      </c>
      <c r="AE26" s="68">
        <v>0.37</v>
      </c>
      <c r="AF26" s="68">
        <v>0.38</v>
      </c>
      <c r="AG26" s="68">
        <v>0.37</v>
      </c>
      <c r="AH26" s="68">
        <v>0.37</v>
      </c>
      <c r="AI26" s="68">
        <v>0.37</v>
      </c>
      <c r="AJ26" s="68">
        <v>0.37</v>
      </c>
      <c r="AK26" s="117"/>
      <c r="AL26" s="119">
        <f t="shared" ref="AL26:AL27" si="8">AVERAGE(I26:AJ26)</f>
        <v>0.37232142857142847</v>
      </c>
      <c r="AM26" s="269"/>
      <c r="AN26" s="118"/>
      <c r="AT26" s="262"/>
      <c r="CP26" s="228"/>
    </row>
    <row r="27" spans="2:94 15096:15140" s="1" customFormat="1" ht="13.8">
      <c r="B27" s="57"/>
      <c r="C27" s="199" t="s">
        <v>29</v>
      </c>
      <c r="D27" s="71" t="s">
        <v>30</v>
      </c>
      <c r="E27" s="70" t="s">
        <v>12</v>
      </c>
      <c r="F27" s="68">
        <v>0</v>
      </c>
      <c r="G27" s="68">
        <v>0</v>
      </c>
      <c r="H27" s="68">
        <v>0</v>
      </c>
      <c r="I27" s="68">
        <v>2.2400000000000002</v>
      </c>
      <c r="J27" s="68">
        <v>2.23</v>
      </c>
      <c r="K27" s="72">
        <v>2.23</v>
      </c>
      <c r="L27" s="72">
        <v>2.2200000000000002</v>
      </c>
      <c r="M27" s="68">
        <v>2.23</v>
      </c>
      <c r="N27" s="68">
        <v>2.2200000000000002</v>
      </c>
      <c r="O27" s="72">
        <v>2.23</v>
      </c>
      <c r="P27" s="72">
        <v>2.23</v>
      </c>
      <c r="Q27" s="72">
        <v>2.23</v>
      </c>
      <c r="R27" s="68">
        <v>2.21</v>
      </c>
      <c r="S27" s="68">
        <v>2.23</v>
      </c>
      <c r="T27" s="68">
        <v>2.2200000000000002</v>
      </c>
      <c r="U27" s="72">
        <v>2.23</v>
      </c>
      <c r="V27" s="68">
        <v>2.23</v>
      </c>
      <c r="W27" s="68">
        <v>2.2400000000000002</v>
      </c>
      <c r="X27" s="68">
        <v>2.2400000000000002</v>
      </c>
      <c r="Y27" s="68">
        <v>2.25</v>
      </c>
      <c r="Z27" s="68">
        <v>2.23</v>
      </c>
      <c r="AA27" s="68">
        <v>2.2200000000000002</v>
      </c>
      <c r="AB27" s="68">
        <v>2.21</v>
      </c>
      <c r="AC27" s="68">
        <v>2.206</v>
      </c>
      <c r="AD27" s="68">
        <v>2.21</v>
      </c>
      <c r="AE27" s="68">
        <v>2.23</v>
      </c>
      <c r="AF27" s="68">
        <v>2.25</v>
      </c>
      <c r="AG27" s="68">
        <v>2.2400000000000002</v>
      </c>
      <c r="AH27" s="68">
        <v>2.2400000000000002</v>
      </c>
      <c r="AI27" s="68">
        <v>2.25</v>
      </c>
      <c r="AJ27" s="68">
        <v>2.23</v>
      </c>
      <c r="AK27" s="117"/>
      <c r="AL27" s="119">
        <f t="shared" si="8"/>
        <v>2.2295000000000003</v>
      </c>
      <c r="AM27" s="269"/>
      <c r="AN27" s="118"/>
      <c r="AP27" s="228">
        <f>AP22-AP23</f>
        <v>11649.957000000009</v>
      </c>
      <c r="AQ27" s="262"/>
      <c r="AT27" s="262"/>
    </row>
    <row r="28" spans="2:94 15096:15140" s="1" customFormat="1">
      <c r="B28" s="57"/>
      <c r="C28" s="73" t="s">
        <v>31</v>
      </c>
      <c r="D28" s="74"/>
      <c r="E28" s="75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121"/>
      <c r="AL28" s="122" t="s">
        <v>31</v>
      </c>
      <c r="AM28" s="118"/>
      <c r="AN28" s="118"/>
      <c r="AP28" s="227">
        <f>31-26</f>
        <v>5</v>
      </c>
    </row>
    <row r="29" spans="2:94 15096:15140" s="1" customFormat="1">
      <c r="B29" s="70"/>
      <c r="C29" s="200" t="s">
        <v>32</v>
      </c>
      <c r="D29" s="62">
        <f>D47%*D23</f>
        <v>1692215.5688622734</v>
      </c>
      <c r="E29" s="201" t="s">
        <v>9</v>
      </c>
      <c r="F29" s="64">
        <v>0</v>
      </c>
      <c r="G29" s="64">
        <v>0</v>
      </c>
      <c r="H29" s="64">
        <f>0.0999999999912689*1000</f>
        <v>99.999999991268908</v>
      </c>
      <c r="I29" s="247">
        <v>1061500</v>
      </c>
      <c r="J29" s="247">
        <f>1978.23*1000</f>
        <v>1978230</v>
      </c>
      <c r="K29" s="247">
        <f>1608.47*1000</f>
        <v>1608470</v>
      </c>
      <c r="L29" s="247">
        <f>1905.07000000001*1000</f>
        <v>1905070.00000001</v>
      </c>
      <c r="M29" s="247">
        <f>1825.33*1000</f>
        <v>1825330</v>
      </c>
      <c r="N29" s="247">
        <v>1905600</v>
      </c>
      <c r="O29" s="247">
        <f>1998.59999999999*1000</f>
        <v>1998599.99999999</v>
      </c>
      <c r="P29" s="247">
        <f>2002.8*1000</f>
        <v>2002800</v>
      </c>
      <c r="Q29" s="64">
        <f>1904.10000000001*1000</f>
        <v>1904100.00000001</v>
      </c>
      <c r="R29" s="64">
        <v>1763000</v>
      </c>
      <c r="S29" s="64">
        <f>1488.39999999999*1000</f>
        <v>1488399.99999999</v>
      </c>
      <c r="T29" s="64">
        <f>1517.39999999999*1000</f>
        <v>1517399.99999999</v>
      </c>
      <c r="U29" s="64">
        <v>1427000</v>
      </c>
      <c r="V29" s="64">
        <f>1480.3*1000</f>
        <v>1480300</v>
      </c>
      <c r="W29" s="64">
        <f>1267.59*1000</f>
        <v>1267590</v>
      </c>
      <c r="X29" s="64">
        <f>1250.93999999999*1000</f>
        <v>1250939.99999999</v>
      </c>
      <c r="Y29" s="64">
        <f>995.12000000001*1000</f>
        <v>995120.00000001001</v>
      </c>
      <c r="Z29" s="64">
        <f>1181.3*1000</f>
        <v>1181300</v>
      </c>
      <c r="AA29" s="64">
        <f>1236.98*1000</f>
        <v>1236980</v>
      </c>
      <c r="AB29" s="64">
        <f>1211.71000000001*1000</f>
        <v>1211710.00000001</v>
      </c>
      <c r="AC29" s="64">
        <f>1226.75999999999*1000</f>
        <v>1226759.99999999</v>
      </c>
      <c r="AD29" s="64">
        <f>1262.48999999999*1000</f>
        <v>1262489.99999999</v>
      </c>
      <c r="AE29" s="64">
        <f>1355.70000000001*1000</f>
        <v>1355700.00000001</v>
      </c>
      <c r="AF29" s="64">
        <f>1254.84999999999*1000</f>
        <v>1254849.99999999</v>
      </c>
      <c r="AG29" s="64">
        <f>1477.98000000001*1000</f>
        <v>1477980.00000001</v>
      </c>
      <c r="AH29" s="64">
        <f>1386.39*1000</f>
        <v>1386390</v>
      </c>
      <c r="AI29" s="64">
        <f>1467.99999999999*1000</f>
        <v>1467999.99999999</v>
      </c>
      <c r="AJ29" s="64">
        <f>1317.79000000001*1000</f>
        <v>1317790.00000001</v>
      </c>
      <c r="AK29" s="117"/>
      <c r="AL29" s="116">
        <f>SUM(F29:AJ29)</f>
        <v>41759499.999999978</v>
      </c>
      <c r="AM29" s="29"/>
      <c r="AN29" s="29"/>
      <c r="AP29" s="228">
        <f>AP27/AP28</f>
        <v>2329.9914000000017</v>
      </c>
      <c r="BK29" s="107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</row>
    <row r="30" spans="2:94 15096:15140" s="1" customFormat="1">
      <c r="B30" s="70"/>
      <c r="C30" s="200" t="s">
        <v>33</v>
      </c>
      <c r="D30" s="62">
        <f>D48%*D23</f>
        <v>89820.359281437006</v>
      </c>
      <c r="E30" s="201" t="s">
        <v>9</v>
      </c>
      <c r="F30" s="64">
        <v>0</v>
      </c>
      <c r="G30" s="64">
        <v>0</v>
      </c>
      <c r="H30" s="64">
        <f>5.80000000000018*1000</f>
        <v>5800.0000000001801</v>
      </c>
      <c r="I30" s="247">
        <v>61500</v>
      </c>
      <c r="J30" s="247">
        <f>84.6999999999998*1000</f>
        <v>84699.999999999811</v>
      </c>
      <c r="K30" s="247">
        <f>77.4000000000001*1000</f>
        <v>77400.000000000102</v>
      </c>
      <c r="L30" s="247">
        <f>91.6999999999998*1000</f>
        <v>91699.999999999811</v>
      </c>
      <c r="M30" s="247">
        <f>80.6900000000001*1000</f>
        <v>80690.000000000102</v>
      </c>
      <c r="N30" s="247">
        <f>83.0999999999999*1000</f>
        <v>83099.999999999898</v>
      </c>
      <c r="O30" s="247">
        <v>90300</v>
      </c>
      <c r="P30" s="247">
        <v>98500</v>
      </c>
      <c r="Q30" s="64">
        <f>93.9000000000001*1000</f>
        <v>93900.000000000102</v>
      </c>
      <c r="R30" s="64">
        <f>77.0599999999999*1000</f>
        <v>77059.999999999898</v>
      </c>
      <c r="S30" s="64">
        <f>54.75*1000</f>
        <v>54750</v>
      </c>
      <c r="T30" s="64">
        <f>67.1999999999998*1000</f>
        <v>67199.999999999811</v>
      </c>
      <c r="U30" s="64">
        <v>71000</v>
      </c>
      <c r="V30" s="64">
        <f>69.6900000000005*1000</f>
        <v>69690.000000000495</v>
      </c>
      <c r="W30" s="64">
        <f>59.96*1000</f>
        <v>59960</v>
      </c>
      <c r="X30" s="64">
        <f>57.7699999999995*1000</f>
        <v>57769.999999999498</v>
      </c>
      <c r="Y30" s="64">
        <f>42.0300000000007*1000</f>
        <v>42030.000000000698</v>
      </c>
      <c r="Z30" s="64">
        <f>52.7799999999997*1000</f>
        <v>52779.999999999702</v>
      </c>
      <c r="AA30" s="64">
        <f>73.29*1000</f>
        <v>73290</v>
      </c>
      <c r="AB30" s="64">
        <f>81.6999999999998*1000</f>
        <v>81699.999999999811</v>
      </c>
      <c r="AC30" s="64">
        <f>78.8400000000001*1000</f>
        <v>78840.000000000102</v>
      </c>
      <c r="AD30" s="64">
        <f>56.8299999999999*1000</f>
        <v>56829.999999999898</v>
      </c>
      <c r="AE30" s="64">
        <f>62.2700000000004*1000</f>
        <v>62270.0000000004</v>
      </c>
      <c r="AF30" s="64">
        <f>53.5999999999995*1000</f>
        <v>53599.999999999498</v>
      </c>
      <c r="AG30" s="64">
        <f>63.5600000000004*1000</f>
        <v>63560.0000000004</v>
      </c>
      <c r="AH30" s="64">
        <f>62.8000000000002*1000</f>
        <v>62800.000000000204</v>
      </c>
      <c r="AI30" s="64">
        <f>64.8199999999997*1000</f>
        <v>64819.999999999694</v>
      </c>
      <c r="AJ30" s="64">
        <f>56.7799999999997*1000</f>
        <v>56779.999999999702</v>
      </c>
      <c r="AK30" s="117"/>
      <c r="AL30" s="116">
        <f>SUM(F30:AJ30)</f>
        <v>1974320.0000000002</v>
      </c>
      <c r="AM30" s="29"/>
      <c r="AN30" s="29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</row>
    <row r="31" spans="2:94 15096:15140">
      <c r="B31" s="70"/>
      <c r="C31" s="76" t="s">
        <v>34</v>
      </c>
      <c r="D31" s="77"/>
      <c r="E31" s="78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117"/>
      <c r="AL31" s="123" t="s">
        <v>35</v>
      </c>
      <c r="AM31" s="29"/>
      <c r="BY31" s="107"/>
    </row>
    <row r="32" spans="2:94 15096:15140" s="1" customFormat="1" ht="13.8">
      <c r="B32" s="70"/>
      <c r="C32" s="200" t="s">
        <v>36</v>
      </c>
      <c r="D32" s="264">
        <f>SUM(D33:D34)</f>
        <v>39640824.376159139</v>
      </c>
      <c r="E32" s="201" t="s">
        <v>9</v>
      </c>
      <c r="F32" s="64">
        <f>SUM(F33:F34)</f>
        <v>0</v>
      </c>
      <c r="G32" s="64">
        <f t="shared" ref="G32" si="9">SUM(G33:G34)</f>
        <v>0</v>
      </c>
      <c r="H32" s="64">
        <f>SUM(H33:H34)</f>
        <v>336399.99999996542</v>
      </c>
      <c r="I32" s="64">
        <f t="shared" ref="I32:AI32" si="10">SUM(I33:I34)</f>
        <v>1205800.000000017</v>
      </c>
      <c r="J32" s="64">
        <f t="shared" si="10"/>
        <v>2105500.0000000582</v>
      </c>
      <c r="K32" s="64">
        <f t="shared" si="10"/>
        <v>1878299.9999999299</v>
      </c>
      <c r="L32" s="64">
        <f t="shared" si="10"/>
        <v>1897800.000000102</v>
      </c>
      <c r="M32" s="64">
        <f t="shared" si="10"/>
        <v>1831899.999999936</v>
      </c>
      <c r="N32" s="64">
        <f t="shared" si="10"/>
        <v>1509499.999999997</v>
      </c>
      <c r="O32" s="64">
        <f t="shared" si="10"/>
        <v>971499.9999999709</v>
      </c>
      <c r="P32" s="64">
        <f>SUM(P33:P34)</f>
        <v>2089500</v>
      </c>
      <c r="Q32" s="64">
        <f t="shared" si="10"/>
        <v>2089500</v>
      </c>
      <c r="R32" s="64">
        <f t="shared" si="10"/>
        <v>1846899.9999999679</v>
      </c>
      <c r="S32" s="64">
        <f t="shared" si="10"/>
        <v>1662200.0000000121</v>
      </c>
      <c r="T32" s="64">
        <f t="shared" si="10"/>
        <v>1417700.0000000701</v>
      </c>
      <c r="U32" s="64">
        <f t="shared" si="10"/>
        <v>1183899.9999999648</v>
      </c>
      <c r="V32" s="64">
        <f t="shared" si="10"/>
        <v>0</v>
      </c>
      <c r="W32" s="64">
        <f t="shared" si="10"/>
        <v>0</v>
      </c>
      <c r="X32" s="64">
        <f t="shared" si="10"/>
        <v>535200.00000004051</v>
      </c>
      <c r="Y32" s="64">
        <f t="shared" si="10"/>
        <v>1538799.999999963</v>
      </c>
      <c r="Z32" s="64">
        <f t="shared" si="10"/>
        <v>1783999.9999999418</v>
      </c>
      <c r="AA32" s="64">
        <f t="shared" si="10"/>
        <v>1751000</v>
      </c>
      <c r="AB32" s="64">
        <f t="shared" si="10"/>
        <v>1048800.0000000759</v>
      </c>
      <c r="AC32" s="64">
        <f t="shared" si="10"/>
        <v>1302500.0000000261</v>
      </c>
      <c r="AD32" s="64">
        <f t="shared" si="10"/>
        <v>1317499.9999998771</v>
      </c>
      <c r="AE32" s="64">
        <f t="shared" si="10"/>
        <v>1386100.0000000931</v>
      </c>
      <c r="AF32" s="64">
        <f t="shared" si="10"/>
        <v>1387499.9999999739</v>
      </c>
      <c r="AG32" s="64">
        <f t="shared" si="10"/>
        <v>968300.000000017</v>
      </c>
      <c r="AH32" s="64">
        <f t="shared" si="10"/>
        <v>299800.00000001717</v>
      </c>
      <c r="AI32" s="64">
        <f t="shared" si="10"/>
        <v>0</v>
      </c>
      <c r="AJ32" s="64">
        <f t="shared" ref="AJ32" si="11">SUM(AJ33:AJ34)</f>
        <v>0</v>
      </c>
      <c r="AK32" s="117"/>
      <c r="AL32" s="116">
        <f>SUM(F32:AJ32)</f>
        <v>35345900.000000015</v>
      </c>
      <c r="AM32" s="118"/>
      <c r="AN32" s="118"/>
      <c r="BY32" s="107"/>
    </row>
    <row r="33" spans="1:15092">
      <c r="B33" s="70"/>
      <c r="C33" s="200" t="s">
        <v>37</v>
      </c>
      <c r="D33" s="264">
        <f>32505.4759884505*1000</f>
        <v>32505475.988450501</v>
      </c>
      <c r="E33" s="201" t="s">
        <v>9</v>
      </c>
      <c r="F33" s="64">
        <v>0</v>
      </c>
      <c r="G33" s="64">
        <v>0</v>
      </c>
      <c r="H33" s="64">
        <f>307.599999999977*1000</f>
        <v>307599.99999997701</v>
      </c>
      <c r="I33" s="247">
        <v>1010000</v>
      </c>
      <c r="J33" s="247">
        <f>1767.20000000007*1000</f>
        <v>1767200.0000000701</v>
      </c>
      <c r="K33" s="247">
        <f>1572.29999999993*1000</f>
        <v>1572299.9999999299</v>
      </c>
      <c r="L33" s="247">
        <f>1599.60000000009*1000</f>
        <v>1599600.0000000899</v>
      </c>
      <c r="M33" s="247">
        <f>1548.29999999993*1000</f>
        <v>1548299.9999999299</v>
      </c>
      <c r="N33" s="247">
        <f>1246.90000000002*1000</f>
        <v>1246900.00000002</v>
      </c>
      <c r="O33" s="247">
        <f>810.099999999977*1000</f>
        <v>810099.99999997695</v>
      </c>
      <c r="P33" s="247">
        <f>1738.5*1000</f>
        <v>1738500</v>
      </c>
      <c r="Q33" s="247">
        <f>1736.5*1000</f>
        <v>1736500</v>
      </c>
      <c r="R33" s="64">
        <f>1533.59999999998*1000</f>
        <v>1533599.99999998</v>
      </c>
      <c r="S33" s="64">
        <v>1374000</v>
      </c>
      <c r="T33" s="64">
        <f>1174.20000000007*1000</f>
        <v>1174200.0000000701</v>
      </c>
      <c r="U33" s="64">
        <f>972.599999999977*1000</f>
        <v>972599.99999997695</v>
      </c>
      <c r="V33" s="64">
        <v>0</v>
      </c>
      <c r="W33" s="64">
        <v>0</v>
      </c>
      <c r="X33" s="64">
        <f>456.400000000023*1000</f>
        <v>456400.00000002299</v>
      </c>
      <c r="Y33" s="64">
        <f>1270.09999999998*1000</f>
        <v>1270099.99999998</v>
      </c>
      <c r="Z33" s="64">
        <f>1495.29999999993*1000</f>
        <v>1495299.9999999299</v>
      </c>
      <c r="AA33" s="64">
        <v>1455000</v>
      </c>
      <c r="AB33" s="64">
        <f>891.70000000007*1000</f>
        <v>891700.00000006997</v>
      </c>
      <c r="AC33" s="64">
        <f>1021.40000000002*1000</f>
        <v>1021400.00000002</v>
      </c>
      <c r="AD33" s="64">
        <f>1066.3999999999*1000</f>
        <v>1066399.9999999001</v>
      </c>
      <c r="AE33" s="64">
        <f>1126.20000000007*1000</f>
        <v>1126200.0000000701</v>
      </c>
      <c r="AF33" s="64">
        <f>1153.09999999998*1000</f>
        <v>1153099.99999998</v>
      </c>
      <c r="AG33" s="64">
        <f>803.400000000023*1000</f>
        <v>803400.00000002305</v>
      </c>
      <c r="AH33" s="64">
        <f>252.400000000023*1000</f>
        <v>252400.00000002299</v>
      </c>
      <c r="AI33" s="64">
        <v>0</v>
      </c>
      <c r="AJ33" s="64">
        <v>0</v>
      </c>
      <c r="AK33" s="117"/>
      <c r="AL33" s="116">
        <f>SUM(F33:AJ33)</f>
        <v>29382800.000000041</v>
      </c>
      <c r="AM33" s="253"/>
      <c r="AP33" s="253">
        <v>44459</v>
      </c>
      <c r="BY33" s="107"/>
    </row>
    <row r="34" spans="1:15092">
      <c r="B34" s="70"/>
      <c r="C34" s="200" t="s">
        <v>38</v>
      </c>
      <c r="D34" s="264">
        <f>7135.34838770864*1000</f>
        <v>7135348.3877086397</v>
      </c>
      <c r="E34" s="201" t="s">
        <v>9</v>
      </c>
      <c r="F34" s="64">
        <v>0</v>
      </c>
      <c r="G34" s="64">
        <v>0</v>
      </c>
      <c r="H34" s="64">
        <f>28.7999999999884*1000</f>
        <v>28799.999999988402</v>
      </c>
      <c r="I34" s="247">
        <f>195.800000000017*1000</f>
        <v>195800.000000017</v>
      </c>
      <c r="J34" s="247">
        <f>338.299999999988*1000</f>
        <v>338299.99999998801</v>
      </c>
      <c r="K34" s="247">
        <v>306000</v>
      </c>
      <c r="L34" s="247">
        <f>298.200000000012*1000</f>
        <v>298200.00000001199</v>
      </c>
      <c r="M34" s="247">
        <f>283.600000000006*1000</f>
        <v>283600.000000006</v>
      </c>
      <c r="N34" s="247">
        <f>262.599999999977*1000</f>
        <v>262599.99999997701</v>
      </c>
      <c r="O34" s="247">
        <f>161.399999999994*1000</f>
        <v>161399.999999994</v>
      </c>
      <c r="P34" s="247">
        <v>351000</v>
      </c>
      <c r="Q34" s="247">
        <v>353000</v>
      </c>
      <c r="R34" s="64">
        <f>313.299999999988*1000</f>
        <v>313299.99999998801</v>
      </c>
      <c r="S34" s="64">
        <f>288.200000000012*1000</f>
        <v>288200.00000001199</v>
      </c>
      <c r="T34" s="64">
        <v>243500</v>
      </c>
      <c r="U34" s="64">
        <f>211.299999999988*1000</f>
        <v>211299.99999998798</v>
      </c>
      <c r="V34" s="64">
        <v>0</v>
      </c>
      <c r="W34" s="64">
        <v>0</v>
      </c>
      <c r="X34" s="64">
        <f>78.8000000000175*1000</f>
        <v>78800.000000017506</v>
      </c>
      <c r="Y34" s="64">
        <f>268.699999999983*1000</f>
        <v>268699.999999983</v>
      </c>
      <c r="Z34" s="64">
        <f>288.700000000012*1000</f>
        <v>288700.00000001199</v>
      </c>
      <c r="AA34" s="259">
        <v>296000</v>
      </c>
      <c r="AB34" s="64">
        <f>157.100000000006*1000</f>
        <v>157100.000000006</v>
      </c>
      <c r="AC34" s="64">
        <f>281.100000000006*1000</f>
        <v>281100.000000006</v>
      </c>
      <c r="AD34" s="64">
        <f>251.099999999977*1000</f>
        <v>251099.99999997701</v>
      </c>
      <c r="AE34" s="64">
        <f>259.900000000023*1000</f>
        <v>259900.00000002299</v>
      </c>
      <c r="AF34" s="64">
        <f>234.399999999994*1000</f>
        <v>234399.999999994</v>
      </c>
      <c r="AG34" s="64">
        <f>164.899999999994*1000</f>
        <v>164899.999999994</v>
      </c>
      <c r="AH34" s="64">
        <f>47.3999999999942*1000</f>
        <v>47399.999999994201</v>
      </c>
      <c r="AI34" s="64">
        <v>0</v>
      </c>
      <c r="AJ34" s="64">
        <v>0</v>
      </c>
      <c r="AK34" s="117"/>
      <c r="AL34" s="116">
        <f>SUM(F34:AJ34)</f>
        <v>5963099.9999999776</v>
      </c>
      <c r="AM34" s="253"/>
      <c r="AP34" s="107">
        <f>SUM(AL32,AL37,AL42)/1000</f>
        <v>40695.000000000065</v>
      </c>
    </row>
    <row r="35" spans="1:15092">
      <c r="B35" s="70"/>
      <c r="C35" s="76" t="s">
        <v>39</v>
      </c>
      <c r="D35" s="265"/>
      <c r="E35" s="78"/>
      <c r="F35" s="59"/>
      <c r="G35" s="59"/>
      <c r="H35" s="59"/>
      <c r="I35" s="9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104"/>
      <c r="Z35" s="257"/>
      <c r="AA35" s="258"/>
      <c r="AB35" s="104"/>
      <c r="AC35" s="104"/>
      <c r="AD35" s="104"/>
      <c r="AE35" s="104"/>
      <c r="AF35" s="104"/>
      <c r="AG35" s="104"/>
      <c r="AH35" s="104"/>
      <c r="AI35" s="104"/>
      <c r="AJ35" s="104"/>
      <c r="AK35" s="117"/>
      <c r="AL35" s="123" t="s">
        <v>40</v>
      </c>
      <c r="AM35" s="253"/>
      <c r="AP35" s="255">
        <f>AP34/AP33*100</f>
        <v>91.533772689444362</v>
      </c>
    </row>
    <row r="36" spans="1:15092" s="3" customFormat="1" hidden="1">
      <c r="A36" s="6"/>
      <c r="B36" s="42"/>
      <c r="C36" s="79" t="s">
        <v>25</v>
      </c>
      <c r="D36" s="266"/>
      <c r="E36" s="80" t="s">
        <v>9</v>
      </c>
      <c r="F36" s="64"/>
      <c r="G36" s="64"/>
      <c r="H36" s="64"/>
      <c r="I36" s="64"/>
      <c r="J36" s="64"/>
      <c r="K36" s="64"/>
      <c r="L36" s="64"/>
      <c r="M36" s="64"/>
      <c r="N36" s="64">
        <f>706.6*1000</f>
        <v>706600</v>
      </c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105"/>
      <c r="AD36" s="105"/>
      <c r="AE36" s="105"/>
      <c r="AF36" s="105"/>
      <c r="AG36" s="105"/>
      <c r="AH36" s="105"/>
      <c r="AI36" s="105"/>
      <c r="AJ36" s="105"/>
      <c r="AK36" s="124"/>
      <c r="AL36" s="125">
        <f t="shared" ref="AL36:AL39" si="12">SUM(F36:AJ36)</f>
        <v>706600</v>
      </c>
      <c r="AM36" s="236"/>
      <c r="AN36" s="12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6"/>
      <c r="AIX36" s="6"/>
      <c r="AIY36" s="6"/>
      <c r="AIZ36" s="6"/>
      <c r="AJA36" s="6"/>
      <c r="AJB36" s="6"/>
      <c r="AJC36" s="6"/>
      <c r="AJD36" s="6"/>
      <c r="AJE36" s="6"/>
      <c r="AJF36" s="6"/>
      <c r="AJG36" s="6"/>
      <c r="AJH36" s="6"/>
      <c r="AJI36" s="6"/>
      <c r="AJJ36" s="6"/>
      <c r="AJK36" s="6"/>
      <c r="AJL36" s="6"/>
      <c r="AJM36" s="6"/>
      <c r="AJN36" s="6"/>
      <c r="AJO36" s="6"/>
      <c r="AJP36" s="6"/>
      <c r="AJQ36" s="6"/>
      <c r="AJR36" s="6"/>
      <c r="AJS36" s="6"/>
      <c r="AJT36" s="6"/>
      <c r="AJU36" s="6"/>
      <c r="AJV36" s="6"/>
      <c r="AJW36" s="6"/>
      <c r="AJX36" s="6"/>
      <c r="AJY36" s="6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  <c r="AMY36" s="6"/>
      <c r="AMZ36" s="6"/>
      <c r="ANA36" s="6"/>
      <c r="ANB36" s="6"/>
      <c r="ANC36" s="6"/>
      <c r="AND36" s="6"/>
      <c r="ANE36" s="6"/>
      <c r="ANF36" s="6"/>
      <c r="ANG36" s="6"/>
      <c r="ANH36" s="6"/>
      <c r="ANI36" s="6"/>
      <c r="ANJ36" s="6"/>
      <c r="ANK36" s="6"/>
      <c r="ANL36" s="6"/>
      <c r="ANM36" s="6"/>
      <c r="ANN36" s="6"/>
      <c r="ANO36" s="6"/>
      <c r="ANP36" s="6"/>
      <c r="ANQ36" s="6"/>
      <c r="ANR36" s="6"/>
      <c r="ANS36" s="6"/>
      <c r="ANT36" s="6"/>
      <c r="ANU36" s="6"/>
      <c r="ANV36" s="6"/>
      <c r="ANW36" s="6"/>
      <c r="ANX36" s="6"/>
      <c r="ANY36" s="6"/>
      <c r="ANZ36" s="6"/>
      <c r="AOA36" s="6"/>
      <c r="AOB36" s="6"/>
      <c r="AOC36" s="6"/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/>
      <c r="AOQ36" s="6"/>
      <c r="AOR36" s="6"/>
      <c r="AOS36" s="6"/>
      <c r="AOT36" s="6"/>
      <c r="AOU36" s="6"/>
      <c r="AOV36" s="6"/>
      <c r="AOW36" s="6"/>
      <c r="AOX36" s="6"/>
      <c r="AOY36" s="6"/>
      <c r="AOZ36" s="6"/>
      <c r="APA36" s="6"/>
      <c r="APB36" s="6"/>
      <c r="APC36" s="6"/>
      <c r="APD36" s="6"/>
      <c r="APE36" s="6"/>
      <c r="APF36" s="6"/>
      <c r="APG36" s="6"/>
      <c r="APH36" s="6"/>
      <c r="API36" s="6"/>
      <c r="APJ36" s="6"/>
      <c r="APK36" s="6"/>
      <c r="APL36" s="6"/>
      <c r="APM36" s="6"/>
      <c r="APN36" s="6"/>
      <c r="APO36" s="6"/>
      <c r="APP36" s="6"/>
      <c r="APQ36" s="6"/>
      <c r="APR36" s="6"/>
      <c r="APS36" s="6"/>
      <c r="APT36" s="6"/>
      <c r="APU36" s="6"/>
      <c r="APV36" s="6"/>
      <c r="APW36" s="6"/>
      <c r="APX36" s="6"/>
      <c r="APY36" s="6"/>
      <c r="APZ36" s="6"/>
      <c r="AQA36" s="6"/>
      <c r="AQB36" s="6"/>
      <c r="AQC36" s="6"/>
      <c r="AQD36" s="6"/>
      <c r="AQE36" s="6"/>
      <c r="AQF36" s="6"/>
      <c r="AQG36" s="6"/>
      <c r="AQH36" s="6"/>
      <c r="AQI36" s="6"/>
      <c r="AQJ36" s="6"/>
      <c r="AQK36" s="6"/>
      <c r="AQL36" s="6"/>
      <c r="AQM36" s="6"/>
      <c r="AQN36" s="6"/>
      <c r="AQO36" s="6"/>
      <c r="AQP36" s="6"/>
      <c r="AQQ36" s="6"/>
      <c r="AQR36" s="6"/>
      <c r="AQS36" s="6"/>
      <c r="AQT36" s="6"/>
      <c r="AQU36" s="6"/>
      <c r="AQV36" s="6"/>
      <c r="AQW36" s="6"/>
      <c r="AQX36" s="6"/>
      <c r="AQY36" s="6"/>
      <c r="AQZ36" s="6"/>
      <c r="ARA36" s="6"/>
      <c r="ARB36" s="6"/>
      <c r="ARC36" s="6"/>
      <c r="ARD36" s="6"/>
      <c r="ARE36" s="6"/>
      <c r="ARF36" s="6"/>
      <c r="ARG36" s="6"/>
      <c r="ARH36" s="6"/>
      <c r="ARI36" s="6"/>
      <c r="ARJ36" s="6"/>
      <c r="ARK36" s="6"/>
      <c r="ARL36" s="6"/>
      <c r="ARM36" s="6"/>
      <c r="ARN36" s="6"/>
      <c r="ARO36" s="6"/>
      <c r="ARP36" s="6"/>
      <c r="ARQ36" s="6"/>
      <c r="ARR36" s="6"/>
      <c r="ARS36" s="6"/>
      <c r="ART36" s="6"/>
      <c r="ARU36" s="6"/>
      <c r="ARV36" s="6"/>
      <c r="ARW36" s="6"/>
      <c r="ARX36" s="6"/>
      <c r="ARY36" s="6"/>
      <c r="ARZ36" s="6"/>
      <c r="ASA36" s="6"/>
      <c r="ASB36" s="6"/>
      <c r="ASC36" s="6"/>
      <c r="ASD36" s="6"/>
      <c r="ASE36" s="6"/>
      <c r="ASF36" s="6"/>
      <c r="ASG36" s="6"/>
      <c r="ASH36" s="6"/>
      <c r="ASI36" s="6"/>
      <c r="ASJ36" s="6"/>
      <c r="ASK36" s="6"/>
      <c r="ASL36" s="6"/>
      <c r="ASM36" s="6"/>
      <c r="ASN36" s="6"/>
      <c r="ASO36" s="6"/>
      <c r="ASP36" s="6"/>
      <c r="ASQ36" s="6"/>
      <c r="ASR36" s="6"/>
      <c r="ASS36" s="6"/>
      <c r="AST36" s="6"/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6"/>
      <c r="ATR36" s="6"/>
      <c r="ATS36" s="6"/>
      <c r="ATT36" s="6"/>
      <c r="ATU36" s="6"/>
      <c r="ATV36" s="6"/>
      <c r="ATW36" s="6"/>
      <c r="ATX36" s="6"/>
      <c r="ATY36" s="6"/>
      <c r="ATZ36" s="6"/>
      <c r="AUA36" s="6"/>
      <c r="AUB36" s="6"/>
      <c r="AUC36" s="6"/>
      <c r="AUD36" s="6"/>
      <c r="AUE36" s="6"/>
      <c r="AUF36" s="6"/>
      <c r="AUG36" s="6"/>
      <c r="AUH36" s="6"/>
      <c r="AUI36" s="6"/>
      <c r="AUJ36" s="6"/>
      <c r="AUK36" s="6"/>
      <c r="AUL36" s="6"/>
      <c r="AUM36" s="6"/>
      <c r="AUN36" s="6"/>
      <c r="AUO36" s="6"/>
      <c r="AUP36" s="6"/>
      <c r="AUQ36" s="6"/>
      <c r="AUR36" s="6"/>
      <c r="AUS36" s="6"/>
      <c r="AUT36" s="6"/>
      <c r="AUU36" s="6"/>
      <c r="AUV36" s="6"/>
      <c r="AUW36" s="6"/>
      <c r="AUX36" s="6"/>
      <c r="AUY36" s="6"/>
      <c r="AUZ36" s="6"/>
      <c r="AVA36" s="6"/>
      <c r="AVB36" s="6"/>
      <c r="AVC36" s="6"/>
      <c r="AVD36" s="6"/>
      <c r="AVE36" s="6"/>
      <c r="AVF36" s="6"/>
      <c r="AVG36" s="6"/>
      <c r="AVH36" s="6"/>
      <c r="AVI36" s="6"/>
      <c r="AVJ36" s="6"/>
      <c r="AVK36" s="6"/>
      <c r="AVL36" s="6"/>
      <c r="AVM36" s="6"/>
      <c r="AVN36" s="6"/>
      <c r="AVO36" s="6"/>
      <c r="AVP36" s="6"/>
      <c r="AVQ36" s="6"/>
      <c r="AVR36" s="6"/>
      <c r="AVS36" s="6"/>
      <c r="AVT36" s="6"/>
      <c r="AVU36" s="6"/>
      <c r="AVV36" s="6"/>
      <c r="AVW36" s="6"/>
      <c r="AVX36" s="6"/>
      <c r="AVY36" s="6"/>
      <c r="AVZ36" s="6"/>
      <c r="AWA36" s="6"/>
      <c r="AWB36" s="6"/>
      <c r="AWC36" s="6"/>
      <c r="AWD36" s="6"/>
      <c r="AWE36" s="6"/>
      <c r="AWF36" s="6"/>
      <c r="AWG36" s="6"/>
      <c r="AWH36" s="6"/>
      <c r="AWI36" s="6"/>
      <c r="AWJ36" s="6"/>
      <c r="AWK36" s="6"/>
      <c r="AWL36" s="6"/>
      <c r="AWM36" s="6"/>
      <c r="AWN36" s="6"/>
      <c r="AWO36" s="6"/>
      <c r="AWP36" s="6"/>
      <c r="AWQ36" s="6"/>
      <c r="AWR36" s="6"/>
      <c r="AWS36" s="6"/>
      <c r="AWT36" s="6"/>
      <c r="AWU36" s="6"/>
      <c r="AWV36" s="6"/>
      <c r="AWW36" s="6"/>
      <c r="AWX36" s="6"/>
      <c r="AWY36" s="6"/>
      <c r="AWZ36" s="6"/>
      <c r="AXA36" s="6"/>
      <c r="AXB36" s="6"/>
      <c r="AXC36" s="6"/>
      <c r="AXD36" s="6"/>
      <c r="AXE36" s="6"/>
      <c r="AXF36" s="6"/>
      <c r="AXG36" s="6"/>
      <c r="AXH36" s="6"/>
      <c r="AXI36" s="6"/>
      <c r="AXJ36" s="6"/>
      <c r="AXK36" s="6"/>
      <c r="AXL36" s="6"/>
      <c r="AXM36" s="6"/>
      <c r="AXN36" s="6"/>
      <c r="AXO36" s="6"/>
      <c r="AXP36" s="6"/>
      <c r="AXQ36" s="6"/>
      <c r="AXR36" s="6"/>
      <c r="AXS36" s="6"/>
      <c r="AXT36" s="6"/>
      <c r="AXU36" s="6"/>
      <c r="AXV36" s="6"/>
      <c r="AXW36" s="6"/>
      <c r="AXX36" s="6"/>
      <c r="AXY36" s="6"/>
      <c r="AXZ36" s="6"/>
      <c r="AYA36" s="6"/>
      <c r="AYB36" s="6"/>
      <c r="AYC36" s="6"/>
      <c r="AYD36" s="6"/>
      <c r="AYE36" s="6"/>
      <c r="AYF36" s="6"/>
      <c r="AYG36" s="6"/>
      <c r="AYH36" s="6"/>
      <c r="AYI36" s="6"/>
      <c r="AYJ36" s="6"/>
      <c r="AYK36" s="6"/>
      <c r="AYL36" s="6"/>
      <c r="AYM36" s="6"/>
      <c r="AYN36" s="6"/>
      <c r="AYO36" s="6"/>
      <c r="AYP36" s="6"/>
      <c r="AYQ36" s="6"/>
      <c r="AYR36" s="6"/>
      <c r="AYS36" s="6"/>
      <c r="AYT36" s="6"/>
      <c r="AYU36" s="6"/>
      <c r="AYV36" s="6"/>
      <c r="AYW36" s="6"/>
      <c r="AYX36" s="6"/>
      <c r="AYY36" s="6"/>
      <c r="AYZ36" s="6"/>
      <c r="AZA36" s="6"/>
      <c r="AZB36" s="6"/>
      <c r="AZC36" s="6"/>
      <c r="AZD36" s="6"/>
      <c r="AZE36" s="6"/>
      <c r="AZF36" s="6"/>
      <c r="AZG36" s="6"/>
      <c r="AZH36" s="6"/>
      <c r="AZI36" s="6"/>
      <c r="AZJ36" s="6"/>
      <c r="AZK36" s="6"/>
      <c r="AZL36" s="6"/>
      <c r="AZM36" s="6"/>
      <c r="AZN36" s="6"/>
      <c r="AZO36" s="6"/>
      <c r="AZP36" s="6"/>
      <c r="AZQ36" s="6"/>
      <c r="AZR36" s="6"/>
      <c r="AZS36" s="6"/>
      <c r="AZT36" s="6"/>
      <c r="AZU36" s="6"/>
      <c r="AZV36" s="6"/>
      <c r="AZW36" s="6"/>
      <c r="AZX36" s="6"/>
      <c r="AZY36" s="6"/>
      <c r="AZZ36" s="6"/>
      <c r="BAA36" s="6"/>
      <c r="BAB36" s="6"/>
      <c r="BAC36" s="6"/>
      <c r="BAD36" s="6"/>
      <c r="BAE36" s="6"/>
      <c r="BAF36" s="6"/>
      <c r="BAG36" s="6"/>
      <c r="BAH36" s="6"/>
      <c r="BAI36" s="6"/>
      <c r="BAJ36" s="6"/>
      <c r="BAK36" s="6"/>
      <c r="BAL36" s="6"/>
      <c r="BAM36" s="6"/>
      <c r="BAN36" s="6"/>
      <c r="BAO36" s="6"/>
      <c r="BAP36" s="6"/>
      <c r="BAQ36" s="6"/>
      <c r="BAR36" s="6"/>
      <c r="BAS36" s="6"/>
      <c r="BAT36" s="6"/>
      <c r="BAU36" s="6"/>
      <c r="BAV36" s="6"/>
      <c r="BAW36" s="6"/>
      <c r="BAX36" s="6"/>
      <c r="BAY36" s="6"/>
      <c r="BAZ36" s="6"/>
      <c r="BBA36" s="6"/>
      <c r="BBB36" s="6"/>
      <c r="BBC36" s="6"/>
      <c r="BBD36" s="6"/>
      <c r="BBE36" s="6"/>
      <c r="BBF36" s="6"/>
      <c r="BBG36" s="6"/>
      <c r="BBH36" s="6"/>
      <c r="BBI36" s="6"/>
      <c r="BBJ36" s="6"/>
      <c r="BBK36" s="6"/>
      <c r="BBL36" s="6"/>
      <c r="BBM36" s="6"/>
      <c r="BBN36" s="6"/>
      <c r="BBO36" s="6"/>
      <c r="BBP36" s="6"/>
      <c r="BBQ36" s="6"/>
      <c r="BBR36" s="6"/>
      <c r="BBS36" s="6"/>
      <c r="BBT36" s="6"/>
      <c r="BBU36" s="6"/>
      <c r="BBV36" s="6"/>
      <c r="BBW36" s="6"/>
      <c r="BBX36" s="6"/>
      <c r="BBY36" s="6"/>
      <c r="BBZ36" s="6"/>
      <c r="BCA36" s="6"/>
      <c r="BCB36" s="6"/>
      <c r="BCC36" s="6"/>
      <c r="BCD36" s="6"/>
      <c r="BCE36" s="6"/>
      <c r="BCF36" s="6"/>
      <c r="BCG36" s="6"/>
      <c r="BCH36" s="6"/>
      <c r="BCI36" s="6"/>
      <c r="BCJ36" s="6"/>
      <c r="BCK36" s="6"/>
      <c r="BCL36" s="6"/>
      <c r="BCM36" s="6"/>
      <c r="BCN36" s="6"/>
      <c r="BCO36" s="6"/>
      <c r="BCP36" s="6"/>
      <c r="BCQ36" s="6"/>
      <c r="BCR36" s="6"/>
      <c r="BCS36" s="6"/>
      <c r="BCT36" s="6"/>
      <c r="BCU36" s="6"/>
      <c r="BCV36" s="6"/>
      <c r="BCW36" s="6"/>
      <c r="BCX36" s="6"/>
      <c r="BCY36" s="6"/>
      <c r="BCZ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ET36" s="6"/>
      <c r="BEU36" s="6"/>
      <c r="BEV36" s="6"/>
      <c r="BEW36" s="6"/>
      <c r="BEX36" s="6"/>
      <c r="BEY36" s="6"/>
      <c r="BEZ36" s="6"/>
      <c r="BFA36" s="6"/>
      <c r="BFB36" s="6"/>
      <c r="BFC36" s="6"/>
      <c r="BFD36" s="6"/>
      <c r="BFE36" s="6"/>
      <c r="BFF36" s="6"/>
      <c r="BFG36" s="6"/>
      <c r="BFH36" s="6"/>
      <c r="BFI36" s="6"/>
      <c r="BFJ36" s="6"/>
      <c r="BFK36" s="6"/>
      <c r="BFL36" s="6"/>
      <c r="BFM36" s="6"/>
      <c r="BFN36" s="6"/>
      <c r="BFO36" s="6"/>
      <c r="BFP36" s="6"/>
      <c r="BFQ36" s="6"/>
      <c r="BFR36" s="6"/>
      <c r="BFS36" s="6"/>
      <c r="BFT36" s="6"/>
      <c r="BFU36" s="6"/>
      <c r="BFV36" s="6"/>
      <c r="BFW36" s="6"/>
      <c r="BFX36" s="6"/>
      <c r="BFY36" s="6"/>
      <c r="BFZ36" s="6"/>
      <c r="BGA36" s="6"/>
      <c r="BGB36" s="6"/>
      <c r="BGC36" s="6"/>
      <c r="BGD36" s="6"/>
      <c r="BGE36" s="6"/>
      <c r="BGF36" s="6"/>
      <c r="BGG36" s="6"/>
      <c r="BGH36" s="6"/>
      <c r="BGI36" s="6"/>
      <c r="BGJ36" s="6"/>
      <c r="BGK36" s="6"/>
      <c r="BGL36" s="6"/>
      <c r="BGM36" s="6"/>
      <c r="BGN36" s="6"/>
      <c r="BGO36" s="6"/>
      <c r="BGP36" s="6"/>
      <c r="BGQ36" s="6"/>
      <c r="BGR36" s="6"/>
      <c r="BGS36" s="6"/>
      <c r="BGT36" s="6"/>
      <c r="BGU36" s="6"/>
      <c r="BGV36" s="6"/>
      <c r="BGW36" s="6"/>
      <c r="BGX36" s="6"/>
      <c r="BGY36" s="6"/>
      <c r="BGZ36" s="6"/>
      <c r="BHA36" s="6"/>
      <c r="BHB36" s="6"/>
      <c r="BHC36" s="6"/>
      <c r="BHD36" s="6"/>
      <c r="BHE36" s="6"/>
      <c r="BHF36" s="6"/>
      <c r="BHG36" s="6"/>
      <c r="BHH36" s="6"/>
      <c r="BHI36" s="6"/>
      <c r="BHJ36" s="6"/>
      <c r="BHK36" s="6"/>
      <c r="BHL36" s="6"/>
      <c r="BHM36" s="6"/>
      <c r="BHN36" s="6"/>
      <c r="BHO36" s="6"/>
      <c r="BHP36" s="6"/>
      <c r="BHQ36" s="6"/>
      <c r="BHR36" s="6"/>
      <c r="BHS36" s="6"/>
      <c r="BHT36" s="6"/>
      <c r="BHU36" s="6"/>
      <c r="BHV36" s="6"/>
      <c r="BHW36" s="6"/>
      <c r="BHX36" s="6"/>
      <c r="BHY36" s="6"/>
      <c r="BHZ36" s="6"/>
      <c r="BIA36" s="6"/>
      <c r="BIB36" s="6"/>
      <c r="BIC36" s="6"/>
      <c r="BID36" s="6"/>
      <c r="BIE36" s="6"/>
      <c r="BIF36" s="6"/>
      <c r="BIG36" s="6"/>
      <c r="BIH36" s="6"/>
      <c r="BII36" s="6"/>
      <c r="BIJ36" s="6"/>
      <c r="BIK36" s="6"/>
      <c r="BIL36" s="6"/>
      <c r="BIM36" s="6"/>
      <c r="BIN36" s="6"/>
      <c r="BIO36" s="6"/>
      <c r="BIP36" s="6"/>
      <c r="BIQ36" s="6"/>
      <c r="BIR36" s="6"/>
      <c r="BIS36" s="6"/>
      <c r="BIT36" s="6"/>
      <c r="BIU36" s="6"/>
      <c r="BIV36" s="6"/>
      <c r="BIW36" s="6"/>
      <c r="BIX36" s="6"/>
      <c r="BIY36" s="6"/>
      <c r="BIZ36" s="6"/>
      <c r="BJA36" s="6"/>
      <c r="BJB36" s="6"/>
      <c r="BJC36" s="6"/>
      <c r="BJD36" s="6"/>
      <c r="BJE36" s="6"/>
      <c r="BJF36" s="6"/>
      <c r="BJG36" s="6"/>
      <c r="BJH36" s="6"/>
      <c r="BJI36" s="6"/>
      <c r="BJJ36" s="6"/>
      <c r="BJK36" s="6"/>
      <c r="BJL36" s="6"/>
      <c r="BJM36" s="6"/>
      <c r="BJN36" s="6"/>
      <c r="BJO36" s="6"/>
      <c r="BJP36" s="6"/>
      <c r="BJQ36" s="6"/>
      <c r="BJR36" s="6"/>
      <c r="BJS36" s="6"/>
      <c r="BJT36" s="6"/>
      <c r="BJU36" s="6"/>
      <c r="BJV36" s="6"/>
      <c r="BJW36" s="6"/>
      <c r="BJX36" s="6"/>
      <c r="BJY36" s="6"/>
      <c r="BJZ36" s="6"/>
      <c r="BKA36" s="6"/>
      <c r="BKB36" s="6"/>
      <c r="BKC36" s="6"/>
      <c r="BKD36" s="6"/>
      <c r="BKE36" s="6"/>
      <c r="BKF36" s="6"/>
      <c r="BKG36" s="6"/>
      <c r="BKH36" s="6"/>
      <c r="BKI36" s="6"/>
      <c r="BKJ36" s="6"/>
      <c r="BKK36" s="6"/>
      <c r="BKL36" s="6"/>
      <c r="BKM36" s="6"/>
      <c r="BKN36" s="6"/>
      <c r="BKO36" s="6"/>
      <c r="BKP36" s="6"/>
      <c r="BKQ36" s="6"/>
      <c r="BKR36" s="6"/>
      <c r="BKS36" s="6"/>
      <c r="BKT36" s="6"/>
      <c r="BKU36" s="6"/>
      <c r="BKV36" s="6"/>
      <c r="BKW36" s="6"/>
      <c r="BKX36" s="6"/>
      <c r="BKY36" s="6"/>
      <c r="BKZ36" s="6"/>
      <c r="BLA36" s="6"/>
      <c r="BLB36" s="6"/>
      <c r="BLC36" s="6"/>
      <c r="BLD36" s="6"/>
      <c r="BLE36" s="6"/>
      <c r="BLF36" s="6"/>
      <c r="BLG36" s="6"/>
      <c r="BLH36" s="6"/>
      <c r="BLI36" s="6"/>
      <c r="BLJ36" s="6"/>
      <c r="BLK36" s="6"/>
      <c r="BLL36" s="6"/>
      <c r="BLM36" s="6"/>
      <c r="BLN36" s="6"/>
      <c r="BLO36" s="6"/>
      <c r="BLP36" s="6"/>
      <c r="BLQ36" s="6"/>
      <c r="BLR36" s="6"/>
      <c r="BLS36" s="6"/>
      <c r="BLT36" s="6"/>
      <c r="BLU36" s="6"/>
      <c r="BLV36" s="6"/>
      <c r="BLW36" s="6"/>
      <c r="BLX36" s="6"/>
      <c r="BLY36" s="6"/>
      <c r="BLZ36" s="6"/>
      <c r="BMA36" s="6"/>
      <c r="BMB36" s="6"/>
      <c r="BMC36" s="6"/>
      <c r="BMD36" s="6"/>
      <c r="BME36" s="6"/>
      <c r="BMF36" s="6"/>
      <c r="BMG36" s="6"/>
      <c r="BMH36" s="6"/>
      <c r="BMI36" s="6"/>
      <c r="BMJ36" s="6"/>
      <c r="BMK36" s="6"/>
      <c r="BML36" s="6"/>
      <c r="BMM36" s="6"/>
      <c r="BMN36" s="6"/>
      <c r="BMO36" s="6"/>
      <c r="BMP36" s="6"/>
      <c r="BMQ36" s="6"/>
      <c r="BMR36" s="6"/>
      <c r="BMS36" s="6"/>
      <c r="BMT36" s="6"/>
      <c r="BMU36" s="6"/>
      <c r="BMV36" s="6"/>
      <c r="BMW36" s="6"/>
      <c r="BMX36" s="6"/>
      <c r="BMY36" s="6"/>
      <c r="BMZ36" s="6"/>
      <c r="BNA36" s="6"/>
      <c r="BNB36" s="6"/>
      <c r="BNC36" s="6"/>
      <c r="BND36" s="6"/>
      <c r="BNE36" s="6"/>
      <c r="BNF36" s="6"/>
      <c r="BNG36" s="6"/>
      <c r="BNH36" s="6"/>
      <c r="BNI36" s="6"/>
      <c r="BNJ36" s="6"/>
      <c r="BNK36" s="6"/>
      <c r="BNL36" s="6"/>
      <c r="BNM36" s="6"/>
      <c r="BNN36" s="6"/>
      <c r="BNO36" s="6"/>
      <c r="BNP36" s="6"/>
      <c r="BNQ36" s="6"/>
      <c r="BNR36" s="6"/>
      <c r="BNS36" s="6"/>
      <c r="BNT36" s="6"/>
      <c r="BNU36" s="6"/>
      <c r="BNV36" s="6"/>
      <c r="BNW36" s="6"/>
      <c r="BNX36" s="6"/>
      <c r="BNY36" s="6"/>
      <c r="BNZ36" s="6"/>
      <c r="BOA36" s="6"/>
      <c r="BOB36" s="6"/>
      <c r="BOC36" s="6"/>
      <c r="BOD36" s="6"/>
      <c r="BOE36" s="6"/>
      <c r="BOF36" s="6"/>
      <c r="BOG36" s="6"/>
      <c r="BOH36" s="6"/>
      <c r="BOI36" s="6"/>
      <c r="BOJ36" s="6"/>
      <c r="BOK36" s="6"/>
      <c r="BOL36" s="6"/>
      <c r="BOM36" s="6"/>
      <c r="BON36" s="6"/>
      <c r="BOO36" s="6"/>
      <c r="BOP36" s="6"/>
      <c r="BOQ36" s="6"/>
      <c r="BOR36" s="6"/>
      <c r="BOS36" s="6"/>
      <c r="BOT36" s="6"/>
      <c r="BOU36" s="6"/>
      <c r="BOV36" s="6"/>
      <c r="BOW36" s="6"/>
      <c r="BOX36" s="6"/>
      <c r="BOY36" s="6"/>
      <c r="BOZ36" s="6"/>
      <c r="BPA36" s="6"/>
      <c r="BPB36" s="6"/>
      <c r="BPC36" s="6"/>
      <c r="BPD36" s="6"/>
      <c r="BPE36" s="6"/>
      <c r="BPF36" s="6"/>
      <c r="BPG36" s="6"/>
      <c r="BPH36" s="6"/>
      <c r="BPI36" s="6"/>
      <c r="BPJ36" s="6"/>
      <c r="BPK36" s="6"/>
      <c r="BPL36" s="6"/>
      <c r="BPM36" s="6"/>
      <c r="BPN36" s="6"/>
      <c r="BPO36" s="6"/>
      <c r="BPP36" s="6"/>
      <c r="BPQ36" s="6"/>
      <c r="BPR36" s="6"/>
      <c r="BPS36" s="6"/>
      <c r="BPT36" s="6"/>
      <c r="BPU36" s="6"/>
      <c r="BPV36" s="6"/>
      <c r="BPW36" s="6"/>
      <c r="BPX36" s="6"/>
      <c r="BPY36" s="6"/>
      <c r="BPZ36" s="6"/>
      <c r="BQA36" s="6"/>
      <c r="BQB36" s="6"/>
      <c r="BQC36" s="6"/>
      <c r="BQD36" s="6"/>
      <c r="BQE36" s="6"/>
      <c r="BQF36" s="6"/>
      <c r="BQG36" s="6"/>
      <c r="BQH36" s="6"/>
      <c r="BQI36" s="6"/>
      <c r="BQJ36" s="6"/>
      <c r="BQK36" s="6"/>
      <c r="BQL36" s="6"/>
      <c r="BQM36" s="6"/>
      <c r="BQN36" s="6"/>
      <c r="BQO36" s="6"/>
      <c r="BQP36" s="6"/>
      <c r="BQQ36" s="6"/>
      <c r="BQR36" s="6"/>
      <c r="BQS36" s="6"/>
      <c r="BQT36" s="6"/>
      <c r="BQU36" s="6"/>
      <c r="BQV36" s="6"/>
      <c r="BQW36" s="6"/>
      <c r="BQX36" s="6"/>
      <c r="BQY36" s="6"/>
      <c r="BQZ36" s="6"/>
      <c r="BRA36" s="6"/>
      <c r="BRB36" s="6"/>
      <c r="BRC36" s="6"/>
      <c r="BRD36" s="6"/>
      <c r="BRE36" s="6"/>
      <c r="BRF36" s="6"/>
      <c r="BRG36" s="6"/>
      <c r="BRH36" s="6"/>
      <c r="BRI36" s="6"/>
      <c r="BRJ36" s="6"/>
      <c r="BRK36" s="6"/>
      <c r="BRL36" s="6"/>
      <c r="BRM36" s="6"/>
      <c r="BRN36" s="6"/>
      <c r="BRO36" s="6"/>
      <c r="BRP36" s="6"/>
      <c r="BRQ36" s="6"/>
      <c r="BRR36" s="6"/>
      <c r="BRS36" s="6"/>
      <c r="BRT36" s="6"/>
      <c r="BRU36" s="6"/>
      <c r="BRV36" s="6"/>
      <c r="BRW36" s="6"/>
      <c r="BRX36" s="6"/>
      <c r="BRY36" s="6"/>
      <c r="BRZ36" s="6"/>
      <c r="BSA36" s="6"/>
      <c r="BSB36" s="6"/>
      <c r="BSC36" s="6"/>
      <c r="BSD36" s="6"/>
      <c r="BSE36" s="6"/>
      <c r="BSF36" s="6"/>
      <c r="BSG36" s="6"/>
      <c r="BSH36" s="6"/>
      <c r="BSI36" s="6"/>
      <c r="BSJ36" s="6"/>
      <c r="BSK36" s="6"/>
      <c r="BSL36" s="6"/>
      <c r="BSM36" s="6"/>
      <c r="BSN36" s="6"/>
      <c r="BSO36" s="6"/>
      <c r="BSP36" s="6"/>
      <c r="BSQ36" s="6"/>
      <c r="BSR36" s="6"/>
      <c r="BSS36" s="6"/>
      <c r="BST36" s="6"/>
      <c r="BSU36" s="6"/>
      <c r="BSV36" s="6"/>
      <c r="BSW36" s="6"/>
      <c r="BSX36" s="6"/>
      <c r="BSY36" s="6"/>
      <c r="BSZ36" s="6"/>
      <c r="BTA36" s="6"/>
      <c r="BTB36" s="6"/>
      <c r="BTC36" s="6"/>
      <c r="BTD36" s="6"/>
      <c r="BTE36" s="6"/>
      <c r="BTF36" s="6"/>
      <c r="BTG36" s="6"/>
      <c r="BTH36" s="6"/>
      <c r="BTI36" s="6"/>
      <c r="BTJ36" s="6"/>
      <c r="BTK36" s="6"/>
      <c r="BTL36" s="6"/>
      <c r="BTM36" s="6"/>
      <c r="BTN36" s="6"/>
      <c r="BTO36" s="6"/>
      <c r="BTP36" s="6"/>
      <c r="BTQ36" s="6"/>
      <c r="BTR36" s="6"/>
      <c r="BTS36" s="6"/>
      <c r="BTT36" s="6"/>
      <c r="BTU36" s="6"/>
      <c r="BTV36" s="6"/>
      <c r="BTW36" s="6"/>
      <c r="BTX36" s="6"/>
      <c r="BTY36" s="6"/>
      <c r="BTZ36" s="6"/>
      <c r="BUA36" s="6"/>
      <c r="BUB36" s="6"/>
      <c r="BUC36" s="6"/>
      <c r="BUD36" s="6"/>
      <c r="BUE36" s="6"/>
      <c r="BUF36" s="6"/>
      <c r="BUG36" s="6"/>
      <c r="BUH36" s="6"/>
      <c r="BUI36" s="6"/>
      <c r="BUJ36" s="6"/>
      <c r="BUK36" s="6"/>
      <c r="BUL36" s="6"/>
      <c r="BUM36" s="6"/>
      <c r="BUN36" s="6"/>
      <c r="BUO36" s="6"/>
      <c r="BUP36" s="6"/>
      <c r="BUQ36" s="6"/>
      <c r="BUR36" s="6"/>
      <c r="BUS36" s="6"/>
      <c r="BUT36" s="6"/>
      <c r="BUU36" s="6"/>
      <c r="BUV36" s="6"/>
      <c r="BUW36" s="6"/>
      <c r="BUX36" s="6"/>
      <c r="BUY36" s="6"/>
      <c r="BUZ36" s="6"/>
      <c r="BVA36" s="6"/>
      <c r="BVB36" s="6"/>
      <c r="BVC36" s="6"/>
      <c r="BVD36" s="6"/>
      <c r="BVE36" s="6"/>
      <c r="BVF36" s="6"/>
      <c r="BVG36" s="6"/>
      <c r="BVH36" s="6"/>
      <c r="BVI36" s="6"/>
      <c r="BVJ36" s="6"/>
      <c r="BVK36" s="6"/>
      <c r="BVL36" s="6"/>
      <c r="BVM36" s="6"/>
      <c r="BVN36" s="6"/>
      <c r="BVO36" s="6"/>
      <c r="BVP36" s="6"/>
      <c r="BVQ36" s="6"/>
      <c r="BVR36" s="6"/>
      <c r="BVS36" s="6"/>
      <c r="BVT36" s="6"/>
      <c r="BVU36" s="6"/>
      <c r="BVV36" s="6"/>
      <c r="BVW36" s="6"/>
      <c r="BVX36" s="6"/>
      <c r="BVY36" s="6"/>
      <c r="BVZ36" s="6"/>
      <c r="BWA36" s="6"/>
      <c r="BWB36" s="6"/>
      <c r="BWC36" s="6"/>
      <c r="BWD36" s="6"/>
      <c r="BWE36" s="6"/>
      <c r="BWF36" s="6"/>
      <c r="BWG36" s="6"/>
      <c r="BWH36" s="6"/>
      <c r="BWI36" s="6"/>
      <c r="BWJ36" s="6"/>
      <c r="BWK36" s="6"/>
      <c r="BWL36" s="6"/>
      <c r="BWM36" s="6"/>
      <c r="BWN36" s="6"/>
      <c r="BWO36" s="6"/>
      <c r="BWP36" s="6"/>
      <c r="BWQ36" s="6"/>
      <c r="BWR36" s="6"/>
      <c r="BWS36" s="6"/>
      <c r="BWT36" s="6"/>
      <c r="BWU36" s="6"/>
      <c r="BWV36" s="6"/>
      <c r="BWW36" s="6"/>
      <c r="BWX36" s="6"/>
      <c r="BWY36" s="6"/>
      <c r="BWZ36" s="6"/>
      <c r="BXA36" s="6"/>
      <c r="BXB36" s="6"/>
      <c r="BXC36" s="6"/>
      <c r="BXD36" s="6"/>
      <c r="BXE36" s="6"/>
      <c r="BXF36" s="6"/>
      <c r="BXG36" s="6"/>
      <c r="BXH36" s="6"/>
      <c r="BXI36" s="6"/>
      <c r="BXJ36" s="6"/>
      <c r="BXK36" s="6"/>
      <c r="BXL36" s="6"/>
      <c r="BXM36" s="6"/>
      <c r="BXN36" s="6"/>
      <c r="BXO36" s="6"/>
      <c r="BXP36" s="6"/>
      <c r="BXQ36" s="6"/>
      <c r="BXR36" s="6"/>
      <c r="BXS36" s="6"/>
      <c r="BXT36" s="6"/>
      <c r="BXU36" s="6"/>
      <c r="BXV36" s="6"/>
      <c r="BXW36" s="6"/>
      <c r="BXX36" s="6"/>
      <c r="BXY36" s="6"/>
      <c r="BXZ36" s="6"/>
      <c r="BYA36" s="6"/>
      <c r="BYB36" s="6"/>
      <c r="BYC36" s="6"/>
      <c r="BYD36" s="6"/>
      <c r="BYE36" s="6"/>
      <c r="BYF36" s="6"/>
      <c r="BYG36" s="6"/>
      <c r="BYH36" s="6"/>
      <c r="BYI36" s="6"/>
      <c r="BYJ36" s="6"/>
      <c r="BYK36" s="6"/>
      <c r="BYL36" s="6"/>
      <c r="BYM36" s="6"/>
      <c r="BYN36" s="6"/>
      <c r="BYO36" s="6"/>
      <c r="BYP36" s="6"/>
      <c r="BYQ36" s="6"/>
      <c r="BYR36" s="6"/>
      <c r="BYS36" s="6"/>
      <c r="BYT36" s="6"/>
      <c r="BYU36" s="6"/>
      <c r="BYV36" s="6"/>
      <c r="BYW36" s="6"/>
      <c r="BYX36" s="6"/>
      <c r="BYY36" s="6"/>
      <c r="BYZ36" s="6"/>
      <c r="BZA36" s="6"/>
      <c r="BZB36" s="6"/>
      <c r="BZC36" s="6"/>
      <c r="BZD36" s="6"/>
      <c r="BZE36" s="6"/>
      <c r="BZF36" s="6"/>
      <c r="BZG36" s="6"/>
      <c r="BZH36" s="6"/>
      <c r="BZI36" s="6"/>
      <c r="BZJ36" s="6"/>
      <c r="BZK36" s="6"/>
      <c r="BZL36" s="6"/>
      <c r="BZM36" s="6"/>
      <c r="BZN36" s="6"/>
      <c r="BZO36" s="6"/>
      <c r="BZP36" s="6"/>
      <c r="BZQ36" s="6"/>
      <c r="BZR36" s="6"/>
      <c r="BZS36" s="6"/>
      <c r="BZT36" s="6"/>
      <c r="BZU36" s="6"/>
      <c r="BZV36" s="6"/>
      <c r="BZW36" s="6"/>
      <c r="BZX36" s="6"/>
      <c r="BZY36" s="6"/>
      <c r="BZZ36" s="6"/>
      <c r="CAA36" s="6"/>
      <c r="CAB36" s="6"/>
      <c r="CAC36" s="6"/>
      <c r="CAD36" s="6"/>
      <c r="CAE36" s="6"/>
      <c r="CAF36" s="6"/>
      <c r="CAG36" s="6"/>
      <c r="CAH36" s="6"/>
      <c r="CAI36" s="6"/>
      <c r="CAJ36" s="6"/>
      <c r="CAK36" s="6"/>
      <c r="CAL36" s="6"/>
      <c r="CAM36" s="6"/>
      <c r="CAN36" s="6"/>
      <c r="CAO36" s="6"/>
      <c r="CAP36" s="6"/>
      <c r="CAQ36" s="6"/>
      <c r="CAR36" s="6"/>
      <c r="CAS36" s="6"/>
      <c r="CAT36" s="6"/>
      <c r="CAU36" s="6"/>
      <c r="CAV36" s="6"/>
      <c r="CAW36" s="6"/>
      <c r="CAX36" s="6"/>
      <c r="CAY36" s="6"/>
      <c r="CAZ36" s="6"/>
      <c r="CBA36" s="6"/>
      <c r="CBB36" s="6"/>
      <c r="CBC36" s="6"/>
      <c r="CBD36" s="6"/>
      <c r="CBE36" s="6"/>
      <c r="CBF36" s="6"/>
      <c r="CBG36" s="6"/>
      <c r="CBH36" s="6"/>
      <c r="CBI36" s="6"/>
      <c r="CBJ36" s="6"/>
      <c r="CBK36" s="6"/>
      <c r="CBL36" s="6"/>
      <c r="CBM36" s="6"/>
      <c r="CBN36" s="6"/>
      <c r="CBO36" s="6"/>
      <c r="CBP36" s="6"/>
      <c r="CBQ36" s="6"/>
      <c r="CBR36" s="6"/>
      <c r="CBS36" s="6"/>
      <c r="CBT36" s="6"/>
      <c r="CBU36" s="6"/>
      <c r="CBV36" s="6"/>
      <c r="CBW36" s="6"/>
      <c r="CBX36" s="6"/>
      <c r="CBY36" s="6"/>
      <c r="CBZ36" s="6"/>
      <c r="CCA36" s="6"/>
      <c r="CCB36" s="6"/>
      <c r="CCC36" s="6"/>
      <c r="CCD36" s="6"/>
      <c r="CCE36" s="6"/>
      <c r="CCF36" s="6"/>
      <c r="CCG36" s="6"/>
      <c r="CCH36" s="6"/>
      <c r="CCI36" s="6"/>
      <c r="CCJ36" s="6"/>
      <c r="CCK36" s="6"/>
      <c r="CCL36" s="6"/>
      <c r="CCM36" s="6"/>
      <c r="CCN36" s="6"/>
      <c r="CCO36" s="6"/>
      <c r="CCP36" s="6"/>
      <c r="CCQ36" s="6"/>
      <c r="CCR36" s="6"/>
      <c r="CCS36" s="6"/>
      <c r="CCT36" s="6"/>
      <c r="CCU36" s="6"/>
      <c r="CCV36" s="6"/>
      <c r="CCW36" s="6"/>
      <c r="CCX36" s="6"/>
      <c r="CCY36" s="6"/>
      <c r="CCZ36" s="6"/>
      <c r="CDA36" s="6"/>
      <c r="CDB36" s="6"/>
      <c r="CDC36" s="6"/>
      <c r="CDD36" s="6"/>
      <c r="CDE36" s="6"/>
      <c r="CDF36" s="6"/>
      <c r="CDG36" s="6"/>
      <c r="CDH36" s="6"/>
      <c r="CDI36" s="6"/>
      <c r="CDJ36" s="6"/>
      <c r="CDK36" s="6"/>
      <c r="CDL36" s="6"/>
      <c r="CDM36" s="6"/>
      <c r="CDN36" s="6"/>
      <c r="CDO36" s="6"/>
      <c r="CDP36" s="6"/>
      <c r="CDQ36" s="6"/>
      <c r="CDR36" s="6"/>
      <c r="CDS36" s="6"/>
      <c r="CDT36" s="6"/>
      <c r="CDU36" s="6"/>
      <c r="CDV36" s="6"/>
      <c r="CDW36" s="6"/>
      <c r="CDX36" s="6"/>
      <c r="CDY36" s="6"/>
      <c r="CDZ36" s="6"/>
      <c r="CEA36" s="6"/>
      <c r="CEB36" s="6"/>
      <c r="CEC36" s="6"/>
      <c r="CED36" s="6"/>
      <c r="CEE36" s="6"/>
      <c r="CEF36" s="6"/>
      <c r="CEG36" s="6"/>
      <c r="CEH36" s="6"/>
      <c r="CEI36" s="6"/>
      <c r="CEJ36" s="6"/>
      <c r="CEK36" s="6"/>
      <c r="CEL36" s="6"/>
      <c r="CEM36" s="6"/>
      <c r="CEN36" s="6"/>
      <c r="CEO36" s="6"/>
      <c r="CEP36" s="6"/>
      <c r="CEQ36" s="6"/>
      <c r="CER36" s="6"/>
      <c r="CES36" s="6"/>
      <c r="CET36" s="6"/>
      <c r="CEU36" s="6"/>
      <c r="CEV36" s="6"/>
      <c r="CEW36" s="6"/>
      <c r="CEX36" s="6"/>
      <c r="CEY36" s="6"/>
      <c r="CEZ36" s="6"/>
      <c r="CFA36" s="6"/>
      <c r="CFB36" s="6"/>
      <c r="CFC36" s="6"/>
      <c r="CFD36" s="6"/>
      <c r="CFE36" s="6"/>
      <c r="CFF36" s="6"/>
      <c r="CFG36" s="6"/>
      <c r="CFH36" s="6"/>
      <c r="CFI36" s="6"/>
      <c r="CFJ36" s="6"/>
      <c r="CFK36" s="6"/>
      <c r="CFL36" s="6"/>
      <c r="CFM36" s="6"/>
      <c r="CFN36" s="6"/>
      <c r="CFO36" s="6"/>
      <c r="CFP36" s="6"/>
      <c r="CFQ36" s="6"/>
      <c r="CFR36" s="6"/>
      <c r="CFS36" s="6"/>
      <c r="CFT36" s="6"/>
      <c r="CFU36" s="6"/>
      <c r="CFV36" s="6"/>
      <c r="CFW36" s="6"/>
      <c r="CFX36" s="6"/>
      <c r="CFY36" s="6"/>
      <c r="CFZ36" s="6"/>
      <c r="CGA36" s="6"/>
      <c r="CGB36" s="6"/>
      <c r="CGC36" s="6"/>
      <c r="CGD36" s="6"/>
      <c r="CGE36" s="6"/>
      <c r="CGF36" s="6"/>
      <c r="CGG36" s="6"/>
      <c r="CGH36" s="6"/>
      <c r="CGI36" s="6"/>
      <c r="CGJ36" s="6"/>
      <c r="CGK36" s="6"/>
      <c r="CGL36" s="6"/>
      <c r="CGM36" s="6"/>
      <c r="CGN36" s="6"/>
      <c r="CGO36" s="6"/>
      <c r="CGP36" s="6"/>
      <c r="CGQ36" s="6"/>
      <c r="CGR36" s="6"/>
      <c r="CGS36" s="6"/>
      <c r="CGT36" s="6"/>
      <c r="CGU36" s="6"/>
      <c r="CGV36" s="6"/>
      <c r="CGW36" s="6"/>
      <c r="CGX36" s="6"/>
      <c r="CGY36" s="6"/>
      <c r="CGZ36" s="6"/>
      <c r="CHA36" s="6"/>
      <c r="CHB36" s="6"/>
      <c r="CHC36" s="6"/>
      <c r="CHD36" s="6"/>
      <c r="CHE36" s="6"/>
      <c r="CHF36" s="6"/>
      <c r="CHG36" s="6"/>
      <c r="CHH36" s="6"/>
      <c r="CHI36" s="6"/>
      <c r="CHJ36" s="6"/>
      <c r="CHK36" s="6"/>
      <c r="CHL36" s="6"/>
      <c r="CHM36" s="6"/>
      <c r="CHN36" s="6"/>
      <c r="CHO36" s="6"/>
      <c r="CHP36" s="6"/>
      <c r="CHQ36" s="6"/>
      <c r="CHR36" s="6"/>
      <c r="CHS36" s="6"/>
      <c r="CHT36" s="6"/>
      <c r="CHU36" s="6"/>
      <c r="CHV36" s="6"/>
      <c r="CHW36" s="6"/>
      <c r="CHX36" s="6"/>
      <c r="CHY36" s="6"/>
      <c r="CHZ36" s="6"/>
      <c r="CIA36" s="6"/>
      <c r="CIB36" s="6"/>
      <c r="CIC36" s="6"/>
      <c r="CID36" s="6"/>
      <c r="CIE36" s="6"/>
      <c r="CIF36" s="6"/>
      <c r="CIG36" s="6"/>
      <c r="CIH36" s="6"/>
      <c r="CII36" s="6"/>
      <c r="CIJ36" s="6"/>
      <c r="CIK36" s="6"/>
      <c r="CIL36" s="6"/>
      <c r="CIM36" s="6"/>
      <c r="CIN36" s="6"/>
      <c r="CIO36" s="6"/>
      <c r="CIP36" s="6"/>
      <c r="CIQ36" s="6"/>
      <c r="CIR36" s="6"/>
      <c r="CIS36" s="6"/>
      <c r="CIT36" s="6"/>
      <c r="CIU36" s="6"/>
      <c r="CIV36" s="6"/>
      <c r="CIW36" s="6"/>
      <c r="CIX36" s="6"/>
      <c r="CIY36" s="6"/>
      <c r="CIZ36" s="6"/>
      <c r="CJA36" s="6"/>
      <c r="CJB36" s="6"/>
      <c r="CJC36" s="6"/>
      <c r="CJD36" s="6"/>
      <c r="CJE36" s="6"/>
      <c r="CJF36" s="6"/>
      <c r="CJG36" s="6"/>
      <c r="CJH36" s="6"/>
      <c r="CJI36" s="6"/>
      <c r="CJJ36" s="6"/>
      <c r="CJK36" s="6"/>
      <c r="CJL36" s="6"/>
      <c r="CJM36" s="6"/>
      <c r="CJN36" s="6"/>
      <c r="CJO36" s="6"/>
      <c r="CJP36" s="6"/>
      <c r="CJQ36" s="6"/>
      <c r="CJR36" s="6"/>
      <c r="CJS36" s="6"/>
      <c r="CJT36" s="6"/>
      <c r="CJU36" s="6"/>
      <c r="CJV36" s="6"/>
      <c r="CJW36" s="6"/>
      <c r="CJX36" s="6"/>
      <c r="CJY36" s="6"/>
      <c r="CJZ36" s="6"/>
      <c r="CKA36" s="6"/>
      <c r="CKB36" s="6"/>
      <c r="CKC36" s="6"/>
      <c r="CKD36" s="6"/>
      <c r="CKE36" s="6"/>
      <c r="CKF36" s="6"/>
      <c r="CKG36" s="6"/>
      <c r="CKH36" s="6"/>
      <c r="CKI36" s="6"/>
      <c r="CKJ36" s="6"/>
      <c r="CKK36" s="6"/>
      <c r="CKL36" s="6"/>
      <c r="CKM36" s="6"/>
      <c r="CKN36" s="6"/>
      <c r="CKO36" s="6"/>
      <c r="CKP36" s="6"/>
      <c r="CKQ36" s="6"/>
      <c r="CKR36" s="6"/>
      <c r="CKS36" s="6"/>
      <c r="CKT36" s="6"/>
      <c r="CKU36" s="6"/>
      <c r="CKV36" s="6"/>
      <c r="CKW36" s="6"/>
      <c r="CKX36" s="6"/>
      <c r="CKY36" s="6"/>
      <c r="CKZ36" s="6"/>
      <c r="CLA36" s="6"/>
      <c r="CLB36" s="6"/>
      <c r="CLC36" s="6"/>
      <c r="CLD36" s="6"/>
      <c r="CLE36" s="6"/>
      <c r="CLF36" s="6"/>
      <c r="CLG36" s="6"/>
      <c r="CLH36" s="6"/>
      <c r="CLI36" s="6"/>
      <c r="CLJ36" s="6"/>
      <c r="CLK36" s="6"/>
      <c r="CLL36" s="6"/>
      <c r="CLM36" s="6"/>
      <c r="CLN36" s="6"/>
      <c r="CLO36" s="6"/>
      <c r="CLP36" s="6"/>
      <c r="CLQ36" s="6"/>
      <c r="CLR36" s="6"/>
      <c r="CLS36" s="6"/>
      <c r="CLT36" s="6"/>
      <c r="CLU36" s="6"/>
      <c r="CLV36" s="6"/>
      <c r="CLW36" s="6"/>
      <c r="CLX36" s="6"/>
      <c r="CLY36" s="6"/>
      <c r="CLZ36" s="6"/>
      <c r="CMA36" s="6"/>
      <c r="CMB36" s="6"/>
      <c r="CMC36" s="6"/>
      <c r="CMD36" s="6"/>
      <c r="CME36" s="6"/>
      <c r="CMF36" s="6"/>
      <c r="CMG36" s="6"/>
      <c r="CMH36" s="6"/>
      <c r="CMI36" s="6"/>
      <c r="CMJ36" s="6"/>
      <c r="CMK36" s="6"/>
      <c r="CML36" s="6"/>
      <c r="CMM36" s="6"/>
      <c r="CMN36" s="6"/>
      <c r="CMO36" s="6"/>
      <c r="CMP36" s="6"/>
      <c r="CMQ36" s="6"/>
      <c r="CMR36" s="6"/>
      <c r="CMS36" s="6"/>
      <c r="CMT36" s="6"/>
      <c r="CMU36" s="6"/>
      <c r="CMV36" s="6"/>
      <c r="CMW36" s="6"/>
      <c r="CMX36" s="6"/>
      <c r="CMY36" s="6"/>
      <c r="CMZ36" s="6"/>
      <c r="CNA36" s="6"/>
      <c r="CNB36" s="6"/>
      <c r="CNC36" s="6"/>
      <c r="CND36" s="6"/>
      <c r="CNE36" s="6"/>
      <c r="CNF36" s="6"/>
      <c r="CNG36" s="6"/>
      <c r="CNH36" s="6"/>
      <c r="CNI36" s="6"/>
      <c r="CNJ36" s="6"/>
      <c r="CNK36" s="6"/>
      <c r="CNL36" s="6"/>
      <c r="CNM36" s="6"/>
      <c r="CNN36" s="6"/>
      <c r="CNO36" s="6"/>
      <c r="CNP36" s="6"/>
      <c r="CNQ36" s="6"/>
      <c r="CNR36" s="6"/>
      <c r="CNS36" s="6"/>
      <c r="CNT36" s="6"/>
      <c r="CNU36" s="6"/>
      <c r="CNV36" s="6"/>
      <c r="CNW36" s="6"/>
      <c r="CNX36" s="6"/>
      <c r="CNY36" s="6"/>
      <c r="CNZ36" s="6"/>
      <c r="COA36" s="6"/>
      <c r="COB36" s="6"/>
      <c r="COC36" s="6"/>
      <c r="COD36" s="6"/>
      <c r="COE36" s="6"/>
      <c r="COF36" s="6"/>
      <c r="COG36" s="6"/>
      <c r="COH36" s="6"/>
      <c r="COI36" s="6"/>
      <c r="COJ36" s="6"/>
      <c r="COK36" s="6"/>
      <c r="COL36" s="6"/>
      <c r="COM36" s="6"/>
      <c r="CON36" s="6"/>
      <c r="COO36" s="6"/>
      <c r="COP36" s="6"/>
      <c r="COQ36" s="6"/>
      <c r="COR36" s="6"/>
      <c r="COS36" s="6"/>
      <c r="COT36" s="6"/>
      <c r="COU36" s="6"/>
      <c r="COV36" s="6"/>
      <c r="COW36" s="6"/>
      <c r="COX36" s="6"/>
      <c r="COY36" s="6"/>
      <c r="COZ36" s="6"/>
      <c r="CPA36" s="6"/>
      <c r="CPB36" s="6"/>
      <c r="CPC36" s="6"/>
      <c r="CPD36" s="6"/>
      <c r="CPE36" s="6"/>
      <c r="CPF36" s="6"/>
      <c r="CPG36" s="6"/>
      <c r="CPH36" s="6"/>
      <c r="CPI36" s="6"/>
      <c r="CPJ36" s="6"/>
      <c r="CPK36" s="6"/>
      <c r="CPL36" s="6"/>
      <c r="CPM36" s="6"/>
      <c r="CPN36" s="6"/>
      <c r="CPO36" s="6"/>
      <c r="CPP36" s="6"/>
      <c r="CPQ36" s="6"/>
      <c r="CPR36" s="6"/>
      <c r="CPS36" s="6"/>
      <c r="CPT36" s="6"/>
      <c r="CPU36" s="6"/>
      <c r="CPV36" s="6"/>
      <c r="CPW36" s="6"/>
      <c r="CPX36" s="6"/>
      <c r="CPY36" s="6"/>
      <c r="CPZ36" s="6"/>
      <c r="CQA36" s="6"/>
      <c r="CQB36" s="6"/>
      <c r="CQC36" s="6"/>
      <c r="CQD36" s="6"/>
      <c r="CQE36" s="6"/>
      <c r="CQF36" s="6"/>
      <c r="CQG36" s="6"/>
      <c r="CQH36" s="6"/>
      <c r="CQI36" s="6"/>
      <c r="CQJ36" s="6"/>
      <c r="CQK36" s="6"/>
      <c r="CQL36" s="6"/>
      <c r="CQM36" s="6"/>
      <c r="CQN36" s="6"/>
      <c r="CQO36" s="6"/>
      <c r="CQP36" s="6"/>
      <c r="CQQ36" s="6"/>
      <c r="CQR36" s="6"/>
      <c r="CQS36" s="6"/>
      <c r="CQT36" s="6"/>
      <c r="CQU36" s="6"/>
      <c r="CQV36" s="6"/>
      <c r="CQW36" s="6"/>
      <c r="CQX36" s="6"/>
      <c r="CQY36" s="6"/>
      <c r="CQZ36" s="6"/>
      <c r="CRA36" s="6"/>
      <c r="CRB36" s="6"/>
      <c r="CRC36" s="6"/>
      <c r="CRD36" s="6"/>
      <c r="CRE36" s="6"/>
      <c r="CRF36" s="6"/>
      <c r="CRG36" s="6"/>
      <c r="CRH36" s="6"/>
      <c r="CRI36" s="6"/>
      <c r="CRJ36" s="6"/>
      <c r="CRK36" s="6"/>
      <c r="CRL36" s="6"/>
      <c r="CRM36" s="6"/>
      <c r="CRN36" s="6"/>
      <c r="CRO36" s="6"/>
      <c r="CRP36" s="6"/>
      <c r="CRQ36" s="6"/>
      <c r="CRR36" s="6"/>
      <c r="CRS36" s="6"/>
      <c r="CRT36" s="6"/>
      <c r="CRU36" s="6"/>
      <c r="CRV36" s="6"/>
      <c r="CRW36" s="6"/>
      <c r="CRX36" s="6"/>
      <c r="CRY36" s="6"/>
      <c r="CRZ36" s="6"/>
      <c r="CSA36" s="6"/>
      <c r="CSB36" s="6"/>
      <c r="CSC36" s="6"/>
      <c r="CSD36" s="6"/>
      <c r="CSE36" s="6"/>
      <c r="CSF36" s="6"/>
      <c r="CSG36" s="6"/>
      <c r="CSH36" s="6"/>
      <c r="CSI36" s="6"/>
      <c r="CSJ36" s="6"/>
      <c r="CSK36" s="6"/>
      <c r="CSL36" s="6"/>
      <c r="CSM36" s="6"/>
      <c r="CSN36" s="6"/>
      <c r="CSO36" s="6"/>
      <c r="CSP36" s="6"/>
      <c r="CSQ36" s="6"/>
      <c r="CSR36" s="6"/>
      <c r="CSS36" s="6"/>
      <c r="CST36" s="6"/>
      <c r="CSU36" s="6"/>
      <c r="CSV36" s="6"/>
      <c r="CSW36" s="6"/>
      <c r="CSX36" s="6"/>
      <c r="CSY36" s="6"/>
      <c r="CSZ36" s="6"/>
      <c r="CTA36" s="6"/>
      <c r="CTB36" s="6"/>
      <c r="CTC36" s="6"/>
      <c r="CTD36" s="6"/>
      <c r="CTE36" s="6"/>
      <c r="CTF36" s="6"/>
      <c r="CTG36" s="6"/>
      <c r="CTH36" s="6"/>
      <c r="CTI36" s="6"/>
      <c r="CTJ36" s="6"/>
      <c r="CTK36" s="6"/>
      <c r="CTL36" s="6"/>
      <c r="CTM36" s="6"/>
      <c r="CTN36" s="6"/>
      <c r="CTO36" s="6"/>
      <c r="CTP36" s="6"/>
      <c r="CTQ36" s="6"/>
      <c r="CTR36" s="6"/>
      <c r="CTS36" s="6"/>
      <c r="CTT36" s="6"/>
      <c r="CTU36" s="6"/>
      <c r="CTV36" s="6"/>
      <c r="CTW36" s="6"/>
      <c r="CTX36" s="6"/>
      <c r="CTY36" s="6"/>
      <c r="CTZ36" s="6"/>
      <c r="CUA36" s="6"/>
      <c r="CUB36" s="6"/>
      <c r="CUC36" s="6"/>
      <c r="CUD36" s="6"/>
      <c r="CUE36" s="6"/>
      <c r="CUF36" s="6"/>
      <c r="CUG36" s="6"/>
      <c r="CUH36" s="6"/>
      <c r="CUI36" s="6"/>
      <c r="CUJ36" s="6"/>
      <c r="CUK36" s="6"/>
      <c r="CUL36" s="6"/>
      <c r="CUM36" s="6"/>
      <c r="CUN36" s="6"/>
      <c r="CUO36" s="6"/>
      <c r="CUP36" s="6"/>
      <c r="CUQ36" s="6"/>
      <c r="CUR36" s="6"/>
      <c r="CUS36" s="6"/>
      <c r="CUT36" s="6"/>
      <c r="CUU36" s="6"/>
      <c r="CUV36" s="6"/>
      <c r="CUW36" s="6"/>
      <c r="CUX36" s="6"/>
      <c r="CUY36" s="6"/>
      <c r="CUZ36" s="6"/>
      <c r="CVA36" s="6"/>
      <c r="CVB36" s="6"/>
      <c r="CVC36" s="6"/>
      <c r="CVD36" s="6"/>
      <c r="CVE36" s="6"/>
      <c r="CVF36" s="6"/>
      <c r="CVG36" s="6"/>
      <c r="CVH36" s="6"/>
      <c r="CVI36" s="6"/>
      <c r="CVJ36" s="6"/>
      <c r="CVK36" s="6"/>
      <c r="CVL36" s="6"/>
      <c r="CVM36" s="6"/>
      <c r="CVN36" s="6"/>
      <c r="CVO36" s="6"/>
      <c r="CVP36" s="6"/>
      <c r="CVQ36" s="6"/>
      <c r="CVR36" s="6"/>
      <c r="CVS36" s="6"/>
      <c r="CVT36" s="6"/>
      <c r="CVU36" s="6"/>
      <c r="CVV36" s="6"/>
      <c r="CVW36" s="6"/>
      <c r="CVX36" s="6"/>
      <c r="CVY36" s="6"/>
      <c r="CVZ36" s="6"/>
      <c r="CWA36" s="6"/>
      <c r="CWB36" s="6"/>
      <c r="CWC36" s="6"/>
      <c r="CWD36" s="6"/>
      <c r="CWE36" s="6"/>
      <c r="CWF36" s="6"/>
      <c r="CWG36" s="6"/>
      <c r="CWH36" s="6"/>
      <c r="CWI36" s="6"/>
      <c r="CWJ36" s="6"/>
      <c r="CWK36" s="6"/>
      <c r="CWL36" s="6"/>
      <c r="CWM36" s="6"/>
      <c r="CWN36" s="6"/>
      <c r="CWO36" s="6"/>
      <c r="CWP36" s="6"/>
      <c r="CWQ36" s="6"/>
      <c r="CWR36" s="6"/>
      <c r="CWS36" s="6"/>
      <c r="CWT36" s="6"/>
      <c r="CWU36" s="6"/>
      <c r="CWV36" s="6"/>
      <c r="CWW36" s="6"/>
      <c r="CWX36" s="6"/>
      <c r="CWY36" s="6"/>
      <c r="CWZ36" s="6"/>
      <c r="CXA36" s="6"/>
      <c r="CXB36" s="6"/>
      <c r="CXC36" s="6"/>
      <c r="CXD36" s="6"/>
      <c r="CXE36" s="6"/>
      <c r="CXF36" s="6"/>
      <c r="CXG36" s="6"/>
      <c r="CXH36" s="6"/>
      <c r="CXI36" s="6"/>
      <c r="CXJ36" s="6"/>
      <c r="CXK36" s="6"/>
      <c r="CXL36" s="6"/>
      <c r="CXM36" s="6"/>
      <c r="CXN36" s="6"/>
      <c r="CXO36" s="6"/>
      <c r="CXP36" s="6"/>
      <c r="CXQ36" s="6"/>
      <c r="CXR36" s="6"/>
      <c r="CXS36" s="6"/>
      <c r="CXT36" s="6"/>
      <c r="CXU36" s="6"/>
      <c r="CXV36" s="6"/>
      <c r="CXW36" s="6"/>
      <c r="CXX36" s="6"/>
      <c r="CXY36" s="6"/>
      <c r="CXZ36" s="6"/>
      <c r="CYA36" s="6"/>
      <c r="CYB36" s="6"/>
      <c r="CYC36" s="6"/>
      <c r="CYD36" s="6"/>
      <c r="CYE36" s="6"/>
      <c r="CYF36" s="6"/>
      <c r="CYG36" s="6"/>
      <c r="CYH36" s="6"/>
      <c r="CYI36" s="6"/>
      <c r="CYJ36" s="6"/>
      <c r="CYK36" s="6"/>
      <c r="CYL36" s="6"/>
      <c r="CYM36" s="6"/>
      <c r="CYN36" s="6"/>
      <c r="CYO36" s="6"/>
      <c r="CYP36" s="6"/>
      <c r="CYQ36" s="6"/>
      <c r="CYR36" s="6"/>
      <c r="CYS36" s="6"/>
      <c r="CYT36" s="6"/>
      <c r="CYU36" s="6"/>
      <c r="CYV36" s="6"/>
      <c r="CYW36" s="6"/>
      <c r="CYX36" s="6"/>
      <c r="CYY36" s="6"/>
      <c r="CYZ36" s="6"/>
      <c r="CZA36" s="6"/>
      <c r="CZB36" s="6"/>
      <c r="CZC36" s="6"/>
      <c r="CZD36" s="6"/>
      <c r="CZE36" s="6"/>
      <c r="CZF36" s="6"/>
      <c r="CZG36" s="6"/>
      <c r="CZH36" s="6"/>
      <c r="CZI36" s="6"/>
      <c r="CZJ36" s="6"/>
      <c r="CZK36" s="6"/>
      <c r="CZL36" s="6"/>
      <c r="CZM36" s="6"/>
      <c r="CZN36" s="6"/>
      <c r="CZO36" s="6"/>
      <c r="CZP36" s="6"/>
      <c r="CZQ36" s="6"/>
      <c r="CZR36" s="6"/>
      <c r="CZS36" s="6"/>
      <c r="CZT36" s="6"/>
      <c r="CZU36" s="6"/>
      <c r="CZV36" s="6"/>
      <c r="CZW36" s="6"/>
      <c r="CZX36" s="6"/>
      <c r="CZY36" s="6"/>
      <c r="CZZ36" s="6"/>
      <c r="DAA36" s="6"/>
      <c r="DAB36" s="6"/>
      <c r="DAC36" s="6"/>
      <c r="DAD36" s="6"/>
      <c r="DAE36" s="6"/>
      <c r="DAF36" s="6"/>
      <c r="DAG36" s="6"/>
      <c r="DAH36" s="6"/>
      <c r="DAI36" s="6"/>
      <c r="DAJ36" s="6"/>
      <c r="DAK36" s="6"/>
      <c r="DAL36" s="6"/>
      <c r="DAM36" s="6"/>
      <c r="DAN36" s="6"/>
      <c r="DAO36" s="6"/>
      <c r="DAP36" s="6"/>
      <c r="DAQ36" s="6"/>
      <c r="DAR36" s="6"/>
      <c r="DAS36" s="6"/>
      <c r="DAT36" s="6"/>
      <c r="DAU36" s="6"/>
      <c r="DAV36" s="6"/>
      <c r="DAW36" s="6"/>
      <c r="DAX36" s="6"/>
      <c r="DAY36" s="6"/>
      <c r="DAZ36" s="6"/>
      <c r="DBA36" s="6"/>
      <c r="DBB36" s="6"/>
      <c r="DBC36" s="6"/>
      <c r="DBD36" s="6"/>
      <c r="DBE36" s="6"/>
      <c r="DBF36" s="6"/>
      <c r="DBG36" s="6"/>
      <c r="DBH36" s="6"/>
      <c r="DBI36" s="6"/>
      <c r="DBJ36" s="6"/>
      <c r="DBK36" s="6"/>
      <c r="DBL36" s="6"/>
      <c r="DBM36" s="6"/>
      <c r="DBN36" s="6"/>
      <c r="DBO36" s="6"/>
      <c r="DBP36" s="6"/>
      <c r="DBQ36" s="6"/>
      <c r="DBR36" s="6"/>
      <c r="DBS36" s="6"/>
      <c r="DBT36" s="6"/>
      <c r="DBU36" s="6"/>
      <c r="DBV36" s="6"/>
      <c r="DBW36" s="6"/>
      <c r="DBX36" s="6"/>
      <c r="DBY36" s="6"/>
      <c r="DBZ36" s="6"/>
      <c r="DCA36" s="6"/>
      <c r="DCB36" s="6"/>
      <c r="DCC36" s="6"/>
      <c r="DCD36" s="6"/>
      <c r="DCE36" s="6"/>
      <c r="DCF36" s="6"/>
      <c r="DCG36" s="6"/>
      <c r="DCH36" s="6"/>
      <c r="DCI36" s="6"/>
      <c r="DCJ36" s="6"/>
      <c r="DCK36" s="6"/>
      <c r="DCL36" s="6"/>
      <c r="DCM36" s="6"/>
      <c r="DCN36" s="6"/>
      <c r="DCO36" s="6"/>
      <c r="DCP36" s="6"/>
      <c r="DCQ36" s="6"/>
      <c r="DCR36" s="6"/>
      <c r="DCS36" s="6"/>
      <c r="DCT36" s="6"/>
      <c r="DCU36" s="6"/>
      <c r="DCV36" s="6"/>
      <c r="DCW36" s="6"/>
      <c r="DCX36" s="6"/>
      <c r="DCY36" s="6"/>
      <c r="DCZ36" s="6"/>
      <c r="DDA36" s="6"/>
      <c r="DDB36" s="6"/>
      <c r="DDC36" s="6"/>
      <c r="DDD36" s="6"/>
      <c r="DDE36" s="6"/>
      <c r="DDF36" s="6"/>
      <c r="DDG36" s="6"/>
      <c r="DDH36" s="6"/>
      <c r="DDI36" s="6"/>
      <c r="DDJ36" s="6"/>
      <c r="DDK36" s="6"/>
      <c r="DDL36" s="6"/>
      <c r="DDM36" s="6"/>
      <c r="DDN36" s="6"/>
      <c r="DDO36" s="6"/>
      <c r="DDP36" s="6"/>
      <c r="DDQ36" s="6"/>
      <c r="DDR36" s="6"/>
      <c r="DDS36" s="6"/>
      <c r="DDT36" s="6"/>
      <c r="DDU36" s="6"/>
      <c r="DDV36" s="6"/>
      <c r="DDW36" s="6"/>
      <c r="DDX36" s="6"/>
      <c r="DDY36" s="6"/>
      <c r="DDZ36" s="6"/>
      <c r="DEA36" s="6"/>
      <c r="DEB36" s="6"/>
      <c r="DEC36" s="6"/>
      <c r="DED36" s="6"/>
      <c r="DEE36" s="6"/>
      <c r="DEF36" s="6"/>
      <c r="DEG36" s="6"/>
      <c r="DEH36" s="6"/>
      <c r="DEI36" s="6"/>
      <c r="DEJ36" s="6"/>
      <c r="DEK36" s="6"/>
      <c r="DEL36" s="6"/>
      <c r="DEM36" s="6"/>
      <c r="DEN36" s="6"/>
      <c r="DEO36" s="6"/>
      <c r="DEP36" s="6"/>
      <c r="DEQ36" s="6"/>
      <c r="DER36" s="6"/>
      <c r="DES36" s="6"/>
      <c r="DET36" s="6"/>
      <c r="DEU36" s="6"/>
      <c r="DEV36" s="6"/>
      <c r="DEW36" s="6"/>
      <c r="DEX36" s="6"/>
      <c r="DEY36" s="6"/>
      <c r="DEZ36" s="6"/>
      <c r="DFA36" s="6"/>
      <c r="DFB36" s="6"/>
      <c r="DFC36" s="6"/>
      <c r="DFD36" s="6"/>
      <c r="DFE36" s="6"/>
      <c r="DFF36" s="6"/>
      <c r="DFG36" s="6"/>
      <c r="DFH36" s="6"/>
      <c r="DFI36" s="6"/>
      <c r="DFJ36" s="6"/>
      <c r="DFK36" s="6"/>
      <c r="DFL36" s="6"/>
      <c r="DFM36" s="6"/>
      <c r="DFN36" s="6"/>
      <c r="DFO36" s="6"/>
      <c r="DFP36" s="6"/>
      <c r="DFQ36" s="6"/>
      <c r="DFR36" s="6"/>
      <c r="DFS36" s="6"/>
      <c r="DFT36" s="6"/>
      <c r="DFU36" s="6"/>
      <c r="DFV36" s="6"/>
      <c r="DFW36" s="6"/>
      <c r="DFX36" s="6"/>
      <c r="DFY36" s="6"/>
      <c r="DFZ36" s="6"/>
      <c r="DGA36" s="6"/>
      <c r="DGB36" s="6"/>
      <c r="DGC36" s="6"/>
      <c r="DGD36" s="6"/>
      <c r="DGE36" s="6"/>
      <c r="DGF36" s="6"/>
      <c r="DGG36" s="6"/>
      <c r="DGH36" s="6"/>
      <c r="DGI36" s="6"/>
      <c r="DGJ36" s="6"/>
      <c r="DGK36" s="6"/>
      <c r="DGL36" s="6"/>
      <c r="DGM36" s="6"/>
      <c r="DGN36" s="6"/>
      <c r="DGO36" s="6"/>
      <c r="DGP36" s="6"/>
      <c r="DGQ36" s="6"/>
      <c r="DGR36" s="6"/>
      <c r="DGS36" s="6"/>
      <c r="DGT36" s="6"/>
      <c r="DGU36" s="6"/>
      <c r="DGV36" s="6"/>
      <c r="DGW36" s="6"/>
      <c r="DGX36" s="6"/>
      <c r="DGY36" s="6"/>
      <c r="DGZ36" s="6"/>
      <c r="DHA36" s="6"/>
      <c r="DHB36" s="6"/>
      <c r="DHC36" s="6"/>
      <c r="DHD36" s="6"/>
      <c r="DHE36" s="6"/>
      <c r="DHF36" s="6"/>
      <c r="DHG36" s="6"/>
      <c r="DHH36" s="6"/>
      <c r="DHI36" s="6"/>
      <c r="DHJ36" s="6"/>
      <c r="DHK36" s="6"/>
      <c r="DHL36" s="6"/>
      <c r="DHM36" s="6"/>
      <c r="DHN36" s="6"/>
      <c r="DHO36" s="6"/>
      <c r="DHP36" s="6"/>
      <c r="DHQ36" s="6"/>
      <c r="DHR36" s="6"/>
      <c r="DHS36" s="6"/>
      <c r="DHT36" s="6"/>
      <c r="DHU36" s="6"/>
      <c r="DHV36" s="6"/>
      <c r="DHW36" s="6"/>
      <c r="DHX36" s="6"/>
      <c r="DHY36" s="6"/>
      <c r="DHZ36" s="6"/>
      <c r="DIA36" s="6"/>
      <c r="DIB36" s="6"/>
      <c r="DIC36" s="6"/>
      <c r="DID36" s="6"/>
      <c r="DIE36" s="6"/>
      <c r="DIF36" s="6"/>
      <c r="DIG36" s="6"/>
      <c r="DIH36" s="6"/>
      <c r="DII36" s="6"/>
      <c r="DIJ36" s="6"/>
      <c r="DIK36" s="6"/>
      <c r="DIL36" s="6"/>
      <c r="DIM36" s="6"/>
      <c r="DIN36" s="6"/>
      <c r="DIO36" s="6"/>
      <c r="DIP36" s="6"/>
      <c r="DIQ36" s="6"/>
      <c r="DIR36" s="6"/>
      <c r="DIS36" s="6"/>
      <c r="DIT36" s="6"/>
      <c r="DIU36" s="6"/>
      <c r="DIV36" s="6"/>
      <c r="DIW36" s="6"/>
      <c r="DIX36" s="6"/>
      <c r="DIY36" s="6"/>
      <c r="DIZ36" s="6"/>
      <c r="DJA36" s="6"/>
      <c r="DJB36" s="6"/>
      <c r="DJC36" s="6"/>
      <c r="DJD36" s="6"/>
      <c r="DJE36" s="6"/>
      <c r="DJF36" s="6"/>
      <c r="DJG36" s="6"/>
      <c r="DJH36" s="6"/>
      <c r="DJI36" s="6"/>
      <c r="DJJ36" s="6"/>
      <c r="DJK36" s="6"/>
      <c r="DJL36" s="6"/>
      <c r="DJM36" s="6"/>
      <c r="DJN36" s="6"/>
      <c r="DJO36" s="6"/>
      <c r="DJP36" s="6"/>
      <c r="DJQ36" s="6"/>
      <c r="DJR36" s="6"/>
      <c r="DJS36" s="6"/>
      <c r="DJT36" s="6"/>
      <c r="DJU36" s="6"/>
      <c r="DJV36" s="6"/>
      <c r="DJW36" s="6"/>
      <c r="DJX36" s="6"/>
      <c r="DJY36" s="6"/>
      <c r="DJZ36" s="6"/>
      <c r="DKA36" s="6"/>
      <c r="DKB36" s="6"/>
      <c r="DKC36" s="6"/>
      <c r="DKD36" s="6"/>
      <c r="DKE36" s="6"/>
      <c r="DKF36" s="6"/>
      <c r="DKG36" s="6"/>
      <c r="DKH36" s="6"/>
      <c r="DKI36" s="6"/>
      <c r="DKJ36" s="6"/>
      <c r="DKK36" s="6"/>
      <c r="DKL36" s="6"/>
      <c r="DKM36" s="6"/>
      <c r="DKN36" s="6"/>
      <c r="DKO36" s="6"/>
      <c r="DKP36" s="6"/>
      <c r="DKQ36" s="6"/>
      <c r="DKR36" s="6"/>
      <c r="DKS36" s="6"/>
      <c r="DKT36" s="6"/>
      <c r="DKU36" s="6"/>
      <c r="DKV36" s="6"/>
      <c r="DKW36" s="6"/>
      <c r="DKX36" s="6"/>
      <c r="DKY36" s="6"/>
      <c r="DKZ36" s="6"/>
      <c r="DLA36" s="6"/>
      <c r="DLB36" s="6"/>
      <c r="DLC36" s="6"/>
      <c r="DLD36" s="6"/>
      <c r="DLE36" s="6"/>
      <c r="DLF36" s="6"/>
      <c r="DLG36" s="6"/>
      <c r="DLH36" s="6"/>
      <c r="DLI36" s="6"/>
      <c r="DLJ36" s="6"/>
      <c r="DLK36" s="6"/>
      <c r="DLL36" s="6"/>
      <c r="DLM36" s="6"/>
      <c r="DLN36" s="6"/>
      <c r="DLO36" s="6"/>
      <c r="DLP36" s="6"/>
      <c r="DLQ36" s="6"/>
      <c r="DLR36" s="6"/>
      <c r="DLS36" s="6"/>
      <c r="DLT36" s="6"/>
      <c r="DLU36" s="6"/>
      <c r="DLV36" s="6"/>
      <c r="DLW36" s="6"/>
      <c r="DLX36" s="6"/>
      <c r="DLY36" s="6"/>
      <c r="DLZ36" s="6"/>
      <c r="DMA36" s="6"/>
      <c r="DMB36" s="6"/>
      <c r="DMC36" s="6"/>
      <c r="DMD36" s="6"/>
      <c r="DME36" s="6"/>
      <c r="DMF36" s="6"/>
      <c r="DMG36" s="6"/>
      <c r="DMH36" s="6"/>
      <c r="DMI36" s="6"/>
      <c r="DMJ36" s="6"/>
      <c r="DMK36" s="6"/>
      <c r="DML36" s="6"/>
      <c r="DMM36" s="6"/>
      <c r="DMN36" s="6"/>
      <c r="DMO36" s="6"/>
      <c r="DMP36" s="6"/>
      <c r="DMQ36" s="6"/>
      <c r="DMR36" s="6"/>
      <c r="DMS36" s="6"/>
      <c r="DMT36" s="6"/>
      <c r="DMU36" s="6"/>
      <c r="DMV36" s="6"/>
      <c r="DMW36" s="6"/>
      <c r="DMX36" s="6"/>
      <c r="DMY36" s="6"/>
      <c r="DMZ36" s="6"/>
      <c r="DNA36" s="6"/>
      <c r="DNB36" s="6"/>
      <c r="DNC36" s="6"/>
      <c r="DND36" s="6"/>
      <c r="DNE36" s="6"/>
      <c r="DNF36" s="6"/>
      <c r="DNG36" s="6"/>
      <c r="DNH36" s="6"/>
      <c r="DNI36" s="6"/>
      <c r="DNJ36" s="6"/>
      <c r="DNK36" s="6"/>
      <c r="DNL36" s="6"/>
      <c r="DNM36" s="6"/>
      <c r="DNN36" s="6"/>
      <c r="DNO36" s="6"/>
      <c r="DNP36" s="6"/>
      <c r="DNQ36" s="6"/>
      <c r="DNR36" s="6"/>
      <c r="DNS36" s="6"/>
      <c r="DNT36" s="6"/>
      <c r="DNU36" s="6"/>
      <c r="DNV36" s="6"/>
      <c r="DNW36" s="6"/>
      <c r="DNX36" s="6"/>
      <c r="DNY36" s="6"/>
      <c r="DNZ36" s="6"/>
      <c r="DOA36" s="6"/>
      <c r="DOB36" s="6"/>
      <c r="DOC36" s="6"/>
      <c r="DOD36" s="6"/>
      <c r="DOE36" s="6"/>
      <c r="DOF36" s="6"/>
      <c r="DOG36" s="6"/>
      <c r="DOH36" s="6"/>
      <c r="DOI36" s="6"/>
      <c r="DOJ36" s="6"/>
      <c r="DOK36" s="6"/>
      <c r="DOL36" s="6"/>
      <c r="DOM36" s="6"/>
      <c r="DON36" s="6"/>
      <c r="DOO36" s="6"/>
      <c r="DOP36" s="6"/>
      <c r="DOQ36" s="6"/>
      <c r="DOR36" s="6"/>
      <c r="DOS36" s="6"/>
      <c r="DOT36" s="6"/>
      <c r="DOU36" s="6"/>
      <c r="DOV36" s="6"/>
      <c r="DOW36" s="6"/>
      <c r="DOX36" s="6"/>
      <c r="DOY36" s="6"/>
      <c r="DOZ36" s="6"/>
      <c r="DPA36" s="6"/>
      <c r="DPB36" s="6"/>
      <c r="DPC36" s="6"/>
      <c r="DPD36" s="6"/>
      <c r="DPE36" s="6"/>
      <c r="DPF36" s="6"/>
      <c r="DPG36" s="6"/>
      <c r="DPH36" s="6"/>
      <c r="DPI36" s="6"/>
      <c r="DPJ36" s="6"/>
      <c r="DPK36" s="6"/>
      <c r="DPL36" s="6"/>
      <c r="DPM36" s="6"/>
      <c r="DPN36" s="6"/>
      <c r="DPO36" s="6"/>
      <c r="DPP36" s="6"/>
      <c r="DPQ36" s="6"/>
      <c r="DPR36" s="6"/>
      <c r="DPS36" s="6"/>
      <c r="DPT36" s="6"/>
      <c r="DPU36" s="6"/>
      <c r="DPV36" s="6"/>
      <c r="DPW36" s="6"/>
      <c r="DPX36" s="6"/>
      <c r="DPY36" s="6"/>
      <c r="DPZ36" s="6"/>
      <c r="DQA36" s="6"/>
      <c r="DQB36" s="6"/>
      <c r="DQC36" s="6"/>
      <c r="DQD36" s="6"/>
      <c r="DQE36" s="6"/>
      <c r="DQF36" s="6"/>
      <c r="DQG36" s="6"/>
      <c r="DQH36" s="6"/>
      <c r="DQI36" s="6"/>
      <c r="DQJ36" s="6"/>
      <c r="DQK36" s="6"/>
      <c r="DQL36" s="6"/>
      <c r="DQM36" s="6"/>
      <c r="DQN36" s="6"/>
      <c r="DQO36" s="6"/>
      <c r="DQP36" s="6"/>
      <c r="DQQ36" s="6"/>
      <c r="DQR36" s="6"/>
      <c r="DQS36" s="6"/>
      <c r="DQT36" s="6"/>
      <c r="DQU36" s="6"/>
      <c r="DQV36" s="6"/>
      <c r="DQW36" s="6"/>
      <c r="DQX36" s="6"/>
      <c r="DQY36" s="6"/>
      <c r="DQZ36" s="6"/>
      <c r="DRA36" s="6"/>
      <c r="DRB36" s="6"/>
      <c r="DRC36" s="6"/>
      <c r="DRD36" s="6"/>
      <c r="DRE36" s="6"/>
      <c r="DRF36" s="6"/>
      <c r="DRG36" s="6"/>
      <c r="DRH36" s="6"/>
      <c r="DRI36" s="6"/>
      <c r="DRJ36" s="6"/>
      <c r="DRK36" s="6"/>
      <c r="DRL36" s="6"/>
      <c r="DRM36" s="6"/>
      <c r="DRN36" s="6"/>
      <c r="DRO36" s="6"/>
      <c r="DRP36" s="6"/>
      <c r="DRQ36" s="6"/>
      <c r="DRR36" s="6"/>
      <c r="DRS36" s="6"/>
      <c r="DRT36" s="6"/>
      <c r="DRU36" s="6"/>
      <c r="DRV36" s="6"/>
      <c r="DRW36" s="6"/>
      <c r="DRX36" s="6"/>
      <c r="DRY36" s="6"/>
      <c r="DRZ36" s="6"/>
      <c r="DSA36" s="6"/>
      <c r="DSB36" s="6"/>
      <c r="DSC36" s="6"/>
      <c r="DSD36" s="6"/>
      <c r="DSE36" s="6"/>
      <c r="DSF36" s="6"/>
      <c r="DSG36" s="6"/>
      <c r="DSH36" s="6"/>
      <c r="DSI36" s="6"/>
      <c r="DSJ36" s="6"/>
      <c r="DSK36" s="6"/>
      <c r="DSL36" s="6"/>
      <c r="DSM36" s="6"/>
      <c r="DSN36" s="6"/>
      <c r="DSO36" s="6"/>
      <c r="DSP36" s="6"/>
      <c r="DSQ36" s="6"/>
      <c r="DSR36" s="6"/>
      <c r="DSS36" s="6"/>
      <c r="DST36" s="6"/>
      <c r="DSU36" s="6"/>
      <c r="DSV36" s="6"/>
      <c r="DSW36" s="6"/>
      <c r="DSX36" s="6"/>
      <c r="DSY36" s="6"/>
      <c r="DSZ36" s="6"/>
      <c r="DTA36" s="6"/>
      <c r="DTB36" s="6"/>
      <c r="DTC36" s="6"/>
      <c r="DTD36" s="6"/>
      <c r="DTE36" s="6"/>
      <c r="DTF36" s="6"/>
      <c r="DTG36" s="6"/>
      <c r="DTH36" s="6"/>
      <c r="DTI36" s="6"/>
      <c r="DTJ36" s="6"/>
      <c r="DTK36" s="6"/>
      <c r="DTL36" s="6"/>
      <c r="DTM36" s="6"/>
      <c r="DTN36" s="6"/>
      <c r="DTO36" s="6"/>
      <c r="DTP36" s="6"/>
      <c r="DTQ36" s="6"/>
      <c r="DTR36" s="6"/>
      <c r="DTS36" s="6"/>
      <c r="DTT36" s="6"/>
      <c r="DTU36" s="6"/>
      <c r="DTV36" s="6"/>
      <c r="DTW36" s="6"/>
      <c r="DTX36" s="6"/>
      <c r="DTY36" s="6"/>
      <c r="DTZ36" s="6"/>
      <c r="DUA36" s="6"/>
      <c r="DUB36" s="6"/>
      <c r="DUC36" s="6"/>
      <c r="DUD36" s="6"/>
      <c r="DUE36" s="6"/>
      <c r="DUF36" s="6"/>
      <c r="DUG36" s="6"/>
      <c r="DUH36" s="6"/>
      <c r="DUI36" s="6"/>
      <c r="DUJ36" s="6"/>
      <c r="DUK36" s="6"/>
      <c r="DUL36" s="6"/>
      <c r="DUM36" s="6"/>
      <c r="DUN36" s="6"/>
      <c r="DUO36" s="6"/>
      <c r="DUP36" s="6"/>
      <c r="DUQ36" s="6"/>
      <c r="DUR36" s="6"/>
      <c r="DUS36" s="6"/>
      <c r="DUT36" s="6"/>
      <c r="DUU36" s="6"/>
      <c r="DUV36" s="6"/>
      <c r="DUW36" s="6"/>
      <c r="DUX36" s="6"/>
      <c r="DUY36" s="6"/>
      <c r="DUZ36" s="6"/>
      <c r="DVA36" s="6"/>
      <c r="DVB36" s="6"/>
      <c r="DVC36" s="6"/>
      <c r="DVD36" s="6"/>
      <c r="DVE36" s="6"/>
      <c r="DVF36" s="6"/>
      <c r="DVG36" s="6"/>
      <c r="DVH36" s="6"/>
      <c r="DVI36" s="6"/>
      <c r="DVJ36" s="6"/>
      <c r="DVK36" s="6"/>
      <c r="DVL36" s="6"/>
      <c r="DVM36" s="6"/>
      <c r="DVN36" s="6"/>
      <c r="DVO36" s="6"/>
      <c r="DVP36" s="6"/>
      <c r="DVQ36" s="6"/>
      <c r="DVR36" s="6"/>
      <c r="DVS36" s="6"/>
      <c r="DVT36" s="6"/>
      <c r="DVU36" s="6"/>
      <c r="DVV36" s="6"/>
      <c r="DVW36" s="6"/>
      <c r="DVX36" s="6"/>
      <c r="DVY36" s="6"/>
      <c r="DVZ36" s="6"/>
      <c r="DWA36" s="6"/>
      <c r="DWB36" s="6"/>
      <c r="DWC36" s="6"/>
      <c r="DWD36" s="6"/>
      <c r="DWE36" s="6"/>
      <c r="DWF36" s="6"/>
      <c r="DWG36" s="6"/>
      <c r="DWH36" s="6"/>
      <c r="DWI36" s="6"/>
      <c r="DWJ36" s="6"/>
      <c r="DWK36" s="6"/>
      <c r="DWL36" s="6"/>
      <c r="DWM36" s="6"/>
      <c r="DWN36" s="6"/>
      <c r="DWO36" s="6"/>
      <c r="DWP36" s="6"/>
      <c r="DWQ36" s="6"/>
      <c r="DWR36" s="6"/>
      <c r="DWS36" s="6"/>
      <c r="DWT36" s="6"/>
      <c r="DWU36" s="6"/>
      <c r="DWV36" s="6"/>
      <c r="DWW36" s="6"/>
      <c r="DWX36" s="6"/>
      <c r="DWY36" s="6"/>
      <c r="DWZ36" s="6"/>
      <c r="DXA36" s="6"/>
      <c r="DXB36" s="6"/>
      <c r="DXC36" s="6"/>
      <c r="DXD36" s="6"/>
      <c r="DXE36" s="6"/>
      <c r="DXF36" s="6"/>
      <c r="DXG36" s="6"/>
      <c r="DXH36" s="6"/>
      <c r="DXI36" s="6"/>
      <c r="DXJ36" s="6"/>
      <c r="DXK36" s="6"/>
      <c r="DXL36" s="6"/>
      <c r="DXM36" s="6"/>
      <c r="DXN36" s="6"/>
      <c r="DXO36" s="6"/>
      <c r="DXP36" s="6"/>
      <c r="DXQ36" s="6"/>
      <c r="DXR36" s="6"/>
      <c r="DXS36" s="6"/>
      <c r="DXT36" s="6"/>
      <c r="DXU36" s="6"/>
      <c r="DXV36" s="6"/>
      <c r="DXW36" s="6"/>
      <c r="DXX36" s="6"/>
      <c r="DXY36" s="6"/>
      <c r="DXZ36" s="6"/>
      <c r="DYA36" s="6"/>
      <c r="DYB36" s="6"/>
      <c r="DYC36" s="6"/>
      <c r="DYD36" s="6"/>
      <c r="DYE36" s="6"/>
      <c r="DYF36" s="6"/>
      <c r="DYG36" s="6"/>
      <c r="DYH36" s="6"/>
      <c r="DYI36" s="6"/>
      <c r="DYJ36" s="6"/>
      <c r="DYK36" s="6"/>
      <c r="DYL36" s="6"/>
      <c r="DYM36" s="6"/>
      <c r="DYN36" s="6"/>
      <c r="DYO36" s="6"/>
      <c r="DYP36" s="6"/>
      <c r="DYQ36" s="6"/>
      <c r="DYR36" s="6"/>
      <c r="DYS36" s="6"/>
      <c r="DYT36" s="6"/>
      <c r="DYU36" s="6"/>
      <c r="DYV36" s="6"/>
      <c r="DYW36" s="6"/>
      <c r="DYX36" s="6"/>
      <c r="DYY36" s="6"/>
      <c r="DYZ36" s="6"/>
      <c r="DZA36" s="6"/>
      <c r="DZB36" s="6"/>
      <c r="DZC36" s="6"/>
      <c r="DZD36" s="6"/>
      <c r="DZE36" s="6"/>
      <c r="DZF36" s="6"/>
      <c r="DZG36" s="6"/>
      <c r="DZH36" s="6"/>
      <c r="DZI36" s="6"/>
      <c r="DZJ36" s="6"/>
      <c r="DZK36" s="6"/>
      <c r="DZL36" s="6"/>
      <c r="DZM36" s="6"/>
      <c r="DZN36" s="6"/>
      <c r="DZO36" s="6"/>
      <c r="DZP36" s="6"/>
      <c r="DZQ36" s="6"/>
      <c r="DZR36" s="6"/>
      <c r="DZS36" s="6"/>
      <c r="DZT36" s="6"/>
      <c r="DZU36" s="6"/>
      <c r="DZV36" s="6"/>
      <c r="DZW36" s="6"/>
      <c r="DZX36" s="6"/>
      <c r="DZY36" s="6"/>
      <c r="DZZ36" s="6"/>
      <c r="EAA36" s="6"/>
      <c r="EAB36" s="6"/>
      <c r="EAC36" s="6"/>
      <c r="EAD36" s="6"/>
      <c r="EAE36" s="6"/>
      <c r="EAF36" s="6"/>
      <c r="EAG36" s="6"/>
      <c r="EAH36" s="6"/>
      <c r="EAI36" s="6"/>
      <c r="EAJ36" s="6"/>
      <c r="EAK36" s="6"/>
      <c r="EAL36" s="6"/>
      <c r="EAM36" s="6"/>
      <c r="EAN36" s="6"/>
      <c r="EAO36" s="6"/>
      <c r="EAP36" s="6"/>
      <c r="EAQ36" s="6"/>
      <c r="EAR36" s="6"/>
      <c r="EAS36" s="6"/>
      <c r="EAT36" s="6"/>
      <c r="EAU36" s="6"/>
      <c r="EAV36" s="6"/>
      <c r="EAW36" s="6"/>
      <c r="EAX36" s="6"/>
      <c r="EAY36" s="6"/>
      <c r="EAZ36" s="6"/>
      <c r="EBA36" s="6"/>
      <c r="EBB36" s="6"/>
      <c r="EBC36" s="6"/>
      <c r="EBD36" s="6"/>
      <c r="EBE36" s="6"/>
      <c r="EBF36" s="6"/>
      <c r="EBG36" s="6"/>
      <c r="EBH36" s="6"/>
      <c r="EBI36" s="6"/>
      <c r="EBJ36" s="6"/>
      <c r="EBK36" s="6"/>
      <c r="EBL36" s="6"/>
      <c r="EBM36" s="6"/>
      <c r="EBN36" s="6"/>
      <c r="EBO36" s="6"/>
      <c r="EBP36" s="6"/>
      <c r="EBQ36" s="6"/>
      <c r="EBR36" s="6"/>
      <c r="EBS36" s="6"/>
      <c r="EBT36" s="6"/>
      <c r="EBU36" s="6"/>
      <c r="EBV36" s="6"/>
      <c r="EBW36" s="6"/>
      <c r="EBX36" s="6"/>
      <c r="EBY36" s="6"/>
      <c r="EBZ36" s="6"/>
      <c r="ECA36" s="6"/>
      <c r="ECB36" s="6"/>
      <c r="ECC36" s="6"/>
      <c r="ECD36" s="6"/>
      <c r="ECE36" s="6"/>
      <c r="ECF36" s="6"/>
      <c r="ECG36" s="6"/>
      <c r="ECH36" s="6"/>
      <c r="ECI36" s="6"/>
      <c r="ECJ36" s="6"/>
      <c r="ECK36" s="6"/>
      <c r="ECL36" s="6"/>
      <c r="ECM36" s="6"/>
      <c r="ECN36" s="6"/>
      <c r="ECO36" s="6"/>
      <c r="ECP36" s="6"/>
      <c r="ECQ36" s="6"/>
      <c r="ECR36" s="6"/>
      <c r="ECS36" s="6"/>
      <c r="ECT36" s="6"/>
      <c r="ECU36" s="6"/>
      <c r="ECV36" s="6"/>
      <c r="ECW36" s="6"/>
      <c r="ECX36" s="6"/>
      <c r="ECY36" s="6"/>
      <c r="ECZ36" s="6"/>
      <c r="EDA36" s="6"/>
      <c r="EDB36" s="6"/>
      <c r="EDC36" s="6"/>
      <c r="EDD36" s="6"/>
      <c r="EDE36" s="6"/>
      <c r="EDF36" s="6"/>
      <c r="EDG36" s="6"/>
      <c r="EDH36" s="6"/>
      <c r="EDI36" s="6"/>
      <c r="EDJ36" s="6"/>
      <c r="EDK36" s="6"/>
      <c r="EDL36" s="6"/>
      <c r="EDM36" s="6"/>
      <c r="EDN36" s="6"/>
      <c r="EDO36" s="6"/>
      <c r="EDP36" s="6"/>
      <c r="EDQ36" s="6"/>
      <c r="EDR36" s="6"/>
      <c r="EDS36" s="6"/>
      <c r="EDT36" s="6"/>
      <c r="EDU36" s="6"/>
      <c r="EDV36" s="6"/>
      <c r="EDW36" s="6"/>
      <c r="EDX36" s="6"/>
      <c r="EDY36" s="6"/>
      <c r="EDZ36" s="6"/>
      <c r="EEA36" s="6"/>
      <c r="EEB36" s="6"/>
      <c r="EEC36" s="6"/>
      <c r="EED36" s="6"/>
      <c r="EEE36" s="6"/>
      <c r="EEF36" s="6"/>
      <c r="EEG36" s="6"/>
      <c r="EEH36" s="6"/>
      <c r="EEI36" s="6"/>
      <c r="EEJ36" s="6"/>
      <c r="EEK36" s="6"/>
      <c r="EEL36" s="6"/>
      <c r="EEM36" s="6"/>
      <c r="EEN36" s="6"/>
      <c r="EEO36" s="6"/>
      <c r="EEP36" s="6"/>
      <c r="EEQ36" s="6"/>
      <c r="EER36" s="6"/>
      <c r="EES36" s="6"/>
      <c r="EET36" s="6"/>
      <c r="EEU36" s="6"/>
      <c r="EEV36" s="6"/>
      <c r="EEW36" s="6"/>
      <c r="EEX36" s="6"/>
      <c r="EEY36" s="6"/>
      <c r="EEZ36" s="6"/>
      <c r="EFA36" s="6"/>
      <c r="EFB36" s="6"/>
      <c r="EFC36" s="6"/>
      <c r="EFD36" s="6"/>
      <c r="EFE36" s="6"/>
      <c r="EFF36" s="6"/>
      <c r="EFG36" s="6"/>
      <c r="EFH36" s="6"/>
      <c r="EFI36" s="6"/>
      <c r="EFJ36" s="6"/>
      <c r="EFK36" s="6"/>
      <c r="EFL36" s="6"/>
      <c r="EFM36" s="6"/>
      <c r="EFN36" s="6"/>
      <c r="EFO36" s="6"/>
      <c r="EFP36" s="6"/>
      <c r="EFQ36" s="6"/>
      <c r="EFR36" s="6"/>
      <c r="EFS36" s="6"/>
      <c r="EFT36" s="6"/>
      <c r="EFU36" s="6"/>
      <c r="EFV36" s="6"/>
      <c r="EFW36" s="6"/>
      <c r="EFX36" s="6"/>
      <c r="EFY36" s="6"/>
      <c r="EFZ36" s="6"/>
      <c r="EGA36" s="6"/>
      <c r="EGB36" s="6"/>
      <c r="EGC36" s="6"/>
      <c r="EGD36" s="6"/>
      <c r="EGE36" s="6"/>
      <c r="EGF36" s="6"/>
      <c r="EGG36" s="6"/>
      <c r="EGH36" s="6"/>
      <c r="EGI36" s="6"/>
      <c r="EGJ36" s="6"/>
      <c r="EGK36" s="6"/>
      <c r="EGL36" s="6"/>
      <c r="EGM36" s="6"/>
      <c r="EGN36" s="6"/>
      <c r="EGO36" s="6"/>
      <c r="EGP36" s="6"/>
      <c r="EGQ36" s="6"/>
      <c r="EGR36" s="6"/>
      <c r="EGS36" s="6"/>
      <c r="EGT36" s="6"/>
      <c r="EGU36" s="6"/>
      <c r="EGV36" s="6"/>
      <c r="EGW36" s="6"/>
      <c r="EGX36" s="6"/>
      <c r="EGY36" s="6"/>
      <c r="EGZ36" s="6"/>
      <c r="EHA36" s="6"/>
      <c r="EHB36" s="6"/>
      <c r="EHC36" s="6"/>
      <c r="EHD36" s="6"/>
      <c r="EHE36" s="6"/>
      <c r="EHF36" s="6"/>
      <c r="EHG36" s="6"/>
      <c r="EHH36" s="6"/>
      <c r="EHI36" s="6"/>
      <c r="EHJ36" s="6"/>
      <c r="EHK36" s="6"/>
      <c r="EHL36" s="6"/>
      <c r="EHM36" s="6"/>
      <c r="EHN36" s="6"/>
      <c r="EHO36" s="6"/>
      <c r="EHP36" s="6"/>
      <c r="EHQ36" s="6"/>
      <c r="EHR36" s="6"/>
      <c r="EHS36" s="6"/>
      <c r="EHT36" s="6"/>
      <c r="EHU36" s="6"/>
      <c r="EHV36" s="6"/>
      <c r="EHW36" s="6"/>
      <c r="EHX36" s="6"/>
      <c r="EHY36" s="6"/>
      <c r="EHZ36" s="6"/>
      <c r="EIA36" s="6"/>
      <c r="EIB36" s="6"/>
      <c r="EIC36" s="6"/>
      <c r="EID36" s="6"/>
      <c r="EIE36" s="6"/>
      <c r="EIF36" s="6"/>
      <c r="EIG36" s="6"/>
      <c r="EIH36" s="6"/>
      <c r="EII36" s="6"/>
      <c r="EIJ36" s="6"/>
      <c r="EIK36" s="6"/>
      <c r="EIL36" s="6"/>
      <c r="EIM36" s="6"/>
      <c r="EIN36" s="6"/>
      <c r="EIO36" s="6"/>
      <c r="EIP36" s="6"/>
      <c r="EIQ36" s="6"/>
      <c r="EIR36" s="6"/>
      <c r="EIS36" s="6"/>
      <c r="EIT36" s="6"/>
      <c r="EIU36" s="6"/>
      <c r="EIV36" s="6"/>
      <c r="EIW36" s="6"/>
      <c r="EIX36" s="6"/>
      <c r="EIY36" s="6"/>
      <c r="EIZ36" s="6"/>
      <c r="EJA36" s="6"/>
      <c r="EJB36" s="6"/>
      <c r="EJC36" s="6"/>
      <c r="EJD36" s="6"/>
      <c r="EJE36" s="6"/>
      <c r="EJF36" s="6"/>
      <c r="EJG36" s="6"/>
      <c r="EJH36" s="6"/>
      <c r="EJI36" s="6"/>
      <c r="EJJ36" s="6"/>
      <c r="EJK36" s="6"/>
      <c r="EJL36" s="6"/>
      <c r="EJM36" s="6"/>
      <c r="EJN36" s="6"/>
      <c r="EJO36" s="6"/>
      <c r="EJP36" s="6"/>
      <c r="EJQ36" s="6"/>
      <c r="EJR36" s="6"/>
      <c r="EJS36" s="6"/>
      <c r="EJT36" s="6"/>
      <c r="EJU36" s="6"/>
      <c r="EJV36" s="6"/>
      <c r="EJW36" s="6"/>
      <c r="EJX36" s="6"/>
      <c r="EJY36" s="6"/>
      <c r="EJZ36" s="6"/>
      <c r="EKA36" s="6"/>
      <c r="EKB36" s="6"/>
      <c r="EKC36" s="6"/>
      <c r="EKD36" s="6"/>
      <c r="EKE36" s="6"/>
      <c r="EKF36" s="6"/>
      <c r="EKG36" s="6"/>
      <c r="EKH36" s="6"/>
      <c r="EKI36" s="6"/>
      <c r="EKJ36" s="6"/>
      <c r="EKK36" s="6"/>
      <c r="EKL36" s="6"/>
      <c r="EKM36" s="6"/>
      <c r="EKN36" s="6"/>
      <c r="EKO36" s="6"/>
      <c r="EKP36" s="6"/>
      <c r="EKQ36" s="6"/>
      <c r="EKR36" s="6"/>
      <c r="EKS36" s="6"/>
      <c r="EKT36" s="6"/>
      <c r="EKU36" s="6"/>
      <c r="EKV36" s="6"/>
      <c r="EKW36" s="6"/>
      <c r="EKX36" s="6"/>
      <c r="EKY36" s="6"/>
      <c r="EKZ36" s="6"/>
      <c r="ELA36" s="6"/>
      <c r="ELB36" s="6"/>
      <c r="ELC36" s="6"/>
      <c r="ELD36" s="6"/>
      <c r="ELE36" s="6"/>
      <c r="ELF36" s="6"/>
      <c r="ELG36" s="6"/>
      <c r="ELH36" s="6"/>
      <c r="ELI36" s="6"/>
      <c r="ELJ36" s="6"/>
      <c r="ELK36" s="6"/>
      <c r="ELL36" s="6"/>
      <c r="ELM36" s="6"/>
      <c r="ELN36" s="6"/>
      <c r="ELO36" s="6"/>
      <c r="ELP36" s="6"/>
      <c r="ELQ36" s="6"/>
      <c r="ELR36" s="6"/>
      <c r="ELS36" s="6"/>
      <c r="ELT36" s="6"/>
      <c r="ELU36" s="6"/>
      <c r="ELV36" s="6"/>
      <c r="ELW36" s="6"/>
      <c r="ELX36" s="6"/>
      <c r="ELY36" s="6"/>
      <c r="ELZ36" s="6"/>
      <c r="EMA36" s="6"/>
      <c r="EMB36" s="6"/>
      <c r="EMC36" s="6"/>
      <c r="EMD36" s="6"/>
      <c r="EME36" s="6"/>
      <c r="EMF36" s="6"/>
      <c r="EMG36" s="6"/>
      <c r="EMH36" s="6"/>
      <c r="EMI36" s="6"/>
      <c r="EMJ36" s="6"/>
      <c r="EMK36" s="6"/>
      <c r="EML36" s="6"/>
      <c r="EMM36" s="6"/>
      <c r="EMN36" s="6"/>
      <c r="EMO36" s="6"/>
      <c r="EMP36" s="6"/>
      <c r="EMQ36" s="6"/>
      <c r="EMR36" s="6"/>
      <c r="EMS36" s="6"/>
      <c r="EMT36" s="6"/>
      <c r="EMU36" s="6"/>
      <c r="EMV36" s="6"/>
      <c r="EMW36" s="6"/>
      <c r="EMX36" s="6"/>
      <c r="EMY36" s="6"/>
      <c r="EMZ36" s="6"/>
      <c r="ENA36" s="6"/>
      <c r="ENB36" s="6"/>
      <c r="ENC36" s="6"/>
      <c r="END36" s="6"/>
      <c r="ENE36" s="6"/>
      <c r="ENF36" s="6"/>
      <c r="ENG36" s="6"/>
      <c r="ENH36" s="6"/>
      <c r="ENI36" s="6"/>
      <c r="ENJ36" s="6"/>
      <c r="ENK36" s="6"/>
      <c r="ENL36" s="6"/>
      <c r="ENM36" s="6"/>
      <c r="ENN36" s="6"/>
      <c r="ENO36" s="6"/>
      <c r="ENP36" s="6"/>
      <c r="ENQ36" s="6"/>
      <c r="ENR36" s="6"/>
      <c r="ENS36" s="6"/>
      <c r="ENT36" s="6"/>
      <c r="ENU36" s="6"/>
      <c r="ENV36" s="6"/>
      <c r="ENW36" s="6"/>
      <c r="ENX36" s="6"/>
      <c r="ENY36" s="6"/>
      <c r="ENZ36" s="6"/>
      <c r="EOA36" s="6"/>
      <c r="EOB36" s="6"/>
      <c r="EOC36" s="6"/>
      <c r="EOD36" s="6"/>
      <c r="EOE36" s="6"/>
      <c r="EOF36" s="6"/>
      <c r="EOG36" s="6"/>
      <c r="EOH36" s="6"/>
      <c r="EOI36" s="6"/>
      <c r="EOJ36" s="6"/>
      <c r="EOK36" s="6"/>
      <c r="EOL36" s="6"/>
      <c r="EOM36" s="6"/>
      <c r="EON36" s="6"/>
      <c r="EOO36" s="6"/>
      <c r="EOP36" s="6"/>
      <c r="EOQ36" s="6"/>
      <c r="EOR36" s="6"/>
      <c r="EOS36" s="6"/>
      <c r="EOT36" s="6"/>
      <c r="EOU36" s="6"/>
      <c r="EOV36" s="6"/>
      <c r="EOW36" s="6"/>
      <c r="EOX36" s="6"/>
      <c r="EOY36" s="6"/>
      <c r="EOZ36" s="6"/>
      <c r="EPA36" s="6"/>
      <c r="EPB36" s="6"/>
      <c r="EPC36" s="6"/>
      <c r="EPD36" s="6"/>
      <c r="EPE36" s="6"/>
      <c r="EPF36" s="6"/>
      <c r="EPG36" s="6"/>
      <c r="EPH36" s="6"/>
      <c r="EPI36" s="6"/>
      <c r="EPJ36" s="6"/>
      <c r="EPK36" s="6"/>
      <c r="EPL36" s="6"/>
      <c r="EPM36" s="6"/>
      <c r="EPN36" s="6"/>
      <c r="EPO36" s="6"/>
      <c r="EPP36" s="6"/>
      <c r="EPQ36" s="6"/>
      <c r="EPR36" s="6"/>
      <c r="EPS36" s="6"/>
      <c r="EPT36" s="6"/>
      <c r="EPU36" s="6"/>
      <c r="EPV36" s="6"/>
      <c r="EPW36" s="6"/>
      <c r="EPX36" s="6"/>
      <c r="EPY36" s="6"/>
      <c r="EPZ36" s="6"/>
      <c r="EQA36" s="6"/>
      <c r="EQB36" s="6"/>
      <c r="EQC36" s="6"/>
      <c r="EQD36" s="6"/>
      <c r="EQE36" s="6"/>
      <c r="EQF36" s="6"/>
      <c r="EQG36" s="6"/>
      <c r="EQH36" s="6"/>
      <c r="EQI36" s="6"/>
      <c r="EQJ36" s="6"/>
      <c r="EQK36" s="6"/>
      <c r="EQL36" s="6"/>
      <c r="EQM36" s="6"/>
      <c r="EQN36" s="6"/>
      <c r="EQO36" s="6"/>
      <c r="EQP36" s="6"/>
      <c r="EQQ36" s="6"/>
      <c r="EQR36" s="6"/>
      <c r="EQS36" s="6"/>
      <c r="EQT36" s="6"/>
      <c r="EQU36" s="6"/>
      <c r="EQV36" s="6"/>
      <c r="EQW36" s="6"/>
      <c r="EQX36" s="6"/>
      <c r="EQY36" s="6"/>
      <c r="EQZ36" s="6"/>
      <c r="ERA36" s="6"/>
      <c r="ERB36" s="6"/>
      <c r="ERC36" s="6"/>
      <c r="ERD36" s="6"/>
      <c r="ERE36" s="6"/>
      <c r="ERF36" s="6"/>
      <c r="ERG36" s="6"/>
      <c r="ERH36" s="6"/>
      <c r="ERI36" s="6"/>
      <c r="ERJ36" s="6"/>
      <c r="ERK36" s="6"/>
      <c r="ERL36" s="6"/>
      <c r="ERM36" s="6"/>
      <c r="ERN36" s="6"/>
      <c r="ERO36" s="6"/>
      <c r="ERP36" s="6"/>
      <c r="ERQ36" s="6"/>
      <c r="ERR36" s="6"/>
      <c r="ERS36" s="6"/>
      <c r="ERT36" s="6"/>
      <c r="ERU36" s="6"/>
      <c r="ERV36" s="6"/>
      <c r="ERW36" s="6"/>
      <c r="ERX36" s="6"/>
      <c r="ERY36" s="6"/>
      <c r="ERZ36" s="6"/>
      <c r="ESA36" s="6"/>
      <c r="ESB36" s="6"/>
      <c r="ESC36" s="6"/>
      <c r="ESD36" s="6"/>
      <c r="ESE36" s="6"/>
      <c r="ESF36" s="6"/>
      <c r="ESG36" s="6"/>
      <c r="ESH36" s="6"/>
      <c r="ESI36" s="6"/>
      <c r="ESJ36" s="6"/>
      <c r="ESK36" s="6"/>
      <c r="ESL36" s="6"/>
      <c r="ESM36" s="6"/>
      <c r="ESN36" s="6"/>
      <c r="ESO36" s="6"/>
      <c r="ESP36" s="6"/>
      <c r="ESQ36" s="6"/>
      <c r="ESR36" s="6"/>
      <c r="ESS36" s="6"/>
      <c r="EST36" s="6"/>
      <c r="ESU36" s="6"/>
      <c r="ESV36" s="6"/>
      <c r="ESW36" s="6"/>
      <c r="ESX36" s="6"/>
      <c r="ESY36" s="6"/>
      <c r="ESZ36" s="6"/>
      <c r="ETA36" s="6"/>
      <c r="ETB36" s="6"/>
      <c r="ETC36" s="6"/>
      <c r="ETD36" s="6"/>
      <c r="ETE36" s="6"/>
      <c r="ETF36" s="6"/>
      <c r="ETG36" s="6"/>
      <c r="ETH36" s="6"/>
      <c r="ETI36" s="6"/>
      <c r="ETJ36" s="6"/>
      <c r="ETK36" s="6"/>
      <c r="ETL36" s="6"/>
      <c r="ETM36" s="6"/>
      <c r="ETN36" s="6"/>
      <c r="ETO36" s="6"/>
      <c r="ETP36" s="6"/>
      <c r="ETQ36" s="6"/>
      <c r="ETR36" s="6"/>
      <c r="ETS36" s="6"/>
      <c r="ETT36" s="6"/>
      <c r="ETU36" s="6"/>
      <c r="ETV36" s="6"/>
      <c r="ETW36" s="6"/>
      <c r="ETX36" s="6"/>
      <c r="ETY36" s="6"/>
      <c r="ETZ36" s="6"/>
      <c r="EUA36" s="6"/>
      <c r="EUB36" s="6"/>
      <c r="EUC36" s="6"/>
      <c r="EUD36" s="6"/>
      <c r="EUE36" s="6"/>
      <c r="EUF36" s="6"/>
      <c r="EUG36" s="6"/>
      <c r="EUH36" s="6"/>
      <c r="EUI36" s="6"/>
      <c r="EUJ36" s="6"/>
      <c r="EUK36" s="6"/>
      <c r="EUL36" s="6"/>
      <c r="EUM36" s="6"/>
      <c r="EUN36" s="6"/>
      <c r="EUO36" s="6"/>
      <c r="EUP36" s="6"/>
      <c r="EUQ36" s="6"/>
      <c r="EUR36" s="6"/>
      <c r="EUS36" s="6"/>
      <c r="EUT36" s="6"/>
      <c r="EUU36" s="6"/>
      <c r="EUV36" s="6"/>
      <c r="EUW36" s="6"/>
      <c r="EUX36" s="6"/>
      <c r="EUY36" s="6"/>
      <c r="EUZ36" s="6"/>
      <c r="EVA36" s="6"/>
      <c r="EVB36" s="6"/>
      <c r="EVC36" s="6"/>
      <c r="EVD36" s="6"/>
      <c r="EVE36" s="6"/>
      <c r="EVF36" s="6"/>
      <c r="EVG36" s="6"/>
      <c r="EVH36" s="6"/>
      <c r="EVI36" s="6"/>
      <c r="EVJ36" s="6"/>
      <c r="EVK36" s="6"/>
      <c r="EVL36" s="6"/>
      <c r="EVM36" s="6"/>
      <c r="EVN36" s="6"/>
      <c r="EVO36" s="6"/>
      <c r="EVP36" s="6"/>
      <c r="EVQ36" s="6"/>
      <c r="EVR36" s="6"/>
      <c r="EVS36" s="6"/>
      <c r="EVT36" s="6"/>
      <c r="EVU36" s="6"/>
      <c r="EVV36" s="6"/>
      <c r="EVW36" s="6"/>
      <c r="EVX36" s="6"/>
      <c r="EVY36" s="6"/>
      <c r="EVZ36" s="6"/>
      <c r="EWA36" s="6"/>
      <c r="EWB36" s="6"/>
      <c r="EWC36" s="6"/>
      <c r="EWD36" s="6"/>
      <c r="EWE36" s="6"/>
      <c r="EWF36" s="6"/>
      <c r="EWG36" s="6"/>
      <c r="EWH36" s="6"/>
      <c r="EWI36" s="6"/>
      <c r="EWJ36" s="6"/>
      <c r="EWK36" s="6"/>
      <c r="EWL36" s="6"/>
      <c r="EWM36" s="6"/>
      <c r="EWN36" s="6"/>
      <c r="EWO36" s="6"/>
      <c r="EWP36" s="6"/>
      <c r="EWQ36" s="6"/>
      <c r="EWR36" s="6"/>
      <c r="EWS36" s="6"/>
      <c r="EWT36" s="6"/>
      <c r="EWU36" s="6"/>
      <c r="EWV36" s="6"/>
      <c r="EWW36" s="6"/>
      <c r="EWX36" s="6"/>
      <c r="EWY36" s="6"/>
      <c r="EWZ36" s="6"/>
      <c r="EXA36" s="6"/>
      <c r="EXB36" s="6"/>
      <c r="EXC36" s="6"/>
      <c r="EXD36" s="6"/>
      <c r="EXE36" s="6"/>
      <c r="EXF36" s="6"/>
      <c r="EXG36" s="6"/>
      <c r="EXH36" s="6"/>
      <c r="EXI36" s="6"/>
      <c r="EXJ36" s="6"/>
      <c r="EXK36" s="6"/>
      <c r="EXL36" s="6"/>
      <c r="EXM36" s="6"/>
      <c r="EXN36" s="6"/>
      <c r="EXO36" s="6"/>
      <c r="EXP36" s="6"/>
      <c r="EXQ36" s="6"/>
      <c r="EXR36" s="6"/>
      <c r="EXS36" s="6"/>
      <c r="EXT36" s="6"/>
      <c r="EXU36" s="6"/>
      <c r="EXV36" s="6"/>
      <c r="EXW36" s="6"/>
      <c r="EXX36" s="6"/>
      <c r="EXY36" s="6"/>
      <c r="EXZ36" s="6"/>
      <c r="EYA36" s="6"/>
      <c r="EYB36" s="6"/>
      <c r="EYC36" s="6"/>
      <c r="EYD36" s="6"/>
      <c r="EYE36" s="6"/>
      <c r="EYF36" s="6"/>
      <c r="EYG36" s="6"/>
      <c r="EYH36" s="6"/>
      <c r="EYI36" s="6"/>
      <c r="EYJ36" s="6"/>
      <c r="EYK36" s="6"/>
      <c r="EYL36" s="6"/>
      <c r="EYM36" s="6"/>
      <c r="EYN36" s="6"/>
      <c r="EYO36" s="6"/>
      <c r="EYP36" s="6"/>
      <c r="EYQ36" s="6"/>
      <c r="EYR36" s="6"/>
      <c r="EYS36" s="6"/>
      <c r="EYT36" s="6"/>
      <c r="EYU36" s="6"/>
      <c r="EYV36" s="6"/>
      <c r="EYW36" s="6"/>
      <c r="EYX36" s="6"/>
      <c r="EYY36" s="6"/>
      <c r="EYZ36" s="6"/>
      <c r="EZA36" s="6"/>
      <c r="EZB36" s="6"/>
      <c r="EZC36" s="6"/>
      <c r="EZD36" s="6"/>
      <c r="EZE36" s="6"/>
      <c r="EZF36" s="6"/>
      <c r="EZG36" s="6"/>
      <c r="EZH36" s="6"/>
      <c r="EZI36" s="6"/>
      <c r="EZJ36" s="6"/>
      <c r="EZK36" s="6"/>
      <c r="EZL36" s="6"/>
      <c r="EZM36" s="6"/>
      <c r="EZN36" s="6"/>
      <c r="EZO36" s="6"/>
      <c r="EZP36" s="6"/>
      <c r="EZQ36" s="6"/>
      <c r="EZR36" s="6"/>
      <c r="EZS36" s="6"/>
      <c r="EZT36" s="6"/>
      <c r="EZU36" s="6"/>
      <c r="EZV36" s="6"/>
      <c r="EZW36" s="6"/>
      <c r="EZX36" s="6"/>
      <c r="EZY36" s="6"/>
      <c r="EZZ36" s="6"/>
      <c r="FAA36" s="6"/>
      <c r="FAB36" s="6"/>
      <c r="FAC36" s="6"/>
      <c r="FAD36" s="6"/>
      <c r="FAE36" s="6"/>
      <c r="FAF36" s="6"/>
      <c r="FAG36" s="6"/>
      <c r="FAH36" s="6"/>
      <c r="FAI36" s="6"/>
      <c r="FAJ36" s="6"/>
      <c r="FAK36" s="6"/>
      <c r="FAL36" s="6"/>
      <c r="FAM36" s="6"/>
      <c r="FAN36" s="6"/>
      <c r="FAO36" s="6"/>
      <c r="FAP36" s="6"/>
      <c r="FAQ36" s="6"/>
      <c r="FAR36" s="6"/>
      <c r="FAS36" s="6"/>
      <c r="FAT36" s="6"/>
      <c r="FAU36" s="6"/>
      <c r="FAV36" s="6"/>
      <c r="FAW36" s="6"/>
      <c r="FAX36" s="6"/>
      <c r="FAY36" s="6"/>
      <c r="FAZ36" s="6"/>
      <c r="FBA36" s="6"/>
      <c r="FBB36" s="6"/>
      <c r="FBC36" s="6"/>
      <c r="FBD36" s="6"/>
      <c r="FBE36" s="6"/>
      <c r="FBF36" s="6"/>
      <c r="FBG36" s="6"/>
      <c r="FBH36" s="6"/>
      <c r="FBI36" s="6"/>
      <c r="FBJ36" s="6"/>
      <c r="FBK36" s="6"/>
      <c r="FBL36" s="6"/>
      <c r="FBM36" s="6"/>
      <c r="FBN36" s="6"/>
      <c r="FBO36" s="6"/>
      <c r="FBP36" s="6"/>
      <c r="FBQ36" s="6"/>
      <c r="FBR36" s="6"/>
      <c r="FBS36" s="6"/>
      <c r="FBT36" s="6"/>
      <c r="FBU36" s="6"/>
      <c r="FBV36" s="6"/>
      <c r="FBW36" s="6"/>
      <c r="FBX36" s="6"/>
      <c r="FBY36" s="6"/>
      <c r="FBZ36" s="6"/>
      <c r="FCA36" s="6"/>
      <c r="FCB36" s="6"/>
      <c r="FCC36" s="6"/>
      <c r="FCD36" s="6"/>
      <c r="FCE36" s="6"/>
      <c r="FCF36" s="6"/>
      <c r="FCG36" s="6"/>
      <c r="FCH36" s="6"/>
      <c r="FCI36" s="6"/>
      <c r="FCJ36" s="6"/>
      <c r="FCK36" s="6"/>
      <c r="FCL36" s="6"/>
      <c r="FCM36" s="6"/>
      <c r="FCN36" s="6"/>
      <c r="FCO36" s="6"/>
      <c r="FCP36" s="6"/>
      <c r="FCQ36" s="6"/>
      <c r="FCR36" s="6"/>
      <c r="FCS36" s="6"/>
      <c r="FCT36" s="6"/>
      <c r="FCU36" s="6"/>
      <c r="FCV36" s="6"/>
      <c r="FCW36" s="6"/>
      <c r="FCX36" s="6"/>
      <c r="FCY36" s="6"/>
      <c r="FCZ36" s="6"/>
      <c r="FDA36" s="6"/>
      <c r="FDB36" s="6"/>
      <c r="FDC36" s="6"/>
      <c r="FDD36" s="6"/>
      <c r="FDE36" s="6"/>
      <c r="FDF36" s="6"/>
      <c r="FDG36" s="6"/>
      <c r="FDH36" s="6"/>
      <c r="FDI36" s="6"/>
      <c r="FDJ36" s="6"/>
      <c r="FDK36" s="6"/>
      <c r="FDL36" s="6"/>
      <c r="FDM36" s="6"/>
      <c r="FDN36" s="6"/>
      <c r="FDO36" s="6"/>
      <c r="FDP36" s="6"/>
      <c r="FDQ36" s="6"/>
      <c r="FDR36" s="6"/>
      <c r="FDS36" s="6"/>
      <c r="FDT36" s="6"/>
      <c r="FDU36" s="6"/>
      <c r="FDV36" s="6"/>
      <c r="FDW36" s="6"/>
      <c r="FDX36" s="6"/>
      <c r="FDY36" s="6"/>
      <c r="FDZ36" s="6"/>
      <c r="FEA36" s="6"/>
      <c r="FEB36" s="6"/>
      <c r="FEC36" s="6"/>
      <c r="FED36" s="6"/>
      <c r="FEE36" s="6"/>
      <c r="FEF36" s="6"/>
      <c r="FEG36" s="6"/>
      <c r="FEH36" s="6"/>
      <c r="FEI36" s="6"/>
      <c r="FEJ36" s="6"/>
      <c r="FEK36" s="6"/>
      <c r="FEL36" s="6"/>
      <c r="FEM36" s="6"/>
      <c r="FEN36" s="6"/>
      <c r="FEO36" s="6"/>
      <c r="FEP36" s="6"/>
      <c r="FEQ36" s="6"/>
      <c r="FER36" s="6"/>
      <c r="FES36" s="6"/>
      <c r="FET36" s="6"/>
      <c r="FEU36" s="6"/>
      <c r="FEV36" s="6"/>
      <c r="FEW36" s="6"/>
      <c r="FEX36" s="6"/>
      <c r="FEY36" s="6"/>
      <c r="FEZ36" s="6"/>
      <c r="FFA36" s="6"/>
      <c r="FFB36" s="6"/>
      <c r="FFC36" s="6"/>
      <c r="FFD36" s="6"/>
      <c r="FFE36" s="6"/>
      <c r="FFF36" s="6"/>
      <c r="FFG36" s="6"/>
      <c r="FFH36" s="6"/>
      <c r="FFI36" s="6"/>
      <c r="FFJ36" s="6"/>
      <c r="FFK36" s="6"/>
      <c r="FFL36" s="6"/>
      <c r="FFM36" s="6"/>
      <c r="FFN36" s="6"/>
      <c r="FFO36" s="6"/>
      <c r="FFP36" s="6"/>
      <c r="FFQ36" s="6"/>
      <c r="FFR36" s="6"/>
      <c r="FFS36" s="6"/>
      <c r="FFT36" s="6"/>
      <c r="FFU36" s="6"/>
      <c r="FFV36" s="6"/>
      <c r="FFW36" s="6"/>
      <c r="FFX36" s="6"/>
      <c r="FFY36" s="6"/>
      <c r="FFZ36" s="6"/>
      <c r="FGA36" s="6"/>
      <c r="FGB36" s="6"/>
      <c r="FGC36" s="6"/>
      <c r="FGD36" s="6"/>
      <c r="FGE36" s="6"/>
      <c r="FGF36" s="6"/>
      <c r="FGG36" s="6"/>
      <c r="FGH36" s="6"/>
      <c r="FGI36" s="6"/>
      <c r="FGJ36" s="6"/>
      <c r="FGK36" s="6"/>
      <c r="FGL36" s="6"/>
      <c r="FGM36" s="6"/>
      <c r="FGN36" s="6"/>
      <c r="FGO36" s="6"/>
      <c r="FGP36" s="6"/>
      <c r="FGQ36" s="6"/>
      <c r="FGR36" s="6"/>
      <c r="FGS36" s="6"/>
      <c r="FGT36" s="6"/>
      <c r="FGU36" s="6"/>
      <c r="FGV36" s="6"/>
      <c r="FGW36" s="6"/>
      <c r="FGX36" s="6"/>
      <c r="FGY36" s="6"/>
      <c r="FGZ36" s="6"/>
      <c r="FHA36" s="6"/>
      <c r="FHB36" s="6"/>
      <c r="FHC36" s="6"/>
      <c r="FHD36" s="6"/>
      <c r="FHE36" s="6"/>
      <c r="FHF36" s="6"/>
      <c r="FHG36" s="6"/>
      <c r="FHH36" s="6"/>
      <c r="FHI36" s="6"/>
      <c r="FHJ36" s="6"/>
      <c r="FHK36" s="6"/>
      <c r="FHL36" s="6"/>
      <c r="FHM36" s="6"/>
      <c r="FHN36" s="6"/>
      <c r="FHO36" s="6"/>
      <c r="FHP36" s="6"/>
      <c r="FHQ36" s="6"/>
      <c r="FHR36" s="6"/>
      <c r="FHS36" s="6"/>
      <c r="FHT36" s="6"/>
      <c r="FHU36" s="6"/>
      <c r="FHV36" s="6"/>
      <c r="FHW36" s="6"/>
      <c r="FHX36" s="6"/>
      <c r="FHY36" s="6"/>
      <c r="FHZ36" s="6"/>
      <c r="FIA36" s="6"/>
      <c r="FIB36" s="6"/>
      <c r="FIC36" s="6"/>
      <c r="FID36" s="6"/>
      <c r="FIE36" s="6"/>
      <c r="FIF36" s="6"/>
      <c r="FIG36" s="6"/>
      <c r="FIH36" s="6"/>
      <c r="FII36" s="6"/>
      <c r="FIJ36" s="6"/>
      <c r="FIK36" s="6"/>
      <c r="FIL36" s="6"/>
      <c r="FIM36" s="6"/>
      <c r="FIN36" s="6"/>
      <c r="FIO36" s="6"/>
      <c r="FIP36" s="6"/>
      <c r="FIQ36" s="6"/>
      <c r="FIR36" s="6"/>
      <c r="FIS36" s="6"/>
      <c r="FIT36" s="6"/>
      <c r="FIU36" s="6"/>
      <c r="FIV36" s="6"/>
      <c r="FIW36" s="6"/>
      <c r="FIX36" s="6"/>
      <c r="FIY36" s="6"/>
      <c r="FIZ36" s="6"/>
      <c r="FJA36" s="6"/>
      <c r="FJB36" s="6"/>
      <c r="FJC36" s="6"/>
      <c r="FJD36" s="6"/>
      <c r="FJE36" s="6"/>
      <c r="FJF36" s="6"/>
      <c r="FJG36" s="6"/>
      <c r="FJH36" s="6"/>
      <c r="FJI36" s="6"/>
      <c r="FJJ36" s="6"/>
      <c r="FJK36" s="6"/>
      <c r="FJL36" s="6"/>
      <c r="FJM36" s="6"/>
      <c r="FJN36" s="6"/>
      <c r="FJO36" s="6"/>
      <c r="FJP36" s="6"/>
      <c r="FJQ36" s="6"/>
      <c r="FJR36" s="6"/>
      <c r="FJS36" s="6"/>
      <c r="FJT36" s="6"/>
      <c r="FJU36" s="6"/>
      <c r="FJV36" s="6"/>
      <c r="FJW36" s="6"/>
      <c r="FJX36" s="6"/>
      <c r="FJY36" s="6"/>
      <c r="FJZ36" s="6"/>
      <c r="FKA36" s="6"/>
      <c r="FKB36" s="6"/>
      <c r="FKC36" s="6"/>
      <c r="FKD36" s="6"/>
      <c r="FKE36" s="6"/>
      <c r="FKF36" s="6"/>
      <c r="FKG36" s="6"/>
      <c r="FKH36" s="6"/>
      <c r="FKI36" s="6"/>
      <c r="FKJ36" s="6"/>
      <c r="FKK36" s="6"/>
      <c r="FKL36" s="6"/>
      <c r="FKM36" s="6"/>
      <c r="FKN36" s="6"/>
      <c r="FKO36" s="6"/>
      <c r="FKP36" s="6"/>
      <c r="FKQ36" s="6"/>
      <c r="FKR36" s="6"/>
      <c r="FKS36" s="6"/>
      <c r="FKT36" s="6"/>
      <c r="FKU36" s="6"/>
      <c r="FKV36" s="6"/>
      <c r="FKW36" s="6"/>
      <c r="FKX36" s="6"/>
      <c r="FKY36" s="6"/>
      <c r="FKZ36" s="6"/>
      <c r="FLA36" s="6"/>
      <c r="FLB36" s="6"/>
      <c r="FLC36" s="6"/>
      <c r="FLD36" s="6"/>
      <c r="FLE36" s="6"/>
      <c r="FLF36" s="6"/>
      <c r="FLG36" s="6"/>
      <c r="FLH36" s="6"/>
      <c r="FLI36" s="6"/>
      <c r="FLJ36" s="6"/>
      <c r="FLK36" s="6"/>
      <c r="FLL36" s="6"/>
      <c r="FLM36" s="6"/>
      <c r="FLN36" s="6"/>
      <c r="FLO36" s="6"/>
      <c r="FLP36" s="6"/>
      <c r="FLQ36" s="6"/>
      <c r="FLR36" s="6"/>
      <c r="FLS36" s="6"/>
      <c r="FLT36" s="6"/>
      <c r="FLU36" s="6"/>
      <c r="FLV36" s="6"/>
      <c r="FLW36" s="6"/>
      <c r="FLX36" s="6"/>
      <c r="FLY36" s="6"/>
      <c r="FLZ36" s="6"/>
      <c r="FMA36" s="6"/>
      <c r="FMB36" s="6"/>
      <c r="FMC36" s="6"/>
      <c r="FMD36" s="6"/>
      <c r="FME36" s="6"/>
      <c r="FMF36" s="6"/>
      <c r="FMG36" s="6"/>
      <c r="FMH36" s="6"/>
      <c r="FMI36" s="6"/>
      <c r="FMJ36" s="6"/>
      <c r="FMK36" s="6"/>
      <c r="FML36" s="6"/>
      <c r="FMM36" s="6"/>
      <c r="FMN36" s="6"/>
      <c r="FMO36" s="6"/>
      <c r="FMP36" s="6"/>
      <c r="FMQ36" s="6"/>
      <c r="FMR36" s="6"/>
      <c r="FMS36" s="6"/>
      <c r="FMT36" s="6"/>
      <c r="FMU36" s="6"/>
      <c r="FMV36" s="6"/>
      <c r="FMW36" s="6"/>
      <c r="FMX36" s="6"/>
      <c r="FMY36" s="6"/>
      <c r="FMZ36" s="6"/>
      <c r="FNA36" s="6"/>
      <c r="FNB36" s="6"/>
      <c r="FNC36" s="6"/>
      <c r="FND36" s="6"/>
      <c r="FNE36" s="6"/>
      <c r="FNF36" s="6"/>
      <c r="FNG36" s="6"/>
      <c r="FNH36" s="6"/>
      <c r="FNI36" s="6"/>
      <c r="FNJ36" s="6"/>
      <c r="FNK36" s="6"/>
      <c r="FNL36" s="6"/>
      <c r="FNM36" s="6"/>
      <c r="FNN36" s="6"/>
      <c r="FNO36" s="6"/>
      <c r="FNP36" s="6"/>
      <c r="FNQ36" s="6"/>
      <c r="FNR36" s="6"/>
      <c r="FNS36" s="6"/>
      <c r="FNT36" s="6"/>
      <c r="FNU36" s="6"/>
      <c r="FNV36" s="6"/>
      <c r="FNW36" s="6"/>
      <c r="FNX36" s="6"/>
      <c r="FNY36" s="6"/>
      <c r="FNZ36" s="6"/>
      <c r="FOA36" s="6"/>
      <c r="FOB36" s="6"/>
      <c r="FOC36" s="6"/>
      <c r="FOD36" s="6"/>
      <c r="FOE36" s="6"/>
      <c r="FOF36" s="6"/>
      <c r="FOG36" s="6"/>
      <c r="FOH36" s="6"/>
      <c r="FOI36" s="6"/>
      <c r="FOJ36" s="6"/>
      <c r="FOK36" s="6"/>
      <c r="FOL36" s="6"/>
      <c r="FOM36" s="6"/>
      <c r="FON36" s="6"/>
      <c r="FOO36" s="6"/>
      <c r="FOP36" s="6"/>
      <c r="FOQ36" s="6"/>
      <c r="FOR36" s="6"/>
      <c r="FOS36" s="6"/>
      <c r="FOT36" s="6"/>
      <c r="FOU36" s="6"/>
      <c r="FOV36" s="6"/>
      <c r="FOW36" s="6"/>
      <c r="FOX36" s="6"/>
      <c r="FOY36" s="6"/>
      <c r="FOZ36" s="6"/>
      <c r="FPA36" s="6"/>
      <c r="FPB36" s="6"/>
      <c r="FPC36" s="6"/>
      <c r="FPD36" s="6"/>
      <c r="FPE36" s="6"/>
      <c r="FPF36" s="6"/>
      <c r="FPG36" s="6"/>
      <c r="FPH36" s="6"/>
      <c r="FPI36" s="6"/>
      <c r="FPJ36" s="6"/>
      <c r="FPK36" s="6"/>
      <c r="FPL36" s="6"/>
      <c r="FPM36" s="6"/>
      <c r="FPN36" s="6"/>
      <c r="FPO36" s="6"/>
      <c r="FPP36" s="6"/>
      <c r="FPQ36" s="6"/>
      <c r="FPR36" s="6"/>
      <c r="FPS36" s="6"/>
      <c r="FPT36" s="6"/>
      <c r="FPU36" s="6"/>
      <c r="FPV36" s="6"/>
      <c r="FPW36" s="6"/>
      <c r="FPX36" s="6"/>
      <c r="FPY36" s="6"/>
      <c r="FPZ36" s="6"/>
      <c r="FQA36" s="6"/>
      <c r="FQB36" s="6"/>
      <c r="FQC36" s="6"/>
      <c r="FQD36" s="6"/>
      <c r="FQE36" s="6"/>
      <c r="FQF36" s="6"/>
      <c r="FQG36" s="6"/>
      <c r="FQH36" s="6"/>
      <c r="FQI36" s="6"/>
      <c r="FQJ36" s="6"/>
      <c r="FQK36" s="6"/>
      <c r="FQL36" s="6"/>
      <c r="FQM36" s="6"/>
      <c r="FQN36" s="6"/>
      <c r="FQO36" s="6"/>
      <c r="FQP36" s="6"/>
      <c r="FQQ36" s="6"/>
      <c r="FQR36" s="6"/>
      <c r="FQS36" s="6"/>
      <c r="FQT36" s="6"/>
      <c r="FQU36" s="6"/>
      <c r="FQV36" s="6"/>
      <c r="FQW36" s="6"/>
      <c r="FQX36" s="6"/>
      <c r="FQY36" s="6"/>
      <c r="FQZ36" s="6"/>
      <c r="FRA36" s="6"/>
      <c r="FRB36" s="6"/>
      <c r="FRC36" s="6"/>
      <c r="FRD36" s="6"/>
      <c r="FRE36" s="6"/>
      <c r="FRF36" s="6"/>
      <c r="FRG36" s="6"/>
      <c r="FRH36" s="6"/>
      <c r="FRI36" s="6"/>
      <c r="FRJ36" s="6"/>
      <c r="FRK36" s="6"/>
      <c r="FRL36" s="6"/>
      <c r="FRM36" s="6"/>
      <c r="FRN36" s="6"/>
      <c r="FRO36" s="6"/>
      <c r="FRP36" s="6"/>
      <c r="FRQ36" s="6"/>
      <c r="FRR36" s="6"/>
      <c r="FRS36" s="6"/>
      <c r="FRT36" s="6"/>
      <c r="FRU36" s="6"/>
      <c r="FRV36" s="6"/>
      <c r="FRW36" s="6"/>
      <c r="FRX36" s="6"/>
      <c r="FRY36" s="6"/>
      <c r="FRZ36" s="6"/>
      <c r="FSA36" s="6"/>
      <c r="FSB36" s="6"/>
      <c r="FSC36" s="6"/>
      <c r="FSD36" s="6"/>
      <c r="FSE36" s="6"/>
      <c r="FSF36" s="6"/>
      <c r="FSG36" s="6"/>
      <c r="FSH36" s="6"/>
      <c r="FSI36" s="6"/>
      <c r="FSJ36" s="6"/>
      <c r="FSK36" s="6"/>
      <c r="FSL36" s="6"/>
      <c r="FSM36" s="6"/>
      <c r="FSN36" s="6"/>
      <c r="FSO36" s="6"/>
      <c r="FSP36" s="6"/>
      <c r="FSQ36" s="6"/>
      <c r="FSR36" s="6"/>
      <c r="FSS36" s="6"/>
      <c r="FST36" s="6"/>
      <c r="FSU36" s="6"/>
      <c r="FSV36" s="6"/>
      <c r="FSW36" s="6"/>
      <c r="FSX36" s="6"/>
      <c r="FSY36" s="6"/>
      <c r="FSZ36" s="6"/>
      <c r="FTA36" s="6"/>
      <c r="FTB36" s="6"/>
      <c r="FTC36" s="6"/>
      <c r="FTD36" s="6"/>
      <c r="FTE36" s="6"/>
      <c r="FTF36" s="6"/>
      <c r="FTG36" s="6"/>
      <c r="FTH36" s="6"/>
      <c r="FTI36" s="6"/>
      <c r="FTJ36" s="6"/>
      <c r="FTK36" s="6"/>
      <c r="FTL36" s="6"/>
      <c r="FTM36" s="6"/>
      <c r="FTN36" s="6"/>
      <c r="FTO36" s="6"/>
      <c r="FTP36" s="6"/>
      <c r="FTQ36" s="6"/>
      <c r="FTR36" s="6"/>
      <c r="FTS36" s="6"/>
      <c r="FTT36" s="6"/>
      <c r="FTU36" s="6"/>
      <c r="FTV36" s="6"/>
      <c r="FTW36" s="6"/>
      <c r="FTX36" s="6"/>
      <c r="FTY36" s="6"/>
      <c r="FTZ36" s="6"/>
      <c r="FUA36" s="6"/>
      <c r="FUB36" s="6"/>
      <c r="FUC36" s="6"/>
      <c r="FUD36" s="6"/>
      <c r="FUE36" s="6"/>
      <c r="FUF36" s="6"/>
      <c r="FUG36" s="6"/>
      <c r="FUH36" s="6"/>
      <c r="FUI36" s="6"/>
      <c r="FUJ36" s="6"/>
      <c r="FUK36" s="6"/>
      <c r="FUL36" s="6"/>
      <c r="FUM36" s="6"/>
      <c r="FUN36" s="6"/>
      <c r="FUO36" s="6"/>
      <c r="FUP36" s="6"/>
      <c r="FUQ36" s="6"/>
      <c r="FUR36" s="6"/>
      <c r="FUS36" s="6"/>
      <c r="FUT36" s="6"/>
      <c r="FUU36" s="6"/>
      <c r="FUV36" s="6"/>
      <c r="FUW36" s="6"/>
      <c r="FUX36" s="6"/>
      <c r="FUY36" s="6"/>
      <c r="FUZ36" s="6"/>
      <c r="FVA36" s="6"/>
      <c r="FVB36" s="6"/>
      <c r="FVC36" s="6"/>
      <c r="FVD36" s="6"/>
      <c r="FVE36" s="6"/>
      <c r="FVF36" s="6"/>
      <c r="FVG36" s="6"/>
      <c r="FVH36" s="6"/>
      <c r="FVI36" s="6"/>
      <c r="FVJ36" s="6"/>
      <c r="FVK36" s="6"/>
      <c r="FVL36" s="6"/>
      <c r="FVM36" s="6"/>
      <c r="FVN36" s="6"/>
      <c r="FVO36" s="6"/>
      <c r="FVP36" s="6"/>
      <c r="FVQ36" s="6"/>
      <c r="FVR36" s="6"/>
      <c r="FVS36" s="6"/>
      <c r="FVT36" s="6"/>
      <c r="FVU36" s="6"/>
      <c r="FVV36" s="6"/>
      <c r="FVW36" s="6"/>
      <c r="FVX36" s="6"/>
      <c r="FVY36" s="6"/>
      <c r="FVZ36" s="6"/>
      <c r="FWA36" s="6"/>
      <c r="FWB36" s="6"/>
      <c r="FWC36" s="6"/>
      <c r="FWD36" s="6"/>
      <c r="FWE36" s="6"/>
      <c r="FWF36" s="6"/>
      <c r="FWG36" s="6"/>
      <c r="FWH36" s="6"/>
      <c r="FWI36" s="6"/>
      <c r="FWJ36" s="6"/>
      <c r="FWK36" s="6"/>
      <c r="FWL36" s="6"/>
      <c r="FWM36" s="6"/>
      <c r="FWN36" s="6"/>
      <c r="FWO36" s="6"/>
      <c r="FWP36" s="6"/>
      <c r="FWQ36" s="6"/>
      <c r="FWR36" s="6"/>
      <c r="FWS36" s="6"/>
      <c r="FWT36" s="6"/>
      <c r="FWU36" s="6"/>
      <c r="FWV36" s="6"/>
      <c r="FWW36" s="6"/>
      <c r="FWX36" s="6"/>
      <c r="FWY36" s="6"/>
      <c r="FWZ36" s="6"/>
      <c r="FXA36" s="6"/>
      <c r="FXB36" s="6"/>
      <c r="FXC36" s="6"/>
      <c r="FXD36" s="6"/>
      <c r="FXE36" s="6"/>
      <c r="FXF36" s="6"/>
      <c r="FXG36" s="6"/>
      <c r="FXH36" s="6"/>
      <c r="FXI36" s="6"/>
      <c r="FXJ36" s="6"/>
      <c r="FXK36" s="6"/>
      <c r="FXL36" s="6"/>
      <c r="FXM36" s="6"/>
      <c r="FXN36" s="6"/>
      <c r="FXO36" s="6"/>
      <c r="FXP36" s="6"/>
      <c r="FXQ36" s="6"/>
      <c r="FXR36" s="6"/>
      <c r="FXS36" s="6"/>
      <c r="FXT36" s="6"/>
      <c r="FXU36" s="6"/>
      <c r="FXV36" s="6"/>
      <c r="FXW36" s="6"/>
      <c r="FXX36" s="6"/>
      <c r="FXY36" s="6"/>
      <c r="FXZ36" s="6"/>
      <c r="FYA36" s="6"/>
      <c r="FYB36" s="6"/>
      <c r="FYC36" s="6"/>
      <c r="FYD36" s="6"/>
      <c r="FYE36" s="6"/>
      <c r="FYF36" s="6"/>
      <c r="FYG36" s="6"/>
      <c r="FYH36" s="6"/>
      <c r="FYI36" s="6"/>
      <c r="FYJ36" s="6"/>
      <c r="FYK36" s="6"/>
      <c r="FYL36" s="6"/>
      <c r="FYM36" s="6"/>
      <c r="FYN36" s="6"/>
      <c r="FYO36" s="6"/>
      <c r="FYP36" s="6"/>
      <c r="FYQ36" s="6"/>
      <c r="FYR36" s="6"/>
      <c r="FYS36" s="6"/>
      <c r="FYT36" s="6"/>
      <c r="FYU36" s="6"/>
      <c r="FYV36" s="6"/>
      <c r="FYW36" s="6"/>
      <c r="FYX36" s="6"/>
      <c r="FYY36" s="6"/>
      <c r="FYZ36" s="6"/>
      <c r="FZA36" s="6"/>
      <c r="FZB36" s="6"/>
      <c r="FZC36" s="6"/>
      <c r="FZD36" s="6"/>
      <c r="FZE36" s="6"/>
      <c r="FZF36" s="6"/>
      <c r="FZG36" s="6"/>
      <c r="FZH36" s="6"/>
      <c r="FZI36" s="6"/>
      <c r="FZJ36" s="6"/>
      <c r="FZK36" s="6"/>
      <c r="FZL36" s="6"/>
      <c r="FZM36" s="6"/>
      <c r="FZN36" s="6"/>
      <c r="FZO36" s="6"/>
      <c r="FZP36" s="6"/>
      <c r="FZQ36" s="6"/>
      <c r="FZR36" s="6"/>
      <c r="FZS36" s="6"/>
      <c r="FZT36" s="6"/>
      <c r="FZU36" s="6"/>
      <c r="FZV36" s="6"/>
      <c r="FZW36" s="6"/>
      <c r="FZX36" s="6"/>
      <c r="FZY36" s="6"/>
      <c r="FZZ36" s="6"/>
      <c r="GAA36" s="6"/>
      <c r="GAB36" s="6"/>
      <c r="GAC36" s="6"/>
      <c r="GAD36" s="6"/>
      <c r="GAE36" s="6"/>
      <c r="GAF36" s="6"/>
      <c r="GAG36" s="6"/>
      <c r="GAH36" s="6"/>
      <c r="GAI36" s="6"/>
      <c r="GAJ36" s="6"/>
      <c r="GAK36" s="6"/>
      <c r="GAL36" s="6"/>
      <c r="GAM36" s="6"/>
      <c r="GAN36" s="6"/>
      <c r="GAO36" s="6"/>
      <c r="GAP36" s="6"/>
      <c r="GAQ36" s="6"/>
      <c r="GAR36" s="6"/>
      <c r="GAS36" s="6"/>
      <c r="GAT36" s="6"/>
      <c r="GAU36" s="6"/>
      <c r="GAV36" s="6"/>
      <c r="GAW36" s="6"/>
      <c r="GAX36" s="6"/>
      <c r="GAY36" s="6"/>
      <c r="GAZ36" s="6"/>
      <c r="GBA36" s="6"/>
      <c r="GBB36" s="6"/>
      <c r="GBC36" s="6"/>
      <c r="GBD36" s="6"/>
      <c r="GBE36" s="6"/>
      <c r="GBF36" s="6"/>
      <c r="GBG36" s="6"/>
      <c r="GBH36" s="6"/>
      <c r="GBI36" s="6"/>
      <c r="GBJ36" s="6"/>
      <c r="GBK36" s="6"/>
      <c r="GBL36" s="6"/>
      <c r="GBM36" s="6"/>
      <c r="GBN36" s="6"/>
      <c r="GBO36" s="6"/>
      <c r="GBP36" s="6"/>
      <c r="GBQ36" s="6"/>
      <c r="GBR36" s="6"/>
      <c r="GBS36" s="6"/>
      <c r="GBT36" s="6"/>
      <c r="GBU36" s="6"/>
      <c r="GBV36" s="6"/>
      <c r="GBW36" s="6"/>
      <c r="GBX36" s="6"/>
      <c r="GBY36" s="6"/>
      <c r="GBZ36" s="6"/>
      <c r="GCA36" s="6"/>
      <c r="GCB36" s="6"/>
      <c r="GCC36" s="6"/>
      <c r="GCD36" s="6"/>
      <c r="GCE36" s="6"/>
      <c r="GCF36" s="6"/>
      <c r="GCG36" s="6"/>
      <c r="GCH36" s="6"/>
      <c r="GCI36" s="6"/>
      <c r="GCJ36" s="6"/>
      <c r="GCK36" s="6"/>
      <c r="GCL36" s="6"/>
      <c r="GCM36" s="6"/>
      <c r="GCN36" s="6"/>
      <c r="GCO36" s="6"/>
      <c r="GCP36" s="6"/>
      <c r="GCQ36" s="6"/>
      <c r="GCR36" s="6"/>
      <c r="GCS36" s="6"/>
      <c r="GCT36" s="6"/>
      <c r="GCU36" s="6"/>
      <c r="GCV36" s="6"/>
      <c r="GCW36" s="6"/>
      <c r="GCX36" s="6"/>
      <c r="GCY36" s="6"/>
      <c r="GCZ36" s="6"/>
      <c r="GDA36" s="6"/>
      <c r="GDB36" s="6"/>
      <c r="GDC36" s="6"/>
      <c r="GDD36" s="6"/>
      <c r="GDE36" s="6"/>
      <c r="GDF36" s="6"/>
      <c r="GDG36" s="6"/>
      <c r="GDH36" s="6"/>
      <c r="GDI36" s="6"/>
      <c r="GDJ36" s="6"/>
      <c r="GDK36" s="6"/>
      <c r="GDL36" s="6"/>
      <c r="GDM36" s="6"/>
      <c r="GDN36" s="6"/>
      <c r="GDO36" s="6"/>
      <c r="GDP36" s="6"/>
      <c r="GDQ36" s="6"/>
      <c r="GDR36" s="6"/>
      <c r="GDS36" s="6"/>
      <c r="GDT36" s="6"/>
      <c r="GDU36" s="6"/>
      <c r="GDV36" s="6"/>
      <c r="GDW36" s="6"/>
      <c r="GDX36" s="6"/>
      <c r="GDY36" s="6"/>
      <c r="GDZ36" s="6"/>
      <c r="GEA36" s="6"/>
      <c r="GEB36" s="6"/>
      <c r="GEC36" s="6"/>
      <c r="GED36" s="6"/>
      <c r="GEE36" s="6"/>
      <c r="GEF36" s="6"/>
      <c r="GEG36" s="6"/>
      <c r="GEH36" s="6"/>
      <c r="GEI36" s="6"/>
      <c r="GEJ36" s="6"/>
      <c r="GEK36" s="6"/>
      <c r="GEL36" s="6"/>
      <c r="GEM36" s="6"/>
      <c r="GEN36" s="6"/>
      <c r="GEO36" s="6"/>
      <c r="GEP36" s="6"/>
      <c r="GEQ36" s="6"/>
      <c r="GER36" s="6"/>
      <c r="GES36" s="6"/>
      <c r="GET36" s="6"/>
      <c r="GEU36" s="6"/>
      <c r="GEV36" s="6"/>
      <c r="GEW36" s="6"/>
      <c r="GEX36" s="6"/>
      <c r="GEY36" s="6"/>
      <c r="GEZ36" s="6"/>
      <c r="GFA36" s="6"/>
      <c r="GFB36" s="6"/>
      <c r="GFC36" s="6"/>
      <c r="GFD36" s="6"/>
      <c r="GFE36" s="6"/>
      <c r="GFF36" s="6"/>
      <c r="GFG36" s="6"/>
      <c r="GFH36" s="6"/>
      <c r="GFI36" s="6"/>
      <c r="GFJ36" s="6"/>
      <c r="GFK36" s="6"/>
      <c r="GFL36" s="6"/>
      <c r="GFM36" s="6"/>
      <c r="GFN36" s="6"/>
      <c r="GFO36" s="6"/>
      <c r="GFP36" s="6"/>
      <c r="GFQ36" s="6"/>
      <c r="GFR36" s="6"/>
      <c r="GFS36" s="6"/>
      <c r="GFT36" s="6"/>
      <c r="GFU36" s="6"/>
      <c r="GFV36" s="6"/>
      <c r="GFW36" s="6"/>
      <c r="GFX36" s="6"/>
      <c r="GFY36" s="6"/>
      <c r="GFZ36" s="6"/>
      <c r="GGA36" s="6"/>
      <c r="GGB36" s="6"/>
      <c r="GGC36" s="6"/>
      <c r="GGD36" s="6"/>
      <c r="GGE36" s="6"/>
      <c r="GGF36" s="6"/>
      <c r="GGG36" s="6"/>
      <c r="GGH36" s="6"/>
      <c r="GGI36" s="6"/>
      <c r="GGJ36" s="6"/>
      <c r="GGK36" s="6"/>
      <c r="GGL36" s="6"/>
      <c r="GGM36" s="6"/>
      <c r="GGN36" s="6"/>
      <c r="GGO36" s="6"/>
      <c r="GGP36" s="6"/>
      <c r="GGQ36" s="6"/>
      <c r="GGR36" s="6"/>
      <c r="GGS36" s="6"/>
      <c r="GGT36" s="6"/>
      <c r="GGU36" s="6"/>
      <c r="GGV36" s="6"/>
      <c r="GGW36" s="6"/>
      <c r="GGX36" s="6"/>
      <c r="GGY36" s="6"/>
      <c r="GGZ36" s="6"/>
      <c r="GHA36" s="6"/>
      <c r="GHB36" s="6"/>
      <c r="GHC36" s="6"/>
      <c r="GHD36" s="6"/>
      <c r="GHE36" s="6"/>
      <c r="GHF36" s="6"/>
      <c r="GHG36" s="6"/>
      <c r="GHH36" s="6"/>
      <c r="GHI36" s="6"/>
      <c r="GHJ36" s="6"/>
      <c r="GHK36" s="6"/>
      <c r="GHL36" s="6"/>
      <c r="GHM36" s="6"/>
      <c r="GHN36" s="6"/>
      <c r="GHO36" s="6"/>
      <c r="GHP36" s="6"/>
      <c r="GHQ36" s="6"/>
      <c r="GHR36" s="6"/>
      <c r="GHS36" s="6"/>
      <c r="GHT36" s="6"/>
      <c r="GHU36" s="6"/>
      <c r="GHV36" s="6"/>
      <c r="GHW36" s="6"/>
      <c r="GHX36" s="6"/>
      <c r="GHY36" s="6"/>
      <c r="GHZ36" s="6"/>
      <c r="GIA36" s="6"/>
      <c r="GIB36" s="6"/>
      <c r="GIC36" s="6"/>
      <c r="GID36" s="6"/>
      <c r="GIE36" s="6"/>
      <c r="GIF36" s="6"/>
      <c r="GIG36" s="6"/>
      <c r="GIH36" s="6"/>
      <c r="GII36" s="6"/>
      <c r="GIJ36" s="6"/>
      <c r="GIK36" s="6"/>
      <c r="GIL36" s="6"/>
      <c r="GIM36" s="6"/>
      <c r="GIN36" s="6"/>
      <c r="GIO36" s="6"/>
      <c r="GIP36" s="6"/>
      <c r="GIQ36" s="6"/>
      <c r="GIR36" s="6"/>
      <c r="GIS36" s="6"/>
      <c r="GIT36" s="6"/>
      <c r="GIU36" s="6"/>
      <c r="GIV36" s="6"/>
      <c r="GIW36" s="6"/>
      <c r="GIX36" s="6"/>
      <c r="GIY36" s="6"/>
      <c r="GIZ36" s="6"/>
      <c r="GJA36" s="6"/>
      <c r="GJB36" s="6"/>
      <c r="GJC36" s="6"/>
      <c r="GJD36" s="6"/>
      <c r="GJE36" s="6"/>
      <c r="GJF36" s="6"/>
      <c r="GJG36" s="6"/>
      <c r="GJH36" s="6"/>
      <c r="GJI36" s="6"/>
      <c r="GJJ36" s="6"/>
      <c r="GJK36" s="6"/>
      <c r="GJL36" s="6"/>
      <c r="GJM36" s="6"/>
      <c r="GJN36" s="6"/>
      <c r="GJO36" s="6"/>
      <c r="GJP36" s="6"/>
      <c r="GJQ36" s="6"/>
      <c r="GJR36" s="6"/>
      <c r="GJS36" s="6"/>
      <c r="GJT36" s="6"/>
      <c r="GJU36" s="6"/>
      <c r="GJV36" s="6"/>
      <c r="GJW36" s="6"/>
      <c r="GJX36" s="6"/>
      <c r="GJY36" s="6"/>
      <c r="GJZ36" s="6"/>
      <c r="GKA36" s="6"/>
      <c r="GKB36" s="6"/>
      <c r="GKC36" s="6"/>
      <c r="GKD36" s="6"/>
      <c r="GKE36" s="6"/>
      <c r="GKF36" s="6"/>
      <c r="GKG36" s="6"/>
      <c r="GKH36" s="6"/>
      <c r="GKI36" s="6"/>
      <c r="GKJ36" s="6"/>
      <c r="GKK36" s="6"/>
      <c r="GKL36" s="6"/>
      <c r="GKM36" s="6"/>
      <c r="GKN36" s="6"/>
      <c r="GKO36" s="6"/>
      <c r="GKP36" s="6"/>
      <c r="GKQ36" s="6"/>
      <c r="GKR36" s="6"/>
      <c r="GKS36" s="6"/>
      <c r="GKT36" s="6"/>
      <c r="GKU36" s="6"/>
      <c r="GKV36" s="6"/>
      <c r="GKW36" s="6"/>
      <c r="GKX36" s="6"/>
      <c r="GKY36" s="6"/>
      <c r="GKZ36" s="6"/>
      <c r="GLA36" s="6"/>
      <c r="GLB36" s="6"/>
      <c r="GLC36" s="6"/>
      <c r="GLD36" s="6"/>
      <c r="GLE36" s="6"/>
      <c r="GLF36" s="6"/>
      <c r="GLG36" s="6"/>
      <c r="GLH36" s="6"/>
      <c r="GLI36" s="6"/>
      <c r="GLJ36" s="6"/>
      <c r="GLK36" s="6"/>
      <c r="GLL36" s="6"/>
      <c r="GLM36" s="6"/>
      <c r="GLN36" s="6"/>
      <c r="GLO36" s="6"/>
      <c r="GLP36" s="6"/>
      <c r="GLQ36" s="6"/>
      <c r="GLR36" s="6"/>
      <c r="GLS36" s="6"/>
      <c r="GLT36" s="6"/>
      <c r="GLU36" s="6"/>
      <c r="GLV36" s="6"/>
      <c r="GLW36" s="6"/>
      <c r="GLX36" s="6"/>
      <c r="GLY36" s="6"/>
      <c r="GLZ36" s="6"/>
      <c r="GMA36" s="6"/>
      <c r="GMB36" s="6"/>
      <c r="GMC36" s="6"/>
      <c r="GMD36" s="6"/>
      <c r="GME36" s="6"/>
      <c r="GMF36" s="6"/>
      <c r="GMG36" s="6"/>
      <c r="GMH36" s="6"/>
      <c r="GMI36" s="6"/>
      <c r="GMJ36" s="6"/>
      <c r="GMK36" s="6"/>
      <c r="GML36" s="6"/>
      <c r="GMM36" s="6"/>
      <c r="GMN36" s="6"/>
      <c r="GMO36" s="6"/>
      <c r="GMP36" s="6"/>
      <c r="GMQ36" s="6"/>
      <c r="GMR36" s="6"/>
      <c r="GMS36" s="6"/>
      <c r="GMT36" s="6"/>
      <c r="GMU36" s="6"/>
      <c r="GMV36" s="6"/>
      <c r="GMW36" s="6"/>
      <c r="GMX36" s="6"/>
      <c r="GMY36" s="6"/>
      <c r="GMZ36" s="6"/>
      <c r="GNA36" s="6"/>
      <c r="GNB36" s="6"/>
      <c r="GNC36" s="6"/>
      <c r="GND36" s="6"/>
      <c r="GNE36" s="6"/>
      <c r="GNF36" s="6"/>
      <c r="GNG36" s="6"/>
      <c r="GNH36" s="6"/>
      <c r="GNI36" s="6"/>
      <c r="GNJ36" s="6"/>
      <c r="GNK36" s="6"/>
      <c r="GNL36" s="6"/>
      <c r="GNM36" s="6"/>
      <c r="GNN36" s="6"/>
      <c r="GNO36" s="6"/>
      <c r="GNP36" s="6"/>
      <c r="GNQ36" s="6"/>
      <c r="GNR36" s="6"/>
      <c r="GNS36" s="6"/>
      <c r="GNT36" s="6"/>
      <c r="GNU36" s="6"/>
      <c r="GNV36" s="6"/>
      <c r="GNW36" s="6"/>
      <c r="GNX36" s="6"/>
      <c r="GNY36" s="6"/>
      <c r="GNZ36" s="6"/>
      <c r="GOA36" s="6"/>
      <c r="GOB36" s="6"/>
      <c r="GOC36" s="6"/>
      <c r="GOD36" s="6"/>
      <c r="GOE36" s="6"/>
      <c r="GOF36" s="6"/>
      <c r="GOG36" s="6"/>
      <c r="GOH36" s="6"/>
      <c r="GOI36" s="6"/>
      <c r="GOJ36" s="6"/>
      <c r="GOK36" s="6"/>
      <c r="GOL36" s="6"/>
      <c r="GOM36" s="6"/>
      <c r="GON36" s="6"/>
      <c r="GOO36" s="6"/>
      <c r="GOP36" s="6"/>
      <c r="GOQ36" s="6"/>
      <c r="GOR36" s="6"/>
      <c r="GOS36" s="6"/>
      <c r="GOT36" s="6"/>
      <c r="GOU36" s="6"/>
      <c r="GOV36" s="6"/>
      <c r="GOW36" s="6"/>
      <c r="GOX36" s="6"/>
      <c r="GOY36" s="6"/>
      <c r="GOZ36" s="6"/>
      <c r="GPA36" s="6"/>
      <c r="GPB36" s="6"/>
      <c r="GPC36" s="6"/>
      <c r="GPD36" s="6"/>
      <c r="GPE36" s="6"/>
      <c r="GPF36" s="6"/>
      <c r="GPG36" s="6"/>
      <c r="GPH36" s="6"/>
      <c r="GPI36" s="6"/>
      <c r="GPJ36" s="6"/>
      <c r="GPK36" s="6"/>
      <c r="GPL36" s="6"/>
      <c r="GPM36" s="6"/>
      <c r="GPN36" s="6"/>
      <c r="GPO36" s="6"/>
      <c r="GPP36" s="6"/>
      <c r="GPQ36" s="6"/>
      <c r="GPR36" s="6"/>
      <c r="GPS36" s="6"/>
      <c r="GPT36" s="6"/>
      <c r="GPU36" s="6"/>
      <c r="GPV36" s="6"/>
      <c r="GPW36" s="6"/>
      <c r="GPX36" s="6"/>
      <c r="GPY36" s="6"/>
      <c r="GPZ36" s="6"/>
      <c r="GQA36" s="6"/>
      <c r="GQB36" s="6"/>
      <c r="GQC36" s="6"/>
      <c r="GQD36" s="6"/>
      <c r="GQE36" s="6"/>
      <c r="GQF36" s="6"/>
      <c r="GQG36" s="6"/>
      <c r="GQH36" s="6"/>
      <c r="GQI36" s="6"/>
      <c r="GQJ36" s="6"/>
      <c r="GQK36" s="6"/>
      <c r="GQL36" s="6"/>
      <c r="GQM36" s="6"/>
      <c r="GQN36" s="6"/>
      <c r="GQO36" s="6"/>
      <c r="GQP36" s="6"/>
      <c r="GQQ36" s="6"/>
      <c r="GQR36" s="6"/>
      <c r="GQS36" s="6"/>
      <c r="GQT36" s="6"/>
      <c r="GQU36" s="6"/>
      <c r="GQV36" s="6"/>
      <c r="GQW36" s="6"/>
      <c r="GQX36" s="6"/>
      <c r="GQY36" s="6"/>
      <c r="GQZ36" s="6"/>
      <c r="GRA36" s="6"/>
      <c r="GRB36" s="6"/>
      <c r="GRC36" s="6"/>
      <c r="GRD36" s="6"/>
      <c r="GRE36" s="6"/>
      <c r="GRF36" s="6"/>
      <c r="GRG36" s="6"/>
      <c r="GRH36" s="6"/>
      <c r="GRI36" s="6"/>
      <c r="GRJ36" s="6"/>
      <c r="GRK36" s="6"/>
      <c r="GRL36" s="6"/>
      <c r="GRM36" s="6"/>
      <c r="GRN36" s="6"/>
      <c r="GRO36" s="6"/>
      <c r="GRP36" s="6"/>
      <c r="GRQ36" s="6"/>
      <c r="GRR36" s="6"/>
      <c r="GRS36" s="6"/>
      <c r="GRT36" s="6"/>
      <c r="GRU36" s="6"/>
      <c r="GRV36" s="6"/>
      <c r="GRW36" s="6"/>
      <c r="GRX36" s="6"/>
      <c r="GRY36" s="6"/>
      <c r="GRZ36" s="6"/>
      <c r="GSA36" s="6"/>
      <c r="GSB36" s="6"/>
      <c r="GSC36" s="6"/>
      <c r="GSD36" s="6"/>
      <c r="GSE36" s="6"/>
      <c r="GSF36" s="6"/>
      <c r="GSG36" s="6"/>
      <c r="GSH36" s="6"/>
      <c r="GSI36" s="6"/>
      <c r="GSJ36" s="6"/>
      <c r="GSK36" s="6"/>
      <c r="GSL36" s="6"/>
      <c r="GSM36" s="6"/>
      <c r="GSN36" s="6"/>
      <c r="GSO36" s="6"/>
      <c r="GSP36" s="6"/>
      <c r="GSQ36" s="6"/>
      <c r="GSR36" s="6"/>
      <c r="GSS36" s="6"/>
      <c r="GST36" s="6"/>
      <c r="GSU36" s="6"/>
      <c r="GSV36" s="6"/>
      <c r="GSW36" s="6"/>
      <c r="GSX36" s="6"/>
      <c r="GSY36" s="6"/>
      <c r="GSZ36" s="6"/>
      <c r="GTA36" s="6"/>
      <c r="GTB36" s="6"/>
      <c r="GTC36" s="6"/>
      <c r="GTD36" s="6"/>
      <c r="GTE36" s="6"/>
      <c r="GTF36" s="6"/>
      <c r="GTG36" s="6"/>
      <c r="GTH36" s="6"/>
      <c r="GTI36" s="6"/>
      <c r="GTJ36" s="6"/>
      <c r="GTK36" s="6"/>
      <c r="GTL36" s="6"/>
      <c r="GTM36" s="6"/>
      <c r="GTN36" s="6"/>
      <c r="GTO36" s="6"/>
      <c r="GTP36" s="6"/>
      <c r="GTQ36" s="6"/>
      <c r="GTR36" s="6"/>
      <c r="GTS36" s="6"/>
      <c r="GTT36" s="6"/>
      <c r="GTU36" s="6"/>
      <c r="GTV36" s="6"/>
      <c r="GTW36" s="6"/>
      <c r="GTX36" s="6"/>
      <c r="GTY36" s="6"/>
      <c r="GTZ36" s="6"/>
      <c r="GUA36" s="6"/>
      <c r="GUB36" s="6"/>
      <c r="GUC36" s="6"/>
      <c r="GUD36" s="6"/>
      <c r="GUE36" s="6"/>
      <c r="GUF36" s="6"/>
      <c r="GUG36" s="6"/>
      <c r="GUH36" s="6"/>
      <c r="GUI36" s="6"/>
      <c r="GUJ36" s="6"/>
      <c r="GUK36" s="6"/>
      <c r="GUL36" s="6"/>
      <c r="GUM36" s="6"/>
      <c r="GUN36" s="6"/>
      <c r="GUO36" s="6"/>
      <c r="GUP36" s="6"/>
      <c r="GUQ36" s="6"/>
      <c r="GUR36" s="6"/>
      <c r="GUS36" s="6"/>
      <c r="GUT36" s="6"/>
      <c r="GUU36" s="6"/>
      <c r="GUV36" s="6"/>
      <c r="GUW36" s="6"/>
      <c r="GUX36" s="6"/>
      <c r="GUY36" s="6"/>
      <c r="GUZ36" s="6"/>
      <c r="GVA36" s="6"/>
      <c r="GVB36" s="6"/>
      <c r="GVC36" s="6"/>
      <c r="GVD36" s="6"/>
      <c r="GVE36" s="6"/>
      <c r="GVF36" s="6"/>
      <c r="GVG36" s="6"/>
      <c r="GVH36" s="6"/>
      <c r="GVI36" s="6"/>
      <c r="GVJ36" s="6"/>
      <c r="GVK36" s="6"/>
      <c r="GVL36" s="6"/>
      <c r="GVM36" s="6"/>
      <c r="GVN36" s="6"/>
      <c r="GVO36" s="6"/>
      <c r="GVP36" s="6"/>
      <c r="GVQ36" s="6"/>
      <c r="GVR36" s="6"/>
      <c r="GVS36" s="6"/>
      <c r="GVT36" s="6"/>
      <c r="GVU36" s="6"/>
      <c r="GVV36" s="6"/>
      <c r="GVW36" s="6"/>
      <c r="GVX36" s="6"/>
      <c r="GVY36" s="6"/>
      <c r="GVZ36" s="6"/>
      <c r="GWA36" s="6"/>
      <c r="GWB36" s="6"/>
      <c r="GWC36" s="6"/>
      <c r="GWD36" s="6"/>
      <c r="GWE36" s="6"/>
      <c r="GWF36" s="6"/>
      <c r="GWG36" s="6"/>
      <c r="GWH36" s="6"/>
      <c r="GWI36" s="6"/>
      <c r="GWJ36" s="6"/>
      <c r="GWK36" s="6"/>
      <c r="GWL36" s="6"/>
      <c r="GWM36" s="6"/>
      <c r="GWN36" s="6"/>
      <c r="GWO36" s="6"/>
      <c r="GWP36" s="6"/>
      <c r="GWQ36" s="6"/>
      <c r="GWR36" s="6"/>
      <c r="GWS36" s="6"/>
      <c r="GWT36" s="6"/>
      <c r="GWU36" s="6"/>
      <c r="GWV36" s="6"/>
      <c r="GWW36" s="6"/>
      <c r="GWX36" s="6"/>
      <c r="GWY36" s="6"/>
      <c r="GWZ36" s="6"/>
      <c r="GXA36" s="6"/>
      <c r="GXB36" s="6"/>
      <c r="GXC36" s="6"/>
      <c r="GXD36" s="6"/>
      <c r="GXE36" s="6"/>
      <c r="GXF36" s="6"/>
      <c r="GXG36" s="6"/>
      <c r="GXH36" s="6"/>
      <c r="GXI36" s="6"/>
      <c r="GXJ36" s="6"/>
      <c r="GXK36" s="6"/>
      <c r="GXL36" s="6"/>
      <c r="GXM36" s="6"/>
      <c r="GXN36" s="6"/>
      <c r="GXO36" s="6"/>
      <c r="GXP36" s="6"/>
      <c r="GXQ36" s="6"/>
      <c r="GXR36" s="6"/>
      <c r="GXS36" s="6"/>
      <c r="GXT36" s="6"/>
      <c r="GXU36" s="6"/>
      <c r="GXV36" s="6"/>
      <c r="GXW36" s="6"/>
      <c r="GXX36" s="6"/>
      <c r="GXY36" s="6"/>
      <c r="GXZ36" s="6"/>
      <c r="GYA36" s="6"/>
      <c r="GYB36" s="6"/>
      <c r="GYC36" s="6"/>
      <c r="GYD36" s="6"/>
      <c r="GYE36" s="6"/>
      <c r="GYF36" s="6"/>
      <c r="GYG36" s="6"/>
      <c r="GYH36" s="6"/>
      <c r="GYI36" s="6"/>
      <c r="GYJ36" s="6"/>
      <c r="GYK36" s="6"/>
      <c r="GYL36" s="6"/>
      <c r="GYM36" s="6"/>
      <c r="GYN36" s="6"/>
      <c r="GYO36" s="6"/>
      <c r="GYP36" s="6"/>
      <c r="GYQ36" s="6"/>
      <c r="GYR36" s="6"/>
      <c r="GYS36" s="6"/>
      <c r="GYT36" s="6"/>
      <c r="GYU36" s="6"/>
      <c r="GYV36" s="6"/>
      <c r="GYW36" s="6"/>
      <c r="GYX36" s="6"/>
      <c r="GYY36" s="6"/>
      <c r="GYZ36" s="6"/>
      <c r="GZA36" s="6"/>
      <c r="GZB36" s="6"/>
      <c r="GZC36" s="6"/>
      <c r="GZD36" s="6"/>
      <c r="GZE36" s="6"/>
      <c r="GZF36" s="6"/>
      <c r="GZG36" s="6"/>
      <c r="GZH36" s="6"/>
      <c r="GZI36" s="6"/>
      <c r="GZJ36" s="6"/>
      <c r="GZK36" s="6"/>
      <c r="GZL36" s="6"/>
      <c r="GZM36" s="6"/>
      <c r="GZN36" s="6"/>
      <c r="GZO36" s="6"/>
      <c r="GZP36" s="6"/>
      <c r="GZQ36" s="6"/>
      <c r="GZR36" s="6"/>
      <c r="GZS36" s="6"/>
      <c r="GZT36" s="6"/>
      <c r="GZU36" s="6"/>
      <c r="GZV36" s="6"/>
      <c r="GZW36" s="6"/>
      <c r="GZX36" s="6"/>
      <c r="GZY36" s="6"/>
      <c r="GZZ36" s="6"/>
      <c r="HAA36" s="6"/>
      <c r="HAB36" s="6"/>
      <c r="HAC36" s="6"/>
      <c r="HAD36" s="6"/>
      <c r="HAE36" s="6"/>
      <c r="HAF36" s="6"/>
      <c r="HAG36" s="6"/>
      <c r="HAH36" s="6"/>
      <c r="HAI36" s="6"/>
      <c r="HAJ36" s="6"/>
      <c r="HAK36" s="6"/>
      <c r="HAL36" s="6"/>
      <c r="HAM36" s="6"/>
      <c r="HAN36" s="6"/>
      <c r="HAO36" s="6"/>
      <c r="HAP36" s="6"/>
      <c r="HAQ36" s="6"/>
      <c r="HAR36" s="6"/>
      <c r="HAS36" s="6"/>
      <c r="HAT36" s="6"/>
      <c r="HAU36" s="6"/>
      <c r="HAV36" s="6"/>
      <c r="HAW36" s="6"/>
      <c r="HAX36" s="6"/>
      <c r="HAY36" s="6"/>
      <c r="HAZ36" s="6"/>
      <c r="HBA36" s="6"/>
      <c r="HBB36" s="6"/>
      <c r="HBC36" s="6"/>
      <c r="HBD36" s="6"/>
      <c r="HBE36" s="6"/>
      <c r="HBF36" s="6"/>
      <c r="HBG36" s="6"/>
      <c r="HBH36" s="6"/>
      <c r="HBI36" s="6"/>
      <c r="HBJ36" s="6"/>
      <c r="HBK36" s="6"/>
      <c r="HBL36" s="6"/>
      <c r="HBM36" s="6"/>
      <c r="HBN36" s="6"/>
      <c r="HBO36" s="6"/>
      <c r="HBP36" s="6"/>
      <c r="HBQ36" s="6"/>
      <c r="HBR36" s="6"/>
      <c r="HBS36" s="6"/>
      <c r="HBT36" s="6"/>
      <c r="HBU36" s="6"/>
      <c r="HBV36" s="6"/>
      <c r="HBW36" s="6"/>
      <c r="HBX36" s="6"/>
      <c r="HBY36" s="6"/>
      <c r="HBZ36" s="6"/>
      <c r="HCA36" s="6"/>
      <c r="HCB36" s="6"/>
      <c r="HCC36" s="6"/>
      <c r="HCD36" s="6"/>
      <c r="HCE36" s="6"/>
      <c r="HCF36" s="6"/>
      <c r="HCG36" s="6"/>
      <c r="HCH36" s="6"/>
      <c r="HCI36" s="6"/>
      <c r="HCJ36" s="6"/>
      <c r="HCK36" s="6"/>
      <c r="HCL36" s="6"/>
      <c r="HCM36" s="6"/>
      <c r="HCN36" s="6"/>
      <c r="HCO36" s="6"/>
      <c r="HCP36" s="6"/>
      <c r="HCQ36" s="6"/>
      <c r="HCR36" s="6"/>
      <c r="HCS36" s="6"/>
      <c r="HCT36" s="6"/>
      <c r="HCU36" s="6"/>
      <c r="HCV36" s="6"/>
      <c r="HCW36" s="6"/>
      <c r="HCX36" s="6"/>
      <c r="HCY36" s="6"/>
      <c r="HCZ36" s="6"/>
      <c r="HDA36" s="6"/>
      <c r="HDB36" s="6"/>
      <c r="HDC36" s="6"/>
      <c r="HDD36" s="6"/>
      <c r="HDE36" s="6"/>
      <c r="HDF36" s="6"/>
      <c r="HDG36" s="6"/>
      <c r="HDH36" s="6"/>
      <c r="HDI36" s="6"/>
      <c r="HDJ36" s="6"/>
      <c r="HDK36" s="6"/>
      <c r="HDL36" s="6"/>
      <c r="HDM36" s="6"/>
      <c r="HDN36" s="6"/>
      <c r="HDO36" s="6"/>
      <c r="HDP36" s="6"/>
      <c r="HDQ36" s="6"/>
      <c r="HDR36" s="6"/>
      <c r="HDS36" s="6"/>
      <c r="HDT36" s="6"/>
      <c r="HDU36" s="6"/>
      <c r="HDV36" s="6"/>
      <c r="HDW36" s="6"/>
      <c r="HDX36" s="6"/>
      <c r="HDY36" s="6"/>
      <c r="HDZ36" s="6"/>
      <c r="HEA36" s="6"/>
      <c r="HEB36" s="6"/>
      <c r="HEC36" s="6"/>
      <c r="HED36" s="6"/>
      <c r="HEE36" s="6"/>
      <c r="HEF36" s="6"/>
      <c r="HEG36" s="6"/>
      <c r="HEH36" s="6"/>
      <c r="HEI36" s="6"/>
      <c r="HEJ36" s="6"/>
      <c r="HEK36" s="6"/>
      <c r="HEL36" s="6"/>
      <c r="HEM36" s="6"/>
      <c r="HEN36" s="6"/>
      <c r="HEO36" s="6"/>
      <c r="HEP36" s="6"/>
      <c r="HEQ36" s="6"/>
      <c r="HER36" s="6"/>
      <c r="HES36" s="6"/>
      <c r="HET36" s="6"/>
      <c r="HEU36" s="6"/>
      <c r="HEV36" s="6"/>
      <c r="HEW36" s="6"/>
      <c r="HEX36" s="6"/>
      <c r="HEY36" s="6"/>
      <c r="HEZ36" s="6"/>
      <c r="HFA36" s="6"/>
      <c r="HFB36" s="6"/>
      <c r="HFC36" s="6"/>
      <c r="HFD36" s="6"/>
      <c r="HFE36" s="6"/>
      <c r="HFF36" s="6"/>
      <c r="HFG36" s="6"/>
      <c r="HFH36" s="6"/>
      <c r="HFI36" s="6"/>
      <c r="HFJ36" s="6"/>
      <c r="HFK36" s="6"/>
      <c r="HFL36" s="6"/>
      <c r="HFM36" s="6"/>
      <c r="HFN36" s="6"/>
      <c r="HFO36" s="6"/>
      <c r="HFP36" s="6"/>
      <c r="HFQ36" s="6"/>
      <c r="HFR36" s="6"/>
      <c r="HFS36" s="6"/>
      <c r="HFT36" s="6"/>
      <c r="HFU36" s="6"/>
      <c r="HFV36" s="6"/>
      <c r="HFW36" s="6"/>
      <c r="HFX36" s="6"/>
      <c r="HFY36" s="6"/>
      <c r="HFZ36" s="6"/>
      <c r="HGA36" s="6"/>
      <c r="HGB36" s="6"/>
      <c r="HGC36" s="6"/>
      <c r="HGD36" s="6"/>
      <c r="HGE36" s="6"/>
      <c r="HGF36" s="6"/>
      <c r="HGG36" s="6"/>
      <c r="HGH36" s="6"/>
      <c r="HGI36" s="6"/>
      <c r="HGJ36" s="6"/>
      <c r="HGK36" s="6"/>
      <c r="HGL36" s="6"/>
      <c r="HGM36" s="6"/>
      <c r="HGN36" s="6"/>
      <c r="HGO36" s="6"/>
      <c r="HGP36" s="6"/>
      <c r="HGQ36" s="6"/>
      <c r="HGR36" s="6"/>
      <c r="HGS36" s="6"/>
      <c r="HGT36" s="6"/>
      <c r="HGU36" s="6"/>
      <c r="HGV36" s="6"/>
      <c r="HGW36" s="6"/>
      <c r="HGX36" s="6"/>
      <c r="HGY36" s="6"/>
      <c r="HGZ36" s="6"/>
      <c r="HHA36" s="6"/>
      <c r="HHB36" s="6"/>
      <c r="HHC36" s="6"/>
      <c r="HHD36" s="6"/>
      <c r="HHE36" s="6"/>
      <c r="HHF36" s="6"/>
      <c r="HHG36" s="6"/>
      <c r="HHH36" s="6"/>
      <c r="HHI36" s="6"/>
      <c r="HHJ36" s="6"/>
      <c r="HHK36" s="6"/>
      <c r="HHL36" s="6"/>
      <c r="HHM36" s="6"/>
      <c r="HHN36" s="6"/>
      <c r="HHO36" s="6"/>
      <c r="HHP36" s="6"/>
      <c r="HHQ36" s="6"/>
      <c r="HHR36" s="6"/>
      <c r="HHS36" s="6"/>
      <c r="HHT36" s="6"/>
      <c r="HHU36" s="6"/>
      <c r="HHV36" s="6"/>
      <c r="HHW36" s="6"/>
      <c r="HHX36" s="6"/>
      <c r="HHY36" s="6"/>
      <c r="HHZ36" s="6"/>
      <c r="HIA36" s="6"/>
      <c r="HIB36" s="6"/>
      <c r="HIC36" s="6"/>
      <c r="HID36" s="6"/>
      <c r="HIE36" s="6"/>
      <c r="HIF36" s="6"/>
      <c r="HIG36" s="6"/>
      <c r="HIH36" s="6"/>
      <c r="HII36" s="6"/>
      <c r="HIJ36" s="6"/>
      <c r="HIK36" s="6"/>
      <c r="HIL36" s="6"/>
      <c r="HIM36" s="6"/>
      <c r="HIN36" s="6"/>
      <c r="HIO36" s="6"/>
      <c r="HIP36" s="6"/>
      <c r="HIQ36" s="6"/>
      <c r="HIR36" s="6"/>
      <c r="HIS36" s="6"/>
      <c r="HIT36" s="6"/>
      <c r="HIU36" s="6"/>
      <c r="HIV36" s="6"/>
      <c r="HIW36" s="6"/>
      <c r="HIX36" s="6"/>
      <c r="HIY36" s="6"/>
      <c r="HIZ36" s="6"/>
      <c r="HJA36" s="6"/>
      <c r="HJB36" s="6"/>
      <c r="HJC36" s="6"/>
      <c r="HJD36" s="6"/>
      <c r="HJE36" s="6"/>
      <c r="HJF36" s="6"/>
      <c r="HJG36" s="6"/>
      <c r="HJH36" s="6"/>
      <c r="HJI36" s="6"/>
      <c r="HJJ36" s="6"/>
      <c r="HJK36" s="6"/>
      <c r="HJL36" s="6"/>
      <c r="HJM36" s="6"/>
      <c r="HJN36" s="6"/>
      <c r="HJO36" s="6"/>
      <c r="HJP36" s="6"/>
      <c r="HJQ36" s="6"/>
      <c r="HJR36" s="6"/>
      <c r="HJS36" s="6"/>
      <c r="HJT36" s="6"/>
      <c r="HJU36" s="6"/>
      <c r="HJV36" s="6"/>
      <c r="HJW36" s="6"/>
      <c r="HJX36" s="6"/>
      <c r="HJY36" s="6"/>
      <c r="HJZ36" s="6"/>
      <c r="HKA36" s="6"/>
      <c r="HKB36" s="6"/>
      <c r="HKC36" s="6"/>
      <c r="HKD36" s="6"/>
      <c r="HKE36" s="6"/>
      <c r="HKF36" s="6"/>
      <c r="HKG36" s="6"/>
      <c r="HKH36" s="6"/>
      <c r="HKI36" s="6"/>
      <c r="HKJ36" s="6"/>
      <c r="HKK36" s="6"/>
      <c r="HKL36" s="6"/>
      <c r="HKM36" s="6"/>
      <c r="HKN36" s="6"/>
      <c r="HKO36" s="6"/>
      <c r="HKP36" s="6"/>
      <c r="HKQ36" s="6"/>
      <c r="HKR36" s="6"/>
      <c r="HKS36" s="6"/>
      <c r="HKT36" s="6"/>
      <c r="HKU36" s="6"/>
      <c r="HKV36" s="6"/>
      <c r="HKW36" s="6"/>
      <c r="HKX36" s="6"/>
      <c r="HKY36" s="6"/>
      <c r="HKZ36" s="6"/>
      <c r="HLA36" s="6"/>
      <c r="HLB36" s="6"/>
      <c r="HLC36" s="6"/>
      <c r="HLD36" s="6"/>
      <c r="HLE36" s="6"/>
      <c r="HLF36" s="6"/>
      <c r="HLG36" s="6"/>
      <c r="HLH36" s="6"/>
      <c r="HLI36" s="6"/>
      <c r="HLJ36" s="6"/>
      <c r="HLK36" s="6"/>
      <c r="HLL36" s="6"/>
      <c r="HLM36" s="6"/>
      <c r="HLN36" s="6"/>
      <c r="HLO36" s="6"/>
      <c r="HLP36" s="6"/>
      <c r="HLQ36" s="6"/>
      <c r="HLR36" s="6"/>
      <c r="HLS36" s="6"/>
      <c r="HLT36" s="6"/>
      <c r="HLU36" s="6"/>
      <c r="HLV36" s="6"/>
      <c r="HLW36" s="6"/>
      <c r="HLX36" s="6"/>
      <c r="HLY36" s="6"/>
      <c r="HLZ36" s="6"/>
      <c r="HMA36" s="6"/>
      <c r="HMB36" s="6"/>
      <c r="HMC36" s="6"/>
      <c r="HMD36" s="6"/>
      <c r="HME36" s="6"/>
      <c r="HMF36" s="6"/>
      <c r="HMG36" s="6"/>
      <c r="HMH36" s="6"/>
      <c r="HMI36" s="6"/>
      <c r="HMJ36" s="6"/>
      <c r="HMK36" s="6"/>
      <c r="HML36" s="6"/>
      <c r="HMM36" s="6"/>
      <c r="HMN36" s="6"/>
      <c r="HMO36" s="6"/>
      <c r="HMP36" s="6"/>
      <c r="HMQ36" s="6"/>
      <c r="HMR36" s="6"/>
      <c r="HMS36" s="6"/>
      <c r="HMT36" s="6"/>
      <c r="HMU36" s="6"/>
      <c r="HMV36" s="6"/>
      <c r="HMW36" s="6"/>
      <c r="HMX36" s="6"/>
      <c r="HMY36" s="6"/>
      <c r="HMZ36" s="6"/>
      <c r="HNA36" s="6"/>
      <c r="HNB36" s="6"/>
      <c r="HNC36" s="6"/>
      <c r="HND36" s="6"/>
      <c r="HNE36" s="6"/>
      <c r="HNF36" s="6"/>
      <c r="HNG36" s="6"/>
      <c r="HNH36" s="6"/>
      <c r="HNI36" s="6"/>
      <c r="HNJ36" s="6"/>
      <c r="HNK36" s="6"/>
      <c r="HNL36" s="6"/>
      <c r="HNM36" s="6"/>
      <c r="HNN36" s="6"/>
      <c r="HNO36" s="6"/>
      <c r="HNP36" s="6"/>
      <c r="HNQ36" s="6"/>
      <c r="HNR36" s="6"/>
      <c r="HNS36" s="6"/>
      <c r="HNT36" s="6"/>
      <c r="HNU36" s="6"/>
      <c r="HNV36" s="6"/>
      <c r="HNW36" s="6"/>
      <c r="HNX36" s="6"/>
      <c r="HNY36" s="6"/>
      <c r="HNZ36" s="6"/>
      <c r="HOA36" s="6"/>
      <c r="HOB36" s="6"/>
      <c r="HOC36" s="6"/>
      <c r="HOD36" s="6"/>
      <c r="HOE36" s="6"/>
      <c r="HOF36" s="6"/>
      <c r="HOG36" s="6"/>
      <c r="HOH36" s="6"/>
      <c r="HOI36" s="6"/>
      <c r="HOJ36" s="6"/>
      <c r="HOK36" s="6"/>
      <c r="HOL36" s="6"/>
      <c r="HOM36" s="6"/>
      <c r="HON36" s="6"/>
      <c r="HOO36" s="6"/>
      <c r="HOP36" s="6"/>
      <c r="HOQ36" s="6"/>
      <c r="HOR36" s="6"/>
      <c r="HOS36" s="6"/>
      <c r="HOT36" s="6"/>
      <c r="HOU36" s="6"/>
      <c r="HOV36" s="6"/>
      <c r="HOW36" s="6"/>
      <c r="HOX36" s="6"/>
      <c r="HOY36" s="6"/>
      <c r="HOZ36" s="6"/>
      <c r="HPA36" s="6"/>
      <c r="HPB36" s="6"/>
      <c r="HPC36" s="6"/>
      <c r="HPD36" s="6"/>
      <c r="HPE36" s="6"/>
      <c r="HPF36" s="6"/>
      <c r="HPG36" s="6"/>
      <c r="HPH36" s="6"/>
      <c r="HPI36" s="6"/>
      <c r="HPJ36" s="6"/>
      <c r="HPK36" s="6"/>
      <c r="HPL36" s="6"/>
      <c r="HPM36" s="6"/>
      <c r="HPN36" s="6"/>
      <c r="HPO36" s="6"/>
      <c r="HPP36" s="6"/>
      <c r="HPQ36" s="6"/>
      <c r="HPR36" s="6"/>
      <c r="HPS36" s="6"/>
      <c r="HPT36" s="6"/>
      <c r="HPU36" s="6"/>
      <c r="HPV36" s="6"/>
      <c r="HPW36" s="6"/>
      <c r="HPX36" s="6"/>
      <c r="HPY36" s="6"/>
      <c r="HPZ36" s="6"/>
      <c r="HQA36" s="6"/>
      <c r="HQB36" s="6"/>
      <c r="HQC36" s="6"/>
      <c r="HQD36" s="6"/>
      <c r="HQE36" s="6"/>
      <c r="HQF36" s="6"/>
      <c r="HQG36" s="6"/>
      <c r="HQH36" s="6"/>
      <c r="HQI36" s="6"/>
      <c r="HQJ36" s="6"/>
      <c r="HQK36" s="6"/>
      <c r="HQL36" s="6"/>
      <c r="HQM36" s="6"/>
      <c r="HQN36" s="6"/>
      <c r="HQO36" s="6"/>
      <c r="HQP36" s="6"/>
      <c r="HQQ36" s="6"/>
      <c r="HQR36" s="6"/>
      <c r="HQS36" s="6"/>
      <c r="HQT36" s="6"/>
      <c r="HQU36" s="6"/>
      <c r="HQV36" s="6"/>
      <c r="HQW36" s="6"/>
      <c r="HQX36" s="6"/>
      <c r="HQY36" s="6"/>
      <c r="HQZ36" s="6"/>
      <c r="HRA36" s="6"/>
      <c r="HRB36" s="6"/>
      <c r="HRC36" s="6"/>
      <c r="HRD36" s="6"/>
      <c r="HRE36" s="6"/>
      <c r="HRF36" s="6"/>
      <c r="HRG36" s="6"/>
      <c r="HRH36" s="6"/>
      <c r="HRI36" s="6"/>
      <c r="HRJ36" s="6"/>
      <c r="HRK36" s="6"/>
      <c r="HRL36" s="6"/>
      <c r="HRM36" s="6"/>
      <c r="HRN36" s="6"/>
      <c r="HRO36" s="6"/>
      <c r="HRP36" s="6"/>
      <c r="HRQ36" s="6"/>
      <c r="HRR36" s="6"/>
      <c r="HRS36" s="6"/>
      <c r="HRT36" s="6"/>
      <c r="HRU36" s="6"/>
      <c r="HRV36" s="6"/>
      <c r="HRW36" s="6"/>
      <c r="HRX36" s="6"/>
      <c r="HRY36" s="6"/>
      <c r="HRZ36" s="6"/>
      <c r="HSA36" s="6"/>
      <c r="HSB36" s="6"/>
      <c r="HSC36" s="6"/>
      <c r="HSD36" s="6"/>
      <c r="HSE36" s="6"/>
      <c r="HSF36" s="6"/>
      <c r="HSG36" s="6"/>
      <c r="HSH36" s="6"/>
      <c r="HSI36" s="6"/>
      <c r="HSJ36" s="6"/>
      <c r="HSK36" s="6"/>
      <c r="HSL36" s="6"/>
      <c r="HSM36" s="6"/>
      <c r="HSN36" s="6"/>
      <c r="HSO36" s="6"/>
      <c r="HSP36" s="6"/>
      <c r="HSQ36" s="6"/>
      <c r="HSR36" s="6"/>
      <c r="HSS36" s="6"/>
      <c r="HST36" s="6"/>
      <c r="HSU36" s="6"/>
      <c r="HSV36" s="6"/>
      <c r="HSW36" s="6"/>
      <c r="HSX36" s="6"/>
      <c r="HSY36" s="6"/>
      <c r="HSZ36" s="6"/>
      <c r="HTA36" s="6"/>
      <c r="HTB36" s="6"/>
      <c r="HTC36" s="6"/>
      <c r="HTD36" s="6"/>
      <c r="HTE36" s="6"/>
      <c r="HTF36" s="6"/>
      <c r="HTG36" s="6"/>
      <c r="HTH36" s="6"/>
      <c r="HTI36" s="6"/>
      <c r="HTJ36" s="6"/>
      <c r="HTK36" s="6"/>
      <c r="HTL36" s="6"/>
      <c r="HTM36" s="6"/>
      <c r="HTN36" s="6"/>
      <c r="HTO36" s="6"/>
      <c r="HTP36" s="6"/>
      <c r="HTQ36" s="6"/>
      <c r="HTR36" s="6"/>
      <c r="HTS36" s="6"/>
      <c r="HTT36" s="6"/>
      <c r="HTU36" s="6"/>
      <c r="HTV36" s="6"/>
      <c r="HTW36" s="6"/>
      <c r="HTX36" s="6"/>
      <c r="HTY36" s="6"/>
      <c r="HTZ36" s="6"/>
      <c r="HUA36" s="6"/>
      <c r="HUB36" s="6"/>
      <c r="HUC36" s="6"/>
      <c r="HUD36" s="6"/>
      <c r="HUE36" s="6"/>
      <c r="HUF36" s="6"/>
      <c r="HUG36" s="6"/>
      <c r="HUH36" s="6"/>
      <c r="HUI36" s="6"/>
      <c r="HUJ36" s="6"/>
      <c r="HUK36" s="6"/>
      <c r="HUL36" s="6"/>
      <c r="HUM36" s="6"/>
      <c r="HUN36" s="6"/>
      <c r="HUO36" s="6"/>
      <c r="HUP36" s="6"/>
      <c r="HUQ36" s="6"/>
      <c r="HUR36" s="6"/>
      <c r="HUS36" s="6"/>
      <c r="HUT36" s="6"/>
      <c r="HUU36" s="6"/>
      <c r="HUV36" s="6"/>
      <c r="HUW36" s="6"/>
      <c r="HUX36" s="6"/>
      <c r="HUY36" s="6"/>
      <c r="HUZ36" s="6"/>
      <c r="HVA36" s="6"/>
      <c r="HVB36" s="6"/>
      <c r="HVC36" s="6"/>
      <c r="HVD36" s="6"/>
      <c r="HVE36" s="6"/>
      <c r="HVF36" s="6"/>
      <c r="HVG36" s="6"/>
      <c r="HVH36" s="6"/>
      <c r="HVI36" s="6"/>
      <c r="HVJ36" s="6"/>
      <c r="HVK36" s="6"/>
      <c r="HVL36" s="6"/>
      <c r="HVM36" s="6"/>
      <c r="HVN36" s="6"/>
      <c r="HVO36" s="6"/>
      <c r="HVP36" s="6"/>
      <c r="HVQ36" s="6"/>
      <c r="HVR36" s="6"/>
      <c r="HVS36" s="6"/>
      <c r="HVT36" s="6"/>
      <c r="HVU36" s="6"/>
      <c r="HVV36" s="6"/>
      <c r="HVW36" s="6"/>
      <c r="HVX36" s="6"/>
      <c r="HVY36" s="6"/>
      <c r="HVZ36" s="6"/>
      <c r="HWA36" s="6"/>
      <c r="HWB36" s="6"/>
      <c r="HWC36" s="6"/>
      <c r="HWD36" s="6"/>
      <c r="HWE36" s="6"/>
      <c r="HWF36" s="6"/>
      <c r="HWG36" s="6"/>
      <c r="HWH36" s="6"/>
      <c r="HWI36" s="6"/>
      <c r="HWJ36" s="6"/>
      <c r="HWK36" s="6"/>
      <c r="HWL36" s="6"/>
      <c r="HWM36" s="6"/>
      <c r="HWN36" s="6"/>
      <c r="HWO36" s="6"/>
      <c r="HWP36" s="6"/>
      <c r="HWQ36" s="6"/>
      <c r="HWR36" s="6"/>
      <c r="HWS36" s="6"/>
      <c r="HWT36" s="6"/>
      <c r="HWU36" s="6"/>
      <c r="HWV36" s="6"/>
      <c r="HWW36" s="6"/>
      <c r="HWX36" s="6"/>
      <c r="HWY36" s="6"/>
      <c r="HWZ36" s="6"/>
      <c r="HXA36" s="6"/>
      <c r="HXB36" s="6"/>
      <c r="HXC36" s="6"/>
      <c r="HXD36" s="6"/>
      <c r="HXE36" s="6"/>
      <c r="HXF36" s="6"/>
      <c r="HXG36" s="6"/>
      <c r="HXH36" s="6"/>
      <c r="HXI36" s="6"/>
      <c r="HXJ36" s="6"/>
      <c r="HXK36" s="6"/>
      <c r="HXL36" s="6"/>
      <c r="HXM36" s="6"/>
      <c r="HXN36" s="6"/>
      <c r="HXO36" s="6"/>
      <c r="HXP36" s="6"/>
      <c r="HXQ36" s="6"/>
      <c r="HXR36" s="6"/>
      <c r="HXS36" s="6"/>
      <c r="HXT36" s="6"/>
      <c r="HXU36" s="6"/>
      <c r="HXV36" s="6"/>
      <c r="HXW36" s="6"/>
      <c r="HXX36" s="6"/>
      <c r="HXY36" s="6"/>
      <c r="HXZ36" s="6"/>
      <c r="HYA36" s="6"/>
      <c r="HYB36" s="6"/>
      <c r="HYC36" s="6"/>
      <c r="HYD36" s="6"/>
      <c r="HYE36" s="6"/>
      <c r="HYF36" s="6"/>
      <c r="HYG36" s="6"/>
      <c r="HYH36" s="6"/>
      <c r="HYI36" s="6"/>
      <c r="HYJ36" s="6"/>
      <c r="HYK36" s="6"/>
      <c r="HYL36" s="6"/>
      <c r="HYM36" s="6"/>
      <c r="HYN36" s="6"/>
      <c r="HYO36" s="6"/>
      <c r="HYP36" s="6"/>
      <c r="HYQ36" s="6"/>
      <c r="HYR36" s="6"/>
      <c r="HYS36" s="6"/>
      <c r="HYT36" s="6"/>
      <c r="HYU36" s="6"/>
      <c r="HYV36" s="6"/>
      <c r="HYW36" s="6"/>
      <c r="HYX36" s="6"/>
      <c r="HYY36" s="6"/>
      <c r="HYZ36" s="6"/>
      <c r="HZA36" s="6"/>
      <c r="HZB36" s="6"/>
      <c r="HZC36" s="6"/>
      <c r="HZD36" s="6"/>
      <c r="HZE36" s="6"/>
      <c r="HZF36" s="6"/>
      <c r="HZG36" s="6"/>
      <c r="HZH36" s="6"/>
      <c r="HZI36" s="6"/>
      <c r="HZJ36" s="6"/>
      <c r="HZK36" s="6"/>
      <c r="HZL36" s="6"/>
      <c r="HZM36" s="6"/>
      <c r="HZN36" s="6"/>
      <c r="HZO36" s="6"/>
      <c r="HZP36" s="6"/>
      <c r="HZQ36" s="6"/>
      <c r="HZR36" s="6"/>
      <c r="HZS36" s="6"/>
      <c r="HZT36" s="6"/>
      <c r="HZU36" s="6"/>
      <c r="HZV36" s="6"/>
      <c r="HZW36" s="6"/>
      <c r="HZX36" s="6"/>
      <c r="HZY36" s="6"/>
      <c r="HZZ36" s="6"/>
      <c r="IAA36" s="6"/>
      <c r="IAB36" s="6"/>
      <c r="IAC36" s="6"/>
      <c r="IAD36" s="6"/>
      <c r="IAE36" s="6"/>
      <c r="IAF36" s="6"/>
      <c r="IAG36" s="6"/>
      <c r="IAH36" s="6"/>
      <c r="IAI36" s="6"/>
      <c r="IAJ36" s="6"/>
      <c r="IAK36" s="6"/>
      <c r="IAL36" s="6"/>
      <c r="IAM36" s="6"/>
      <c r="IAN36" s="6"/>
      <c r="IAO36" s="6"/>
      <c r="IAP36" s="6"/>
      <c r="IAQ36" s="6"/>
      <c r="IAR36" s="6"/>
      <c r="IAS36" s="6"/>
      <c r="IAT36" s="6"/>
      <c r="IAU36" s="6"/>
      <c r="IAV36" s="6"/>
      <c r="IAW36" s="6"/>
      <c r="IAX36" s="6"/>
      <c r="IAY36" s="6"/>
      <c r="IAZ36" s="6"/>
      <c r="IBA36" s="6"/>
      <c r="IBB36" s="6"/>
      <c r="IBC36" s="6"/>
      <c r="IBD36" s="6"/>
      <c r="IBE36" s="6"/>
      <c r="IBF36" s="6"/>
      <c r="IBG36" s="6"/>
      <c r="IBH36" s="6"/>
      <c r="IBI36" s="6"/>
      <c r="IBJ36" s="6"/>
      <c r="IBK36" s="6"/>
      <c r="IBL36" s="6"/>
      <c r="IBM36" s="6"/>
      <c r="IBN36" s="6"/>
      <c r="IBO36" s="6"/>
      <c r="IBP36" s="6"/>
      <c r="IBQ36" s="6"/>
      <c r="IBR36" s="6"/>
      <c r="IBS36" s="6"/>
      <c r="IBT36" s="6"/>
      <c r="IBU36" s="6"/>
      <c r="IBV36" s="6"/>
      <c r="IBW36" s="6"/>
      <c r="IBX36" s="6"/>
      <c r="IBY36" s="6"/>
      <c r="IBZ36" s="6"/>
      <c r="ICA36" s="6"/>
      <c r="ICB36" s="6"/>
      <c r="ICC36" s="6"/>
      <c r="ICD36" s="6"/>
      <c r="ICE36" s="6"/>
      <c r="ICF36" s="6"/>
      <c r="ICG36" s="6"/>
      <c r="ICH36" s="6"/>
      <c r="ICI36" s="6"/>
      <c r="ICJ36" s="6"/>
      <c r="ICK36" s="6"/>
      <c r="ICL36" s="6"/>
      <c r="ICM36" s="6"/>
      <c r="ICN36" s="6"/>
      <c r="ICO36" s="6"/>
      <c r="ICP36" s="6"/>
      <c r="ICQ36" s="6"/>
      <c r="ICR36" s="6"/>
      <c r="ICS36" s="6"/>
      <c r="ICT36" s="6"/>
      <c r="ICU36" s="6"/>
      <c r="ICV36" s="6"/>
      <c r="ICW36" s="6"/>
      <c r="ICX36" s="6"/>
      <c r="ICY36" s="6"/>
      <c r="ICZ36" s="6"/>
      <c r="IDA36" s="6"/>
      <c r="IDB36" s="6"/>
      <c r="IDC36" s="6"/>
      <c r="IDD36" s="6"/>
      <c r="IDE36" s="6"/>
      <c r="IDF36" s="6"/>
      <c r="IDG36" s="6"/>
      <c r="IDH36" s="6"/>
      <c r="IDI36" s="6"/>
      <c r="IDJ36" s="6"/>
      <c r="IDK36" s="6"/>
      <c r="IDL36" s="6"/>
      <c r="IDM36" s="6"/>
      <c r="IDN36" s="6"/>
      <c r="IDO36" s="6"/>
      <c r="IDP36" s="6"/>
      <c r="IDQ36" s="6"/>
      <c r="IDR36" s="6"/>
      <c r="IDS36" s="6"/>
      <c r="IDT36" s="6"/>
      <c r="IDU36" s="6"/>
      <c r="IDV36" s="6"/>
      <c r="IDW36" s="6"/>
      <c r="IDX36" s="6"/>
      <c r="IDY36" s="6"/>
      <c r="IDZ36" s="6"/>
      <c r="IEA36" s="6"/>
      <c r="IEB36" s="6"/>
      <c r="IEC36" s="6"/>
      <c r="IED36" s="6"/>
      <c r="IEE36" s="6"/>
      <c r="IEF36" s="6"/>
      <c r="IEG36" s="6"/>
      <c r="IEH36" s="6"/>
      <c r="IEI36" s="6"/>
      <c r="IEJ36" s="6"/>
      <c r="IEK36" s="6"/>
      <c r="IEL36" s="6"/>
      <c r="IEM36" s="6"/>
      <c r="IEN36" s="6"/>
      <c r="IEO36" s="6"/>
      <c r="IEP36" s="6"/>
      <c r="IEQ36" s="6"/>
      <c r="IER36" s="6"/>
      <c r="IES36" s="6"/>
      <c r="IET36" s="6"/>
      <c r="IEU36" s="6"/>
      <c r="IEV36" s="6"/>
      <c r="IEW36" s="6"/>
      <c r="IEX36" s="6"/>
      <c r="IEY36" s="6"/>
      <c r="IEZ36" s="6"/>
      <c r="IFA36" s="6"/>
      <c r="IFB36" s="6"/>
      <c r="IFC36" s="6"/>
      <c r="IFD36" s="6"/>
      <c r="IFE36" s="6"/>
      <c r="IFF36" s="6"/>
      <c r="IFG36" s="6"/>
      <c r="IFH36" s="6"/>
      <c r="IFI36" s="6"/>
      <c r="IFJ36" s="6"/>
      <c r="IFK36" s="6"/>
      <c r="IFL36" s="6"/>
      <c r="IFM36" s="6"/>
      <c r="IFN36" s="6"/>
      <c r="IFO36" s="6"/>
      <c r="IFP36" s="6"/>
      <c r="IFQ36" s="6"/>
      <c r="IFR36" s="6"/>
      <c r="IFS36" s="6"/>
      <c r="IFT36" s="6"/>
      <c r="IFU36" s="6"/>
      <c r="IFV36" s="6"/>
      <c r="IFW36" s="6"/>
      <c r="IFX36" s="6"/>
      <c r="IFY36" s="6"/>
      <c r="IFZ36" s="6"/>
      <c r="IGA36" s="6"/>
      <c r="IGB36" s="6"/>
      <c r="IGC36" s="6"/>
      <c r="IGD36" s="6"/>
      <c r="IGE36" s="6"/>
      <c r="IGF36" s="6"/>
      <c r="IGG36" s="6"/>
      <c r="IGH36" s="6"/>
      <c r="IGI36" s="6"/>
      <c r="IGJ36" s="6"/>
      <c r="IGK36" s="6"/>
      <c r="IGL36" s="6"/>
      <c r="IGM36" s="6"/>
      <c r="IGN36" s="6"/>
      <c r="IGO36" s="6"/>
      <c r="IGP36" s="6"/>
      <c r="IGQ36" s="6"/>
      <c r="IGR36" s="6"/>
      <c r="IGS36" s="6"/>
      <c r="IGT36" s="6"/>
      <c r="IGU36" s="6"/>
      <c r="IGV36" s="6"/>
      <c r="IGW36" s="6"/>
      <c r="IGX36" s="6"/>
      <c r="IGY36" s="6"/>
      <c r="IGZ36" s="6"/>
      <c r="IHA36" s="6"/>
      <c r="IHB36" s="6"/>
      <c r="IHC36" s="6"/>
      <c r="IHD36" s="6"/>
      <c r="IHE36" s="6"/>
      <c r="IHF36" s="6"/>
      <c r="IHG36" s="6"/>
      <c r="IHH36" s="6"/>
      <c r="IHI36" s="6"/>
      <c r="IHJ36" s="6"/>
      <c r="IHK36" s="6"/>
      <c r="IHL36" s="6"/>
      <c r="IHM36" s="6"/>
      <c r="IHN36" s="6"/>
      <c r="IHO36" s="6"/>
      <c r="IHP36" s="6"/>
      <c r="IHQ36" s="6"/>
      <c r="IHR36" s="6"/>
      <c r="IHS36" s="6"/>
      <c r="IHT36" s="6"/>
      <c r="IHU36" s="6"/>
      <c r="IHV36" s="6"/>
      <c r="IHW36" s="6"/>
      <c r="IHX36" s="6"/>
      <c r="IHY36" s="6"/>
      <c r="IHZ36" s="6"/>
      <c r="IIA36" s="6"/>
      <c r="IIB36" s="6"/>
      <c r="IIC36" s="6"/>
      <c r="IID36" s="6"/>
      <c r="IIE36" s="6"/>
      <c r="IIF36" s="6"/>
      <c r="IIG36" s="6"/>
      <c r="IIH36" s="6"/>
      <c r="III36" s="6"/>
      <c r="IIJ36" s="6"/>
      <c r="IIK36" s="6"/>
      <c r="IIL36" s="6"/>
      <c r="IIM36" s="6"/>
      <c r="IIN36" s="6"/>
      <c r="IIO36" s="6"/>
      <c r="IIP36" s="6"/>
      <c r="IIQ36" s="6"/>
      <c r="IIR36" s="6"/>
      <c r="IIS36" s="6"/>
      <c r="IIT36" s="6"/>
      <c r="IIU36" s="6"/>
      <c r="IIV36" s="6"/>
      <c r="IIW36" s="6"/>
      <c r="IIX36" s="6"/>
      <c r="IIY36" s="6"/>
      <c r="IIZ36" s="6"/>
      <c r="IJA36" s="6"/>
      <c r="IJB36" s="6"/>
      <c r="IJC36" s="6"/>
      <c r="IJD36" s="6"/>
      <c r="IJE36" s="6"/>
      <c r="IJF36" s="6"/>
      <c r="IJG36" s="6"/>
      <c r="IJH36" s="6"/>
      <c r="IJI36" s="6"/>
      <c r="IJJ36" s="6"/>
      <c r="IJK36" s="6"/>
      <c r="IJL36" s="6"/>
      <c r="IJM36" s="6"/>
      <c r="IJN36" s="6"/>
      <c r="IJO36" s="6"/>
      <c r="IJP36" s="6"/>
      <c r="IJQ36" s="6"/>
      <c r="IJR36" s="6"/>
      <c r="IJS36" s="6"/>
      <c r="IJT36" s="6"/>
      <c r="IJU36" s="6"/>
      <c r="IJV36" s="6"/>
      <c r="IJW36" s="6"/>
      <c r="IJX36" s="6"/>
      <c r="IJY36" s="6"/>
      <c r="IJZ36" s="6"/>
      <c r="IKA36" s="6"/>
      <c r="IKB36" s="6"/>
      <c r="IKC36" s="6"/>
      <c r="IKD36" s="6"/>
      <c r="IKE36" s="6"/>
      <c r="IKF36" s="6"/>
      <c r="IKG36" s="6"/>
      <c r="IKH36" s="6"/>
      <c r="IKI36" s="6"/>
      <c r="IKJ36" s="6"/>
      <c r="IKK36" s="6"/>
      <c r="IKL36" s="6"/>
      <c r="IKM36" s="6"/>
      <c r="IKN36" s="6"/>
      <c r="IKO36" s="6"/>
      <c r="IKP36" s="6"/>
      <c r="IKQ36" s="6"/>
      <c r="IKR36" s="6"/>
      <c r="IKS36" s="6"/>
      <c r="IKT36" s="6"/>
      <c r="IKU36" s="6"/>
      <c r="IKV36" s="6"/>
      <c r="IKW36" s="6"/>
      <c r="IKX36" s="6"/>
      <c r="IKY36" s="6"/>
      <c r="IKZ36" s="6"/>
      <c r="ILA36" s="6"/>
      <c r="ILB36" s="6"/>
      <c r="ILC36" s="6"/>
      <c r="ILD36" s="6"/>
      <c r="ILE36" s="6"/>
      <c r="ILF36" s="6"/>
      <c r="ILG36" s="6"/>
      <c r="ILH36" s="6"/>
      <c r="ILI36" s="6"/>
      <c r="ILJ36" s="6"/>
      <c r="ILK36" s="6"/>
      <c r="ILL36" s="6"/>
      <c r="ILM36" s="6"/>
      <c r="ILN36" s="6"/>
      <c r="ILO36" s="6"/>
      <c r="ILP36" s="6"/>
      <c r="ILQ36" s="6"/>
      <c r="ILR36" s="6"/>
      <c r="ILS36" s="6"/>
      <c r="ILT36" s="6"/>
      <c r="ILU36" s="6"/>
      <c r="ILV36" s="6"/>
      <c r="ILW36" s="6"/>
      <c r="ILX36" s="6"/>
      <c r="ILY36" s="6"/>
      <c r="ILZ36" s="6"/>
      <c r="IMA36" s="6"/>
      <c r="IMB36" s="6"/>
      <c r="IMC36" s="6"/>
      <c r="IMD36" s="6"/>
      <c r="IME36" s="6"/>
      <c r="IMF36" s="6"/>
      <c r="IMG36" s="6"/>
      <c r="IMH36" s="6"/>
      <c r="IMI36" s="6"/>
      <c r="IMJ36" s="6"/>
      <c r="IMK36" s="6"/>
      <c r="IML36" s="6"/>
      <c r="IMM36" s="6"/>
      <c r="IMN36" s="6"/>
      <c r="IMO36" s="6"/>
      <c r="IMP36" s="6"/>
      <c r="IMQ36" s="6"/>
      <c r="IMR36" s="6"/>
      <c r="IMS36" s="6"/>
      <c r="IMT36" s="6"/>
      <c r="IMU36" s="6"/>
      <c r="IMV36" s="6"/>
      <c r="IMW36" s="6"/>
      <c r="IMX36" s="6"/>
      <c r="IMY36" s="6"/>
      <c r="IMZ36" s="6"/>
      <c r="INA36" s="6"/>
      <c r="INB36" s="6"/>
      <c r="INC36" s="6"/>
      <c r="IND36" s="6"/>
      <c r="INE36" s="6"/>
      <c r="INF36" s="6"/>
      <c r="ING36" s="6"/>
      <c r="INH36" s="6"/>
      <c r="INI36" s="6"/>
      <c r="INJ36" s="6"/>
      <c r="INK36" s="6"/>
      <c r="INL36" s="6"/>
      <c r="INM36" s="6"/>
      <c r="INN36" s="6"/>
      <c r="INO36" s="6"/>
      <c r="INP36" s="6"/>
      <c r="INQ36" s="6"/>
      <c r="INR36" s="6"/>
      <c r="INS36" s="6"/>
      <c r="INT36" s="6"/>
      <c r="INU36" s="6"/>
      <c r="INV36" s="6"/>
      <c r="INW36" s="6"/>
      <c r="INX36" s="6"/>
      <c r="INY36" s="6"/>
      <c r="INZ36" s="6"/>
      <c r="IOA36" s="6"/>
      <c r="IOB36" s="6"/>
      <c r="IOC36" s="6"/>
      <c r="IOD36" s="6"/>
      <c r="IOE36" s="6"/>
      <c r="IOF36" s="6"/>
      <c r="IOG36" s="6"/>
      <c r="IOH36" s="6"/>
      <c r="IOI36" s="6"/>
      <c r="IOJ36" s="6"/>
      <c r="IOK36" s="6"/>
      <c r="IOL36" s="6"/>
      <c r="IOM36" s="6"/>
      <c r="ION36" s="6"/>
      <c r="IOO36" s="6"/>
      <c r="IOP36" s="6"/>
      <c r="IOQ36" s="6"/>
      <c r="IOR36" s="6"/>
      <c r="IOS36" s="6"/>
      <c r="IOT36" s="6"/>
      <c r="IOU36" s="6"/>
      <c r="IOV36" s="6"/>
      <c r="IOW36" s="6"/>
      <c r="IOX36" s="6"/>
      <c r="IOY36" s="6"/>
      <c r="IOZ36" s="6"/>
      <c r="IPA36" s="6"/>
      <c r="IPB36" s="6"/>
      <c r="IPC36" s="6"/>
      <c r="IPD36" s="6"/>
      <c r="IPE36" s="6"/>
      <c r="IPF36" s="6"/>
      <c r="IPG36" s="6"/>
      <c r="IPH36" s="6"/>
      <c r="IPI36" s="6"/>
      <c r="IPJ36" s="6"/>
      <c r="IPK36" s="6"/>
      <c r="IPL36" s="6"/>
      <c r="IPM36" s="6"/>
      <c r="IPN36" s="6"/>
      <c r="IPO36" s="6"/>
      <c r="IPP36" s="6"/>
      <c r="IPQ36" s="6"/>
      <c r="IPR36" s="6"/>
      <c r="IPS36" s="6"/>
      <c r="IPT36" s="6"/>
      <c r="IPU36" s="6"/>
      <c r="IPV36" s="6"/>
      <c r="IPW36" s="6"/>
      <c r="IPX36" s="6"/>
      <c r="IPY36" s="6"/>
      <c r="IPZ36" s="6"/>
      <c r="IQA36" s="6"/>
      <c r="IQB36" s="6"/>
      <c r="IQC36" s="6"/>
      <c r="IQD36" s="6"/>
      <c r="IQE36" s="6"/>
      <c r="IQF36" s="6"/>
      <c r="IQG36" s="6"/>
      <c r="IQH36" s="6"/>
      <c r="IQI36" s="6"/>
      <c r="IQJ36" s="6"/>
      <c r="IQK36" s="6"/>
      <c r="IQL36" s="6"/>
      <c r="IQM36" s="6"/>
      <c r="IQN36" s="6"/>
      <c r="IQO36" s="6"/>
      <c r="IQP36" s="6"/>
      <c r="IQQ36" s="6"/>
      <c r="IQR36" s="6"/>
      <c r="IQS36" s="6"/>
      <c r="IQT36" s="6"/>
      <c r="IQU36" s="6"/>
      <c r="IQV36" s="6"/>
      <c r="IQW36" s="6"/>
      <c r="IQX36" s="6"/>
      <c r="IQY36" s="6"/>
      <c r="IQZ36" s="6"/>
      <c r="IRA36" s="6"/>
      <c r="IRB36" s="6"/>
      <c r="IRC36" s="6"/>
      <c r="IRD36" s="6"/>
      <c r="IRE36" s="6"/>
      <c r="IRF36" s="6"/>
      <c r="IRG36" s="6"/>
      <c r="IRH36" s="6"/>
      <c r="IRI36" s="6"/>
      <c r="IRJ36" s="6"/>
      <c r="IRK36" s="6"/>
      <c r="IRL36" s="6"/>
      <c r="IRM36" s="6"/>
      <c r="IRN36" s="6"/>
      <c r="IRO36" s="6"/>
      <c r="IRP36" s="6"/>
      <c r="IRQ36" s="6"/>
      <c r="IRR36" s="6"/>
      <c r="IRS36" s="6"/>
      <c r="IRT36" s="6"/>
      <c r="IRU36" s="6"/>
      <c r="IRV36" s="6"/>
      <c r="IRW36" s="6"/>
      <c r="IRX36" s="6"/>
      <c r="IRY36" s="6"/>
      <c r="IRZ36" s="6"/>
      <c r="ISA36" s="6"/>
      <c r="ISB36" s="6"/>
      <c r="ISC36" s="6"/>
      <c r="ISD36" s="6"/>
      <c r="ISE36" s="6"/>
      <c r="ISF36" s="6"/>
      <c r="ISG36" s="6"/>
      <c r="ISH36" s="6"/>
      <c r="ISI36" s="6"/>
      <c r="ISJ36" s="6"/>
      <c r="ISK36" s="6"/>
      <c r="ISL36" s="6"/>
      <c r="ISM36" s="6"/>
      <c r="ISN36" s="6"/>
      <c r="ISO36" s="6"/>
      <c r="ISP36" s="6"/>
      <c r="ISQ36" s="6"/>
      <c r="ISR36" s="6"/>
      <c r="ISS36" s="6"/>
      <c r="IST36" s="6"/>
      <c r="ISU36" s="6"/>
      <c r="ISV36" s="6"/>
      <c r="ISW36" s="6"/>
      <c r="ISX36" s="6"/>
      <c r="ISY36" s="6"/>
      <c r="ISZ36" s="6"/>
      <c r="ITA36" s="6"/>
      <c r="ITB36" s="6"/>
      <c r="ITC36" s="6"/>
      <c r="ITD36" s="6"/>
      <c r="ITE36" s="6"/>
      <c r="ITF36" s="6"/>
      <c r="ITG36" s="6"/>
      <c r="ITH36" s="6"/>
      <c r="ITI36" s="6"/>
      <c r="ITJ36" s="6"/>
      <c r="ITK36" s="6"/>
      <c r="ITL36" s="6"/>
      <c r="ITM36" s="6"/>
      <c r="ITN36" s="6"/>
      <c r="ITO36" s="6"/>
      <c r="ITP36" s="6"/>
      <c r="ITQ36" s="6"/>
      <c r="ITR36" s="6"/>
      <c r="ITS36" s="6"/>
      <c r="ITT36" s="6"/>
      <c r="ITU36" s="6"/>
      <c r="ITV36" s="6"/>
      <c r="ITW36" s="6"/>
      <c r="ITX36" s="6"/>
      <c r="ITY36" s="6"/>
      <c r="ITZ36" s="6"/>
      <c r="IUA36" s="6"/>
      <c r="IUB36" s="6"/>
      <c r="IUC36" s="6"/>
      <c r="IUD36" s="6"/>
      <c r="IUE36" s="6"/>
      <c r="IUF36" s="6"/>
      <c r="IUG36" s="6"/>
      <c r="IUH36" s="6"/>
      <c r="IUI36" s="6"/>
      <c r="IUJ36" s="6"/>
      <c r="IUK36" s="6"/>
      <c r="IUL36" s="6"/>
      <c r="IUM36" s="6"/>
      <c r="IUN36" s="6"/>
      <c r="IUO36" s="6"/>
      <c r="IUP36" s="6"/>
      <c r="IUQ36" s="6"/>
      <c r="IUR36" s="6"/>
      <c r="IUS36" s="6"/>
      <c r="IUT36" s="6"/>
      <c r="IUU36" s="6"/>
      <c r="IUV36" s="6"/>
      <c r="IUW36" s="6"/>
      <c r="IUX36" s="6"/>
      <c r="IUY36" s="6"/>
      <c r="IUZ36" s="6"/>
      <c r="IVA36" s="6"/>
      <c r="IVB36" s="6"/>
      <c r="IVC36" s="6"/>
      <c r="IVD36" s="6"/>
      <c r="IVE36" s="6"/>
      <c r="IVF36" s="6"/>
      <c r="IVG36" s="6"/>
      <c r="IVH36" s="6"/>
      <c r="IVI36" s="6"/>
      <c r="IVJ36" s="6"/>
      <c r="IVK36" s="6"/>
      <c r="IVL36" s="6"/>
      <c r="IVM36" s="6"/>
      <c r="IVN36" s="6"/>
      <c r="IVO36" s="6"/>
      <c r="IVP36" s="6"/>
      <c r="IVQ36" s="6"/>
      <c r="IVR36" s="6"/>
      <c r="IVS36" s="6"/>
      <c r="IVT36" s="6"/>
      <c r="IVU36" s="6"/>
      <c r="IVV36" s="6"/>
      <c r="IVW36" s="6"/>
      <c r="IVX36" s="6"/>
      <c r="IVY36" s="6"/>
      <c r="IVZ36" s="6"/>
      <c r="IWA36" s="6"/>
      <c r="IWB36" s="6"/>
      <c r="IWC36" s="6"/>
      <c r="IWD36" s="6"/>
      <c r="IWE36" s="6"/>
      <c r="IWF36" s="6"/>
      <c r="IWG36" s="6"/>
      <c r="IWH36" s="6"/>
      <c r="IWI36" s="6"/>
      <c r="IWJ36" s="6"/>
      <c r="IWK36" s="6"/>
      <c r="IWL36" s="6"/>
      <c r="IWM36" s="6"/>
      <c r="IWN36" s="6"/>
      <c r="IWO36" s="6"/>
      <c r="IWP36" s="6"/>
      <c r="IWQ36" s="6"/>
      <c r="IWR36" s="6"/>
      <c r="IWS36" s="6"/>
      <c r="IWT36" s="6"/>
      <c r="IWU36" s="6"/>
      <c r="IWV36" s="6"/>
      <c r="IWW36" s="6"/>
      <c r="IWX36" s="6"/>
      <c r="IWY36" s="6"/>
      <c r="IWZ36" s="6"/>
      <c r="IXA36" s="6"/>
      <c r="IXB36" s="6"/>
      <c r="IXC36" s="6"/>
      <c r="IXD36" s="6"/>
      <c r="IXE36" s="6"/>
      <c r="IXF36" s="6"/>
      <c r="IXG36" s="6"/>
      <c r="IXH36" s="6"/>
      <c r="IXI36" s="6"/>
      <c r="IXJ36" s="6"/>
      <c r="IXK36" s="6"/>
      <c r="IXL36" s="6"/>
      <c r="IXM36" s="6"/>
      <c r="IXN36" s="6"/>
      <c r="IXO36" s="6"/>
      <c r="IXP36" s="6"/>
      <c r="IXQ36" s="6"/>
      <c r="IXR36" s="6"/>
      <c r="IXS36" s="6"/>
      <c r="IXT36" s="6"/>
      <c r="IXU36" s="6"/>
      <c r="IXV36" s="6"/>
      <c r="IXW36" s="6"/>
      <c r="IXX36" s="6"/>
      <c r="IXY36" s="6"/>
      <c r="IXZ36" s="6"/>
      <c r="IYA36" s="6"/>
      <c r="IYB36" s="6"/>
      <c r="IYC36" s="6"/>
      <c r="IYD36" s="6"/>
      <c r="IYE36" s="6"/>
      <c r="IYF36" s="6"/>
      <c r="IYG36" s="6"/>
      <c r="IYH36" s="6"/>
      <c r="IYI36" s="6"/>
      <c r="IYJ36" s="6"/>
      <c r="IYK36" s="6"/>
      <c r="IYL36" s="6"/>
      <c r="IYM36" s="6"/>
      <c r="IYN36" s="6"/>
      <c r="IYO36" s="6"/>
      <c r="IYP36" s="6"/>
      <c r="IYQ36" s="6"/>
      <c r="IYR36" s="6"/>
      <c r="IYS36" s="6"/>
      <c r="IYT36" s="6"/>
      <c r="IYU36" s="6"/>
      <c r="IYV36" s="6"/>
      <c r="IYW36" s="6"/>
      <c r="IYX36" s="6"/>
      <c r="IYY36" s="6"/>
      <c r="IYZ36" s="6"/>
      <c r="IZA36" s="6"/>
      <c r="IZB36" s="6"/>
      <c r="IZC36" s="6"/>
      <c r="IZD36" s="6"/>
      <c r="IZE36" s="6"/>
      <c r="IZF36" s="6"/>
      <c r="IZG36" s="6"/>
      <c r="IZH36" s="6"/>
      <c r="IZI36" s="6"/>
      <c r="IZJ36" s="6"/>
      <c r="IZK36" s="6"/>
      <c r="IZL36" s="6"/>
      <c r="IZM36" s="6"/>
      <c r="IZN36" s="6"/>
      <c r="IZO36" s="6"/>
      <c r="IZP36" s="6"/>
      <c r="IZQ36" s="6"/>
      <c r="IZR36" s="6"/>
      <c r="IZS36" s="6"/>
      <c r="IZT36" s="6"/>
      <c r="IZU36" s="6"/>
      <c r="IZV36" s="6"/>
      <c r="IZW36" s="6"/>
      <c r="IZX36" s="6"/>
      <c r="IZY36" s="6"/>
      <c r="IZZ36" s="6"/>
      <c r="JAA36" s="6"/>
      <c r="JAB36" s="6"/>
      <c r="JAC36" s="6"/>
      <c r="JAD36" s="6"/>
      <c r="JAE36" s="6"/>
      <c r="JAF36" s="6"/>
      <c r="JAG36" s="6"/>
      <c r="JAH36" s="6"/>
      <c r="JAI36" s="6"/>
      <c r="JAJ36" s="6"/>
      <c r="JAK36" s="6"/>
      <c r="JAL36" s="6"/>
      <c r="JAM36" s="6"/>
      <c r="JAN36" s="6"/>
      <c r="JAO36" s="6"/>
      <c r="JAP36" s="6"/>
      <c r="JAQ36" s="6"/>
      <c r="JAR36" s="6"/>
      <c r="JAS36" s="6"/>
      <c r="JAT36" s="6"/>
      <c r="JAU36" s="6"/>
      <c r="JAV36" s="6"/>
      <c r="JAW36" s="6"/>
      <c r="JAX36" s="6"/>
      <c r="JAY36" s="6"/>
      <c r="JAZ36" s="6"/>
      <c r="JBA36" s="6"/>
      <c r="JBB36" s="6"/>
      <c r="JBC36" s="6"/>
      <c r="JBD36" s="6"/>
      <c r="JBE36" s="6"/>
      <c r="JBF36" s="6"/>
      <c r="JBG36" s="6"/>
      <c r="JBH36" s="6"/>
      <c r="JBI36" s="6"/>
      <c r="JBJ36" s="6"/>
      <c r="JBK36" s="6"/>
      <c r="JBL36" s="6"/>
      <c r="JBM36" s="6"/>
      <c r="JBN36" s="6"/>
      <c r="JBO36" s="6"/>
      <c r="JBP36" s="6"/>
      <c r="JBQ36" s="6"/>
      <c r="JBR36" s="6"/>
      <c r="JBS36" s="6"/>
      <c r="JBT36" s="6"/>
      <c r="JBU36" s="6"/>
      <c r="JBV36" s="6"/>
      <c r="JBW36" s="6"/>
      <c r="JBX36" s="6"/>
      <c r="JBY36" s="6"/>
      <c r="JBZ36" s="6"/>
      <c r="JCA36" s="6"/>
      <c r="JCB36" s="6"/>
      <c r="JCC36" s="6"/>
      <c r="JCD36" s="6"/>
      <c r="JCE36" s="6"/>
      <c r="JCF36" s="6"/>
      <c r="JCG36" s="6"/>
      <c r="JCH36" s="6"/>
      <c r="JCI36" s="6"/>
      <c r="JCJ36" s="6"/>
      <c r="JCK36" s="6"/>
      <c r="JCL36" s="6"/>
      <c r="JCM36" s="6"/>
      <c r="JCN36" s="6"/>
      <c r="JCO36" s="6"/>
      <c r="JCP36" s="6"/>
      <c r="JCQ36" s="6"/>
      <c r="JCR36" s="6"/>
      <c r="JCS36" s="6"/>
      <c r="JCT36" s="6"/>
      <c r="JCU36" s="6"/>
      <c r="JCV36" s="6"/>
      <c r="JCW36" s="6"/>
      <c r="JCX36" s="6"/>
      <c r="JCY36" s="6"/>
      <c r="JCZ36" s="6"/>
      <c r="JDA36" s="6"/>
      <c r="JDB36" s="6"/>
      <c r="JDC36" s="6"/>
      <c r="JDD36" s="6"/>
      <c r="JDE36" s="6"/>
      <c r="JDF36" s="6"/>
      <c r="JDG36" s="6"/>
      <c r="JDH36" s="6"/>
      <c r="JDI36" s="6"/>
      <c r="JDJ36" s="6"/>
      <c r="JDK36" s="6"/>
      <c r="JDL36" s="6"/>
      <c r="JDM36" s="6"/>
      <c r="JDN36" s="6"/>
      <c r="JDO36" s="6"/>
      <c r="JDP36" s="6"/>
      <c r="JDQ36" s="6"/>
      <c r="JDR36" s="6"/>
      <c r="JDS36" s="6"/>
      <c r="JDT36" s="6"/>
      <c r="JDU36" s="6"/>
      <c r="JDV36" s="6"/>
      <c r="JDW36" s="6"/>
      <c r="JDX36" s="6"/>
      <c r="JDY36" s="6"/>
      <c r="JDZ36" s="6"/>
      <c r="JEA36" s="6"/>
      <c r="JEB36" s="6"/>
      <c r="JEC36" s="6"/>
      <c r="JED36" s="6"/>
      <c r="JEE36" s="6"/>
      <c r="JEF36" s="6"/>
      <c r="JEG36" s="6"/>
      <c r="JEH36" s="6"/>
      <c r="JEI36" s="6"/>
      <c r="JEJ36" s="6"/>
      <c r="JEK36" s="6"/>
      <c r="JEL36" s="6"/>
      <c r="JEM36" s="6"/>
      <c r="JEN36" s="6"/>
      <c r="JEO36" s="6"/>
      <c r="JEP36" s="6"/>
      <c r="JEQ36" s="6"/>
      <c r="JER36" s="6"/>
      <c r="JES36" s="6"/>
      <c r="JET36" s="6"/>
      <c r="JEU36" s="6"/>
      <c r="JEV36" s="6"/>
      <c r="JEW36" s="6"/>
      <c r="JEX36" s="6"/>
      <c r="JEY36" s="6"/>
      <c r="JEZ36" s="6"/>
      <c r="JFA36" s="6"/>
      <c r="JFB36" s="6"/>
      <c r="JFC36" s="6"/>
      <c r="JFD36" s="6"/>
      <c r="JFE36" s="6"/>
      <c r="JFF36" s="6"/>
      <c r="JFG36" s="6"/>
      <c r="JFH36" s="6"/>
      <c r="JFI36" s="6"/>
      <c r="JFJ36" s="6"/>
      <c r="JFK36" s="6"/>
      <c r="JFL36" s="6"/>
      <c r="JFM36" s="6"/>
      <c r="JFN36" s="6"/>
      <c r="JFO36" s="6"/>
      <c r="JFP36" s="6"/>
      <c r="JFQ36" s="6"/>
      <c r="JFR36" s="6"/>
      <c r="JFS36" s="6"/>
      <c r="JFT36" s="6"/>
      <c r="JFU36" s="6"/>
      <c r="JFV36" s="6"/>
      <c r="JFW36" s="6"/>
      <c r="JFX36" s="6"/>
      <c r="JFY36" s="6"/>
      <c r="JFZ36" s="6"/>
      <c r="JGA36" s="6"/>
      <c r="JGB36" s="6"/>
      <c r="JGC36" s="6"/>
      <c r="JGD36" s="6"/>
      <c r="JGE36" s="6"/>
      <c r="JGF36" s="6"/>
      <c r="JGG36" s="6"/>
      <c r="JGH36" s="6"/>
      <c r="JGI36" s="6"/>
      <c r="JGJ36" s="6"/>
      <c r="JGK36" s="6"/>
      <c r="JGL36" s="6"/>
      <c r="JGM36" s="6"/>
      <c r="JGN36" s="6"/>
      <c r="JGO36" s="6"/>
      <c r="JGP36" s="6"/>
      <c r="JGQ36" s="6"/>
      <c r="JGR36" s="6"/>
      <c r="JGS36" s="6"/>
      <c r="JGT36" s="6"/>
      <c r="JGU36" s="6"/>
      <c r="JGV36" s="6"/>
      <c r="JGW36" s="6"/>
      <c r="JGX36" s="6"/>
      <c r="JGY36" s="6"/>
      <c r="JGZ36" s="6"/>
      <c r="JHA36" s="6"/>
      <c r="JHB36" s="6"/>
      <c r="JHC36" s="6"/>
      <c r="JHD36" s="6"/>
      <c r="JHE36" s="6"/>
      <c r="JHF36" s="6"/>
      <c r="JHG36" s="6"/>
      <c r="JHH36" s="6"/>
      <c r="JHI36" s="6"/>
      <c r="JHJ36" s="6"/>
      <c r="JHK36" s="6"/>
      <c r="JHL36" s="6"/>
      <c r="JHM36" s="6"/>
      <c r="JHN36" s="6"/>
      <c r="JHO36" s="6"/>
      <c r="JHP36" s="6"/>
      <c r="JHQ36" s="6"/>
      <c r="JHR36" s="6"/>
      <c r="JHS36" s="6"/>
      <c r="JHT36" s="6"/>
      <c r="JHU36" s="6"/>
      <c r="JHV36" s="6"/>
      <c r="JHW36" s="6"/>
      <c r="JHX36" s="6"/>
      <c r="JHY36" s="6"/>
      <c r="JHZ36" s="6"/>
      <c r="JIA36" s="6"/>
      <c r="JIB36" s="6"/>
      <c r="JIC36" s="6"/>
      <c r="JID36" s="6"/>
      <c r="JIE36" s="6"/>
      <c r="JIF36" s="6"/>
      <c r="JIG36" s="6"/>
      <c r="JIH36" s="6"/>
      <c r="JII36" s="6"/>
      <c r="JIJ36" s="6"/>
      <c r="JIK36" s="6"/>
      <c r="JIL36" s="6"/>
      <c r="JIM36" s="6"/>
      <c r="JIN36" s="6"/>
      <c r="JIO36" s="6"/>
      <c r="JIP36" s="6"/>
      <c r="JIQ36" s="6"/>
      <c r="JIR36" s="6"/>
      <c r="JIS36" s="6"/>
      <c r="JIT36" s="6"/>
      <c r="JIU36" s="6"/>
      <c r="JIV36" s="6"/>
      <c r="JIW36" s="6"/>
      <c r="JIX36" s="6"/>
      <c r="JIY36" s="6"/>
      <c r="JIZ36" s="6"/>
      <c r="JJA36" s="6"/>
      <c r="JJB36" s="6"/>
      <c r="JJC36" s="6"/>
      <c r="JJD36" s="6"/>
      <c r="JJE36" s="6"/>
      <c r="JJF36" s="6"/>
      <c r="JJG36" s="6"/>
      <c r="JJH36" s="6"/>
      <c r="JJI36" s="6"/>
      <c r="JJJ36" s="6"/>
      <c r="JJK36" s="6"/>
      <c r="JJL36" s="6"/>
      <c r="JJM36" s="6"/>
      <c r="JJN36" s="6"/>
      <c r="JJO36" s="6"/>
      <c r="JJP36" s="6"/>
      <c r="JJQ36" s="6"/>
      <c r="JJR36" s="6"/>
      <c r="JJS36" s="6"/>
      <c r="JJT36" s="6"/>
      <c r="JJU36" s="6"/>
      <c r="JJV36" s="6"/>
      <c r="JJW36" s="6"/>
      <c r="JJX36" s="6"/>
      <c r="JJY36" s="6"/>
      <c r="JJZ36" s="6"/>
      <c r="JKA36" s="6"/>
      <c r="JKB36" s="6"/>
      <c r="JKC36" s="6"/>
      <c r="JKD36" s="6"/>
      <c r="JKE36" s="6"/>
      <c r="JKF36" s="6"/>
      <c r="JKG36" s="6"/>
      <c r="JKH36" s="6"/>
      <c r="JKI36" s="6"/>
      <c r="JKJ36" s="6"/>
      <c r="JKK36" s="6"/>
      <c r="JKL36" s="6"/>
      <c r="JKM36" s="6"/>
      <c r="JKN36" s="6"/>
      <c r="JKO36" s="6"/>
      <c r="JKP36" s="6"/>
      <c r="JKQ36" s="6"/>
      <c r="JKR36" s="6"/>
      <c r="JKS36" s="6"/>
      <c r="JKT36" s="6"/>
      <c r="JKU36" s="6"/>
      <c r="JKV36" s="6"/>
      <c r="JKW36" s="6"/>
      <c r="JKX36" s="6"/>
      <c r="JKY36" s="6"/>
      <c r="JKZ36" s="6"/>
      <c r="JLA36" s="6"/>
      <c r="JLB36" s="6"/>
      <c r="JLC36" s="6"/>
      <c r="JLD36" s="6"/>
      <c r="JLE36" s="6"/>
      <c r="JLF36" s="6"/>
      <c r="JLG36" s="6"/>
      <c r="JLH36" s="6"/>
      <c r="JLI36" s="6"/>
      <c r="JLJ36" s="6"/>
      <c r="JLK36" s="6"/>
      <c r="JLL36" s="6"/>
      <c r="JLM36" s="6"/>
      <c r="JLN36" s="6"/>
      <c r="JLO36" s="6"/>
      <c r="JLP36" s="6"/>
      <c r="JLQ36" s="6"/>
      <c r="JLR36" s="6"/>
      <c r="JLS36" s="6"/>
      <c r="JLT36" s="6"/>
      <c r="JLU36" s="6"/>
      <c r="JLV36" s="6"/>
      <c r="JLW36" s="6"/>
      <c r="JLX36" s="6"/>
      <c r="JLY36" s="6"/>
      <c r="JLZ36" s="6"/>
      <c r="JMA36" s="6"/>
      <c r="JMB36" s="6"/>
      <c r="JMC36" s="6"/>
      <c r="JMD36" s="6"/>
      <c r="JME36" s="6"/>
      <c r="JMF36" s="6"/>
      <c r="JMG36" s="6"/>
      <c r="JMH36" s="6"/>
      <c r="JMI36" s="6"/>
      <c r="JMJ36" s="6"/>
      <c r="JMK36" s="6"/>
      <c r="JML36" s="6"/>
      <c r="JMM36" s="6"/>
      <c r="JMN36" s="6"/>
      <c r="JMO36" s="6"/>
      <c r="JMP36" s="6"/>
      <c r="JMQ36" s="6"/>
      <c r="JMR36" s="6"/>
      <c r="JMS36" s="6"/>
      <c r="JMT36" s="6"/>
      <c r="JMU36" s="6"/>
      <c r="JMV36" s="6"/>
      <c r="JMW36" s="6"/>
      <c r="JMX36" s="6"/>
      <c r="JMY36" s="6"/>
      <c r="JMZ36" s="6"/>
      <c r="JNA36" s="6"/>
      <c r="JNB36" s="6"/>
      <c r="JNC36" s="6"/>
      <c r="JND36" s="6"/>
      <c r="JNE36" s="6"/>
      <c r="JNF36" s="6"/>
      <c r="JNG36" s="6"/>
      <c r="JNH36" s="6"/>
      <c r="JNI36" s="6"/>
      <c r="JNJ36" s="6"/>
      <c r="JNK36" s="6"/>
      <c r="JNL36" s="6"/>
      <c r="JNM36" s="6"/>
      <c r="JNN36" s="6"/>
      <c r="JNO36" s="6"/>
      <c r="JNP36" s="6"/>
      <c r="JNQ36" s="6"/>
      <c r="JNR36" s="6"/>
      <c r="JNS36" s="6"/>
      <c r="JNT36" s="6"/>
      <c r="JNU36" s="6"/>
      <c r="JNV36" s="6"/>
      <c r="JNW36" s="6"/>
      <c r="JNX36" s="6"/>
      <c r="JNY36" s="6"/>
      <c r="JNZ36" s="6"/>
      <c r="JOA36" s="6"/>
      <c r="JOB36" s="6"/>
      <c r="JOC36" s="6"/>
      <c r="JOD36" s="6"/>
      <c r="JOE36" s="6"/>
      <c r="JOF36" s="6"/>
      <c r="JOG36" s="6"/>
      <c r="JOH36" s="6"/>
      <c r="JOI36" s="6"/>
      <c r="JOJ36" s="6"/>
      <c r="JOK36" s="6"/>
      <c r="JOL36" s="6"/>
      <c r="JOM36" s="6"/>
      <c r="JON36" s="6"/>
      <c r="JOO36" s="6"/>
      <c r="JOP36" s="6"/>
      <c r="JOQ36" s="6"/>
      <c r="JOR36" s="6"/>
      <c r="JOS36" s="6"/>
      <c r="JOT36" s="6"/>
      <c r="JOU36" s="6"/>
      <c r="JOV36" s="6"/>
      <c r="JOW36" s="6"/>
      <c r="JOX36" s="6"/>
      <c r="JOY36" s="6"/>
      <c r="JOZ36" s="6"/>
      <c r="JPA36" s="6"/>
      <c r="JPB36" s="6"/>
      <c r="JPC36" s="6"/>
      <c r="JPD36" s="6"/>
      <c r="JPE36" s="6"/>
      <c r="JPF36" s="6"/>
      <c r="JPG36" s="6"/>
      <c r="JPH36" s="6"/>
      <c r="JPI36" s="6"/>
      <c r="JPJ36" s="6"/>
      <c r="JPK36" s="6"/>
      <c r="JPL36" s="6"/>
      <c r="JPM36" s="6"/>
      <c r="JPN36" s="6"/>
      <c r="JPO36" s="6"/>
      <c r="JPP36" s="6"/>
      <c r="JPQ36" s="6"/>
      <c r="JPR36" s="6"/>
      <c r="JPS36" s="6"/>
      <c r="JPT36" s="6"/>
      <c r="JPU36" s="6"/>
      <c r="JPV36" s="6"/>
      <c r="JPW36" s="6"/>
      <c r="JPX36" s="6"/>
      <c r="JPY36" s="6"/>
      <c r="JPZ36" s="6"/>
      <c r="JQA36" s="6"/>
      <c r="JQB36" s="6"/>
      <c r="JQC36" s="6"/>
      <c r="JQD36" s="6"/>
      <c r="JQE36" s="6"/>
      <c r="JQF36" s="6"/>
      <c r="JQG36" s="6"/>
      <c r="JQH36" s="6"/>
      <c r="JQI36" s="6"/>
      <c r="JQJ36" s="6"/>
      <c r="JQK36" s="6"/>
      <c r="JQL36" s="6"/>
      <c r="JQM36" s="6"/>
      <c r="JQN36" s="6"/>
      <c r="JQO36" s="6"/>
      <c r="JQP36" s="6"/>
      <c r="JQQ36" s="6"/>
      <c r="JQR36" s="6"/>
      <c r="JQS36" s="6"/>
      <c r="JQT36" s="6"/>
      <c r="JQU36" s="6"/>
      <c r="JQV36" s="6"/>
      <c r="JQW36" s="6"/>
      <c r="JQX36" s="6"/>
      <c r="JQY36" s="6"/>
      <c r="JQZ36" s="6"/>
      <c r="JRA36" s="6"/>
      <c r="JRB36" s="6"/>
      <c r="JRC36" s="6"/>
      <c r="JRD36" s="6"/>
      <c r="JRE36" s="6"/>
      <c r="JRF36" s="6"/>
      <c r="JRG36" s="6"/>
      <c r="JRH36" s="6"/>
      <c r="JRI36" s="6"/>
      <c r="JRJ36" s="6"/>
      <c r="JRK36" s="6"/>
      <c r="JRL36" s="6"/>
      <c r="JRM36" s="6"/>
      <c r="JRN36" s="6"/>
      <c r="JRO36" s="6"/>
      <c r="JRP36" s="6"/>
      <c r="JRQ36" s="6"/>
      <c r="JRR36" s="6"/>
      <c r="JRS36" s="6"/>
      <c r="JRT36" s="6"/>
      <c r="JRU36" s="6"/>
      <c r="JRV36" s="6"/>
      <c r="JRW36" s="6"/>
      <c r="JRX36" s="6"/>
      <c r="JRY36" s="6"/>
      <c r="JRZ36" s="6"/>
      <c r="JSA36" s="6"/>
      <c r="JSB36" s="6"/>
      <c r="JSC36" s="6"/>
      <c r="JSD36" s="6"/>
      <c r="JSE36" s="6"/>
      <c r="JSF36" s="6"/>
      <c r="JSG36" s="6"/>
      <c r="JSH36" s="6"/>
      <c r="JSI36" s="6"/>
      <c r="JSJ36" s="6"/>
      <c r="JSK36" s="6"/>
      <c r="JSL36" s="6"/>
      <c r="JSM36" s="6"/>
      <c r="JSN36" s="6"/>
      <c r="JSO36" s="6"/>
      <c r="JSP36" s="6"/>
      <c r="JSQ36" s="6"/>
      <c r="JSR36" s="6"/>
      <c r="JSS36" s="6"/>
      <c r="JST36" s="6"/>
      <c r="JSU36" s="6"/>
      <c r="JSV36" s="6"/>
      <c r="JSW36" s="6"/>
      <c r="JSX36" s="6"/>
      <c r="JSY36" s="6"/>
      <c r="JSZ36" s="6"/>
      <c r="JTA36" s="6"/>
      <c r="JTB36" s="6"/>
      <c r="JTC36" s="6"/>
      <c r="JTD36" s="6"/>
      <c r="JTE36" s="6"/>
      <c r="JTF36" s="6"/>
      <c r="JTG36" s="6"/>
      <c r="JTH36" s="6"/>
      <c r="JTI36" s="6"/>
      <c r="JTJ36" s="6"/>
      <c r="JTK36" s="6"/>
      <c r="JTL36" s="6"/>
      <c r="JTM36" s="6"/>
      <c r="JTN36" s="6"/>
      <c r="JTO36" s="6"/>
      <c r="JTP36" s="6"/>
      <c r="JTQ36" s="6"/>
      <c r="JTR36" s="6"/>
      <c r="JTS36" s="6"/>
      <c r="JTT36" s="6"/>
      <c r="JTU36" s="6"/>
      <c r="JTV36" s="6"/>
      <c r="JTW36" s="6"/>
      <c r="JTX36" s="6"/>
      <c r="JTY36" s="6"/>
      <c r="JTZ36" s="6"/>
      <c r="JUA36" s="6"/>
      <c r="JUB36" s="6"/>
      <c r="JUC36" s="6"/>
      <c r="JUD36" s="6"/>
      <c r="JUE36" s="6"/>
      <c r="JUF36" s="6"/>
      <c r="JUG36" s="6"/>
      <c r="JUH36" s="6"/>
      <c r="JUI36" s="6"/>
      <c r="JUJ36" s="6"/>
      <c r="JUK36" s="6"/>
      <c r="JUL36" s="6"/>
      <c r="JUM36" s="6"/>
      <c r="JUN36" s="6"/>
      <c r="JUO36" s="6"/>
      <c r="JUP36" s="6"/>
      <c r="JUQ36" s="6"/>
      <c r="JUR36" s="6"/>
      <c r="JUS36" s="6"/>
      <c r="JUT36" s="6"/>
      <c r="JUU36" s="6"/>
      <c r="JUV36" s="6"/>
      <c r="JUW36" s="6"/>
      <c r="JUX36" s="6"/>
      <c r="JUY36" s="6"/>
      <c r="JUZ36" s="6"/>
      <c r="JVA36" s="6"/>
      <c r="JVB36" s="6"/>
      <c r="JVC36" s="6"/>
      <c r="JVD36" s="6"/>
      <c r="JVE36" s="6"/>
      <c r="JVF36" s="6"/>
      <c r="JVG36" s="6"/>
      <c r="JVH36" s="6"/>
      <c r="JVI36" s="6"/>
      <c r="JVJ36" s="6"/>
      <c r="JVK36" s="6"/>
      <c r="JVL36" s="6"/>
      <c r="JVM36" s="6"/>
      <c r="JVN36" s="6"/>
      <c r="JVO36" s="6"/>
      <c r="JVP36" s="6"/>
      <c r="JVQ36" s="6"/>
      <c r="JVR36" s="6"/>
      <c r="JVS36" s="6"/>
      <c r="JVT36" s="6"/>
      <c r="JVU36" s="6"/>
      <c r="JVV36" s="6"/>
      <c r="JVW36" s="6"/>
      <c r="JVX36" s="6"/>
      <c r="JVY36" s="6"/>
      <c r="JVZ36" s="6"/>
      <c r="JWA36" s="6"/>
      <c r="JWB36" s="6"/>
      <c r="JWC36" s="6"/>
      <c r="JWD36" s="6"/>
      <c r="JWE36" s="6"/>
      <c r="JWF36" s="6"/>
      <c r="JWG36" s="6"/>
      <c r="JWH36" s="6"/>
      <c r="JWI36" s="6"/>
      <c r="JWJ36" s="6"/>
      <c r="JWK36" s="6"/>
      <c r="JWL36" s="6"/>
      <c r="JWM36" s="6"/>
      <c r="JWN36" s="6"/>
      <c r="JWO36" s="6"/>
      <c r="JWP36" s="6"/>
      <c r="JWQ36" s="6"/>
      <c r="JWR36" s="6"/>
      <c r="JWS36" s="6"/>
      <c r="JWT36" s="6"/>
      <c r="JWU36" s="6"/>
      <c r="JWV36" s="6"/>
      <c r="JWW36" s="6"/>
      <c r="JWX36" s="6"/>
      <c r="JWY36" s="6"/>
      <c r="JWZ36" s="6"/>
      <c r="JXA36" s="6"/>
      <c r="JXB36" s="6"/>
      <c r="JXC36" s="6"/>
      <c r="JXD36" s="6"/>
      <c r="JXE36" s="6"/>
      <c r="JXF36" s="6"/>
      <c r="JXG36" s="6"/>
      <c r="JXH36" s="6"/>
      <c r="JXI36" s="6"/>
      <c r="JXJ36" s="6"/>
      <c r="JXK36" s="6"/>
      <c r="JXL36" s="6"/>
      <c r="JXM36" s="6"/>
      <c r="JXN36" s="6"/>
      <c r="JXO36" s="6"/>
      <c r="JXP36" s="6"/>
      <c r="JXQ36" s="6"/>
      <c r="JXR36" s="6"/>
      <c r="JXS36" s="6"/>
      <c r="JXT36" s="6"/>
      <c r="JXU36" s="6"/>
      <c r="JXV36" s="6"/>
      <c r="JXW36" s="6"/>
      <c r="JXX36" s="6"/>
      <c r="JXY36" s="6"/>
      <c r="JXZ36" s="6"/>
      <c r="JYA36" s="6"/>
      <c r="JYB36" s="6"/>
      <c r="JYC36" s="6"/>
      <c r="JYD36" s="6"/>
      <c r="JYE36" s="6"/>
      <c r="JYF36" s="6"/>
      <c r="JYG36" s="6"/>
      <c r="JYH36" s="6"/>
      <c r="JYI36" s="6"/>
      <c r="JYJ36" s="6"/>
      <c r="JYK36" s="6"/>
      <c r="JYL36" s="6"/>
      <c r="JYM36" s="6"/>
      <c r="JYN36" s="6"/>
      <c r="JYO36" s="6"/>
      <c r="JYP36" s="6"/>
      <c r="JYQ36" s="6"/>
      <c r="JYR36" s="6"/>
      <c r="JYS36" s="6"/>
      <c r="JYT36" s="6"/>
      <c r="JYU36" s="6"/>
      <c r="JYV36" s="6"/>
      <c r="JYW36" s="6"/>
      <c r="JYX36" s="6"/>
      <c r="JYY36" s="6"/>
      <c r="JYZ36" s="6"/>
      <c r="JZA36" s="6"/>
      <c r="JZB36" s="6"/>
      <c r="JZC36" s="6"/>
      <c r="JZD36" s="6"/>
      <c r="JZE36" s="6"/>
      <c r="JZF36" s="6"/>
      <c r="JZG36" s="6"/>
      <c r="JZH36" s="6"/>
      <c r="JZI36" s="6"/>
      <c r="JZJ36" s="6"/>
      <c r="JZK36" s="6"/>
      <c r="JZL36" s="6"/>
      <c r="JZM36" s="6"/>
      <c r="JZN36" s="6"/>
      <c r="JZO36" s="6"/>
      <c r="JZP36" s="6"/>
      <c r="JZQ36" s="6"/>
      <c r="JZR36" s="6"/>
      <c r="JZS36" s="6"/>
      <c r="JZT36" s="6"/>
      <c r="JZU36" s="6"/>
      <c r="JZV36" s="6"/>
      <c r="JZW36" s="6"/>
      <c r="JZX36" s="6"/>
      <c r="JZY36" s="6"/>
      <c r="JZZ36" s="6"/>
      <c r="KAA36" s="6"/>
      <c r="KAB36" s="6"/>
      <c r="KAC36" s="6"/>
      <c r="KAD36" s="6"/>
      <c r="KAE36" s="6"/>
      <c r="KAF36" s="6"/>
      <c r="KAG36" s="6"/>
      <c r="KAH36" s="6"/>
      <c r="KAI36" s="6"/>
      <c r="KAJ36" s="6"/>
      <c r="KAK36" s="6"/>
      <c r="KAL36" s="6"/>
      <c r="KAM36" s="6"/>
      <c r="KAN36" s="6"/>
      <c r="KAO36" s="6"/>
      <c r="KAP36" s="6"/>
      <c r="KAQ36" s="6"/>
      <c r="KAR36" s="6"/>
      <c r="KAS36" s="6"/>
      <c r="KAT36" s="6"/>
      <c r="KAU36" s="6"/>
      <c r="KAV36" s="6"/>
      <c r="KAW36" s="6"/>
      <c r="KAX36" s="6"/>
      <c r="KAY36" s="6"/>
      <c r="KAZ36" s="6"/>
      <c r="KBA36" s="6"/>
      <c r="KBB36" s="6"/>
      <c r="KBC36" s="6"/>
      <c r="KBD36" s="6"/>
      <c r="KBE36" s="6"/>
      <c r="KBF36" s="6"/>
      <c r="KBG36" s="6"/>
      <c r="KBH36" s="6"/>
      <c r="KBI36" s="6"/>
      <c r="KBJ36" s="6"/>
      <c r="KBK36" s="6"/>
      <c r="KBL36" s="6"/>
      <c r="KBM36" s="6"/>
      <c r="KBN36" s="6"/>
      <c r="KBO36" s="6"/>
      <c r="KBP36" s="6"/>
      <c r="KBQ36" s="6"/>
      <c r="KBR36" s="6"/>
      <c r="KBS36" s="6"/>
      <c r="KBT36" s="6"/>
      <c r="KBU36" s="6"/>
      <c r="KBV36" s="6"/>
      <c r="KBW36" s="6"/>
      <c r="KBX36" s="6"/>
      <c r="KBY36" s="6"/>
      <c r="KBZ36" s="6"/>
      <c r="KCA36" s="6"/>
      <c r="KCB36" s="6"/>
      <c r="KCC36" s="6"/>
      <c r="KCD36" s="6"/>
      <c r="KCE36" s="6"/>
      <c r="KCF36" s="6"/>
      <c r="KCG36" s="6"/>
      <c r="KCH36" s="6"/>
      <c r="KCI36" s="6"/>
      <c r="KCJ36" s="6"/>
      <c r="KCK36" s="6"/>
      <c r="KCL36" s="6"/>
      <c r="KCM36" s="6"/>
      <c r="KCN36" s="6"/>
      <c r="KCO36" s="6"/>
      <c r="KCP36" s="6"/>
      <c r="KCQ36" s="6"/>
      <c r="KCR36" s="6"/>
      <c r="KCS36" s="6"/>
      <c r="KCT36" s="6"/>
      <c r="KCU36" s="6"/>
      <c r="KCV36" s="6"/>
      <c r="KCW36" s="6"/>
      <c r="KCX36" s="6"/>
      <c r="KCY36" s="6"/>
      <c r="KCZ36" s="6"/>
      <c r="KDA36" s="6"/>
      <c r="KDB36" s="6"/>
      <c r="KDC36" s="6"/>
      <c r="KDD36" s="6"/>
      <c r="KDE36" s="6"/>
      <c r="KDF36" s="6"/>
      <c r="KDG36" s="6"/>
      <c r="KDH36" s="6"/>
      <c r="KDI36" s="6"/>
      <c r="KDJ36" s="6"/>
      <c r="KDK36" s="6"/>
      <c r="KDL36" s="6"/>
      <c r="KDM36" s="6"/>
      <c r="KDN36" s="6"/>
      <c r="KDO36" s="6"/>
      <c r="KDP36" s="6"/>
      <c r="KDQ36" s="6"/>
      <c r="KDR36" s="6"/>
      <c r="KDS36" s="6"/>
      <c r="KDT36" s="6"/>
      <c r="KDU36" s="6"/>
      <c r="KDV36" s="6"/>
      <c r="KDW36" s="6"/>
      <c r="KDX36" s="6"/>
      <c r="KDY36" s="6"/>
      <c r="KDZ36" s="6"/>
      <c r="KEA36" s="6"/>
      <c r="KEB36" s="6"/>
      <c r="KEC36" s="6"/>
      <c r="KED36" s="6"/>
      <c r="KEE36" s="6"/>
      <c r="KEF36" s="6"/>
      <c r="KEG36" s="6"/>
      <c r="KEH36" s="6"/>
      <c r="KEI36" s="6"/>
      <c r="KEJ36" s="6"/>
      <c r="KEK36" s="6"/>
      <c r="KEL36" s="6"/>
      <c r="KEM36" s="6"/>
      <c r="KEN36" s="6"/>
      <c r="KEO36" s="6"/>
      <c r="KEP36" s="6"/>
      <c r="KEQ36" s="6"/>
      <c r="KER36" s="6"/>
      <c r="KES36" s="6"/>
      <c r="KET36" s="6"/>
      <c r="KEU36" s="6"/>
      <c r="KEV36" s="6"/>
      <c r="KEW36" s="6"/>
      <c r="KEX36" s="6"/>
      <c r="KEY36" s="6"/>
      <c r="KEZ36" s="6"/>
      <c r="KFA36" s="6"/>
      <c r="KFB36" s="6"/>
      <c r="KFC36" s="6"/>
      <c r="KFD36" s="6"/>
      <c r="KFE36" s="6"/>
      <c r="KFF36" s="6"/>
      <c r="KFG36" s="6"/>
      <c r="KFH36" s="6"/>
      <c r="KFI36" s="6"/>
      <c r="KFJ36" s="6"/>
      <c r="KFK36" s="6"/>
      <c r="KFL36" s="6"/>
      <c r="KFM36" s="6"/>
      <c r="KFN36" s="6"/>
      <c r="KFO36" s="6"/>
      <c r="KFP36" s="6"/>
      <c r="KFQ36" s="6"/>
      <c r="KFR36" s="6"/>
      <c r="KFS36" s="6"/>
      <c r="KFT36" s="6"/>
      <c r="KFU36" s="6"/>
      <c r="KFV36" s="6"/>
      <c r="KFW36" s="6"/>
      <c r="KFX36" s="6"/>
      <c r="KFY36" s="6"/>
      <c r="KFZ36" s="6"/>
      <c r="KGA36" s="6"/>
      <c r="KGB36" s="6"/>
      <c r="KGC36" s="6"/>
      <c r="KGD36" s="6"/>
      <c r="KGE36" s="6"/>
      <c r="KGF36" s="6"/>
      <c r="KGG36" s="6"/>
      <c r="KGH36" s="6"/>
      <c r="KGI36" s="6"/>
      <c r="KGJ36" s="6"/>
      <c r="KGK36" s="6"/>
      <c r="KGL36" s="6"/>
      <c r="KGM36" s="6"/>
      <c r="KGN36" s="6"/>
      <c r="KGO36" s="6"/>
      <c r="KGP36" s="6"/>
      <c r="KGQ36" s="6"/>
      <c r="KGR36" s="6"/>
      <c r="KGS36" s="6"/>
      <c r="KGT36" s="6"/>
      <c r="KGU36" s="6"/>
      <c r="KGV36" s="6"/>
      <c r="KGW36" s="6"/>
      <c r="KGX36" s="6"/>
      <c r="KGY36" s="6"/>
      <c r="KGZ36" s="6"/>
      <c r="KHA36" s="6"/>
      <c r="KHB36" s="6"/>
      <c r="KHC36" s="6"/>
      <c r="KHD36" s="6"/>
      <c r="KHE36" s="6"/>
      <c r="KHF36" s="6"/>
      <c r="KHG36" s="6"/>
      <c r="KHH36" s="6"/>
      <c r="KHI36" s="6"/>
      <c r="KHJ36" s="6"/>
      <c r="KHK36" s="6"/>
      <c r="KHL36" s="6"/>
      <c r="KHM36" s="6"/>
      <c r="KHN36" s="6"/>
      <c r="KHO36" s="6"/>
      <c r="KHP36" s="6"/>
      <c r="KHQ36" s="6"/>
      <c r="KHR36" s="6"/>
      <c r="KHS36" s="6"/>
      <c r="KHT36" s="6"/>
      <c r="KHU36" s="6"/>
      <c r="KHV36" s="6"/>
      <c r="KHW36" s="6"/>
      <c r="KHX36" s="6"/>
      <c r="KHY36" s="6"/>
      <c r="KHZ36" s="6"/>
      <c r="KIA36" s="6"/>
      <c r="KIB36" s="6"/>
      <c r="KIC36" s="6"/>
      <c r="KID36" s="6"/>
      <c r="KIE36" s="6"/>
      <c r="KIF36" s="6"/>
      <c r="KIG36" s="6"/>
      <c r="KIH36" s="6"/>
      <c r="KII36" s="6"/>
      <c r="KIJ36" s="6"/>
      <c r="KIK36" s="6"/>
      <c r="KIL36" s="6"/>
      <c r="KIM36" s="6"/>
      <c r="KIN36" s="6"/>
      <c r="KIO36" s="6"/>
      <c r="KIP36" s="6"/>
      <c r="KIQ36" s="6"/>
      <c r="KIR36" s="6"/>
      <c r="KIS36" s="6"/>
      <c r="KIT36" s="6"/>
      <c r="KIU36" s="6"/>
      <c r="KIV36" s="6"/>
      <c r="KIW36" s="6"/>
      <c r="KIX36" s="6"/>
      <c r="KIY36" s="6"/>
      <c r="KIZ36" s="6"/>
      <c r="KJA36" s="6"/>
      <c r="KJB36" s="6"/>
      <c r="KJC36" s="6"/>
      <c r="KJD36" s="6"/>
      <c r="KJE36" s="6"/>
      <c r="KJF36" s="6"/>
      <c r="KJG36" s="6"/>
      <c r="KJH36" s="6"/>
      <c r="KJI36" s="6"/>
      <c r="KJJ36" s="6"/>
      <c r="KJK36" s="6"/>
      <c r="KJL36" s="6"/>
      <c r="KJM36" s="6"/>
      <c r="KJN36" s="6"/>
      <c r="KJO36" s="6"/>
      <c r="KJP36" s="6"/>
      <c r="KJQ36" s="6"/>
      <c r="KJR36" s="6"/>
      <c r="KJS36" s="6"/>
      <c r="KJT36" s="6"/>
      <c r="KJU36" s="6"/>
      <c r="KJV36" s="6"/>
      <c r="KJW36" s="6"/>
      <c r="KJX36" s="6"/>
      <c r="KJY36" s="6"/>
      <c r="KJZ36" s="6"/>
      <c r="KKA36" s="6"/>
      <c r="KKB36" s="6"/>
      <c r="KKC36" s="6"/>
      <c r="KKD36" s="6"/>
      <c r="KKE36" s="6"/>
      <c r="KKF36" s="6"/>
      <c r="KKG36" s="6"/>
      <c r="KKH36" s="6"/>
      <c r="KKI36" s="6"/>
      <c r="KKJ36" s="6"/>
      <c r="KKK36" s="6"/>
      <c r="KKL36" s="6"/>
      <c r="KKM36" s="6"/>
      <c r="KKN36" s="6"/>
      <c r="KKO36" s="6"/>
      <c r="KKP36" s="6"/>
      <c r="KKQ36" s="6"/>
      <c r="KKR36" s="6"/>
      <c r="KKS36" s="6"/>
      <c r="KKT36" s="6"/>
      <c r="KKU36" s="6"/>
      <c r="KKV36" s="6"/>
      <c r="KKW36" s="6"/>
      <c r="KKX36" s="6"/>
      <c r="KKY36" s="6"/>
      <c r="KKZ36" s="6"/>
      <c r="KLA36" s="6"/>
      <c r="KLB36" s="6"/>
      <c r="KLC36" s="6"/>
      <c r="KLD36" s="6"/>
      <c r="KLE36" s="6"/>
      <c r="KLF36" s="6"/>
      <c r="KLG36" s="6"/>
      <c r="KLH36" s="6"/>
      <c r="KLI36" s="6"/>
      <c r="KLJ36" s="6"/>
      <c r="KLK36" s="6"/>
      <c r="KLL36" s="6"/>
      <c r="KLM36" s="6"/>
      <c r="KLN36" s="6"/>
      <c r="KLO36" s="6"/>
      <c r="KLP36" s="6"/>
      <c r="KLQ36" s="6"/>
      <c r="KLR36" s="6"/>
      <c r="KLS36" s="6"/>
      <c r="KLT36" s="6"/>
      <c r="KLU36" s="6"/>
      <c r="KLV36" s="6"/>
      <c r="KLW36" s="6"/>
      <c r="KLX36" s="6"/>
      <c r="KLY36" s="6"/>
      <c r="KLZ36" s="6"/>
      <c r="KMA36" s="6"/>
      <c r="KMB36" s="6"/>
      <c r="KMC36" s="6"/>
      <c r="KMD36" s="6"/>
      <c r="KME36" s="6"/>
      <c r="KMF36" s="6"/>
      <c r="KMG36" s="6"/>
      <c r="KMH36" s="6"/>
      <c r="KMI36" s="6"/>
      <c r="KMJ36" s="6"/>
      <c r="KMK36" s="6"/>
      <c r="KML36" s="6"/>
      <c r="KMM36" s="6"/>
      <c r="KMN36" s="6"/>
      <c r="KMO36" s="6"/>
      <c r="KMP36" s="6"/>
      <c r="KMQ36" s="6"/>
      <c r="KMR36" s="6"/>
      <c r="KMS36" s="6"/>
      <c r="KMT36" s="6"/>
      <c r="KMU36" s="6"/>
      <c r="KMV36" s="6"/>
      <c r="KMW36" s="6"/>
      <c r="KMX36" s="6"/>
      <c r="KMY36" s="6"/>
      <c r="KMZ36" s="6"/>
      <c r="KNA36" s="6"/>
      <c r="KNB36" s="6"/>
      <c r="KNC36" s="6"/>
      <c r="KND36" s="6"/>
      <c r="KNE36" s="6"/>
      <c r="KNF36" s="6"/>
      <c r="KNG36" s="6"/>
      <c r="KNH36" s="6"/>
      <c r="KNI36" s="6"/>
      <c r="KNJ36" s="6"/>
      <c r="KNK36" s="6"/>
      <c r="KNL36" s="6"/>
      <c r="KNM36" s="6"/>
      <c r="KNN36" s="6"/>
      <c r="KNO36" s="6"/>
      <c r="KNP36" s="6"/>
      <c r="KNQ36" s="6"/>
      <c r="KNR36" s="6"/>
      <c r="KNS36" s="6"/>
      <c r="KNT36" s="6"/>
      <c r="KNU36" s="6"/>
      <c r="KNV36" s="6"/>
      <c r="KNW36" s="6"/>
      <c r="KNX36" s="6"/>
      <c r="KNY36" s="6"/>
      <c r="KNZ36" s="6"/>
      <c r="KOA36" s="6"/>
      <c r="KOB36" s="6"/>
      <c r="KOC36" s="6"/>
      <c r="KOD36" s="6"/>
      <c r="KOE36" s="6"/>
      <c r="KOF36" s="6"/>
      <c r="KOG36" s="6"/>
      <c r="KOH36" s="6"/>
      <c r="KOI36" s="6"/>
      <c r="KOJ36" s="6"/>
      <c r="KOK36" s="6"/>
      <c r="KOL36" s="6"/>
      <c r="KOM36" s="6"/>
      <c r="KON36" s="6"/>
      <c r="KOO36" s="6"/>
      <c r="KOP36" s="6"/>
      <c r="KOQ36" s="6"/>
      <c r="KOR36" s="6"/>
      <c r="KOS36" s="6"/>
      <c r="KOT36" s="6"/>
      <c r="KOU36" s="6"/>
      <c r="KOV36" s="6"/>
      <c r="KOW36" s="6"/>
      <c r="KOX36" s="6"/>
      <c r="KOY36" s="6"/>
      <c r="KOZ36" s="6"/>
      <c r="KPA36" s="6"/>
      <c r="KPB36" s="6"/>
      <c r="KPC36" s="6"/>
      <c r="KPD36" s="6"/>
      <c r="KPE36" s="6"/>
      <c r="KPF36" s="6"/>
      <c r="KPG36" s="6"/>
      <c r="KPH36" s="6"/>
      <c r="KPI36" s="6"/>
      <c r="KPJ36" s="6"/>
      <c r="KPK36" s="6"/>
      <c r="KPL36" s="6"/>
      <c r="KPM36" s="6"/>
      <c r="KPN36" s="6"/>
      <c r="KPO36" s="6"/>
      <c r="KPP36" s="6"/>
      <c r="KPQ36" s="6"/>
      <c r="KPR36" s="6"/>
      <c r="KPS36" s="6"/>
      <c r="KPT36" s="6"/>
      <c r="KPU36" s="6"/>
      <c r="KPV36" s="6"/>
      <c r="KPW36" s="6"/>
      <c r="KPX36" s="6"/>
      <c r="KPY36" s="6"/>
      <c r="KPZ36" s="6"/>
      <c r="KQA36" s="6"/>
      <c r="KQB36" s="6"/>
      <c r="KQC36" s="6"/>
      <c r="KQD36" s="6"/>
      <c r="KQE36" s="6"/>
      <c r="KQF36" s="6"/>
      <c r="KQG36" s="6"/>
      <c r="KQH36" s="6"/>
      <c r="KQI36" s="6"/>
      <c r="KQJ36" s="6"/>
      <c r="KQK36" s="6"/>
      <c r="KQL36" s="6"/>
      <c r="KQM36" s="6"/>
      <c r="KQN36" s="6"/>
      <c r="KQO36" s="6"/>
      <c r="KQP36" s="6"/>
      <c r="KQQ36" s="6"/>
      <c r="KQR36" s="6"/>
      <c r="KQS36" s="6"/>
      <c r="KQT36" s="6"/>
      <c r="KQU36" s="6"/>
      <c r="KQV36" s="6"/>
      <c r="KQW36" s="6"/>
      <c r="KQX36" s="6"/>
      <c r="KQY36" s="6"/>
      <c r="KQZ36" s="6"/>
      <c r="KRA36" s="6"/>
      <c r="KRB36" s="6"/>
      <c r="KRC36" s="6"/>
      <c r="KRD36" s="6"/>
      <c r="KRE36" s="6"/>
      <c r="KRF36" s="6"/>
      <c r="KRG36" s="6"/>
      <c r="KRH36" s="6"/>
      <c r="KRI36" s="6"/>
      <c r="KRJ36" s="6"/>
      <c r="KRK36" s="6"/>
      <c r="KRL36" s="6"/>
      <c r="KRM36" s="6"/>
      <c r="KRN36" s="6"/>
      <c r="KRO36" s="6"/>
      <c r="KRP36" s="6"/>
      <c r="KRQ36" s="6"/>
      <c r="KRR36" s="6"/>
      <c r="KRS36" s="6"/>
      <c r="KRT36" s="6"/>
      <c r="KRU36" s="6"/>
      <c r="KRV36" s="6"/>
      <c r="KRW36" s="6"/>
      <c r="KRX36" s="6"/>
      <c r="KRY36" s="6"/>
      <c r="KRZ36" s="6"/>
      <c r="KSA36" s="6"/>
      <c r="KSB36" s="6"/>
      <c r="KSC36" s="6"/>
      <c r="KSD36" s="6"/>
      <c r="KSE36" s="6"/>
      <c r="KSF36" s="6"/>
      <c r="KSG36" s="6"/>
      <c r="KSH36" s="6"/>
      <c r="KSI36" s="6"/>
      <c r="KSJ36" s="6"/>
      <c r="KSK36" s="6"/>
      <c r="KSL36" s="6"/>
      <c r="KSM36" s="6"/>
      <c r="KSN36" s="6"/>
      <c r="KSO36" s="6"/>
      <c r="KSP36" s="6"/>
      <c r="KSQ36" s="6"/>
      <c r="KSR36" s="6"/>
      <c r="KSS36" s="6"/>
      <c r="KST36" s="6"/>
      <c r="KSU36" s="6"/>
      <c r="KSV36" s="6"/>
      <c r="KSW36" s="6"/>
      <c r="KSX36" s="6"/>
      <c r="KSY36" s="6"/>
      <c r="KSZ36" s="6"/>
      <c r="KTA36" s="6"/>
      <c r="KTB36" s="6"/>
      <c r="KTC36" s="6"/>
      <c r="KTD36" s="6"/>
      <c r="KTE36" s="6"/>
      <c r="KTF36" s="6"/>
      <c r="KTG36" s="6"/>
      <c r="KTH36" s="6"/>
      <c r="KTI36" s="6"/>
      <c r="KTJ36" s="6"/>
      <c r="KTK36" s="6"/>
      <c r="KTL36" s="6"/>
      <c r="KTM36" s="6"/>
      <c r="KTN36" s="6"/>
      <c r="KTO36" s="6"/>
      <c r="KTP36" s="6"/>
      <c r="KTQ36" s="6"/>
      <c r="KTR36" s="6"/>
      <c r="KTS36" s="6"/>
      <c r="KTT36" s="6"/>
      <c r="KTU36" s="6"/>
      <c r="KTV36" s="6"/>
      <c r="KTW36" s="6"/>
      <c r="KTX36" s="6"/>
      <c r="KTY36" s="6"/>
      <c r="KTZ36" s="6"/>
      <c r="KUA36" s="6"/>
      <c r="KUB36" s="6"/>
      <c r="KUC36" s="6"/>
      <c r="KUD36" s="6"/>
      <c r="KUE36" s="6"/>
      <c r="KUF36" s="6"/>
      <c r="KUG36" s="6"/>
      <c r="KUH36" s="6"/>
      <c r="KUI36" s="6"/>
      <c r="KUJ36" s="6"/>
      <c r="KUK36" s="6"/>
      <c r="KUL36" s="6"/>
      <c r="KUM36" s="6"/>
      <c r="KUN36" s="6"/>
      <c r="KUO36" s="6"/>
      <c r="KUP36" s="6"/>
      <c r="KUQ36" s="6"/>
      <c r="KUR36" s="6"/>
      <c r="KUS36" s="6"/>
      <c r="KUT36" s="6"/>
      <c r="KUU36" s="6"/>
      <c r="KUV36" s="6"/>
      <c r="KUW36" s="6"/>
      <c r="KUX36" s="6"/>
      <c r="KUY36" s="6"/>
      <c r="KUZ36" s="6"/>
      <c r="KVA36" s="6"/>
      <c r="KVB36" s="6"/>
      <c r="KVC36" s="6"/>
      <c r="KVD36" s="6"/>
      <c r="KVE36" s="6"/>
      <c r="KVF36" s="6"/>
      <c r="KVG36" s="6"/>
      <c r="KVH36" s="6"/>
      <c r="KVI36" s="6"/>
      <c r="KVJ36" s="6"/>
      <c r="KVK36" s="6"/>
      <c r="KVL36" s="6"/>
      <c r="KVM36" s="6"/>
      <c r="KVN36" s="6"/>
      <c r="KVO36" s="6"/>
      <c r="KVP36" s="6"/>
      <c r="KVQ36" s="6"/>
      <c r="KVR36" s="6"/>
      <c r="KVS36" s="6"/>
      <c r="KVT36" s="6"/>
      <c r="KVU36" s="6"/>
      <c r="KVV36" s="6"/>
      <c r="KVW36" s="6"/>
      <c r="KVX36" s="6"/>
      <c r="KVY36" s="6"/>
      <c r="KVZ36" s="6"/>
      <c r="KWA36" s="6"/>
      <c r="KWB36" s="6"/>
      <c r="KWC36" s="6"/>
      <c r="KWD36" s="6"/>
      <c r="KWE36" s="6"/>
      <c r="KWF36" s="6"/>
      <c r="KWG36" s="6"/>
      <c r="KWH36" s="6"/>
      <c r="KWI36" s="6"/>
      <c r="KWJ36" s="6"/>
      <c r="KWK36" s="6"/>
      <c r="KWL36" s="6"/>
      <c r="KWM36" s="6"/>
      <c r="KWN36" s="6"/>
      <c r="KWO36" s="6"/>
      <c r="KWP36" s="6"/>
      <c r="KWQ36" s="6"/>
      <c r="KWR36" s="6"/>
      <c r="KWS36" s="6"/>
      <c r="KWT36" s="6"/>
      <c r="KWU36" s="6"/>
      <c r="KWV36" s="6"/>
      <c r="KWW36" s="6"/>
      <c r="KWX36" s="6"/>
      <c r="KWY36" s="6"/>
      <c r="KWZ36" s="6"/>
      <c r="KXA36" s="6"/>
      <c r="KXB36" s="6"/>
      <c r="KXC36" s="6"/>
      <c r="KXD36" s="6"/>
      <c r="KXE36" s="6"/>
      <c r="KXF36" s="6"/>
      <c r="KXG36" s="6"/>
      <c r="KXH36" s="6"/>
      <c r="KXI36" s="6"/>
      <c r="KXJ36" s="6"/>
      <c r="KXK36" s="6"/>
      <c r="KXL36" s="6"/>
      <c r="KXM36" s="6"/>
      <c r="KXN36" s="6"/>
      <c r="KXO36" s="6"/>
      <c r="KXP36" s="6"/>
      <c r="KXQ36" s="6"/>
      <c r="KXR36" s="6"/>
      <c r="KXS36" s="6"/>
      <c r="KXT36" s="6"/>
      <c r="KXU36" s="6"/>
      <c r="KXV36" s="6"/>
      <c r="KXW36" s="6"/>
      <c r="KXX36" s="6"/>
      <c r="KXY36" s="6"/>
      <c r="KXZ36" s="6"/>
      <c r="KYA36" s="6"/>
      <c r="KYB36" s="6"/>
      <c r="KYC36" s="6"/>
      <c r="KYD36" s="6"/>
      <c r="KYE36" s="6"/>
      <c r="KYF36" s="6"/>
      <c r="KYG36" s="6"/>
      <c r="KYH36" s="6"/>
      <c r="KYI36" s="6"/>
      <c r="KYJ36" s="6"/>
      <c r="KYK36" s="6"/>
      <c r="KYL36" s="6"/>
      <c r="KYM36" s="6"/>
      <c r="KYN36" s="6"/>
      <c r="KYO36" s="6"/>
      <c r="KYP36" s="6"/>
      <c r="KYQ36" s="6"/>
      <c r="KYR36" s="6"/>
      <c r="KYS36" s="6"/>
      <c r="KYT36" s="6"/>
      <c r="KYU36" s="6"/>
      <c r="KYV36" s="6"/>
      <c r="KYW36" s="6"/>
      <c r="KYX36" s="6"/>
      <c r="KYY36" s="6"/>
      <c r="KYZ36" s="6"/>
      <c r="KZA36" s="6"/>
      <c r="KZB36" s="6"/>
      <c r="KZC36" s="6"/>
      <c r="KZD36" s="6"/>
      <c r="KZE36" s="6"/>
      <c r="KZF36" s="6"/>
      <c r="KZG36" s="6"/>
      <c r="KZH36" s="6"/>
      <c r="KZI36" s="6"/>
      <c r="KZJ36" s="6"/>
      <c r="KZK36" s="6"/>
      <c r="KZL36" s="6"/>
      <c r="KZM36" s="6"/>
      <c r="KZN36" s="6"/>
      <c r="KZO36" s="6"/>
      <c r="KZP36" s="6"/>
      <c r="KZQ36" s="6"/>
      <c r="KZR36" s="6"/>
      <c r="KZS36" s="6"/>
      <c r="KZT36" s="6"/>
      <c r="KZU36" s="6"/>
      <c r="KZV36" s="6"/>
      <c r="KZW36" s="6"/>
      <c r="KZX36" s="6"/>
      <c r="KZY36" s="6"/>
      <c r="KZZ36" s="6"/>
      <c r="LAA36" s="6"/>
      <c r="LAB36" s="6"/>
      <c r="LAC36" s="6"/>
      <c r="LAD36" s="6"/>
      <c r="LAE36" s="6"/>
      <c r="LAF36" s="6"/>
      <c r="LAG36" s="6"/>
      <c r="LAH36" s="6"/>
      <c r="LAI36" s="6"/>
      <c r="LAJ36" s="6"/>
      <c r="LAK36" s="6"/>
      <c r="LAL36" s="6"/>
      <c r="LAM36" s="6"/>
      <c r="LAN36" s="6"/>
      <c r="LAO36" s="6"/>
      <c r="LAP36" s="6"/>
      <c r="LAQ36" s="6"/>
      <c r="LAR36" s="6"/>
      <c r="LAS36" s="6"/>
      <c r="LAT36" s="6"/>
      <c r="LAU36" s="6"/>
      <c r="LAV36" s="6"/>
      <c r="LAW36" s="6"/>
      <c r="LAX36" s="6"/>
      <c r="LAY36" s="6"/>
      <c r="LAZ36" s="6"/>
      <c r="LBA36" s="6"/>
      <c r="LBB36" s="6"/>
      <c r="LBC36" s="6"/>
      <c r="LBD36" s="6"/>
      <c r="LBE36" s="6"/>
      <c r="LBF36" s="6"/>
      <c r="LBG36" s="6"/>
      <c r="LBH36" s="6"/>
      <c r="LBI36" s="6"/>
      <c r="LBJ36" s="6"/>
      <c r="LBK36" s="6"/>
      <c r="LBL36" s="6"/>
      <c r="LBM36" s="6"/>
      <c r="LBN36" s="6"/>
      <c r="LBO36" s="6"/>
      <c r="LBP36" s="6"/>
      <c r="LBQ36" s="6"/>
      <c r="LBR36" s="6"/>
      <c r="LBS36" s="6"/>
      <c r="LBT36" s="6"/>
      <c r="LBU36" s="6"/>
      <c r="LBV36" s="6"/>
      <c r="LBW36" s="6"/>
      <c r="LBX36" s="6"/>
      <c r="LBY36" s="6"/>
      <c r="LBZ36" s="6"/>
      <c r="LCA36" s="6"/>
      <c r="LCB36" s="6"/>
      <c r="LCC36" s="6"/>
      <c r="LCD36" s="6"/>
      <c r="LCE36" s="6"/>
      <c r="LCF36" s="6"/>
      <c r="LCG36" s="6"/>
      <c r="LCH36" s="6"/>
      <c r="LCI36" s="6"/>
      <c r="LCJ36" s="6"/>
      <c r="LCK36" s="6"/>
      <c r="LCL36" s="6"/>
      <c r="LCM36" s="6"/>
      <c r="LCN36" s="6"/>
      <c r="LCO36" s="6"/>
      <c r="LCP36" s="6"/>
      <c r="LCQ36" s="6"/>
      <c r="LCR36" s="6"/>
      <c r="LCS36" s="6"/>
      <c r="LCT36" s="6"/>
      <c r="LCU36" s="6"/>
      <c r="LCV36" s="6"/>
      <c r="LCW36" s="6"/>
      <c r="LCX36" s="6"/>
      <c r="LCY36" s="6"/>
      <c r="LCZ36" s="6"/>
      <c r="LDA36" s="6"/>
      <c r="LDB36" s="6"/>
      <c r="LDC36" s="6"/>
      <c r="LDD36" s="6"/>
      <c r="LDE36" s="6"/>
      <c r="LDF36" s="6"/>
      <c r="LDG36" s="6"/>
      <c r="LDH36" s="6"/>
      <c r="LDI36" s="6"/>
      <c r="LDJ36" s="6"/>
      <c r="LDK36" s="6"/>
      <c r="LDL36" s="6"/>
      <c r="LDM36" s="6"/>
      <c r="LDN36" s="6"/>
      <c r="LDO36" s="6"/>
      <c r="LDP36" s="6"/>
      <c r="LDQ36" s="6"/>
      <c r="LDR36" s="6"/>
      <c r="LDS36" s="6"/>
      <c r="LDT36" s="6"/>
      <c r="LDU36" s="6"/>
      <c r="LDV36" s="6"/>
      <c r="LDW36" s="6"/>
      <c r="LDX36" s="6"/>
      <c r="LDY36" s="6"/>
      <c r="LDZ36" s="6"/>
      <c r="LEA36" s="6"/>
      <c r="LEB36" s="6"/>
      <c r="LEC36" s="6"/>
      <c r="LED36" s="6"/>
      <c r="LEE36" s="6"/>
      <c r="LEF36" s="6"/>
      <c r="LEG36" s="6"/>
      <c r="LEH36" s="6"/>
      <c r="LEI36" s="6"/>
      <c r="LEJ36" s="6"/>
      <c r="LEK36" s="6"/>
      <c r="LEL36" s="6"/>
      <c r="LEM36" s="6"/>
      <c r="LEN36" s="6"/>
      <c r="LEO36" s="6"/>
      <c r="LEP36" s="6"/>
      <c r="LEQ36" s="6"/>
      <c r="LER36" s="6"/>
      <c r="LES36" s="6"/>
      <c r="LET36" s="6"/>
      <c r="LEU36" s="6"/>
      <c r="LEV36" s="6"/>
      <c r="LEW36" s="6"/>
      <c r="LEX36" s="6"/>
      <c r="LEY36" s="6"/>
      <c r="LEZ36" s="6"/>
      <c r="LFA36" s="6"/>
      <c r="LFB36" s="6"/>
      <c r="LFC36" s="6"/>
      <c r="LFD36" s="6"/>
      <c r="LFE36" s="6"/>
      <c r="LFF36" s="6"/>
      <c r="LFG36" s="6"/>
      <c r="LFH36" s="6"/>
      <c r="LFI36" s="6"/>
      <c r="LFJ36" s="6"/>
      <c r="LFK36" s="6"/>
      <c r="LFL36" s="6"/>
      <c r="LFM36" s="6"/>
      <c r="LFN36" s="6"/>
      <c r="LFO36" s="6"/>
      <c r="LFP36" s="6"/>
      <c r="LFQ36" s="6"/>
      <c r="LFR36" s="6"/>
      <c r="LFS36" s="6"/>
      <c r="LFT36" s="6"/>
      <c r="LFU36" s="6"/>
      <c r="LFV36" s="6"/>
      <c r="LFW36" s="6"/>
      <c r="LFX36" s="6"/>
      <c r="LFY36" s="6"/>
      <c r="LFZ36" s="6"/>
      <c r="LGA36" s="6"/>
      <c r="LGB36" s="6"/>
      <c r="LGC36" s="6"/>
      <c r="LGD36" s="6"/>
      <c r="LGE36" s="6"/>
      <c r="LGF36" s="6"/>
      <c r="LGG36" s="6"/>
      <c r="LGH36" s="6"/>
      <c r="LGI36" s="6"/>
      <c r="LGJ36" s="6"/>
      <c r="LGK36" s="6"/>
      <c r="LGL36" s="6"/>
      <c r="LGM36" s="6"/>
      <c r="LGN36" s="6"/>
      <c r="LGO36" s="6"/>
      <c r="LGP36" s="6"/>
      <c r="LGQ36" s="6"/>
      <c r="LGR36" s="6"/>
      <c r="LGS36" s="6"/>
      <c r="LGT36" s="6"/>
      <c r="LGU36" s="6"/>
      <c r="LGV36" s="6"/>
      <c r="LGW36" s="6"/>
      <c r="LGX36" s="6"/>
      <c r="LGY36" s="6"/>
      <c r="LGZ36" s="6"/>
      <c r="LHA36" s="6"/>
      <c r="LHB36" s="6"/>
      <c r="LHC36" s="6"/>
      <c r="LHD36" s="6"/>
      <c r="LHE36" s="6"/>
      <c r="LHF36" s="6"/>
      <c r="LHG36" s="6"/>
      <c r="LHH36" s="6"/>
      <c r="LHI36" s="6"/>
      <c r="LHJ36" s="6"/>
      <c r="LHK36" s="6"/>
      <c r="LHL36" s="6"/>
      <c r="LHM36" s="6"/>
      <c r="LHN36" s="6"/>
      <c r="LHO36" s="6"/>
      <c r="LHP36" s="6"/>
      <c r="LHQ36" s="6"/>
      <c r="LHR36" s="6"/>
      <c r="LHS36" s="6"/>
      <c r="LHT36" s="6"/>
      <c r="LHU36" s="6"/>
      <c r="LHV36" s="6"/>
      <c r="LHW36" s="6"/>
      <c r="LHX36" s="6"/>
      <c r="LHY36" s="6"/>
      <c r="LHZ36" s="6"/>
      <c r="LIA36" s="6"/>
      <c r="LIB36" s="6"/>
      <c r="LIC36" s="6"/>
      <c r="LID36" s="6"/>
      <c r="LIE36" s="6"/>
      <c r="LIF36" s="6"/>
      <c r="LIG36" s="6"/>
      <c r="LIH36" s="6"/>
      <c r="LII36" s="6"/>
      <c r="LIJ36" s="6"/>
      <c r="LIK36" s="6"/>
      <c r="LIL36" s="6"/>
      <c r="LIM36" s="6"/>
      <c r="LIN36" s="6"/>
      <c r="LIO36" s="6"/>
      <c r="LIP36" s="6"/>
      <c r="LIQ36" s="6"/>
      <c r="LIR36" s="6"/>
      <c r="LIS36" s="6"/>
      <c r="LIT36" s="6"/>
      <c r="LIU36" s="6"/>
      <c r="LIV36" s="6"/>
      <c r="LIW36" s="6"/>
      <c r="LIX36" s="6"/>
      <c r="LIY36" s="6"/>
      <c r="LIZ36" s="6"/>
      <c r="LJA36" s="6"/>
      <c r="LJB36" s="6"/>
      <c r="LJC36" s="6"/>
      <c r="LJD36" s="6"/>
      <c r="LJE36" s="6"/>
      <c r="LJF36" s="6"/>
      <c r="LJG36" s="6"/>
      <c r="LJH36" s="6"/>
      <c r="LJI36" s="6"/>
      <c r="LJJ36" s="6"/>
      <c r="LJK36" s="6"/>
      <c r="LJL36" s="6"/>
      <c r="LJM36" s="6"/>
      <c r="LJN36" s="6"/>
      <c r="LJO36" s="6"/>
      <c r="LJP36" s="6"/>
      <c r="LJQ36" s="6"/>
      <c r="LJR36" s="6"/>
      <c r="LJS36" s="6"/>
      <c r="LJT36" s="6"/>
      <c r="LJU36" s="6"/>
      <c r="LJV36" s="6"/>
      <c r="LJW36" s="6"/>
      <c r="LJX36" s="6"/>
      <c r="LJY36" s="6"/>
      <c r="LJZ36" s="6"/>
      <c r="LKA36" s="6"/>
      <c r="LKB36" s="6"/>
      <c r="LKC36" s="6"/>
      <c r="LKD36" s="6"/>
      <c r="LKE36" s="6"/>
      <c r="LKF36" s="6"/>
      <c r="LKG36" s="6"/>
      <c r="LKH36" s="6"/>
      <c r="LKI36" s="6"/>
      <c r="LKJ36" s="6"/>
      <c r="LKK36" s="6"/>
      <c r="LKL36" s="6"/>
      <c r="LKM36" s="6"/>
      <c r="LKN36" s="6"/>
      <c r="LKO36" s="6"/>
      <c r="LKP36" s="6"/>
      <c r="LKQ36" s="6"/>
      <c r="LKR36" s="6"/>
      <c r="LKS36" s="6"/>
      <c r="LKT36" s="6"/>
      <c r="LKU36" s="6"/>
      <c r="LKV36" s="6"/>
      <c r="LKW36" s="6"/>
      <c r="LKX36" s="6"/>
      <c r="LKY36" s="6"/>
      <c r="LKZ36" s="6"/>
      <c r="LLA36" s="6"/>
      <c r="LLB36" s="6"/>
      <c r="LLC36" s="6"/>
      <c r="LLD36" s="6"/>
      <c r="LLE36" s="6"/>
      <c r="LLF36" s="6"/>
      <c r="LLG36" s="6"/>
      <c r="LLH36" s="6"/>
      <c r="LLI36" s="6"/>
      <c r="LLJ36" s="6"/>
      <c r="LLK36" s="6"/>
      <c r="LLL36" s="6"/>
      <c r="LLM36" s="6"/>
      <c r="LLN36" s="6"/>
      <c r="LLO36" s="6"/>
      <c r="LLP36" s="6"/>
      <c r="LLQ36" s="6"/>
      <c r="LLR36" s="6"/>
      <c r="LLS36" s="6"/>
      <c r="LLT36" s="6"/>
      <c r="LLU36" s="6"/>
      <c r="LLV36" s="6"/>
      <c r="LLW36" s="6"/>
      <c r="LLX36" s="6"/>
      <c r="LLY36" s="6"/>
      <c r="LLZ36" s="6"/>
      <c r="LMA36" s="6"/>
      <c r="LMB36" s="6"/>
      <c r="LMC36" s="6"/>
      <c r="LMD36" s="6"/>
      <c r="LME36" s="6"/>
      <c r="LMF36" s="6"/>
      <c r="LMG36" s="6"/>
      <c r="LMH36" s="6"/>
      <c r="LMI36" s="6"/>
      <c r="LMJ36" s="6"/>
      <c r="LMK36" s="6"/>
      <c r="LML36" s="6"/>
      <c r="LMM36" s="6"/>
      <c r="LMN36" s="6"/>
      <c r="LMO36" s="6"/>
      <c r="LMP36" s="6"/>
      <c r="LMQ36" s="6"/>
      <c r="LMR36" s="6"/>
      <c r="LMS36" s="6"/>
      <c r="LMT36" s="6"/>
      <c r="LMU36" s="6"/>
      <c r="LMV36" s="6"/>
      <c r="LMW36" s="6"/>
      <c r="LMX36" s="6"/>
      <c r="LMY36" s="6"/>
      <c r="LMZ36" s="6"/>
      <c r="LNA36" s="6"/>
      <c r="LNB36" s="6"/>
      <c r="LNC36" s="6"/>
      <c r="LND36" s="6"/>
      <c r="LNE36" s="6"/>
      <c r="LNF36" s="6"/>
      <c r="LNG36" s="6"/>
      <c r="LNH36" s="6"/>
      <c r="LNI36" s="6"/>
      <c r="LNJ36" s="6"/>
      <c r="LNK36" s="6"/>
      <c r="LNL36" s="6"/>
      <c r="LNM36" s="6"/>
      <c r="LNN36" s="6"/>
      <c r="LNO36" s="6"/>
      <c r="LNP36" s="6"/>
      <c r="LNQ36" s="6"/>
      <c r="LNR36" s="6"/>
      <c r="LNS36" s="6"/>
      <c r="LNT36" s="6"/>
      <c r="LNU36" s="6"/>
      <c r="LNV36" s="6"/>
      <c r="LNW36" s="6"/>
      <c r="LNX36" s="6"/>
      <c r="LNY36" s="6"/>
      <c r="LNZ36" s="6"/>
      <c r="LOA36" s="6"/>
      <c r="LOB36" s="6"/>
      <c r="LOC36" s="6"/>
      <c r="LOD36" s="6"/>
      <c r="LOE36" s="6"/>
      <c r="LOF36" s="6"/>
      <c r="LOG36" s="6"/>
      <c r="LOH36" s="6"/>
      <c r="LOI36" s="6"/>
      <c r="LOJ36" s="6"/>
      <c r="LOK36" s="6"/>
      <c r="LOL36" s="6"/>
      <c r="LOM36" s="6"/>
      <c r="LON36" s="6"/>
      <c r="LOO36" s="6"/>
      <c r="LOP36" s="6"/>
      <c r="LOQ36" s="6"/>
      <c r="LOR36" s="6"/>
      <c r="LOS36" s="6"/>
      <c r="LOT36" s="6"/>
      <c r="LOU36" s="6"/>
      <c r="LOV36" s="6"/>
      <c r="LOW36" s="6"/>
      <c r="LOX36" s="6"/>
      <c r="LOY36" s="6"/>
      <c r="LOZ36" s="6"/>
      <c r="LPA36" s="6"/>
      <c r="LPB36" s="6"/>
      <c r="LPC36" s="6"/>
      <c r="LPD36" s="6"/>
      <c r="LPE36" s="6"/>
      <c r="LPF36" s="6"/>
      <c r="LPG36" s="6"/>
      <c r="LPH36" s="6"/>
      <c r="LPI36" s="6"/>
      <c r="LPJ36" s="6"/>
      <c r="LPK36" s="6"/>
      <c r="LPL36" s="6"/>
      <c r="LPM36" s="6"/>
      <c r="LPN36" s="6"/>
      <c r="LPO36" s="6"/>
      <c r="LPP36" s="6"/>
      <c r="LPQ36" s="6"/>
      <c r="LPR36" s="6"/>
      <c r="LPS36" s="6"/>
      <c r="LPT36" s="6"/>
      <c r="LPU36" s="6"/>
      <c r="LPV36" s="6"/>
      <c r="LPW36" s="6"/>
      <c r="LPX36" s="6"/>
      <c r="LPY36" s="6"/>
      <c r="LPZ36" s="6"/>
      <c r="LQA36" s="6"/>
      <c r="LQB36" s="6"/>
      <c r="LQC36" s="6"/>
      <c r="LQD36" s="6"/>
      <c r="LQE36" s="6"/>
      <c r="LQF36" s="6"/>
      <c r="LQG36" s="6"/>
      <c r="LQH36" s="6"/>
      <c r="LQI36" s="6"/>
      <c r="LQJ36" s="6"/>
      <c r="LQK36" s="6"/>
      <c r="LQL36" s="6"/>
      <c r="LQM36" s="6"/>
      <c r="LQN36" s="6"/>
      <c r="LQO36" s="6"/>
      <c r="LQP36" s="6"/>
      <c r="LQQ36" s="6"/>
      <c r="LQR36" s="6"/>
      <c r="LQS36" s="6"/>
      <c r="LQT36" s="6"/>
      <c r="LQU36" s="6"/>
      <c r="LQV36" s="6"/>
      <c r="LQW36" s="6"/>
      <c r="LQX36" s="6"/>
      <c r="LQY36" s="6"/>
      <c r="LQZ36" s="6"/>
      <c r="LRA36" s="6"/>
      <c r="LRB36" s="6"/>
      <c r="LRC36" s="6"/>
      <c r="LRD36" s="6"/>
      <c r="LRE36" s="6"/>
      <c r="LRF36" s="6"/>
      <c r="LRG36" s="6"/>
      <c r="LRH36" s="6"/>
      <c r="LRI36" s="6"/>
      <c r="LRJ36" s="6"/>
      <c r="LRK36" s="6"/>
      <c r="LRL36" s="6"/>
      <c r="LRM36" s="6"/>
      <c r="LRN36" s="6"/>
      <c r="LRO36" s="6"/>
      <c r="LRP36" s="6"/>
      <c r="LRQ36" s="6"/>
      <c r="LRR36" s="6"/>
      <c r="LRS36" s="6"/>
      <c r="LRT36" s="6"/>
      <c r="LRU36" s="6"/>
      <c r="LRV36" s="6"/>
      <c r="LRW36" s="6"/>
      <c r="LRX36" s="6"/>
      <c r="LRY36" s="6"/>
      <c r="LRZ36" s="6"/>
      <c r="LSA36" s="6"/>
      <c r="LSB36" s="6"/>
      <c r="LSC36" s="6"/>
      <c r="LSD36" s="6"/>
      <c r="LSE36" s="6"/>
      <c r="LSF36" s="6"/>
      <c r="LSG36" s="6"/>
      <c r="LSH36" s="6"/>
      <c r="LSI36" s="6"/>
      <c r="LSJ36" s="6"/>
      <c r="LSK36" s="6"/>
      <c r="LSL36" s="6"/>
      <c r="LSM36" s="6"/>
      <c r="LSN36" s="6"/>
      <c r="LSO36" s="6"/>
      <c r="LSP36" s="6"/>
      <c r="LSQ36" s="6"/>
      <c r="LSR36" s="6"/>
      <c r="LSS36" s="6"/>
      <c r="LST36" s="6"/>
      <c r="LSU36" s="6"/>
      <c r="LSV36" s="6"/>
      <c r="LSW36" s="6"/>
      <c r="LSX36" s="6"/>
      <c r="LSY36" s="6"/>
      <c r="LSZ36" s="6"/>
      <c r="LTA36" s="6"/>
      <c r="LTB36" s="6"/>
      <c r="LTC36" s="6"/>
      <c r="LTD36" s="6"/>
      <c r="LTE36" s="6"/>
      <c r="LTF36" s="6"/>
      <c r="LTG36" s="6"/>
      <c r="LTH36" s="6"/>
      <c r="LTI36" s="6"/>
      <c r="LTJ36" s="6"/>
      <c r="LTK36" s="6"/>
      <c r="LTL36" s="6"/>
      <c r="LTM36" s="6"/>
      <c r="LTN36" s="6"/>
      <c r="LTO36" s="6"/>
      <c r="LTP36" s="6"/>
      <c r="LTQ36" s="6"/>
      <c r="LTR36" s="6"/>
      <c r="LTS36" s="6"/>
      <c r="LTT36" s="6"/>
      <c r="LTU36" s="6"/>
      <c r="LTV36" s="6"/>
      <c r="LTW36" s="6"/>
      <c r="LTX36" s="6"/>
      <c r="LTY36" s="6"/>
      <c r="LTZ36" s="6"/>
      <c r="LUA36" s="6"/>
      <c r="LUB36" s="6"/>
      <c r="LUC36" s="6"/>
      <c r="LUD36" s="6"/>
      <c r="LUE36" s="6"/>
      <c r="LUF36" s="6"/>
      <c r="LUG36" s="6"/>
      <c r="LUH36" s="6"/>
      <c r="LUI36" s="6"/>
      <c r="LUJ36" s="6"/>
      <c r="LUK36" s="6"/>
      <c r="LUL36" s="6"/>
      <c r="LUM36" s="6"/>
      <c r="LUN36" s="6"/>
      <c r="LUO36" s="6"/>
      <c r="LUP36" s="6"/>
      <c r="LUQ36" s="6"/>
      <c r="LUR36" s="6"/>
      <c r="LUS36" s="6"/>
      <c r="LUT36" s="6"/>
      <c r="LUU36" s="6"/>
      <c r="LUV36" s="6"/>
      <c r="LUW36" s="6"/>
      <c r="LUX36" s="6"/>
      <c r="LUY36" s="6"/>
      <c r="LUZ36" s="6"/>
      <c r="LVA36" s="6"/>
      <c r="LVB36" s="6"/>
      <c r="LVC36" s="6"/>
      <c r="LVD36" s="6"/>
      <c r="LVE36" s="6"/>
      <c r="LVF36" s="6"/>
      <c r="LVG36" s="6"/>
      <c r="LVH36" s="6"/>
      <c r="LVI36" s="6"/>
      <c r="LVJ36" s="6"/>
      <c r="LVK36" s="6"/>
      <c r="LVL36" s="6"/>
      <c r="LVM36" s="6"/>
      <c r="LVN36" s="6"/>
      <c r="LVO36" s="6"/>
      <c r="LVP36" s="6"/>
      <c r="LVQ36" s="6"/>
      <c r="LVR36" s="6"/>
      <c r="LVS36" s="6"/>
      <c r="LVT36" s="6"/>
      <c r="LVU36" s="6"/>
      <c r="LVV36" s="6"/>
      <c r="LVW36" s="6"/>
      <c r="LVX36" s="6"/>
      <c r="LVY36" s="6"/>
      <c r="LVZ36" s="6"/>
      <c r="LWA36" s="6"/>
      <c r="LWB36" s="6"/>
      <c r="LWC36" s="6"/>
      <c r="LWD36" s="6"/>
      <c r="LWE36" s="6"/>
      <c r="LWF36" s="6"/>
      <c r="LWG36" s="6"/>
      <c r="LWH36" s="6"/>
      <c r="LWI36" s="6"/>
      <c r="LWJ36" s="6"/>
      <c r="LWK36" s="6"/>
      <c r="LWL36" s="6"/>
      <c r="LWM36" s="6"/>
      <c r="LWN36" s="6"/>
      <c r="LWO36" s="6"/>
      <c r="LWP36" s="6"/>
      <c r="LWQ36" s="6"/>
      <c r="LWR36" s="6"/>
      <c r="LWS36" s="6"/>
      <c r="LWT36" s="6"/>
      <c r="LWU36" s="6"/>
      <c r="LWV36" s="6"/>
      <c r="LWW36" s="6"/>
      <c r="LWX36" s="6"/>
      <c r="LWY36" s="6"/>
      <c r="LWZ36" s="6"/>
      <c r="LXA36" s="6"/>
      <c r="LXB36" s="6"/>
      <c r="LXC36" s="6"/>
      <c r="LXD36" s="6"/>
      <c r="LXE36" s="6"/>
      <c r="LXF36" s="6"/>
      <c r="LXG36" s="6"/>
      <c r="LXH36" s="6"/>
      <c r="LXI36" s="6"/>
      <c r="LXJ36" s="6"/>
      <c r="LXK36" s="6"/>
      <c r="LXL36" s="6"/>
      <c r="LXM36" s="6"/>
      <c r="LXN36" s="6"/>
      <c r="LXO36" s="6"/>
      <c r="LXP36" s="6"/>
      <c r="LXQ36" s="6"/>
      <c r="LXR36" s="6"/>
      <c r="LXS36" s="6"/>
      <c r="LXT36" s="6"/>
      <c r="LXU36" s="6"/>
      <c r="LXV36" s="6"/>
      <c r="LXW36" s="6"/>
      <c r="LXX36" s="6"/>
      <c r="LXY36" s="6"/>
      <c r="LXZ36" s="6"/>
      <c r="LYA36" s="6"/>
      <c r="LYB36" s="6"/>
      <c r="LYC36" s="6"/>
      <c r="LYD36" s="6"/>
      <c r="LYE36" s="6"/>
      <c r="LYF36" s="6"/>
      <c r="LYG36" s="6"/>
      <c r="LYH36" s="6"/>
      <c r="LYI36" s="6"/>
      <c r="LYJ36" s="6"/>
      <c r="LYK36" s="6"/>
      <c r="LYL36" s="6"/>
      <c r="LYM36" s="6"/>
      <c r="LYN36" s="6"/>
      <c r="LYO36" s="6"/>
      <c r="LYP36" s="6"/>
      <c r="LYQ36" s="6"/>
      <c r="LYR36" s="6"/>
      <c r="LYS36" s="6"/>
      <c r="LYT36" s="6"/>
      <c r="LYU36" s="6"/>
      <c r="LYV36" s="6"/>
      <c r="LYW36" s="6"/>
      <c r="LYX36" s="6"/>
      <c r="LYY36" s="6"/>
      <c r="LYZ36" s="6"/>
      <c r="LZA36" s="6"/>
      <c r="LZB36" s="6"/>
      <c r="LZC36" s="6"/>
      <c r="LZD36" s="6"/>
      <c r="LZE36" s="6"/>
      <c r="LZF36" s="6"/>
      <c r="LZG36" s="6"/>
      <c r="LZH36" s="6"/>
      <c r="LZI36" s="6"/>
      <c r="LZJ36" s="6"/>
      <c r="LZK36" s="6"/>
      <c r="LZL36" s="6"/>
      <c r="LZM36" s="6"/>
      <c r="LZN36" s="6"/>
      <c r="LZO36" s="6"/>
      <c r="LZP36" s="6"/>
      <c r="LZQ36" s="6"/>
      <c r="LZR36" s="6"/>
      <c r="LZS36" s="6"/>
      <c r="LZT36" s="6"/>
      <c r="LZU36" s="6"/>
      <c r="LZV36" s="6"/>
      <c r="LZW36" s="6"/>
      <c r="LZX36" s="6"/>
      <c r="LZY36" s="6"/>
      <c r="LZZ36" s="6"/>
      <c r="MAA36" s="6"/>
      <c r="MAB36" s="6"/>
      <c r="MAC36" s="6"/>
      <c r="MAD36" s="6"/>
      <c r="MAE36" s="6"/>
      <c r="MAF36" s="6"/>
      <c r="MAG36" s="6"/>
      <c r="MAH36" s="6"/>
      <c r="MAI36" s="6"/>
      <c r="MAJ36" s="6"/>
      <c r="MAK36" s="6"/>
      <c r="MAL36" s="6"/>
      <c r="MAM36" s="6"/>
      <c r="MAN36" s="6"/>
      <c r="MAO36" s="6"/>
      <c r="MAP36" s="6"/>
      <c r="MAQ36" s="6"/>
      <c r="MAR36" s="6"/>
      <c r="MAS36" s="6"/>
      <c r="MAT36" s="6"/>
      <c r="MAU36" s="6"/>
      <c r="MAV36" s="6"/>
      <c r="MAW36" s="6"/>
      <c r="MAX36" s="6"/>
      <c r="MAY36" s="6"/>
      <c r="MAZ36" s="6"/>
      <c r="MBA36" s="6"/>
      <c r="MBB36" s="6"/>
      <c r="MBC36" s="6"/>
      <c r="MBD36" s="6"/>
      <c r="MBE36" s="6"/>
      <c r="MBF36" s="6"/>
      <c r="MBG36" s="6"/>
      <c r="MBH36" s="6"/>
      <c r="MBI36" s="6"/>
      <c r="MBJ36" s="6"/>
      <c r="MBK36" s="6"/>
      <c r="MBL36" s="6"/>
      <c r="MBM36" s="6"/>
      <c r="MBN36" s="6"/>
      <c r="MBO36" s="6"/>
      <c r="MBP36" s="6"/>
      <c r="MBQ36" s="6"/>
      <c r="MBR36" s="6"/>
      <c r="MBS36" s="6"/>
      <c r="MBT36" s="6"/>
      <c r="MBU36" s="6"/>
      <c r="MBV36" s="6"/>
      <c r="MBW36" s="6"/>
      <c r="MBX36" s="6"/>
      <c r="MBY36" s="6"/>
      <c r="MBZ36" s="6"/>
      <c r="MCA36" s="6"/>
      <c r="MCB36" s="6"/>
      <c r="MCC36" s="6"/>
      <c r="MCD36" s="6"/>
      <c r="MCE36" s="6"/>
      <c r="MCF36" s="6"/>
      <c r="MCG36" s="6"/>
      <c r="MCH36" s="6"/>
      <c r="MCI36" s="6"/>
      <c r="MCJ36" s="6"/>
      <c r="MCK36" s="6"/>
      <c r="MCL36" s="6"/>
      <c r="MCM36" s="6"/>
      <c r="MCN36" s="6"/>
      <c r="MCO36" s="6"/>
      <c r="MCP36" s="6"/>
      <c r="MCQ36" s="6"/>
      <c r="MCR36" s="6"/>
      <c r="MCS36" s="6"/>
      <c r="MCT36" s="6"/>
      <c r="MCU36" s="6"/>
      <c r="MCV36" s="6"/>
      <c r="MCW36" s="6"/>
      <c r="MCX36" s="6"/>
      <c r="MCY36" s="6"/>
      <c r="MCZ36" s="6"/>
      <c r="MDA36" s="6"/>
      <c r="MDB36" s="6"/>
      <c r="MDC36" s="6"/>
      <c r="MDD36" s="6"/>
      <c r="MDE36" s="6"/>
      <c r="MDF36" s="6"/>
      <c r="MDG36" s="6"/>
      <c r="MDH36" s="6"/>
      <c r="MDI36" s="6"/>
      <c r="MDJ36" s="6"/>
      <c r="MDK36" s="6"/>
      <c r="MDL36" s="6"/>
      <c r="MDM36" s="6"/>
      <c r="MDN36" s="6"/>
      <c r="MDO36" s="6"/>
      <c r="MDP36" s="6"/>
      <c r="MDQ36" s="6"/>
      <c r="MDR36" s="6"/>
      <c r="MDS36" s="6"/>
      <c r="MDT36" s="6"/>
      <c r="MDU36" s="6"/>
      <c r="MDV36" s="6"/>
      <c r="MDW36" s="6"/>
      <c r="MDX36" s="6"/>
      <c r="MDY36" s="6"/>
      <c r="MDZ36" s="6"/>
      <c r="MEA36" s="6"/>
      <c r="MEB36" s="6"/>
      <c r="MEC36" s="6"/>
      <c r="MED36" s="6"/>
      <c r="MEE36" s="6"/>
      <c r="MEF36" s="6"/>
      <c r="MEG36" s="6"/>
      <c r="MEH36" s="6"/>
      <c r="MEI36" s="6"/>
      <c r="MEJ36" s="6"/>
      <c r="MEK36" s="6"/>
      <c r="MEL36" s="6"/>
      <c r="MEM36" s="6"/>
      <c r="MEN36" s="6"/>
      <c r="MEO36" s="6"/>
      <c r="MEP36" s="6"/>
      <c r="MEQ36" s="6"/>
      <c r="MER36" s="6"/>
      <c r="MES36" s="6"/>
      <c r="MET36" s="6"/>
      <c r="MEU36" s="6"/>
      <c r="MEV36" s="6"/>
      <c r="MEW36" s="6"/>
      <c r="MEX36" s="6"/>
      <c r="MEY36" s="6"/>
      <c r="MEZ36" s="6"/>
      <c r="MFA36" s="6"/>
      <c r="MFB36" s="6"/>
      <c r="MFC36" s="6"/>
      <c r="MFD36" s="6"/>
      <c r="MFE36" s="6"/>
      <c r="MFF36" s="6"/>
      <c r="MFG36" s="6"/>
      <c r="MFH36" s="6"/>
      <c r="MFI36" s="6"/>
      <c r="MFJ36" s="6"/>
      <c r="MFK36" s="6"/>
      <c r="MFL36" s="6"/>
      <c r="MFM36" s="6"/>
      <c r="MFN36" s="6"/>
      <c r="MFO36" s="6"/>
      <c r="MFP36" s="6"/>
      <c r="MFQ36" s="6"/>
      <c r="MFR36" s="6"/>
      <c r="MFS36" s="6"/>
      <c r="MFT36" s="6"/>
      <c r="MFU36" s="6"/>
      <c r="MFV36" s="6"/>
      <c r="MFW36" s="6"/>
      <c r="MFX36" s="6"/>
      <c r="MFY36" s="6"/>
      <c r="MFZ36" s="6"/>
      <c r="MGA36" s="6"/>
      <c r="MGB36" s="6"/>
      <c r="MGC36" s="6"/>
      <c r="MGD36" s="6"/>
      <c r="MGE36" s="6"/>
      <c r="MGF36" s="6"/>
      <c r="MGG36" s="6"/>
      <c r="MGH36" s="6"/>
      <c r="MGI36" s="6"/>
      <c r="MGJ36" s="6"/>
      <c r="MGK36" s="6"/>
      <c r="MGL36" s="6"/>
      <c r="MGM36" s="6"/>
      <c r="MGN36" s="6"/>
      <c r="MGO36" s="6"/>
      <c r="MGP36" s="6"/>
      <c r="MGQ36" s="6"/>
      <c r="MGR36" s="6"/>
      <c r="MGS36" s="6"/>
      <c r="MGT36" s="6"/>
      <c r="MGU36" s="6"/>
      <c r="MGV36" s="6"/>
      <c r="MGW36" s="6"/>
      <c r="MGX36" s="6"/>
      <c r="MGY36" s="6"/>
      <c r="MGZ36" s="6"/>
      <c r="MHA36" s="6"/>
      <c r="MHB36" s="6"/>
      <c r="MHC36" s="6"/>
      <c r="MHD36" s="6"/>
      <c r="MHE36" s="6"/>
      <c r="MHF36" s="6"/>
      <c r="MHG36" s="6"/>
      <c r="MHH36" s="6"/>
      <c r="MHI36" s="6"/>
      <c r="MHJ36" s="6"/>
      <c r="MHK36" s="6"/>
      <c r="MHL36" s="6"/>
      <c r="MHM36" s="6"/>
      <c r="MHN36" s="6"/>
      <c r="MHO36" s="6"/>
      <c r="MHP36" s="6"/>
      <c r="MHQ36" s="6"/>
      <c r="MHR36" s="6"/>
      <c r="MHS36" s="6"/>
      <c r="MHT36" s="6"/>
      <c r="MHU36" s="6"/>
      <c r="MHV36" s="6"/>
      <c r="MHW36" s="6"/>
      <c r="MHX36" s="6"/>
      <c r="MHY36" s="6"/>
      <c r="MHZ36" s="6"/>
      <c r="MIA36" s="6"/>
      <c r="MIB36" s="6"/>
      <c r="MIC36" s="6"/>
      <c r="MID36" s="6"/>
      <c r="MIE36" s="6"/>
      <c r="MIF36" s="6"/>
      <c r="MIG36" s="6"/>
      <c r="MIH36" s="6"/>
      <c r="MII36" s="6"/>
      <c r="MIJ36" s="6"/>
      <c r="MIK36" s="6"/>
      <c r="MIL36" s="6"/>
      <c r="MIM36" s="6"/>
      <c r="MIN36" s="6"/>
      <c r="MIO36" s="6"/>
      <c r="MIP36" s="6"/>
      <c r="MIQ36" s="6"/>
      <c r="MIR36" s="6"/>
      <c r="MIS36" s="6"/>
      <c r="MIT36" s="6"/>
      <c r="MIU36" s="6"/>
      <c r="MIV36" s="6"/>
      <c r="MIW36" s="6"/>
      <c r="MIX36" s="6"/>
      <c r="MIY36" s="6"/>
      <c r="MIZ36" s="6"/>
      <c r="MJA36" s="6"/>
      <c r="MJB36" s="6"/>
      <c r="MJC36" s="6"/>
      <c r="MJD36" s="6"/>
      <c r="MJE36" s="6"/>
      <c r="MJF36" s="6"/>
      <c r="MJG36" s="6"/>
      <c r="MJH36" s="6"/>
      <c r="MJI36" s="6"/>
      <c r="MJJ36" s="6"/>
      <c r="MJK36" s="6"/>
      <c r="MJL36" s="6"/>
      <c r="MJM36" s="6"/>
      <c r="MJN36" s="6"/>
      <c r="MJO36" s="6"/>
      <c r="MJP36" s="6"/>
      <c r="MJQ36" s="6"/>
      <c r="MJR36" s="6"/>
      <c r="MJS36" s="6"/>
      <c r="MJT36" s="6"/>
      <c r="MJU36" s="6"/>
      <c r="MJV36" s="6"/>
      <c r="MJW36" s="6"/>
      <c r="MJX36" s="6"/>
      <c r="MJY36" s="6"/>
      <c r="MJZ36" s="6"/>
      <c r="MKA36" s="6"/>
      <c r="MKB36" s="6"/>
      <c r="MKC36" s="6"/>
      <c r="MKD36" s="6"/>
      <c r="MKE36" s="6"/>
      <c r="MKF36" s="6"/>
      <c r="MKG36" s="6"/>
      <c r="MKH36" s="6"/>
      <c r="MKI36" s="6"/>
      <c r="MKJ36" s="6"/>
      <c r="MKK36" s="6"/>
      <c r="MKL36" s="6"/>
      <c r="MKM36" s="6"/>
      <c r="MKN36" s="6"/>
      <c r="MKO36" s="6"/>
      <c r="MKP36" s="6"/>
      <c r="MKQ36" s="6"/>
      <c r="MKR36" s="6"/>
      <c r="MKS36" s="6"/>
      <c r="MKT36" s="6"/>
      <c r="MKU36" s="6"/>
      <c r="MKV36" s="6"/>
      <c r="MKW36" s="6"/>
      <c r="MKX36" s="6"/>
      <c r="MKY36" s="6"/>
      <c r="MKZ36" s="6"/>
      <c r="MLA36" s="6"/>
      <c r="MLB36" s="6"/>
      <c r="MLC36" s="6"/>
      <c r="MLD36" s="6"/>
      <c r="MLE36" s="6"/>
      <c r="MLF36" s="6"/>
      <c r="MLG36" s="6"/>
      <c r="MLH36" s="6"/>
      <c r="MLI36" s="6"/>
      <c r="MLJ36" s="6"/>
      <c r="MLK36" s="6"/>
      <c r="MLL36" s="6"/>
      <c r="MLM36" s="6"/>
      <c r="MLN36" s="6"/>
      <c r="MLO36" s="6"/>
      <c r="MLP36" s="6"/>
      <c r="MLQ36" s="6"/>
      <c r="MLR36" s="6"/>
      <c r="MLS36" s="6"/>
      <c r="MLT36" s="6"/>
      <c r="MLU36" s="6"/>
      <c r="MLV36" s="6"/>
      <c r="MLW36" s="6"/>
      <c r="MLX36" s="6"/>
      <c r="MLY36" s="6"/>
      <c r="MLZ36" s="6"/>
      <c r="MMA36" s="6"/>
      <c r="MMB36" s="6"/>
      <c r="MMC36" s="6"/>
      <c r="MMD36" s="6"/>
      <c r="MME36" s="6"/>
      <c r="MMF36" s="6"/>
      <c r="MMG36" s="6"/>
      <c r="MMH36" s="6"/>
      <c r="MMI36" s="6"/>
      <c r="MMJ36" s="6"/>
      <c r="MMK36" s="6"/>
      <c r="MML36" s="6"/>
      <c r="MMM36" s="6"/>
      <c r="MMN36" s="6"/>
      <c r="MMO36" s="6"/>
      <c r="MMP36" s="6"/>
      <c r="MMQ36" s="6"/>
      <c r="MMR36" s="6"/>
      <c r="MMS36" s="6"/>
      <c r="MMT36" s="6"/>
      <c r="MMU36" s="6"/>
      <c r="MMV36" s="6"/>
      <c r="MMW36" s="6"/>
      <c r="MMX36" s="6"/>
      <c r="MMY36" s="6"/>
      <c r="MMZ36" s="6"/>
      <c r="MNA36" s="6"/>
      <c r="MNB36" s="6"/>
      <c r="MNC36" s="6"/>
      <c r="MND36" s="6"/>
      <c r="MNE36" s="6"/>
      <c r="MNF36" s="6"/>
      <c r="MNG36" s="6"/>
      <c r="MNH36" s="6"/>
      <c r="MNI36" s="6"/>
      <c r="MNJ36" s="6"/>
      <c r="MNK36" s="6"/>
      <c r="MNL36" s="6"/>
      <c r="MNM36" s="6"/>
      <c r="MNN36" s="6"/>
      <c r="MNO36" s="6"/>
      <c r="MNP36" s="6"/>
      <c r="MNQ36" s="6"/>
      <c r="MNR36" s="6"/>
      <c r="MNS36" s="6"/>
      <c r="MNT36" s="6"/>
      <c r="MNU36" s="6"/>
      <c r="MNV36" s="6"/>
      <c r="MNW36" s="6"/>
      <c r="MNX36" s="6"/>
      <c r="MNY36" s="6"/>
      <c r="MNZ36" s="6"/>
      <c r="MOA36" s="6"/>
      <c r="MOB36" s="6"/>
      <c r="MOC36" s="6"/>
      <c r="MOD36" s="6"/>
      <c r="MOE36" s="6"/>
      <c r="MOF36" s="6"/>
      <c r="MOG36" s="6"/>
      <c r="MOH36" s="6"/>
      <c r="MOI36" s="6"/>
      <c r="MOJ36" s="6"/>
      <c r="MOK36" s="6"/>
      <c r="MOL36" s="6"/>
      <c r="MOM36" s="6"/>
      <c r="MON36" s="6"/>
      <c r="MOO36" s="6"/>
      <c r="MOP36" s="6"/>
      <c r="MOQ36" s="6"/>
      <c r="MOR36" s="6"/>
      <c r="MOS36" s="6"/>
      <c r="MOT36" s="6"/>
      <c r="MOU36" s="6"/>
      <c r="MOV36" s="6"/>
      <c r="MOW36" s="6"/>
      <c r="MOX36" s="6"/>
      <c r="MOY36" s="6"/>
      <c r="MOZ36" s="6"/>
      <c r="MPA36" s="6"/>
      <c r="MPB36" s="6"/>
      <c r="MPC36" s="6"/>
      <c r="MPD36" s="6"/>
      <c r="MPE36" s="6"/>
      <c r="MPF36" s="6"/>
      <c r="MPG36" s="6"/>
      <c r="MPH36" s="6"/>
      <c r="MPI36" s="6"/>
      <c r="MPJ36" s="6"/>
      <c r="MPK36" s="6"/>
      <c r="MPL36" s="6"/>
      <c r="MPM36" s="6"/>
      <c r="MPN36" s="6"/>
      <c r="MPO36" s="6"/>
      <c r="MPP36" s="6"/>
      <c r="MPQ36" s="6"/>
      <c r="MPR36" s="6"/>
      <c r="MPS36" s="6"/>
      <c r="MPT36" s="6"/>
      <c r="MPU36" s="6"/>
      <c r="MPV36" s="6"/>
      <c r="MPW36" s="6"/>
      <c r="MPX36" s="6"/>
      <c r="MPY36" s="6"/>
      <c r="MPZ36" s="6"/>
      <c r="MQA36" s="6"/>
      <c r="MQB36" s="6"/>
      <c r="MQC36" s="6"/>
      <c r="MQD36" s="6"/>
      <c r="MQE36" s="6"/>
      <c r="MQF36" s="6"/>
      <c r="MQG36" s="6"/>
      <c r="MQH36" s="6"/>
      <c r="MQI36" s="6"/>
      <c r="MQJ36" s="6"/>
      <c r="MQK36" s="6"/>
      <c r="MQL36" s="6"/>
      <c r="MQM36" s="6"/>
      <c r="MQN36" s="6"/>
      <c r="MQO36" s="6"/>
      <c r="MQP36" s="6"/>
      <c r="MQQ36" s="6"/>
      <c r="MQR36" s="6"/>
      <c r="MQS36" s="6"/>
      <c r="MQT36" s="6"/>
      <c r="MQU36" s="6"/>
      <c r="MQV36" s="6"/>
      <c r="MQW36" s="6"/>
      <c r="MQX36" s="6"/>
      <c r="MQY36" s="6"/>
      <c r="MQZ36" s="6"/>
      <c r="MRA36" s="6"/>
      <c r="MRB36" s="6"/>
      <c r="MRC36" s="6"/>
      <c r="MRD36" s="6"/>
      <c r="MRE36" s="6"/>
      <c r="MRF36" s="6"/>
      <c r="MRG36" s="6"/>
      <c r="MRH36" s="6"/>
      <c r="MRI36" s="6"/>
      <c r="MRJ36" s="6"/>
      <c r="MRK36" s="6"/>
      <c r="MRL36" s="6"/>
      <c r="MRM36" s="6"/>
      <c r="MRN36" s="6"/>
      <c r="MRO36" s="6"/>
      <c r="MRP36" s="6"/>
      <c r="MRQ36" s="6"/>
      <c r="MRR36" s="6"/>
      <c r="MRS36" s="6"/>
      <c r="MRT36" s="6"/>
      <c r="MRU36" s="6"/>
      <c r="MRV36" s="6"/>
      <c r="MRW36" s="6"/>
      <c r="MRX36" s="6"/>
      <c r="MRY36" s="6"/>
      <c r="MRZ36" s="6"/>
      <c r="MSA36" s="6"/>
      <c r="MSB36" s="6"/>
      <c r="MSC36" s="6"/>
      <c r="MSD36" s="6"/>
      <c r="MSE36" s="6"/>
      <c r="MSF36" s="6"/>
      <c r="MSG36" s="6"/>
      <c r="MSH36" s="6"/>
      <c r="MSI36" s="6"/>
      <c r="MSJ36" s="6"/>
      <c r="MSK36" s="6"/>
      <c r="MSL36" s="6"/>
      <c r="MSM36" s="6"/>
      <c r="MSN36" s="6"/>
      <c r="MSO36" s="6"/>
      <c r="MSP36" s="6"/>
      <c r="MSQ36" s="6"/>
      <c r="MSR36" s="6"/>
      <c r="MSS36" s="6"/>
      <c r="MST36" s="6"/>
      <c r="MSU36" s="6"/>
      <c r="MSV36" s="6"/>
      <c r="MSW36" s="6"/>
      <c r="MSX36" s="6"/>
      <c r="MSY36" s="6"/>
      <c r="MSZ36" s="6"/>
      <c r="MTA36" s="6"/>
      <c r="MTB36" s="6"/>
      <c r="MTC36" s="6"/>
      <c r="MTD36" s="6"/>
      <c r="MTE36" s="6"/>
      <c r="MTF36" s="6"/>
      <c r="MTG36" s="6"/>
      <c r="MTH36" s="6"/>
      <c r="MTI36" s="6"/>
      <c r="MTJ36" s="6"/>
      <c r="MTK36" s="6"/>
      <c r="MTL36" s="6"/>
      <c r="MTM36" s="6"/>
      <c r="MTN36" s="6"/>
      <c r="MTO36" s="6"/>
      <c r="MTP36" s="6"/>
      <c r="MTQ36" s="6"/>
      <c r="MTR36" s="6"/>
      <c r="MTS36" s="6"/>
      <c r="MTT36" s="6"/>
      <c r="MTU36" s="6"/>
      <c r="MTV36" s="6"/>
      <c r="MTW36" s="6"/>
      <c r="MTX36" s="6"/>
      <c r="MTY36" s="6"/>
      <c r="MTZ36" s="6"/>
      <c r="MUA36" s="6"/>
      <c r="MUB36" s="6"/>
      <c r="MUC36" s="6"/>
      <c r="MUD36" s="6"/>
      <c r="MUE36" s="6"/>
      <c r="MUF36" s="6"/>
      <c r="MUG36" s="6"/>
      <c r="MUH36" s="6"/>
      <c r="MUI36" s="6"/>
      <c r="MUJ36" s="6"/>
      <c r="MUK36" s="6"/>
      <c r="MUL36" s="6"/>
      <c r="MUM36" s="6"/>
      <c r="MUN36" s="6"/>
      <c r="MUO36" s="6"/>
      <c r="MUP36" s="6"/>
      <c r="MUQ36" s="6"/>
      <c r="MUR36" s="6"/>
      <c r="MUS36" s="6"/>
      <c r="MUT36" s="6"/>
      <c r="MUU36" s="6"/>
      <c r="MUV36" s="6"/>
      <c r="MUW36" s="6"/>
      <c r="MUX36" s="6"/>
      <c r="MUY36" s="6"/>
      <c r="MUZ36" s="6"/>
      <c r="MVA36" s="6"/>
      <c r="MVB36" s="6"/>
      <c r="MVC36" s="6"/>
      <c r="MVD36" s="6"/>
      <c r="MVE36" s="6"/>
      <c r="MVF36" s="6"/>
      <c r="MVG36" s="6"/>
      <c r="MVH36" s="6"/>
      <c r="MVI36" s="6"/>
      <c r="MVJ36" s="6"/>
      <c r="MVK36" s="6"/>
      <c r="MVL36" s="6"/>
      <c r="MVM36" s="6"/>
      <c r="MVN36" s="6"/>
      <c r="MVO36" s="6"/>
      <c r="MVP36" s="6"/>
      <c r="MVQ36" s="6"/>
      <c r="MVR36" s="6"/>
      <c r="MVS36" s="6"/>
      <c r="MVT36" s="6"/>
      <c r="MVU36" s="6"/>
      <c r="MVV36" s="6"/>
      <c r="MVW36" s="6"/>
      <c r="MVX36" s="6"/>
      <c r="MVY36" s="6"/>
      <c r="MVZ36" s="6"/>
      <c r="MWA36" s="6"/>
      <c r="MWB36" s="6"/>
      <c r="MWC36" s="6"/>
      <c r="MWD36" s="6"/>
      <c r="MWE36" s="6"/>
      <c r="MWF36" s="6"/>
      <c r="MWG36" s="6"/>
      <c r="MWH36" s="6"/>
      <c r="MWI36" s="6"/>
      <c r="MWJ36" s="6"/>
      <c r="MWK36" s="6"/>
      <c r="MWL36" s="6"/>
      <c r="MWM36" s="6"/>
      <c r="MWN36" s="6"/>
      <c r="MWO36" s="6"/>
      <c r="MWP36" s="6"/>
      <c r="MWQ36" s="6"/>
      <c r="MWR36" s="6"/>
      <c r="MWS36" s="6"/>
      <c r="MWT36" s="6"/>
      <c r="MWU36" s="6"/>
      <c r="MWV36" s="6"/>
      <c r="MWW36" s="6"/>
      <c r="MWX36" s="6"/>
      <c r="MWY36" s="6"/>
      <c r="MWZ36" s="6"/>
      <c r="MXA36" s="6"/>
      <c r="MXB36" s="6"/>
      <c r="MXC36" s="6"/>
      <c r="MXD36" s="6"/>
      <c r="MXE36" s="6"/>
      <c r="MXF36" s="6"/>
      <c r="MXG36" s="6"/>
      <c r="MXH36" s="6"/>
      <c r="MXI36" s="6"/>
      <c r="MXJ36" s="6"/>
      <c r="MXK36" s="6"/>
      <c r="MXL36" s="6"/>
      <c r="MXM36" s="6"/>
      <c r="MXN36" s="6"/>
      <c r="MXO36" s="6"/>
      <c r="MXP36" s="6"/>
      <c r="MXQ36" s="6"/>
      <c r="MXR36" s="6"/>
      <c r="MXS36" s="6"/>
      <c r="MXT36" s="6"/>
      <c r="MXU36" s="6"/>
      <c r="MXV36" s="6"/>
      <c r="MXW36" s="6"/>
      <c r="MXX36" s="6"/>
      <c r="MXY36" s="6"/>
      <c r="MXZ36" s="6"/>
      <c r="MYA36" s="6"/>
      <c r="MYB36" s="6"/>
      <c r="MYC36" s="6"/>
      <c r="MYD36" s="6"/>
      <c r="MYE36" s="6"/>
      <c r="MYF36" s="6"/>
      <c r="MYG36" s="6"/>
      <c r="MYH36" s="6"/>
      <c r="MYI36" s="6"/>
      <c r="MYJ36" s="6"/>
      <c r="MYK36" s="6"/>
      <c r="MYL36" s="6"/>
      <c r="MYM36" s="6"/>
      <c r="MYN36" s="6"/>
      <c r="MYO36" s="6"/>
      <c r="MYP36" s="6"/>
      <c r="MYQ36" s="6"/>
      <c r="MYR36" s="6"/>
      <c r="MYS36" s="6"/>
      <c r="MYT36" s="6"/>
      <c r="MYU36" s="6"/>
      <c r="MYV36" s="6"/>
      <c r="MYW36" s="6"/>
      <c r="MYX36" s="6"/>
      <c r="MYY36" s="6"/>
      <c r="MYZ36" s="6"/>
      <c r="MZA36" s="6"/>
      <c r="MZB36" s="6"/>
      <c r="MZC36" s="6"/>
      <c r="MZD36" s="6"/>
      <c r="MZE36" s="6"/>
      <c r="MZF36" s="6"/>
      <c r="MZG36" s="6"/>
      <c r="MZH36" s="6"/>
      <c r="MZI36" s="6"/>
      <c r="MZJ36" s="6"/>
      <c r="MZK36" s="6"/>
      <c r="MZL36" s="6"/>
      <c r="MZM36" s="6"/>
      <c r="MZN36" s="6"/>
      <c r="MZO36" s="6"/>
      <c r="MZP36" s="6"/>
      <c r="MZQ36" s="6"/>
      <c r="MZR36" s="6"/>
      <c r="MZS36" s="6"/>
      <c r="MZT36" s="6"/>
      <c r="MZU36" s="6"/>
      <c r="MZV36" s="6"/>
      <c r="MZW36" s="6"/>
      <c r="MZX36" s="6"/>
      <c r="MZY36" s="6"/>
      <c r="MZZ36" s="6"/>
      <c r="NAA36" s="6"/>
      <c r="NAB36" s="6"/>
      <c r="NAC36" s="6"/>
      <c r="NAD36" s="6"/>
      <c r="NAE36" s="6"/>
      <c r="NAF36" s="6"/>
      <c r="NAG36" s="6"/>
      <c r="NAH36" s="6"/>
      <c r="NAI36" s="6"/>
      <c r="NAJ36" s="6"/>
      <c r="NAK36" s="6"/>
      <c r="NAL36" s="6"/>
      <c r="NAM36" s="6"/>
      <c r="NAN36" s="6"/>
      <c r="NAO36" s="6"/>
      <c r="NAP36" s="6"/>
      <c r="NAQ36" s="6"/>
      <c r="NAR36" s="6"/>
      <c r="NAS36" s="6"/>
      <c r="NAT36" s="6"/>
      <c r="NAU36" s="6"/>
      <c r="NAV36" s="6"/>
      <c r="NAW36" s="6"/>
      <c r="NAX36" s="6"/>
      <c r="NAY36" s="6"/>
      <c r="NAZ36" s="6"/>
      <c r="NBA36" s="6"/>
      <c r="NBB36" s="6"/>
      <c r="NBC36" s="6"/>
      <c r="NBD36" s="6"/>
      <c r="NBE36" s="6"/>
      <c r="NBF36" s="6"/>
      <c r="NBG36" s="6"/>
      <c r="NBH36" s="6"/>
      <c r="NBI36" s="6"/>
      <c r="NBJ36" s="6"/>
      <c r="NBK36" s="6"/>
      <c r="NBL36" s="6"/>
      <c r="NBM36" s="6"/>
      <c r="NBN36" s="6"/>
      <c r="NBO36" s="6"/>
      <c r="NBP36" s="6"/>
      <c r="NBQ36" s="6"/>
      <c r="NBR36" s="6"/>
      <c r="NBS36" s="6"/>
      <c r="NBT36" s="6"/>
      <c r="NBU36" s="6"/>
      <c r="NBV36" s="6"/>
      <c r="NBW36" s="6"/>
      <c r="NBX36" s="6"/>
      <c r="NBY36" s="6"/>
      <c r="NBZ36" s="6"/>
      <c r="NCA36" s="6"/>
      <c r="NCB36" s="6"/>
      <c r="NCC36" s="6"/>
      <c r="NCD36" s="6"/>
      <c r="NCE36" s="6"/>
      <c r="NCF36" s="6"/>
      <c r="NCG36" s="6"/>
      <c r="NCH36" s="6"/>
      <c r="NCI36" s="6"/>
      <c r="NCJ36" s="6"/>
      <c r="NCK36" s="6"/>
      <c r="NCL36" s="6"/>
      <c r="NCM36" s="6"/>
      <c r="NCN36" s="6"/>
      <c r="NCO36" s="6"/>
      <c r="NCP36" s="6"/>
      <c r="NCQ36" s="6"/>
      <c r="NCR36" s="6"/>
      <c r="NCS36" s="6"/>
      <c r="NCT36" s="6"/>
      <c r="NCU36" s="6"/>
      <c r="NCV36" s="6"/>
      <c r="NCW36" s="6"/>
      <c r="NCX36" s="6"/>
      <c r="NCY36" s="6"/>
      <c r="NCZ36" s="6"/>
      <c r="NDA36" s="6"/>
      <c r="NDB36" s="6"/>
      <c r="NDC36" s="6"/>
      <c r="NDD36" s="6"/>
      <c r="NDE36" s="6"/>
      <c r="NDF36" s="6"/>
      <c r="NDG36" s="6"/>
      <c r="NDH36" s="6"/>
      <c r="NDI36" s="6"/>
      <c r="NDJ36" s="6"/>
      <c r="NDK36" s="6"/>
      <c r="NDL36" s="6"/>
      <c r="NDM36" s="6"/>
      <c r="NDN36" s="6"/>
      <c r="NDO36" s="6"/>
      <c r="NDP36" s="6"/>
      <c r="NDQ36" s="6"/>
      <c r="NDR36" s="6"/>
      <c r="NDS36" s="6"/>
      <c r="NDT36" s="6"/>
      <c r="NDU36" s="6"/>
      <c r="NDV36" s="6"/>
      <c r="NDW36" s="6"/>
      <c r="NDX36" s="6"/>
      <c r="NDY36" s="6"/>
      <c r="NDZ36" s="6"/>
      <c r="NEA36" s="6"/>
      <c r="NEB36" s="6"/>
      <c r="NEC36" s="6"/>
      <c r="NED36" s="6"/>
      <c r="NEE36" s="6"/>
      <c r="NEF36" s="6"/>
      <c r="NEG36" s="6"/>
      <c r="NEH36" s="6"/>
      <c r="NEI36" s="6"/>
      <c r="NEJ36" s="6"/>
      <c r="NEK36" s="6"/>
      <c r="NEL36" s="6"/>
      <c r="NEM36" s="6"/>
      <c r="NEN36" s="6"/>
      <c r="NEO36" s="6"/>
      <c r="NEP36" s="6"/>
      <c r="NEQ36" s="6"/>
      <c r="NER36" s="6"/>
      <c r="NES36" s="6"/>
      <c r="NET36" s="6"/>
      <c r="NEU36" s="6"/>
      <c r="NEV36" s="6"/>
      <c r="NEW36" s="6"/>
      <c r="NEX36" s="6"/>
      <c r="NEY36" s="6"/>
      <c r="NEZ36" s="6"/>
      <c r="NFA36" s="6"/>
      <c r="NFB36" s="6"/>
      <c r="NFC36" s="6"/>
      <c r="NFD36" s="6"/>
      <c r="NFE36" s="6"/>
      <c r="NFF36" s="6"/>
      <c r="NFG36" s="6"/>
      <c r="NFH36" s="6"/>
      <c r="NFI36" s="6"/>
      <c r="NFJ36" s="6"/>
      <c r="NFK36" s="6"/>
      <c r="NFL36" s="6"/>
      <c r="NFM36" s="6"/>
      <c r="NFN36" s="6"/>
      <c r="NFO36" s="6"/>
      <c r="NFP36" s="6"/>
      <c r="NFQ36" s="6"/>
      <c r="NFR36" s="6"/>
      <c r="NFS36" s="6"/>
      <c r="NFT36" s="6"/>
      <c r="NFU36" s="6"/>
      <c r="NFV36" s="6"/>
      <c r="NFW36" s="6"/>
      <c r="NFX36" s="6"/>
      <c r="NFY36" s="6"/>
      <c r="NFZ36" s="6"/>
      <c r="NGA36" s="6"/>
      <c r="NGB36" s="6"/>
      <c r="NGC36" s="6"/>
      <c r="NGD36" s="6"/>
      <c r="NGE36" s="6"/>
      <c r="NGF36" s="6"/>
      <c r="NGG36" s="6"/>
      <c r="NGH36" s="6"/>
      <c r="NGI36" s="6"/>
      <c r="NGJ36" s="6"/>
      <c r="NGK36" s="6"/>
      <c r="NGL36" s="6"/>
      <c r="NGM36" s="6"/>
      <c r="NGN36" s="6"/>
      <c r="NGO36" s="6"/>
      <c r="NGP36" s="6"/>
      <c r="NGQ36" s="6"/>
      <c r="NGR36" s="6"/>
      <c r="NGS36" s="6"/>
      <c r="NGT36" s="6"/>
      <c r="NGU36" s="6"/>
      <c r="NGV36" s="6"/>
      <c r="NGW36" s="6"/>
      <c r="NGX36" s="6"/>
      <c r="NGY36" s="6"/>
      <c r="NGZ36" s="6"/>
      <c r="NHA36" s="6"/>
      <c r="NHB36" s="6"/>
      <c r="NHC36" s="6"/>
      <c r="NHD36" s="6"/>
      <c r="NHE36" s="6"/>
      <c r="NHF36" s="6"/>
      <c r="NHG36" s="6"/>
      <c r="NHH36" s="6"/>
      <c r="NHI36" s="6"/>
      <c r="NHJ36" s="6"/>
      <c r="NHK36" s="6"/>
      <c r="NHL36" s="6"/>
      <c r="NHM36" s="6"/>
      <c r="NHN36" s="6"/>
      <c r="NHO36" s="6"/>
      <c r="NHP36" s="6"/>
      <c r="NHQ36" s="6"/>
      <c r="NHR36" s="6"/>
      <c r="NHS36" s="6"/>
      <c r="NHT36" s="6"/>
      <c r="NHU36" s="6"/>
      <c r="NHV36" s="6"/>
      <c r="NHW36" s="6"/>
      <c r="NHX36" s="6"/>
      <c r="NHY36" s="6"/>
      <c r="NHZ36" s="6"/>
      <c r="NIA36" s="6"/>
      <c r="NIB36" s="6"/>
      <c r="NIC36" s="6"/>
      <c r="NID36" s="6"/>
      <c r="NIE36" s="6"/>
      <c r="NIF36" s="6"/>
      <c r="NIG36" s="6"/>
      <c r="NIH36" s="6"/>
      <c r="NII36" s="6"/>
      <c r="NIJ36" s="6"/>
      <c r="NIK36" s="6"/>
      <c r="NIL36" s="6"/>
      <c r="NIM36" s="6"/>
      <c r="NIN36" s="6"/>
      <c r="NIO36" s="6"/>
      <c r="NIP36" s="6"/>
      <c r="NIQ36" s="6"/>
      <c r="NIR36" s="6"/>
      <c r="NIS36" s="6"/>
      <c r="NIT36" s="6"/>
      <c r="NIU36" s="6"/>
      <c r="NIV36" s="6"/>
      <c r="NIW36" s="6"/>
      <c r="NIX36" s="6"/>
      <c r="NIY36" s="6"/>
      <c r="NIZ36" s="6"/>
      <c r="NJA36" s="6"/>
      <c r="NJB36" s="6"/>
      <c r="NJC36" s="6"/>
      <c r="NJD36" s="6"/>
      <c r="NJE36" s="6"/>
      <c r="NJF36" s="6"/>
      <c r="NJG36" s="6"/>
      <c r="NJH36" s="6"/>
      <c r="NJI36" s="6"/>
      <c r="NJJ36" s="6"/>
      <c r="NJK36" s="6"/>
      <c r="NJL36" s="6"/>
      <c r="NJM36" s="6"/>
      <c r="NJN36" s="6"/>
      <c r="NJO36" s="6"/>
      <c r="NJP36" s="6"/>
      <c r="NJQ36" s="6"/>
      <c r="NJR36" s="6"/>
      <c r="NJS36" s="6"/>
      <c r="NJT36" s="6"/>
      <c r="NJU36" s="6"/>
      <c r="NJV36" s="6"/>
      <c r="NJW36" s="6"/>
      <c r="NJX36" s="6"/>
      <c r="NJY36" s="6"/>
      <c r="NJZ36" s="6"/>
      <c r="NKA36" s="6"/>
      <c r="NKB36" s="6"/>
      <c r="NKC36" s="6"/>
      <c r="NKD36" s="6"/>
      <c r="NKE36" s="6"/>
      <c r="NKF36" s="6"/>
      <c r="NKG36" s="6"/>
      <c r="NKH36" s="6"/>
      <c r="NKI36" s="6"/>
      <c r="NKJ36" s="6"/>
      <c r="NKK36" s="6"/>
      <c r="NKL36" s="6"/>
      <c r="NKM36" s="6"/>
      <c r="NKN36" s="6"/>
      <c r="NKO36" s="6"/>
      <c r="NKP36" s="6"/>
      <c r="NKQ36" s="6"/>
      <c r="NKR36" s="6"/>
      <c r="NKS36" s="6"/>
      <c r="NKT36" s="6"/>
      <c r="NKU36" s="6"/>
      <c r="NKV36" s="6"/>
      <c r="NKW36" s="6"/>
      <c r="NKX36" s="6"/>
      <c r="NKY36" s="6"/>
      <c r="NKZ36" s="6"/>
      <c r="NLA36" s="6"/>
      <c r="NLB36" s="6"/>
      <c r="NLC36" s="6"/>
      <c r="NLD36" s="6"/>
      <c r="NLE36" s="6"/>
      <c r="NLF36" s="6"/>
      <c r="NLG36" s="6"/>
      <c r="NLH36" s="6"/>
      <c r="NLI36" s="6"/>
      <c r="NLJ36" s="6"/>
      <c r="NLK36" s="6"/>
      <c r="NLL36" s="6"/>
      <c r="NLM36" s="6"/>
      <c r="NLN36" s="6"/>
      <c r="NLO36" s="6"/>
      <c r="NLP36" s="6"/>
      <c r="NLQ36" s="6"/>
      <c r="NLR36" s="6"/>
      <c r="NLS36" s="6"/>
      <c r="NLT36" s="6"/>
      <c r="NLU36" s="6"/>
      <c r="NLV36" s="6"/>
      <c r="NLW36" s="6"/>
      <c r="NLX36" s="6"/>
      <c r="NLY36" s="6"/>
      <c r="NLZ36" s="6"/>
      <c r="NMA36" s="6"/>
      <c r="NMB36" s="6"/>
      <c r="NMC36" s="6"/>
      <c r="NMD36" s="6"/>
      <c r="NME36" s="6"/>
      <c r="NMF36" s="6"/>
      <c r="NMG36" s="6"/>
      <c r="NMH36" s="6"/>
      <c r="NMI36" s="6"/>
      <c r="NMJ36" s="6"/>
      <c r="NMK36" s="6"/>
      <c r="NML36" s="6"/>
      <c r="NMM36" s="6"/>
      <c r="NMN36" s="6"/>
      <c r="NMO36" s="6"/>
      <c r="NMP36" s="6"/>
      <c r="NMQ36" s="6"/>
      <c r="NMR36" s="6"/>
      <c r="NMS36" s="6"/>
      <c r="NMT36" s="6"/>
      <c r="NMU36" s="6"/>
      <c r="NMV36" s="6"/>
      <c r="NMW36" s="6"/>
      <c r="NMX36" s="6"/>
      <c r="NMY36" s="6"/>
      <c r="NMZ36" s="6"/>
      <c r="NNA36" s="6"/>
      <c r="NNB36" s="6"/>
      <c r="NNC36" s="6"/>
      <c r="NND36" s="6"/>
      <c r="NNE36" s="6"/>
      <c r="NNF36" s="6"/>
      <c r="NNG36" s="6"/>
      <c r="NNH36" s="6"/>
      <c r="NNI36" s="6"/>
      <c r="NNJ36" s="6"/>
      <c r="NNK36" s="6"/>
      <c r="NNL36" s="6"/>
      <c r="NNM36" s="6"/>
      <c r="NNN36" s="6"/>
      <c r="NNO36" s="6"/>
      <c r="NNP36" s="6"/>
      <c r="NNQ36" s="6"/>
      <c r="NNR36" s="6"/>
      <c r="NNS36" s="6"/>
      <c r="NNT36" s="6"/>
      <c r="NNU36" s="6"/>
      <c r="NNV36" s="6"/>
      <c r="NNW36" s="6"/>
      <c r="NNX36" s="6"/>
      <c r="NNY36" s="6"/>
      <c r="NNZ36" s="6"/>
      <c r="NOA36" s="6"/>
      <c r="NOB36" s="6"/>
      <c r="NOC36" s="6"/>
      <c r="NOD36" s="6"/>
      <c r="NOE36" s="6"/>
      <c r="NOF36" s="6"/>
      <c r="NOG36" s="6"/>
      <c r="NOH36" s="6"/>
      <c r="NOI36" s="6"/>
      <c r="NOJ36" s="6"/>
      <c r="NOK36" s="6"/>
      <c r="NOL36" s="6"/>
      <c r="NOM36" s="6"/>
      <c r="NON36" s="6"/>
      <c r="NOO36" s="6"/>
      <c r="NOP36" s="6"/>
      <c r="NOQ36" s="6"/>
      <c r="NOR36" s="6"/>
      <c r="NOS36" s="6"/>
      <c r="NOT36" s="6"/>
      <c r="NOU36" s="6"/>
      <c r="NOV36" s="6"/>
      <c r="NOW36" s="6"/>
      <c r="NOX36" s="6"/>
      <c r="NOY36" s="6"/>
      <c r="NOZ36" s="6"/>
      <c r="NPA36" s="6"/>
      <c r="NPB36" s="6"/>
      <c r="NPC36" s="6"/>
      <c r="NPD36" s="6"/>
      <c r="NPE36" s="6"/>
      <c r="NPF36" s="6"/>
      <c r="NPG36" s="6"/>
      <c r="NPH36" s="6"/>
      <c r="NPI36" s="6"/>
      <c r="NPJ36" s="6"/>
      <c r="NPK36" s="6"/>
      <c r="NPL36" s="6"/>
      <c r="NPM36" s="6"/>
      <c r="NPN36" s="6"/>
      <c r="NPO36" s="6"/>
      <c r="NPP36" s="6"/>
      <c r="NPQ36" s="6"/>
      <c r="NPR36" s="6"/>
      <c r="NPS36" s="6"/>
      <c r="NPT36" s="6"/>
      <c r="NPU36" s="6"/>
      <c r="NPV36" s="6"/>
      <c r="NPW36" s="6"/>
      <c r="NPX36" s="6"/>
      <c r="NPY36" s="6"/>
      <c r="NPZ36" s="6"/>
      <c r="NQA36" s="6"/>
      <c r="NQB36" s="6"/>
      <c r="NQC36" s="6"/>
      <c r="NQD36" s="6"/>
      <c r="NQE36" s="6"/>
      <c r="NQF36" s="6"/>
      <c r="NQG36" s="6"/>
      <c r="NQH36" s="6"/>
      <c r="NQI36" s="6"/>
      <c r="NQJ36" s="6"/>
      <c r="NQK36" s="6"/>
      <c r="NQL36" s="6"/>
      <c r="NQM36" s="6"/>
      <c r="NQN36" s="6"/>
      <c r="NQO36" s="6"/>
      <c r="NQP36" s="6"/>
      <c r="NQQ36" s="6"/>
      <c r="NQR36" s="6"/>
      <c r="NQS36" s="6"/>
      <c r="NQT36" s="6"/>
      <c r="NQU36" s="6"/>
      <c r="NQV36" s="6"/>
      <c r="NQW36" s="6"/>
      <c r="NQX36" s="6"/>
      <c r="NQY36" s="6"/>
      <c r="NQZ36" s="6"/>
      <c r="NRA36" s="6"/>
      <c r="NRB36" s="6"/>
      <c r="NRC36" s="6"/>
      <c r="NRD36" s="6"/>
      <c r="NRE36" s="6"/>
      <c r="NRF36" s="6"/>
      <c r="NRG36" s="6"/>
      <c r="NRH36" s="6"/>
      <c r="NRI36" s="6"/>
      <c r="NRJ36" s="6"/>
      <c r="NRK36" s="6"/>
      <c r="NRL36" s="6"/>
      <c r="NRM36" s="6"/>
      <c r="NRN36" s="6"/>
      <c r="NRO36" s="6"/>
      <c r="NRP36" s="6"/>
      <c r="NRQ36" s="6"/>
      <c r="NRR36" s="6"/>
      <c r="NRS36" s="6"/>
      <c r="NRT36" s="6"/>
      <c r="NRU36" s="6"/>
      <c r="NRV36" s="6"/>
      <c r="NRW36" s="6"/>
      <c r="NRX36" s="6"/>
      <c r="NRY36" s="6"/>
      <c r="NRZ36" s="6"/>
      <c r="NSA36" s="6"/>
      <c r="NSB36" s="6"/>
      <c r="NSC36" s="6"/>
      <c r="NSD36" s="6"/>
      <c r="NSE36" s="6"/>
      <c r="NSF36" s="6"/>
      <c r="NSG36" s="6"/>
      <c r="NSH36" s="6"/>
      <c r="NSI36" s="6"/>
      <c r="NSJ36" s="6"/>
      <c r="NSK36" s="6"/>
      <c r="NSL36" s="6"/>
      <c r="NSM36" s="6"/>
      <c r="NSN36" s="6"/>
      <c r="NSO36" s="6"/>
      <c r="NSP36" s="6"/>
      <c r="NSQ36" s="6"/>
      <c r="NSR36" s="6"/>
      <c r="NSS36" s="6"/>
      <c r="NST36" s="6"/>
      <c r="NSU36" s="6"/>
      <c r="NSV36" s="6"/>
      <c r="NSW36" s="6"/>
      <c r="NSX36" s="6"/>
      <c r="NSY36" s="6"/>
      <c r="NSZ36" s="6"/>
      <c r="NTA36" s="6"/>
      <c r="NTB36" s="6"/>
      <c r="NTC36" s="6"/>
      <c r="NTD36" s="6"/>
      <c r="NTE36" s="6"/>
      <c r="NTF36" s="6"/>
      <c r="NTG36" s="6"/>
      <c r="NTH36" s="6"/>
      <c r="NTI36" s="6"/>
      <c r="NTJ36" s="6"/>
      <c r="NTK36" s="6"/>
      <c r="NTL36" s="6"/>
      <c r="NTM36" s="6"/>
      <c r="NTN36" s="6"/>
      <c r="NTO36" s="6"/>
      <c r="NTP36" s="6"/>
      <c r="NTQ36" s="6"/>
      <c r="NTR36" s="6"/>
      <c r="NTS36" s="6"/>
      <c r="NTT36" s="6"/>
      <c r="NTU36" s="6"/>
      <c r="NTV36" s="6"/>
      <c r="NTW36" s="6"/>
      <c r="NTX36" s="6"/>
      <c r="NTY36" s="6"/>
      <c r="NTZ36" s="6"/>
      <c r="NUA36" s="6"/>
      <c r="NUB36" s="6"/>
      <c r="NUC36" s="6"/>
      <c r="NUD36" s="6"/>
      <c r="NUE36" s="6"/>
      <c r="NUF36" s="6"/>
      <c r="NUG36" s="6"/>
      <c r="NUH36" s="6"/>
      <c r="NUI36" s="6"/>
      <c r="NUJ36" s="6"/>
      <c r="NUK36" s="6"/>
      <c r="NUL36" s="6"/>
      <c r="NUM36" s="6"/>
      <c r="NUN36" s="6"/>
      <c r="NUO36" s="6"/>
      <c r="NUP36" s="6"/>
      <c r="NUQ36" s="6"/>
      <c r="NUR36" s="6"/>
      <c r="NUS36" s="6"/>
      <c r="NUT36" s="6"/>
      <c r="NUU36" s="6"/>
      <c r="NUV36" s="6"/>
      <c r="NUW36" s="6"/>
      <c r="NUX36" s="6"/>
      <c r="NUY36" s="6"/>
      <c r="NUZ36" s="6"/>
      <c r="NVA36" s="6"/>
      <c r="NVB36" s="6"/>
      <c r="NVC36" s="6"/>
      <c r="NVD36" s="6"/>
      <c r="NVE36" s="6"/>
      <c r="NVF36" s="6"/>
      <c r="NVG36" s="6"/>
      <c r="NVH36" s="6"/>
      <c r="NVI36" s="6"/>
      <c r="NVJ36" s="6"/>
      <c r="NVK36" s="6"/>
      <c r="NVL36" s="6"/>
      <c r="NVM36" s="6"/>
      <c r="NVN36" s="6"/>
      <c r="NVO36" s="6"/>
      <c r="NVP36" s="6"/>
      <c r="NVQ36" s="6"/>
      <c r="NVR36" s="6"/>
      <c r="NVS36" s="6"/>
      <c r="NVT36" s="6"/>
      <c r="NVU36" s="6"/>
      <c r="NVV36" s="6"/>
      <c r="NVW36" s="6"/>
      <c r="NVX36" s="6"/>
      <c r="NVY36" s="6"/>
      <c r="NVZ36" s="6"/>
      <c r="NWA36" s="6"/>
      <c r="NWB36" s="6"/>
      <c r="NWC36" s="6"/>
      <c r="NWD36" s="6"/>
      <c r="NWE36" s="6"/>
      <c r="NWF36" s="6"/>
      <c r="NWG36" s="6"/>
      <c r="NWH36" s="6"/>
      <c r="NWI36" s="6"/>
      <c r="NWJ36" s="6"/>
      <c r="NWK36" s="6"/>
      <c r="NWL36" s="6"/>
      <c r="NWM36" s="6"/>
      <c r="NWN36" s="6"/>
      <c r="NWO36" s="6"/>
      <c r="NWP36" s="6"/>
      <c r="NWQ36" s="6"/>
      <c r="NWR36" s="6"/>
      <c r="NWS36" s="6"/>
      <c r="NWT36" s="6"/>
      <c r="NWU36" s="6"/>
      <c r="NWV36" s="6"/>
      <c r="NWW36" s="6"/>
      <c r="NWX36" s="6"/>
      <c r="NWY36" s="6"/>
      <c r="NWZ36" s="6"/>
      <c r="NXA36" s="6"/>
      <c r="NXB36" s="6"/>
      <c r="NXC36" s="6"/>
      <c r="NXD36" s="6"/>
      <c r="NXE36" s="6"/>
      <c r="NXF36" s="6"/>
      <c r="NXG36" s="6"/>
      <c r="NXH36" s="6"/>
      <c r="NXI36" s="6"/>
      <c r="NXJ36" s="6"/>
      <c r="NXK36" s="6"/>
      <c r="NXL36" s="6"/>
      <c r="NXM36" s="6"/>
      <c r="NXN36" s="6"/>
      <c r="NXO36" s="6"/>
      <c r="NXP36" s="6"/>
      <c r="NXQ36" s="6"/>
      <c r="NXR36" s="6"/>
      <c r="NXS36" s="6"/>
      <c r="NXT36" s="6"/>
      <c r="NXU36" s="6"/>
      <c r="NXV36" s="6"/>
      <c r="NXW36" s="6"/>
      <c r="NXX36" s="6"/>
      <c r="NXY36" s="6"/>
      <c r="NXZ36" s="6"/>
      <c r="NYA36" s="6"/>
      <c r="NYB36" s="6"/>
      <c r="NYC36" s="6"/>
      <c r="NYD36" s="6"/>
      <c r="NYE36" s="6"/>
      <c r="NYF36" s="6"/>
      <c r="NYG36" s="6"/>
      <c r="NYH36" s="6"/>
      <c r="NYI36" s="6"/>
      <c r="NYJ36" s="6"/>
      <c r="NYK36" s="6"/>
      <c r="NYL36" s="6"/>
      <c r="NYM36" s="6"/>
      <c r="NYN36" s="6"/>
      <c r="NYO36" s="6"/>
      <c r="NYP36" s="6"/>
      <c r="NYQ36" s="6"/>
      <c r="NYR36" s="6"/>
      <c r="NYS36" s="6"/>
      <c r="NYT36" s="6"/>
      <c r="NYU36" s="6"/>
      <c r="NYV36" s="6"/>
      <c r="NYW36" s="6"/>
      <c r="NYX36" s="6"/>
      <c r="NYY36" s="6"/>
      <c r="NYZ36" s="6"/>
      <c r="NZA36" s="6"/>
      <c r="NZB36" s="6"/>
      <c r="NZC36" s="6"/>
      <c r="NZD36" s="6"/>
      <c r="NZE36" s="6"/>
      <c r="NZF36" s="6"/>
      <c r="NZG36" s="6"/>
      <c r="NZH36" s="6"/>
      <c r="NZI36" s="6"/>
      <c r="NZJ36" s="6"/>
      <c r="NZK36" s="6"/>
      <c r="NZL36" s="6"/>
      <c r="NZM36" s="6"/>
      <c r="NZN36" s="6"/>
      <c r="NZO36" s="6"/>
      <c r="NZP36" s="6"/>
      <c r="NZQ36" s="6"/>
      <c r="NZR36" s="6"/>
      <c r="NZS36" s="6"/>
      <c r="NZT36" s="6"/>
      <c r="NZU36" s="6"/>
      <c r="NZV36" s="6"/>
      <c r="NZW36" s="6"/>
      <c r="NZX36" s="6"/>
      <c r="NZY36" s="6"/>
      <c r="NZZ36" s="6"/>
      <c r="OAA36" s="6"/>
      <c r="OAB36" s="6"/>
      <c r="OAC36" s="6"/>
      <c r="OAD36" s="6"/>
      <c r="OAE36" s="6"/>
      <c r="OAF36" s="6"/>
      <c r="OAG36" s="6"/>
      <c r="OAH36" s="6"/>
      <c r="OAI36" s="6"/>
      <c r="OAJ36" s="6"/>
      <c r="OAK36" s="6"/>
      <c r="OAL36" s="6"/>
      <c r="OAM36" s="6"/>
      <c r="OAN36" s="6"/>
      <c r="OAO36" s="6"/>
      <c r="OAP36" s="6"/>
      <c r="OAQ36" s="6"/>
      <c r="OAR36" s="6"/>
      <c r="OAS36" s="6"/>
      <c r="OAT36" s="6"/>
      <c r="OAU36" s="6"/>
      <c r="OAV36" s="6"/>
      <c r="OAW36" s="6"/>
      <c r="OAX36" s="6"/>
      <c r="OAY36" s="6"/>
      <c r="OAZ36" s="6"/>
      <c r="OBA36" s="6"/>
      <c r="OBB36" s="6"/>
      <c r="OBC36" s="6"/>
      <c r="OBD36" s="6"/>
      <c r="OBE36" s="6"/>
      <c r="OBF36" s="6"/>
      <c r="OBG36" s="6"/>
      <c r="OBH36" s="6"/>
      <c r="OBI36" s="6"/>
      <c r="OBJ36" s="6"/>
      <c r="OBK36" s="6"/>
      <c r="OBL36" s="6"/>
      <c r="OBM36" s="6"/>
      <c r="OBN36" s="6"/>
      <c r="OBO36" s="6"/>
      <c r="OBP36" s="6"/>
      <c r="OBQ36" s="6"/>
      <c r="OBR36" s="6"/>
      <c r="OBS36" s="6"/>
      <c r="OBT36" s="6"/>
      <c r="OBU36" s="6"/>
      <c r="OBV36" s="6"/>
      <c r="OBW36" s="6"/>
      <c r="OBX36" s="6"/>
      <c r="OBY36" s="6"/>
      <c r="OBZ36" s="6"/>
      <c r="OCA36" s="6"/>
      <c r="OCB36" s="6"/>
      <c r="OCC36" s="6"/>
      <c r="OCD36" s="6"/>
      <c r="OCE36" s="6"/>
      <c r="OCF36" s="6"/>
      <c r="OCG36" s="6"/>
      <c r="OCH36" s="6"/>
      <c r="OCI36" s="6"/>
      <c r="OCJ36" s="6"/>
      <c r="OCK36" s="6"/>
      <c r="OCL36" s="6"/>
      <c r="OCM36" s="6"/>
      <c r="OCN36" s="6"/>
      <c r="OCO36" s="6"/>
      <c r="OCP36" s="6"/>
      <c r="OCQ36" s="6"/>
      <c r="OCR36" s="6"/>
      <c r="OCS36" s="6"/>
      <c r="OCT36" s="6"/>
      <c r="OCU36" s="6"/>
      <c r="OCV36" s="6"/>
      <c r="OCW36" s="6"/>
      <c r="OCX36" s="6"/>
      <c r="OCY36" s="6"/>
      <c r="OCZ36" s="6"/>
      <c r="ODA36" s="6"/>
      <c r="ODB36" s="6"/>
      <c r="ODC36" s="6"/>
      <c r="ODD36" s="6"/>
      <c r="ODE36" s="6"/>
      <c r="ODF36" s="6"/>
      <c r="ODG36" s="6"/>
      <c r="ODH36" s="6"/>
      <c r="ODI36" s="6"/>
      <c r="ODJ36" s="6"/>
      <c r="ODK36" s="6"/>
      <c r="ODL36" s="6"/>
      <c r="ODM36" s="6"/>
      <c r="ODN36" s="6"/>
      <c r="ODO36" s="6"/>
      <c r="ODP36" s="6"/>
      <c r="ODQ36" s="6"/>
      <c r="ODR36" s="6"/>
      <c r="ODS36" s="6"/>
      <c r="ODT36" s="6"/>
      <c r="ODU36" s="6"/>
      <c r="ODV36" s="6"/>
      <c r="ODW36" s="6"/>
      <c r="ODX36" s="6"/>
      <c r="ODY36" s="6"/>
      <c r="ODZ36" s="6"/>
      <c r="OEA36" s="6"/>
      <c r="OEB36" s="6"/>
      <c r="OEC36" s="6"/>
      <c r="OED36" s="6"/>
      <c r="OEE36" s="6"/>
      <c r="OEF36" s="6"/>
      <c r="OEG36" s="6"/>
      <c r="OEH36" s="6"/>
      <c r="OEI36" s="6"/>
      <c r="OEJ36" s="6"/>
      <c r="OEK36" s="6"/>
      <c r="OEL36" s="6"/>
      <c r="OEM36" s="6"/>
      <c r="OEN36" s="6"/>
      <c r="OEO36" s="6"/>
      <c r="OEP36" s="6"/>
      <c r="OEQ36" s="6"/>
      <c r="OER36" s="6"/>
      <c r="OES36" s="6"/>
      <c r="OET36" s="6"/>
      <c r="OEU36" s="6"/>
      <c r="OEV36" s="6"/>
      <c r="OEW36" s="6"/>
      <c r="OEX36" s="6"/>
      <c r="OEY36" s="6"/>
      <c r="OEZ36" s="6"/>
      <c r="OFA36" s="6"/>
      <c r="OFB36" s="6"/>
      <c r="OFC36" s="6"/>
      <c r="OFD36" s="6"/>
      <c r="OFE36" s="6"/>
      <c r="OFF36" s="6"/>
      <c r="OFG36" s="6"/>
      <c r="OFH36" s="6"/>
      <c r="OFI36" s="6"/>
      <c r="OFJ36" s="6"/>
      <c r="OFK36" s="6"/>
      <c r="OFL36" s="6"/>
      <c r="OFM36" s="6"/>
      <c r="OFN36" s="6"/>
      <c r="OFO36" s="6"/>
      <c r="OFP36" s="6"/>
      <c r="OFQ36" s="6"/>
      <c r="OFR36" s="6"/>
      <c r="OFS36" s="6"/>
      <c r="OFT36" s="6"/>
      <c r="OFU36" s="6"/>
      <c r="OFV36" s="6"/>
      <c r="OFW36" s="6"/>
      <c r="OFX36" s="6"/>
      <c r="OFY36" s="6"/>
      <c r="OFZ36" s="6"/>
      <c r="OGA36" s="6"/>
      <c r="OGB36" s="6"/>
      <c r="OGC36" s="6"/>
      <c r="OGD36" s="6"/>
      <c r="OGE36" s="6"/>
      <c r="OGF36" s="6"/>
      <c r="OGG36" s="6"/>
      <c r="OGH36" s="6"/>
      <c r="OGI36" s="6"/>
      <c r="OGJ36" s="6"/>
      <c r="OGK36" s="6"/>
      <c r="OGL36" s="6"/>
      <c r="OGM36" s="6"/>
      <c r="OGN36" s="6"/>
      <c r="OGO36" s="6"/>
      <c r="OGP36" s="6"/>
      <c r="OGQ36" s="6"/>
      <c r="OGR36" s="6"/>
      <c r="OGS36" s="6"/>
      <c r="OGT36" s="6"/>
      <c r="OGU36" s="6"/>
      <c r="OGV36" s="6"/>
      <c r="OGW36" s="6"/>
      <c r="OGX36" s="6"/>
      <c r="OGY36" s="6"/>
      <c r="OGZ36" s="6"/>
      <c r="OHA36" s="6"/>
      <c r="OHB36" s="6"/>
      <c r="OHC36" s="6"/>
      <c r="OHD36" s="6"/>
      <c r="OHE36" s="6"/>
      <c r="OHF36" s="6"/>
      <c r="OHG36" s="6"/>
      <c r="OHH36" s="6"/>
      <c r="OHI36" s="6"/>
      <c r="OHJ36" s="6"/>
      <c r="OHK36" s="6"/>
      <c r="OHL36" s="6"/>
      <c r="OHM36" s="6"/>
      <c r="OHN36" s="6"/>
      <c r="OHO36" s="6"/>
      <c r="OHP36" s="6"/>
      <c r="OHQ36" s="6"/>
      <c r="OHR36" s="6"/>
      <c r="OHS36" s="6"/>
      <c r="OHT36" s="6"/>
      <c r="OHU36" s="6"/>
      <c r="OHV36" s="6"/>
      <c r="OHW36" s="6"/>
      <c r="OHX36" s="6"/>
      <c r="OHY36" s="6"/>
      <c r="OHZ36" s="6"/>
      <c r="OIA36" s="6"/>
      <c r="OIB36" s="6"/>
      <c r="OIC36" s="6"/>
      <c r="OID36" s="6"/>
      <c r="OIE36" s="6"/>
      <c r="OIF36" s="6"/>
      <c r="OIG36" s="6"/>
      <c r="OIH36" s="6"/>
      <c r="OII36" s="6"/>
      <c r="OIJ36" s="6"/>
      <c r="OIK36" s="6"/>
      <c r="OIL36" s="6"/>
      <c r="OIM36" s="6"/>
      <c r="OIN36" s="6"/>
      <c r="OIO36" s="6"/>
      <c r="OIP36" s="6"/>
      <c r="OIQ36" s="6"/>
      <c r="OIR36" s="6"/>
      <c r="OIS36" s="6"/>
      <c r="OIT36" s="6"/>
      <c r="OIU36" s="6"/>
      <c r="OIV36" s="6"/>
      <c r="OIW36" s="6"/>
      <c r="OIX36" s="6"/>
      <c r="OIY36" s="6"/>
      <c r="OIZ36" s="6"/>
      <c r="OJA36" s="6"/>
      <c r="OJB36" s="6"/>
      <c r="OJC36" s="6"/>
      <c r="OJD36" s="6"/>
      <c r="OJE36" s="6"/>
      <c r="OJF36" s="6"/>
      <c r="OJG36" s="6"/>
      <c r="OJH36" s="6"/>
      <c r="OJI36" s="6"/>
      <c r="OJJ36" s="6"/>
      <c r="OJK36" s="6"/>
      <c r="OJL36" s="6"/>
      <c r="OJM36" s="6"/>
      <c r="OJN36" s="6"/>
      <c r="OJO36" s="6"/>
      <c r="OJP36" s="6"/>
      <c r="OJQ36" s="6"/>
      <c r="OJR36" s="6"/>
      <c r="OJS36" s="6"/>
      <c r="OJT36" s="6"/>
      <c r="OJU36" s="6"/>
      <c r="OJV36" s="6"/>
      <c r="OJW36" s="6"/>
      <c r="OJX36" s="6"/>
      <c r="OJY36" s="6"/>
      <c r="OJZ36" s="6"/>
      <c r="OKA36" s="6"/>
      <c r="OKB36" s="6"/>
      <c r="OKC36" s="6"/>
      <c r="OKD36" s="6"/>
      <c r="OKE36" s="6"/>
      <c r="OKF36" s="6"/>
      <c r="OKG36" s="6"/>
      <c r="OKH36" s="6"/>
      <c r="OKI36" s="6"/>
      <c r="OKJ36" s="6"/>
      <c r="OKK36" s="6"/>
      <c r="OKL36" s="6"/>
      <c r="OKM36" s="6"/>
      <c r="OKN36" s="6"/>
      <c r="OKO36" s="6"/>
      <c r="OKP36" s="6"/>
      <c r="OKQ36" s="6"/>
      <c r="OKR36" s="6"/>
      <c r="OKS36" s="6"/>
      <c r="OKT36" s="6"/>
      <c r="OKU36" s="6"/>
      <c r="OKV36" s="6"/>
      <c r="OKW36" s="6"/>
      <c r="OKX36" s="6"/>
      <c r="OKY36" s="6"/>
      <c r="OKZ36" s="6"/>
      <c r="OLA36" s="6"/>
      <c r="OLB36" s="6"/>
      <c r="OLC36" s="6"/>
      <c r="OLD36" s="6"/>
      <c r="OLE36" s="6"/>
      <c r="OLF36" s="6"/>
      <c r="OLG36" s="6"/>
      <c r="OLH36" s="6"/>
      <c r="OLI36" s="6"/>
      <c r="OLJ36" s="6"/>
      <c r="OLK36" s="6"/>
      <c r="OLL36" s="6"/>
      <c r="OLM36" s="6"/>
      <c r="OLN36" s="6"/>
      <c r="OLO36" s="6"/>
      <c r="OLP36" s="6"/>
      <c r="OLQ36" s="6"/>
      <c r="OLR36" s="6"/>
      <c r="OLS36" s="6"/>
      <c r="OLT36" s="6"/>
      <c r="OLU36" s="6"/>
      <c r="OLV36" s="6"/>
      <c r="OLW36" s="6"/>
      <c r="OLX36" s="6"/>
      <c r="OLY36" s="6"/>
      <c r="OLZ36" s="6"/>
      <c r="OMA36" s="6"/>
      <c r="OMB36" s="6"/>
      <c r="OMC36" s="6"/>
      <c r="OMD36" s="6"/>
      <c r="OME36" s="6"/>
      <c r="OMF36" s="6"/>
      <c r="OMG36" s="6"/>
      <c r="OMH36" s="6"/>
      <c r="OMI36" s="6"/>
      <c r="OMJ36" s="6"/>
      <c r="OMK36" s="6"/>
      <c r="OML36" s="6"/>
      <c r="OMM36" s="6"/>
      <c r="OMN36" s="6"/>
      <c r="OMO36" s="6"/>
      <c r="OMP36" s="6"/>
      <c r="OMQ36" s="6"/>
      <c r="OMR36" s="6"/>
      <c r="OMS36" s="6"/>
      <c r="OMT36" s="6"/>
      <c r="OMU36" s="6"/>
      <c r="OMV36" s="6"/>
      <c r="OMW36" s="6"/>
      <c r="OMX36" s="6"/>
      <c r="OMY36" s="6"/>
      <c r="OMZ36" s="6"/>
      <c r="ONA36" s="6"/>
      <c r="ONB36" s="6"/>
      <c r="ONC36" s="6"/>
      <c r="OND36" s="6"/>
      <c r="ONE36" s="6"/>
      <c r="ONF36" s="6"/>
      <c r="ONG36" s="6"/>
      <c r="ONH36" s="6"/>
      <c r="ONI36" s="6"/>
      <c r="ONJ36" s="6"/>
      <c r="ONK36" s="6"/>
      <c r="ONL36" s="6"/>
      <c r="ONM36" s="6"/>
      <c r="ONN36" s="6"/>
      <c r="ONO36" s="6"/>
      <c r="ONP36" s="6"/>
      <c r="ONQ36" s="6"/>
      <c r="ONR36" s="6"/>
      <c r="ONS36" s="6"/>
      <c r="ONT36" s="6"/>
      <c r="ONU36" s="6"/>
      <c r="ONV36" s="6"/>
      <c r="ONW36" s="6"/>
      <c r="ONX36" s="6"/>
      <c r="ONY36" s="6"/>
      <c r="ONZ36" s="6"/>
      <c r="OOA36" s="6"/>
      <c r="OOB36" s="6"/>
      <c r="OOC36" s="6"/>
      <c r="OOD36" s="6"/>
      <c r="OOE36" s="6"/>
      <c r="OOF36" s="6"/>
      <c r="OOG36" s="6"/>
      <c r="OOH36" s="6"/>
      <c r="OOI36" s="6"/>
      <c r="OOJ36" s="6"/>
      <c r="OOK36" s="6"/>
      <c r="OOL36" s="6"/>
      <c r="OOM36" s="6"/>
      <c r="OON36" s="6"/>
      <c r="OOO36" s="6"/>
      <c r="OOP36" s="6"/>
      <c r="OOQ36" s="6"/>
      <c r="OOR36" s="6"/>
      <c r="OOS36" s="6"/>
      <c r="OOT36" s="6"/>
      <c r="OOU36" s="6"/>
      <c r="OOV36" s="6"/>
      <c r="OOW36" s="6"/>
      <c r="OOX36" s="6"/>
      <c r="OOY36" s="6"/>
      <c r="OOZ36" s="6"/>
      <c r="OPA36" s="6"/>
      <c r="OPB36" s="6"/>
      <c r="OPC36" s="6"/>
      <c r="OPD36" s="6"/>
      <c r="OPE36" s="6"/>
      <c r="OPF36" s="6"/>
      <c r="OPG36" s="6"/>
      <c r="OPH36" s="6"/>
      <c r="OPI36" s="6"/>
      <c r="OPJ36" s="6"/>
      <c r="OPK36" s="6"/>
      <c r="OPL36" s="6"/>
      <c r="OPM36" s="6"/>
      <c r="OPN36" s="6"/>
      <c r="OPO36" s="6"/>
      <c r="OPP36" s="6"/>
      <c r="OPQ36" s="6"/>
      <c r="OPR36" s="6"/>
      <c r="OPS36" s="6"/>
      <c r="OPT36" s="6"/>
      <c r="OPU36" s="6"/>
      <c r="OPV36" s="6"/>
      <c r="OPW36" s="6"/>
      <c r="OPX36" s="6"/>
      <c r="OPY36" s="6"/>
      <c r="OPZ36" s="6"/>
      <c r="OQA36" s="6"/>
      <c r="OQB36" s="6"/>
      <c r="OQC36" s="6"/>
      <c r="OQD36" s="6"/>
      <c r="OQE36" s="6"/>
      <c r="OQF36" s="6"/>
      <c r="OQG36" s="6"/>
      <c r="OQH36" s="6"/>
      <c r="OQI36" s="6"/>
      <c r="OQJ36" s="6"/>
      <c r="OQK36" s="6"/>
      <c r="OQL36" s="6"/>
      <c r="OQM36" s="6"/>
      <c r="OQN36" s="6"/>
      <c r="OQO36" s="6"/>
      <c r="OQP36" s="6"/>
      <c r="OQQ36" s="6"/>
      <c r="OQR36" s="6"/>
      <c r="OQS36" s="6"/>
      <c r="OQT36" s="6"/>
      <c r="OQU36" s="6"/>
      <c r="OQV36" s="6"/>
      <c r="OQW36" s="6"/>
      <c r="OQX36" s="6"/>
      <c r="OQY36" s="6"/>
      <c r="OQZ36" s="6"/>
      <c r="ORA36" s="6"/>
      <c r="ORB36" s="6"/>
      <c r="ORC36" s="6"/>
      <c r="ORD36" s="6"/>
      <c r="ORE36" s="6"/>
      <c r="ORF36" s="6"/>
      <c r="ORG36" s="6"/>
      <c r="ORH36" s="6"/>
      <c r="ORI36" s="6"/>
      <c r="ORJ36" s="6"/>
      <c r="ORK36" s="6"/>
      <c r="ORL36" s="6"/>
      <c r="ORM36" s="6"/>
      <c r="ORN36" s="6"/>
      <c r="ORO36" s="6"/>
      <c r="ORP36" s="6"/>
      <c r="ORQ36" s="6"/>
      <c r="ORR36" s="6"/>
      <c r="ORS36" s="6"/>
      <c r="ORT36" s="6"/>
      <c r="ORU36" s="6"/>
      <c r="ORV36" s="6"/>
      <c r="ORW36" s="6"/>
      <c r="ORX36" s="6"/>
      <c r="ORY36" s="6"/>
      <c r="ORZ36" s="6"/>
      <c r="OSA36" s="6"/>
      <c r="OSB36" s="6"/>
      <c r="OSC36" s="6"/>
      <c r="OSD36" s="6"/>
      <c r="OSE36" s="6"/>
      <c r="OSF36" s="6"/>
      <c r="OSG36" s="6"/>
      <c r="OSH36" s="6"/>
      <c r="OSI36" s="6"/>
      <c r="OSJ36" s="6"/>
      <c r="OSK36" s="6"/>
      <c r="OSL36" s="6"/>
      <c r="OSM36" s="6"/>
      <c r="OSN36" s="6"/>
      <c r="OSO36" s="6"/>
      <c r="OSP36" s="6"/>
      <c r="OSQ36" s="6"/>
      <c r="OSR36" s="6"/>
      <c r="OSS36" s="6"/>
      <c r="OST36" s="6"/>
      <c r="OSU36" s="6"/>
      <c r="OSV36" s="6"/>
      <c r="OSW36" s="6"/>
      <c r="OSX36" s="6"/>
      <c r="OSY36" s="6"/>
      <c r="OSZ36" s="6"/>
      <c r="OTA36" s="6"/>
      <c r="OTB36" s="6"/>
      <c r="OTC36" s="6"/>
      <c r="OTD36" s="6"/>
      <c r="OTE36" s="6"/>
      <c r="OTF36" s="6"/>
      <c r="OTG36" s="6"/>
      <c r="OTH36" s="6"/>
      <c r="OTI36" s="6"/>
      <c r="OTJ36" s="6"/>
      <c r="OTK36" s="6"/>
      <c r="OTL36" s="6"/>
      <c r="OTM36" s="6"/>
      <c r="OTN36" s="6"/>
      <c r="OTO36" s="6"/>
      <c r="OTP36" s="6"/>
      <c r="OTQ36" s="6"/>
      <c r="OTR36" s="6"/>
      <c r="OTS36" s="6"/>
      <c r="OTT36" s="6"/>
      <c r="OTU36" s="6"/>
      <c r="OTV36" s="6"/>
      <c r="OTW36" s="6"/>
      <c r="OTX36" s="6"/>
      <c r="OTY36" s="6"/>
      <c r="OTZ36" s="6"/>
      <c r="OUA36" s="6"/>
      <c r="OUB36" s="6"/>
      <c r="OUC36" s="6"/>
      <c r="OUD36" s="6"/>
      <c r="OUE36" s="6"/>
      <c r="OUF36" s="6"/>
      <c r="OUG36" s="6"/>
      <c r="OUH36" s="6"/>
      <c r="OUI36" s="6"/>
      <c r="OUJ36" s="6"/>
      <c r="OUK36" s="6"/>
      <c r="OUL36" s="6"/>
      <c r="OUM36" s="6"/>
      <c r="OUN36" s="6"/>
      <c r="OUO36" s="6"/>
      <c r="OUP36" s="6"/>
      <c r="OUQ36" s="6"/>
      <c r="OUR36" s="6"/>
      <c r="OUS36" s="6"/>
      <c r="OUT36" s="6"/>
      <c r="OUU36" s="6"/>
      <c r="OUV36" s="6"/>
      <c r="OUW36" s="6"/>
      <c r="OUX36" s="6"/>
      <c r="OUY36" s="6"/>
      <c r="OUZ36" s="6"/>
      <c r="OVA36" s="6"/>
      <c r="OVB36" s="6"/>
      <c r="OVC36" s="6"/>
      <c r="OVD36" s="6"/>
      <c r="OVE36" s="6"/>
      <c r="OVF36" s="6"/>
      <c r="OVG36" s="6"/>
      <c r="OVH36" s="6"/>
      <c r="OVI36" s="6"/>
      <c r="OVJ36" s="6"/>
      <c r="OVK36" s="6"/>
      <c r="OVL36" s="6"/>
      <c r="OVM36" s="6"/>
      <c r="OVN36" s="6"/>
      <c r="OVO36" s="6"/>
      <c r="OVP36" s="6"/>
      <c r="OVQ36" s="6"/>
      <c r="OVR36" s="6"/>
      <c r="OVS36" s="6"/>
      <c r="OVT36" s="6"/>
      <c r="OVU36" s="6"/>
      <c r="OVV36" s="6"/>
      <c r="OVW36" s="6"/>
      <c r="OVX36" s="6"/>
      <c r="OVY36" s="6"/>
      <c r="OVZ36" s="6"/>
      <c r="OWA36" s="6"/>
      <c r="OWB36" s="6"/>
      <c r="OWC36" s="6"/>
      <c r="OWD36" s="6"/>
      <c r="OWE36" s="6"/>
      <c r="OWF36" s="6"/>
      <c r="OWG36" s="6"/>
      <c r="OWH36" s="6"/>
      <c r="OWI36" s="6"/>
      <c r="OWJ36" s="6"/>
      <c r="OWK36" s="6"/>
      <c r="OWL36" s="6"/>
      <c r="OWM36" s="6"/>
      <c r="OWN36" s="6"/>
      <c r="OWO36" s="6"/>
      <c r="OWP36" s="6"/>
      <c r="OWQ36" s="6"/>
      <c r="OWR36" s="6"/>
      <c r="OWS36" s="6"/>
      <c r="OWT36" s="6"/>
      <c r="OWU36" s="6"/>
      <c r="OWV36" s="6"/>
      <c r="OWW36" s="6"/>
      <c r="OWX36" s="6"/>
      <c r="OWY36" s="6"/>
      <c r="OWZ36" s="6"/>
      <c r="OXA36" s="6"/>
      <c r="OXB36" s="6"/>
      <c r="OXC36" s="6"/>
      <c r="OXD36" s="6"/>
      <c r="OXE36" s="6"/>
      <c r="OXF36" s="6"/>
      <c r="OXG36" s="6"/>
      <c r="OXH36" s="6"/>
      <c r="OXI36" s="6"/>
      <c r="OXJ36" s="6"/>
      <c r="OXK36" s="6"/>
      <c r="OXL36" s="6"/>
      <c r="OXM36" s="6"/>
      <c r="OXN36" s="6"/>
      <c r="OXO36" s="6"/>
      <c r="OXP36" s="6"/>
      <c r="OXQ36" s="6"/>
      <c r="OXR36" s="6"/>
      <c r="OXS36" s="6"/>
      <c r="OXT36" s="6"/>
      <c r="OXU36" s="6"/>
      <c r="OXV36" s="6"/>
      <c r="OXW36" s="6"/>
      <c r="OXX36" s="6"/>
      <c r="OXY36" s="6"/>
      <c r="OXZ36" s="6"/>
      <c r="OYA36" s="6"/>
      <c r="OYB36" s="6"/>
      <c r="OYC36" s="6"/>
      <c r="OYD36" s="6"/>
      <c r="OYE36" s="6"/>
      <c r="OYF36" s="6"/>
      <c r="OYG36" s="6"/>
      <c r="OYH36" s="6"/>
      <c r="OYI36" s="6"/>
      <c r="OYJ36" s="6"/>
      <c r="OYK36" s="6"/>
      <c r="OYL36" s="6"/>
      <c r="OYM36" s="6"/>
      <c r="OYN36" s="6"/>
      <c r="OYO36" s="6"/>
      <c r="OYP36" s="6"/>
      <c r="OYQ36" s="6"/>
      <c r="OYR36" s="6"/>
      <c r="OYS36" s="6"/>
      <c r="OYT36" s="6"/>
      <c r="OYU36" s="6"/>
      <c r="OYV36" s="6"/>
      <c r="OYW36" s="6"/>
      <c r="OYX36" s="6"/>
      <c r="OYY36" s="6"/>
      <c r="OYZ36" s="6"/>
      <c r="OZA36" s="6"/>
      <c r="OZB36" s="6"/>
      <c r="OZC36" s="6"/>
      <c r="OZD36" s="6"/>
      <c r="OZE36" s="6"/>
      <c r="OZF36" s="6"/>
      <c r="OZG36" s="6"/>
      <c r="OZH36" s="6"/>
      <c r="OZI36" s="6"/>
      <c r="OZJ36" s="6"/>
      <c r="OZK36" s="6"/>
      <c r="OZL36" s="6"/>
      <c r="OZM36" s="6"/>
      <c r="OZN36" s="6"/>
      <c r="OZO36" s="6"/>
      <c r="OZP36" s="6"/>
      <c r="OZQ36" s="6"/>
      <c r="OZR36" s="6"/>
      <c r="OZS36" s="6"/>
      <c r="OZT36" s="6"/>
      <c r="OZU36" s="6"/>
      <c r="OZV36" s="6"/>
      <c r="OZW36" s="6"/>
      <c r="OZX36" s="6"/>
      <c r="OZY36" s="6"/>
      <c r="OZZ36" s="6"/>
      <c r="PAA36" s="6"/>
      <c r="PAB36" s="6"/>
      <c r="PAC36" s="6"/>
      <c r="PAD36" s="6"/>
      <c r="PAE36" s="6"/>
      <c r="PAF36" s="6"/>
      <c r="PAG36" s="6"/>
      <c r="PAH36" s="6"/>
      <c r="PAI36" s="6"/>
      <c r="PAJ36" s="6"/>
      <c r="PAK36" s="6"/>
      <c r="PAL36" s="6"/>
      <c r="PAM36" s="6"/>
      <c r="PAN36" s="6"/>
      <c r="PAO36" s="6"/>
      <c r="PAP36" s="6"/>
      <c r="PAQ36" s="6"/>
      <c r="PAR36" s="6"/>
      <c r="PAS36" s="6"/>
      <c r="PAT36" s="6"/>
      <c r="PAU36" s="6"/>
      <c r="PAV36" s="6"/>
      <c r="PAW36" s="6"/>
      <c r="PAX36" s="6"/>
      <c r="PAY36" s="6"/>
      <c r="PAZ36" s="6"/>
      <c r="PBA36" s="6"/>
      <c r="PBB36" s="6"/>
      <c r="PBC36" s="6"/>
      <c r="PBD36" s="6"/>
      <c r="PBE36" s="6"/>
      <c r="PBF36" s="6"/>
      <c r="PBG36" s="6"/>
      <c r="PBH36" s="6"/>
      <c r="PBI36" s="6"/>
      <c r="PBJ36" s="6"/>
      <c r="PBK36" s="6"/>
      <c r="PBL36" s="6"/>
      <c r="PBM36" s="6"/>
      <c r="PBN36" s="6"/>
      <c r="PBO36" s="6"/>
      <c r="PBP36" s="6"/>
      <c r="PBQ36" s="6"/>
      <c r="PBR36" s="6"/>
      <c r="PBS36" s="6"/>
      <c r="PBT36" s="6"/>
      <c r="PBU36" s="6"/>
      <c r="PBV36" s="6"/>
      <c r="PBW36" s="6"/>
      <c r="PBX36" s="6"/>
      <c r="PBY36" s="6"/>
      <c r="PBZ36" s="6"/>
      <c r="PCA36" s="6"/>
      <c r="PCB36" s="6"/>
      <c r="PCC36" s="6"/>
      <c r="PCD36" s="6"/>
      <c r="PCE36" s="6"/>
      <c r="PCF36" s="6"/>
      <c r="PCG36" s="6"/>
      <c r="PCH36" s="6"/>
      <c r="PCI36" s="6"/>
      <c r="PCJ36" s="6"/>
      <c r="PCK36" s="6"/>
      <c r="PCL36" s="6"/>
      <c r="PCM36" s="6"/>
      <c r="PCN36" s="6"/>
      <c r="PCO36" s="6"/>
      <c r="PCP36" s="6"/>
      <c r="PCQ36" s="6"/>
      <c r="PCR36" s="6"/>
      <c r="PCS36" s="6"/>
      <c r="PCT36" s="6"/>
      <c r="PCU36" s="6"/>
      <c r="PCV36" s="6"/>
      <c r="PCW36" s="6"/>
      <c r="PCX36" s="6"/>
      <c r="PCY36" s="6"/>
      <c r="PCZ36" s="6"/>
      <c r="PDA36" s="6"/>
      <c r="PDB36" s="6"/>
      <c r="PDC36" s="6"/>
      <c r="PDD36" s="6"/>
      <c r="PDE36" s="6"/>
      <c r="PDF36" s="6"/>
      <c r="PDG36" s="6"/>
      <c r="PDH36" s="6"/>
      <c r="PDI36" s="6"/>
      <c r="PDJ36" s="6"/>
      <c r="PDK36" s="6"/>
      <c r="PDL36" s="6"/>
      <c r="PDM36" s="6"/>
      <c r="PDN36" s="6"/>
      <c r="PDO36" s="6"/>
      <c r="PDP36" s="6"/>
      <c r="PDQ36" s="6"/>
      <c r="PDR36" s="6"/>
      <c r="PDS36" s="6"/>
      <c r="PDT36" s="6"/>
      <c r="PDU36" s="6"/>
      <c r="PDV36" s="6"/>
      <c r="PDW36" s="6"/>
      <c r="PDX36" s="6"/>
      <c r="PDY36" s="6"/>
      <c r="PDZ36" s="6"/>
      <c r="PEA36" s="6"/>
      <c r="PEB36" s="6"/>
      <c r="PEC36" s="6"/>
      <c r="PED36" s="6"/>
      <c r="PEE36" s="6"/>
      <c r="PEF36" s="6"/>
      <c r="PEG36" s="6"/>
      <c r="PEH36" s="6"/>
      <c r="PEI36" s="6"/>
      <c r="PEJ36" s="6"/>
      <c r="PEK36" s="6"/>
      <c r="PEL36" s="6"/>
      <c r="PEM36" s="6"/>
      <c r="PEN36" s="6"/>
      <c r="PEO36" s="6"/>
      <c r="PEP36" s="6"/>
      <c r="PEQ36" s="6"/>
      <c r="PER36" s="6"/>
      <c r="PES36" s="6"/>
      <c r="PET36" s="6"/>
      <c r="PEU36" s="6"/>
      <c r="PEV36" s="6"/>
      <c r="PEW36" s="6"/>
      <c r="PEX36" s="6"/>
      <c r="PEY36" s="6"/>
      <c r="PEZ36" s="6"/>
      <c r="PFA36" s="6"/>
      <c r="PFB36" s="6"/>
      <c r="PFC36" s="6"/>
      <c r="PFD36" s="6"/>
      <c r="PFE36" s="6"/>
      <c r="PFF36" s="6"/>
      <c r="PFG36" s="6"/>
      <c r="PFH36" s="6"/>
      <c r="PFI36" s="6"/>
      <c r="PFJ36" s="6"/>
      <c r="PFK36" s="6"/>
      <c r="PFL36" s="6"/>
      <c r="PFM36" s="6"/>
      <c r="PFN36" s="6"/>
      <c r="PFO36" s="6"/>
      <c r="PFP36" s="6"/>
      <c r="PFQ36" s="6"/>
      <c r="PFR36" s="6"/>
      <c r="PFS36" s="6"/>
      <c r="PFT36" s="6"/>
      <c r="PFU36" s="6"/>
      <c r="PFV36" s="6"/>
      <c r="PFW36" s="6"/>
      <c r="PFX36" s="6"/>
      <c r="PFY36" s="6"/>
      <c r="PFZ36" s="6"/>
      <c r="PGA36" s="6"/>
      <c r="PGB36" s="6"/>
      <c r="PGC36" s="6"/>
      <c r="PGD36" s="6"/>
      <c r="PGE36" s="6"/>
      <c r="PGF36" s="6"/>
      <c r="PGG36" s="6"/>
      <c r="PGH36" s="6"/>
      <c r="PGI36" s="6"/>
      <c r="PGJ36" s="6"/>
      <c r="PGK36" s="6"/>
      <c r="PGL36" s="6"/>
      <c r="PGM36" s="6"/>
      <c r="PGN36" s="6"/>
      <c r="PGO36" s="6"/>
      <c r="PGP36" s="6"/>
      <c r="PGQ36" s="6"/>
      <c r="PGR36" s="6"/>
      <c r="PGS36" s="6"/>
      <c r="PGT36" s="6"/>
      <c r="PGU36" s="6"/>
      <c r="PGV36" s="6"/>
      <c r="PGW36" s="6"/>
      <c r="PGX36" s="6"/>
      <c r="PGY36" s="6"/>
      <c r="PGZ36" s="6"/>
      <c r="PHA36" s="6"/>
      <c r="PHB36" s="6"/>
      <c r="PHC36" s="6"/>
      <c r="PHD36" s="6"/>
      <c r="PHE36" s="6"/>
      <c r="PHF36" s="6"/>
      <c r="PHG36" s="6"/>
      <c r="PHH36" s="6"/>
      <c r="PHI36" s="6"/>
      <c r="PHJ36" s="6"/>
      <c r="PHK36" s="6"/>
      <c r="PHL36" s="6"/>
      <c r="PHM36" s="6"/>
      <c r="PHN36" s="6"/>
      <c r="PHO36" s="6"/>
      <c r="PHP36" s="6"/>
      <c r="PHQ36" s="6"/>
      <c r="PHR36" s="6"/>
      <c r="PHS36" s="6"/>
      <c r="PHT36" s="6"/>
      <c r="PHU36" s="6"/>
      <c r="PHV36" s="6"/>
      <c r="PHW36" s="6"/>
      <c r="PHX36" s="6"/>
      <c r="PHY36" s="6"/>
      <c r="PHZ36" s="6"/>
      <c r="PIA36" s="6"/>
      <c r="PIB36" s="6"/>
      <c r="PIC36" s="6"/>
      <c r="PID36" s="6"/>
      <c r="PIE36" s="6"/>
      <c r="PIF36" s="6"/>
      <c r="PIG36" s="6"/>
      <c r="PIH36" s="6"/>
      <c r="PII36" s="6"/>
      <c r="PIJ36" s="6"/>
      <c r="PIK36" s="6"/>
      <c r="PIL36" s="6"/>
      <c r="PIM36" s="6"/>
      <c r="PIN36" s="6"/>
      <c r="PIO36" s="6"/>
      <c r="PIP36" s="6"/>
      <c r="PIQ36" s="6"/>
      <c r="PIR36" s="6"/>
      <c r="PIS36" s="6"/>
      <c r="PIT36" s="6"/>
      <c r="PIU36" s="6"/>
      <c r="PIV36" s="6"/>
      <c r="PIW36" s="6"/>
      <c r="PIX36" s="6"/>
      <c r="PIY36" s="6"/>
      <c r="PIZ36" s="6"/>
      <c r="PJA36" s="6"/>
      <c r="PJB36" s="6"/>
      <c r="PJC36" s="6"/>
      <c r="PJD36" s="6"/>
      <c r="PJE36" s="6"/>
      <c r="PJF36" s="6"/>
      <c r="PJG36" s="6"/>
      <c r="PJH36" s="6"/>
      <c r="PJI36" s="6"/>
      <c r="PJJ36" s="6"/>
      <c r="PJK36" s="6"/>
      <c r="PJL36" s="6"/>
      <c r="PJM36" s="6"/>
      <c r="PJN36" s="6"/>
      <c r="PJO36" s="6"/>
      <c r="PJP36" s="6"/>
      <c r="PJQ36" s="6"/>
      <c r="PJR36" s="6"/>
      <c r="PJS36" s="6"/>
      <c r="PJT36" s="6"/>
      <c r="PJU36" s="6"/>
      <c r="PJV36" s="6"/>
      <c r="PJW36" s="6"/>
      <c r="PJX36" s="6"/>
      <c r="PJY36" s="6"/>
      <c r="PJZ36" s="6"/>
      <c r="PKA36" s="6"/>
      <c r="PKB36" s="6"/>
      <c r="PKC36" s="6"/>
      <c r="PKD36" s="6"/>
      <c r="PKE36" s="6"/>
      <c r="PKF36" s="6"/>
      <c r="PKG36" s="6"/>
      <c r="PKH36" s="6"/>
      <c r="PKI36" s="6"/>
      <c r="PKJ36" s="6"/>
      <c r="PKK36" s="6"/>
      <c r="PKL36" s="6"/>
      <c r="PKM36" s="6"/>
      <c r="PKN36" s="6"/>
      <c r="PKO36" s="6"/>
      <c r="PKP36" s="6"/>
      <c r="PKQ36" s="6"/>
      <c r="PKR36" s="6"/>
      <c r="PKS36" s="6"/>
      <c r="PKT36" s="6"/>
      <c r="PKU36" s="6"/>
      <c r="PKV36" s="6"/>
      <c r="PKW36" s="6"/>
      <c r="PKX36" s="6"/>
      <c r="PKY36" s="6"/>
      <c r="PKZ36" s="6"/>
      <c r="PLA36" s="6"/>
      <c r="PLB36" s="6"/>
      <c r="PLC36" s="6"/>
      <c r="PLD36" s="6"/>
      <c r="PLE36" s="6"/>
      <c r="PLF36" s="6"/>
      <c r="PLG36" s="6"/>
      <c r="PLH36" s="6"/>
      <c r="PLI36" s="6"/>
      <c r="PLJ36" s="6"/>
      <c r="PLK36" s="6"/>
      <c r="PLL36" s="6"/>
      <c r="PLM36" s="6"/>
      <c r="PLN36" s="6"/>
      <c r="PLO36" s="6"/>
      <c r="PLP36" s="6"/>
      <c r="PLQ36" s="6"/>
      <c r="PLR36" s="6"/>
      <c r="PLS36" s="6"/>
      <c r="PLT36" s="6"/>
      <c r="PLU36" s="6"/>
      <c r="PLV36" s="6"/>
      <c r="PLW36" s="6"/>
      <c r="PLX36" s="6"/>
      <c r="PLY36" s="6"/>
      <c r="PLZ36" s="6"/>
      <c r="PMA36" s="6"/>
      <c r="PMB36" s="6"/>
      <c r="PMC36" s="6"/>
      <c r="PMD36" s="6"/>
      <c r="PME36" s="6"/>
      <c r="PMF36" s="6"/>
      <c r="PMG36" s="6"/>
      <c r="PMH36" s="6"/>
      <c r="PMI36" s="6"/>
      <c r="PMJ36" s="6"/>
      <c r="PMK36" s="6"/>
      <c r="PML36" s="6"/>
      <c r="PMM36" s="6"/>
      <c r="PMN36" s="6"/>
      <c r="PMO36" s="6"/>
      <c r="PMP36" s="6"/>
      <c r="PMQ36" s="6"/>
      <c r="PMR36" s="6"/>
      <c r="PMS36" s="6"/>
      <c r="PMT36" s="6"/>
      <c r="PMU36" s="6"/>
      <c r="PMV36" s="6"/>
      <c r="PMW36" s="6"/>
      <c r="PMX36" s="6"/>
      <c r="PMY36" s="6"/>
      <c r="PMZ36" s="6"/>
      <c r="PNA36" s="6"/>
      <c r="PNB36" s="6"/>
      <c r="PNC36" s="6"/>
      <c r="PND36" s="6"/>
      <c r="PNE36" s="6"/>
      <c r="PNF36" s="6"/>
      <c r="PNG36" s="6"/>
      <c r="PNH36" s="6"/>
      <c r="PNI36" s="6"/>
      <c r="PNJ36" s="6"/>
      <c r="PNK36" s="6"/>
      <c r="PNL36" s="6"/>
      <c r="PNM36" s="6"/>
      <c r="PNN36" s="6"/>
      <c r="PNO36" s="6"/>
      <c r="PNP36" s="6"/>
      <c r="PNQ36" s="6"/>
      <c r="PNR36" s="6"/>
      <c r="PNS36" s="6"/>
      <c r="PNT36" s="6"/>
      <c r="PNU36" s="6"/>
      <c r="PNV36" s="6"/>
      <c r="PNW36" s="6"/>
      <c r="PNX36" s="6"/>
      <c r="PNY36" s="6"/>
      <c r="PNZ36" s="6"/>
      <c r="POA36" s="6"/>
      <c r="POB36" s="6"/>
      <c r="POC36" s="6"/>
      <c r="POD36" s="6"/>
      <c r="POE36" s="6"/>
      <c r="POF36" s="6"/>
      <c r="POG36" s="6"/>
      <c r="POH36" s="6"/>
      <c r="POI36" s="6"/>
      <c r="POJ36" s="6"/>
      <c r="POK36" s="6"/>
      <c r="POL36" s="6"/>
      <c r="POM36" s="6"/>
      <c r="PON36" s="6"/>
      <c r="POO36" s="6"/>
      <c r="POP36" s="6"/>
      <c r="POQ36" s="6"/>
      <c r="POR36" s="6"/>
      <c r="POS36" s="6"/>
      <c r="POT36" s="6"/>
      <c r="POU36" s="6"/>
      <c r="POV36" s="6"/>
      <c r="POW36" s="6"/>
      <c r="POX36" s="6"/>
      <c r="POY36" s="6"/>
      <c r="POZ36" s="6"/>
      <c r="PPA36" s="6"/>
      <c r="PPB36" s="6"/>
      <c r="PPC36" s="6"/>
      <c r="PPD36" s="6"/>
      <c r="PPE36" s="6"/>
      <c r="PPF36" s="6"/>
      <c r="PPG36" s="6"/>
      <c r="PPH36" s="6"/>
      <c r="PPI36" s="6"/>
      <c r="PPJ36" s="6"/>
      <c r="PPK36" s="6"/>
      <c r="PPL36" s="6"/>
      <c r="PPM36" s="6"/>
      <c r="PPN36" s="6"/>
      <c r="PPO36" s="6"/>
      <c r="PPP36" s="6"/>
      <c r="PPQ36" s="6"/>
      <c r="PPR36" s="6"/>
      <c r="PPS36" s="6"/>
      <c r="PPT36" s="6"/>
      <c r="PPU36" s="6"/>
      <c r="PPV36" s="6"/>
      <c r="PPW36" s="6"/>
      <c r="PPX36" s="6"/>
      <c r="PPY36" s="6"/>
      <c r="PPZ36" s="6"/>
      <c r="PQA36" s="6"/>
      <c r="PQB36" s="6"/>
      <c r="PQC36" s="6"/>
      <c r="PQD36" s="6"/>
      <c r="PQE36" s="6"/>
      <c r="PQF36" s="6"/>
      <c r="PQG36" s="6"/>
      <c r="PQH36" s="6"/>
      <c r="PQI36" s="6"/>
      <c r="PQJ36" s="6"/>
      <c r="PQK36" s="6"/>
      <c r="PQL36" s="6"/>
      <c r="PQM36" s="6"/>
      <c r="PQN36" s="6"/>
      <c r="PQO36" s="6"/>
      <c r="PQP36" s="6"/>
      <c r="PQQ36" s="6"/>
      <c r="PQR36" s="6"/>
      <c r="PQS36" s="6"/>
      <c r="PQT36" s="6"/>
      <c r="PQU36" s="6"/>
      <c r="PQV36" s="6"/>
      <c r="PQW36" s="6"/>
      <c r="PQX36" s="6"/>
      <c r="PQY36" s="6"/>
      <c r="PQZ36" s="6"/>
      <c r="PRA36" s="6"/>
      <c r="PRB36" s="6"/>
      <c r="PRC36" s="6"/>
      <c r="PRD36" s="6"/>
      <c r="PRE36" s="6"/>
      <c r="PRF36" s="6"/>
      <c r="PRG36" s="6"/>
      <c r="PRH36" s="6"/>
      <c r="PRI36" s="6"/>
      <c r="PRJ36" s="6"/>
      <c r="PRK36" s="6"/>
      <c r="PRL36" s="6"/>
      <c r="PRM36" s="6"/>
      <c r="PRN36" s="6"/>
      <c r="PRO36" s="6"/>
      <c r="PRP36" s="6"/>
      <c r="PRQ36" s="6"/>
      <c r="PRR36" s="6"/>
      <c r="PRS36" s="6"/>
      <c r="PRT36" s="6"/>
      <c r="PRU36" s="6"/>
      <c r="PRV36" s="6"/>
      <c r="PRW36" s="6"/>
      <c r="PRX36" s="6"/>
      <c r="PRY36" s="6"/>
      <c r="PRZ36" s="6"/>
      <c r="PSA36" s="6"/>
      <c r="PSB36" s="6"/>
      <c r="PSC36" s="6"/>
      <c r="PSD36" s="6"/>
      <c r="PSE36" s="6"/>
      <c r="PSF36" s="6"/>
      <c r="PSG36" s="6"/>
      <c r="PSH36" s="6"/>
      <c r="PSI36" s="6"/>
      <c r="PSJ36" s="6"/>
      <c r="PSK36" s="6"/>
      <c r="PSL36" s="6"/>
      <c r="PSM36" s="6"/>
      <c r="PSN36" s="6"/>
      <c r="PSO36" s="6"/>
      <c r="PSP36" s="6"/>
      <c r="PSQ36" s="6"/>
      <c r="PSR36" s="6"/>
      <c r="PSS36" s="6"/>
      <c r="PST36" s="6"/>
      <c r="PSU36" s="6"/>
      <c r="PSV36" s="6"/>
      <c r="PSW36" s="6"/>
      <c r="PSX36" s="6"/>
      <c r="PSY36" s="6"/>
      <c r="PSZ36" s="6"/>
      <c r="PTA36" s="6"/>
      <c r="PTB36" s="6"/>
      <c r="PTC36" s="6"/>
      <c r="PTD36" s="6"/>
      <c r="PTE36" s="6"/>
      <c r="PTF36" s="6"/>
      <c r="PTG36" s="6"/>
      <c r="PTH36" s="6"/>
      <c r="PTI36" s="6"/>
      <c r="PTJ36" s="6"/>
      <c r="PTK36" s="6"/>
      <c r="PTL36" s="6"/>
      <c r="PTM36" s="6"/>
      <c r="PTN36" s="6"/>
      <c r="PTO36" s="6"/>
      <c r="PTP36" s="6"/>
      <c r="PTQ36" s="6"/>
      <c r="PTR36" s="6"/>
      <c r="PTS36" s="6"/>
      <c r="PTT36" s="6"/>
      <c r="PTU36" s="6"/>
      <c r="PTV36" s="6"/>
      <c r="PTW36" s="6"/>
      <c r="PTX36" s="6"/>
      <c r="PTY36" s="6"/>
      <c r="PTZ36" s="6"/>
      <c r="PUA36" s="6"/>
      <c r="PUB36" s="6"/>
      <c r="PUC36" s="6"/>
      <c r="PUD36" s="6"/>
      <c r="PUE36" s="6"/>
      <c r="PUF36" s="6"/>
      <c r="PUG36" s="6"/>
      <c r="PUH36" s="6"/>
      <c r="PUI36" s="6"/>
      <c r="PUJ36" s="6"/>
      <c r="PUK36" s="6"/>
      <c r="PUL36" s="6"/>
      <c r="PUM36" s="6"/>
      <c r="PUN36" s="6"/>
      <c r="PUO36" s="6"/>
      <c r="PUP36" s="6"/>
      <c r="PUQ36" s="6"/>
      <c r="PUR36" s="6"/>
      <c r="PUS36" s="6"/>
      <c r="PUT36" s="6"/>
      <c r="PUU36" s="6"/>
      <c r="PUV36" s="6"/>
      <c r="PUW36" s="6"/>
      <c r="PUX36" s="6"/>
      <c r="PUY36" s="6"/>
      <c r="PUZ36" s="6"/>
      <c r="PVA36" s="6"/>
      <c r="PVB36" s="6"/>
      <c r="PVC36" s="6"/>
      <c r="PVD36" s="6"/>
      <c r="PVE36" s="6"/>
      <c r="PVF36" s="6"/>
      <c r="PVG36" s="6"/>
      <c r="PVH36" s="6"/>
      <c r="PVI36" s="6"/>
      <c r="PVJ36" s="6"/>
      <c r="PVK36" s="6"/>
      <c r="PVL36" s="6"/>
      <c r="PVM36" s="6"/>
      <c r="PVN36" s="6"/>
      <c r="PVO36" s="6"/>
      <c r="PVP36" s="6"/>
      <c r="PVQ36" s="6"/>
      <c r="PVR36" s="6"/>
      <c r="PVS36" s="6"/>
      <c r="PVT36" s="6"/>
      <c r="PVU36" s="6"/>
      <c r="PVV36" s="6"/>
      <c r="PVW36" s="6"/>
      <c r="PVX36" s="6"/>
      <c r="PVY36" s="6"/>
      <c r="PVZ36" s="6"/>
      <c r="PWA36" s="6"/>
      <c r="PWB36" s="6"/>
      <c r="PWC36" s="6"/>
      <c r="PWD36" s="6"/>
      <c r="PWE36" s="6"/>
      <c r="PWF36" s="6"/>
      <c r="PWG36" s="6"/>
      <c r="PWH36" s="6"/>
      <c r="PWI36" s="6"/>
      <c r="PWJ36" s="6"/>
      <c r="PWK36" s="6"/>
      <c r="PWL36" s="6"/>
      <c r="PWM36" s="6"/>
      <c r="PWN36" s="6"/>
      <c r="PWO36" s="6"/>
      <c r="PWP36" s="6"/>
      <c r="PWQ36" s="6"/>
      <c r="PWR36" s="6"/>
      <c r="PWS36" s="6"/>
      <c r="PWT36" s="6"/>
      <c r="PWU36" s="6"/>
      <c r="PWV36" s="6"/>
      <c r="PWW36" s="6"/>
      <c r="PWX36" s="6"/>
      <c r="PWY36" s="6"/>
      <c r="PWZ36" s="6"/>
      <c r="PXA36" s="6"/>
      <c r="PXB36" s="6"/>
      <c r="PXC36" s="6"/>
      <c r="PXD36" s="6"/>
      <c r="PXE36" s="6"/>
      <c r="PXF36" s="6"/>
      <c r="PXG36" s="6"/>
      <c r="PXH36" s="6"/>
      <c r="PXI36" s="6"/>
      <c r="PXJ36" s="6"/>
      <c r="PXK36" s="6"/>
      <c r="PXL36" s="6"/>
      <c r="PXM36" s="6"/>
      <c r="PXN36" s="6"/>
      <c r="PXO36" s="6"/>
      <c r="PXP36" s="6"/>
      <c r="PXQ36" s="6"/>
      <c r="PXR36" s="6"/>
      <c r="PXS36" s="6"/>
      <c r="PXT36" s="6"/>
      <c r="PXU36" s="6"/>
      <c r="PXV36" s="6"/>
      <c r="PXW36" s="6"/>
      <c r="PXX36" s="6"/>
      <c r="PXY36" s="6"/>
      <c r="PXZ36" s="6"/>
      <c r="PYA36" s="6"/>
      <c r="PYB36" s="6"/>
      <c r="PYC36" s="6"/>
      <c r="PYD36" s="6"/>
      <c r="PYE36" s="6"/>
      <c r="PYF36" s="6"/>
      <c r="PYG36" s="6"/>
      <c r="PYH36" s="6"/>
      <c r="PYI36" s="6"/>
      <c r="PYJ36" s="6"/>
      <c r="PYK36" s="6"/>
      <c r="PYL36" s="6"/>
      <c r="PYM36" s="6"/>
      <c r="PYN36" s="6"/>
      <c r="PYO36" s="6"/>
      <c r="PYP36" s="6"/>
      <c r="PYQ36" s="6"/>
      <c r="PYR36" s="6"/>
      <c r="PYS36" s="6"/>
      <c r="PYT36" s="6"/>
      <c r="PYU36" s="6"/>
      <c r="PYV36" s="6"/>
      <c r="PYW36" s="6"/>
      <c r="PYX36" s="6"/>
      <c r="PYY36" s="6"/>
      <c r="PYZ36" s="6"/>
      <c r="PZA36" s="6"/>
      <c r="PZB36" s="6"/>
      <c r="PZC36" s="6"/>
      <c r="PZD36" s="6"/>
      <c r="PZE36" s="6"/>
      <c r="PZF36" s="6"/>
      <c r="PZG36" s="6"/>
      <c r="PZH36" s="6"/>
      <c r="PZI36" s="6"/>
      <c r="PZJ36" s="6"/>
      <c r="PZK36" s="6"/>
      <c r="PZL36" s="6"/>
      <c r="PZM36" s="6"/>
      <c r="PZN36" s="6"/>
      <c r="PZO36" s="6"/>
      <c r="PZP36" s="6"/>
      <c r="PZQ36" s="6"/>
      <c r="PZR36" s="6"/>
      <c r="PZS36" s="6"/>
      <c r="PZT36" s="6"/>
      <c r="PZU36" s="6"/>
      <c r="PZV36" s="6"/>
      <c r="PZW36" s="6"/>
      <c r="PZX36" s="6"/>
      <c r="PZY36" s="6"/>
      <c r="PZZ36" s="6"/>
      <c r="QAA36" s="6"/>
      <c r="QAB36" s="6"/>
      <c r="QAC36" s="6"/>
      <c r="QAD36" s="6"/>
      <c r="QAE36" s="6"/>
      <c r="QAF36" s="6"/>
      <c r="QAG36" s="6"/>
      <c r="QAH36" s="6"/>
      <c r="QAI36" s="6"/>
      <c r="QAJ36" s="6"/>
      <c r="QAK36" s="6"/>
      <c r="QAL36" s="6"/>
      <c r="QAM36" s="6"/>
      <c r="QAN36" s="6"/>
      <c r="QAO36" s="6"/>
      <c r="QAP36" s="6"/>
      <c r="QAQ36" s="6"/>
      <c r="QAR36" s="6"/>
      <c r="QAS36" s="6"/>
      <c r="QAT36" s="6"/>
      <c r="QAU36" s="6"/>
      <c r="QAV36" s="6"/>
      <c r="QAW36" s="6"/>
      <c r="QAX36" s="6"/>
      <c r="QAY36" s="6"/>
      <c r="QAZ36" s="6"/>
      <c r="QBA36" s="6"/>
      <c r="QBB36" s="6"/>
      <c r="QBC36" s="6"/>
      <c r="QBD36" s="6"/>
      <c r="QBE36" s="6"/>
      <c r="QBF36" s="6"/>
      <c r="QBG36" s="6"/>
      <c r="QBH36" s="6"/>
      <c r="QBI36" s="6"/>
      <c r="QBJ36" s="6"/>
      <c r="QBK36" s="6"/>
      <c r="QBL36" s="6"/>
      <c r="QBM36" s="6"/>
      <c r="QBN36" s="6"/>
      <c r="QBO36" s="6"/>
      <c r="QBP36" s="6"/>
      <c r="QBQ36" s="6"/>
      <c r="QBR36" s="6"/>
      <c r="QBS36" s="6"/>
      <c r="QBT36" s="6"/>
      <c r="QBU36" s="6"/>
      <c r="QBV36" s="6"/>
      <c r="QBW36" s="6"/>
      <c r="QBX36" s="6"/>
      <c r="QBY36" s="6"/>
      <c r="QBZ36" s="6"/>
      <c r="QCA36" s="6"/>
      <c r="QCB36" s="6"/>
      <c r="QCC36" s="6"/>
      <c r="QCD36" s="6"/>
      <c r="QCE36" s="6"/>
      <c r="QCF36" s="6"/>
      <c r="QCG36" s="6"/>
      <c r="QCH36" s="6"/>
      <c r="QCI36" s="6"/>
      <c r="QCJ36" s="6"/>
      <c r="QCK36" s="6"/>
      <c r="QCL36" s="6"/>
      <c r="QCM36" s="6"/>
      <c r="QCN36" s="6"/>
      <c r="QCO36" s="6"/>
      <c r="QCP36" s="6"/>
      <c r="QCQ36" s="6"/>
      <c r="QCR36" s="6"/>
      <c r="QCS36" s="6"/>
      <c r="QCT36" s="6"/>
      <c r="QCU36" s="6"/>
      <c r="QCV36" s="6"/>
      <c r="QCW36" s="6"/>
      <c r="QCX36" s="6"/>
      <c r="QCY36" s="6"/>
      <c r="QCZ36" s="6"/>
      <c r="QDA36" s="6"/>
      <c r="QDB36" s="6"/>
      <c r="QDC36" s="6"/>
      <c r="QDD36" s="6"/>
      <c r="QDE36" s="6"/>
      <c r="QDF36" s="6"/>
      <c r="QDG36" s="6"/>
      <c r="QDH36" s="6"/>
      <c r="QDI36" s="6"/>
      <c r="QDJ36" s="6"/>
      <c r="QDK36" s="6"/>
      <c r="QDL36" s="6"/>
      <c r="QDM36" s="6"/>
      <c r="QDN36" s="6"/>
      <c r="QDO36" s="6"/>
      <c r="QDP36" s="6"/>
      <c r="QDQ36" s="6"/>
      <c r="QDR36" s="6"/>
      <c r="QDS36" s="6"/>
      <c r="QDT36" s="6"/>
      <c r="QDU36" s="6"/>
      <c r="QDV36" s="6"/>
      <c r="QDW36" s="6"/>
      <c r="QDX36" s="6"/>
      <c r="QDY36" s="6"/>
      <c r="QDZ36" s="6"/>
      <c r="QEA36" s="6"/>
      <c r="QEB36" s="6"/>
      <c r="QEC36" s="6"/>
      <c r="QED36" s="6"/>
      <c r="QEE36" s="6"/>
      <c r="QEF36" s="6"/>
      <c r="QEG36" s="6"/>
      <c r="QEH36" s="6"/>
      <c r="QEI36" s="6"/>
      <c r="QEJ36" s="6"/>
      <c r="QEK36" s="6"/>
      <c r="QEL36" s="6"/>
      <c r="QEM36" s="6"/>
      <c r="QEN36" s="6"/>
      <c r="QEO36" s="6"/>
      <c r="QEP36" s="6"/>
      <c r="QEQ36" s="6"/>
      <c r="QER36" s="6"/>
      <c r="QES36" s="6"/>
      <c r="QET36" s="6"/>
      <c r="QEU36" s="6"/>
      <c r="QEV36" s="6"/>
      <c r="QEW36" s="6"/>
      <c r="QEX36" s="6"/>
      <c r="QEY36" s="6"/>
      <c r="QEZ36" s="6"/>
      <c r="QFA36" s="6"/>
      <c r="QFB36" s="6"/>
      <c r="QFC36" s="6"/>
      <c r="QFD36" s="6"/>
      <c r="QFE36" s="6"/>
      <c r="QFF36" s="6"/>
      <c r="QFG36" s="6"/>
      <c r="QFH36" s="6"/>
      <c r="QFI36" s="6"/>
      <c r="QFJ36" s="6"/>
      <c r="QFK36" s="6"/>
      <c r="QFL36" s="6"/>
      <c r="QFM36" s="6"/>
      <c r="QFN36" s="6"/>
      <c r="QFO36" s="6"/>
      <c r="QFP36" s="6"/>
      <c r="QFQ36" s="6"/>
      <c r="QFR36" s="6"/>
      <c r="QFS36" s="6"/>
      <c r="QFT36" s="6"/>
      <c r="QFU36" s="6"/>
      <c r="QFV36" s="6"/>
      <c r="QFW36" s="6"/>
      <c r="QFX36" s="6"/>
      <c r="QFY36" s="6"/>
      <c r="QFZ36" s="6"/>
      <c r="QGA36" s="6"/>
      <c r="QGB36" s="6"/>
      <c r="QGC36" s="6"/>
      <c r="QGD36" s="6"/>
      <c r="QGE36" s="6"/>
      <c r="QGF36" s="6"/>
      <c r="QGG36" s="6"/>
      <c r="QGH36" s="6"/>
      <c r="QGI36" s="6"/>
      <c r="QGJ36" s="6"/>
      <c r="QGK36" s="6"/>
      <c r="QGL36" s="6"/>
      <c r="QGM36" s="6"/>
      <c r="QGN36" s="6"/>
      <c r="QGO36" s="6"/>
      <c r="QGP36" s="6"/>
      <c r="QGQ36" s="6"/>
      <c r="QGR36" s="6"/>
      <c r="QGS36" s="6"/>
      <c r="QGT36" s="6"/>
      <c r="QGU36" s="6"/>
      <c r="QGV36" s="6"/>
      <c r="QGW36" s="6"/>
      <c r="QGX36" s="6"/>
      <c r="QGY36" s="6"/>
      <c r="QGZ36" s="6"/>
      <c r="QHA36" s="6"/>
      <c r="QHB36" s="6"/>
      <c r="QHC36" s="6"/>
      <c r="QHD36" s="6"/>
      <c r="QHE36" s="6"/>
      <c r="QHF36" s="6"/>
      <c r="QHG36" s="6"/>
      <c r="QHH36" s="6"/>
      <c r="QHI36" s="6"/>
      <c r="QHJ36" s="6"/>
      <c r="QHK36" s="6"/>
      <c r="QHL36" s="6"/>
      <c r="QHM36" s="6"/>
      <c r="QHN36" s="6"/>
      <c r="QHO36" s="6"/>
      <c r="QHP36" s="6"/>
      <c r="QHQ36" s="6"/>
      <c r="QHR36" s="6"/>
      <c r="QHS36" s="6"/>
      <c r="QHT36" s="6"/>
      <c r="QHU36" s="6"/>
      <c r="QHV36" s="6"/>
      <c r="QHW36" s="6"/>
      <c r="QHX36" s="6"/>
      <c r="QHY36" s="6"/>
      <c r="QHZ36" s="6"/>
      <c r="QIA36" s="6"/>
      <c r="QIB36" s="6"/>
      <c r="QIC36" s="6"/>
      <c r="QID36" s="6"/>
      <c r="QIE36" s="6"/>
      <c r="QIF36" s="6"/>
      <c r="QIG36" s="6"/>
      <c r="QIH36" s="6"/>
      <c r="QII36" s="6"/>
      <c r="QIJ36" s="6"/>
      <c r="QIK36" s="6"/>
      <c r="QIL36" s="6"/>
      <c r="QIM36" s="6"/>
      <c r="QIN36" s="6"/>
      <c r="QIO36" s="6"/>
      <c r="QIP36" s="6"/>
      <c r="QIQ36" s="6"/>
      <c r="QIR36" s="6"/>
      <c r="QIS36" s="6"/>
      <c r="QIT36" s="6"/>
      <c r="QIU36" s="6"/>
      <c r="QIV36" s="6"/>
      <c r="QIW36" s="6"/>
      <c r="QIX36" s="6"/>
      <c r="QIY36" s="6"/>
      <c r="QIZ36" s="6"/>
      <c r="QJA36" s="6"/>
      <c r="QJB36" s="6"/>
      <c r="QJC36" s="6"/>
      <c r="QJD36" s="6"/>
      <c r="QJE36" s="6"/>
      <c r="QJF36" s="6"/>
      <c r="QJG36" s="6"/>
      <c r="QJH36" s="6"/>
      <c r="QJI36" s="6"/>
      <c r="QJJ36" s="6"/>
      <c r="QJK36" s="6"/>
      <c r="QJL36" s="6"/>
      <c r="QJM36" s="6"/>
      <c r="QJN36" s="6"/>
      <c r="QJO36" s="6"/>
      <c r="QJP36" s="6"/>
      <c r="QJQ36" s="6"/>
      <c r="QJR36" s="6"/>
      <c r="QJS36" s="6"/>
      <c r="QJT36" s="6"/>
      <c r="QJU36" s="6"/>
      <c r="QJV36" s="6"/>
      <c r="QJW36" s="6"/>
      <c r="QJX36" s="6"/>
      <c r="QJY36" s="6"/>
      <c r="QJZ36" s="6"/>
      <c r="QKA36" s="6"/>
      <c r="QKB36" s="6"/>
      <c r="QKC36" s="6"/>
      <c r="QKD36" s="6"/>
      <c r="QKE36" s="6"/>
      <c r="QKF36" s="6"/>
      <c r="QKG36" s="6"/>
      <c r="QKH36" s="6"/>
      <c r="QKI36" s="6"/>
      <c r="QKJ36" s="6"/>
      <c r="QKK36" s="6"/>
      <c r="QKL36" s="6"/>
      <c r="QKM36" s="6"/>
      <c r="QKN36" s="6"/>
      <c r="QKO36" s="6"/>
      <c r="QKP36" s="6"/>
      <c r="QKQ36" s="6"/>
      <c r="QKR36" s="6"/>
      <c r="QKS36" s="6"/>
      <c r="QKT36" s="6"/>
      <c r="QKU36" s="6"/>
      <c r="QKV36" s="6"/>
      <c r="QKW36" s="6"/>
      <c r="QKX36" s="6"/>
      <c r="QKY36" s="6"/>
      <c r="QKZ36" s="6"/>
      <c r="QLA36" s="6"/>
      <c r="QLB36" s="6"/>
      <c r="QLC36" s="6"/>
      <c r="QLD36" s="6"/>
      <c r="QLE36" s="6"/>
      <c r="QLF36" s="6"/>
      <c r="QLG36" s="6"/>
      <c r="QLH36" s="6"/>
      <c r="QLI36" s="6"/>
      <c r="QLJ36" s="6"/>
      <c r="QLK36" s="6"/>
      <c r="QLL36" s="6"/>
      <c r="QLM36" s="6"/>
      <c r="QLN36" s="6"/>
      <c r="QLO36" s="6"/>
      <c r="QLP36" s="6"/>
      <c r="QLQ36" s="6"/>
      <c r="QLR36" s="6"/>
      <c r="QLS36" s="6"/>
      <c r="QLT36" s="6"/>
      <c r="QLU36" s="6"/>
      <c r="QLV36" s="6"/>
      <c r="QLW36" s="6"/>
      <c r="QLX36" s="6"/>
      <c r="QLY36" s="6"/>
      <c r="QLZ36" s="6"/>
      <c r="QMA36" s="6"/>
      <c r="QMB36" s="6"/>
      <c r="QMC36" s="6"/>
      <c r="QMD36" s="6"/>
      <c r="QME36" s="6"/>
      <c r="QMF36" s="6"/>
      <c r="QMG36" s="6"/>
      <c r="QMH36" s="6"/>
      <c r="QMI36" s="6"/>
      <c r="QMJ36" s="6"/>
      <c r="QMK36" s="6"/>
      <c r="QML36" s="6"/>
      <c r="QMM36" s="6"/>
      <c r="QMN36" s="6"/>
      <c r="QMO36" s="6"/>
      <c r="QMP36" s="6"/>
      <c r="QMQ36" s="6"/>
      <c r="QMR36" s="6"/>
      <c r="QMS36" s="6"/>
      <c r="QMT36" s="6"/>
      <c r="QMU36" s="6"/>
      <c r="QMV36" s="6"/>
      <c r="QMW36" s="6"/>
      <c r="QMX36" s="6"/>
      <c r="QMY36" s="6"/>
      <c r="QMZ36" s="6"/>
      <c r="QNA36" s="6"/>
      <c r="QNB36" s="6"/>
      <c r="QNC36" s="6"/>
      <c r="QND36" s="6"/>
      <c r="QNE36" s="6"/>
      <c r="QNF36" s="6"/>
      <c r="QNG36" s="6"/>
      <c r="QNH36" s="6"/>
      <c r="QNI36" s="6"/>
      <c r="QNJ36" s="6"/>
      <c r="QNK36" s="6"/>
      <c r="QNL36" s="6"/>
      <c r="QNM36" s="6"/>
      <c r="QNN36" s="6"/>
      <c r="QNO36" s="6"/>
      <c r="QNP36" s="6"/>
      <c r="QNQ36" s="6"/>
      <c r="QNR36" s="6"/>
      <c r="QNS36" s="6"/>
      <c r="QNT36" s="6"/>
      <c r="QNU36" s="6"/>
      <c r="QNV36" s="6"/>
      <c r="QNW36" s="6"/>
      <c r="QNX36" s="6"/>
      <c r="QNY36" s="6"/>
      <c r="QNZ36" s="6"/>
      <c r="QOA36" s="6"/>
      <c r="QOB36" s="6"/>
      <c r="QOC36" s="6"/>
      <c r="QOD36" s="6"/>
      <c r="QOE36" s="6"/>
      <c r="QOF36" s="6"/>
      <c r="QOG36" s="6"/>
      <c r="QOH36" s="6"/>
      <c r="QOI36" s="6"/>
      <c r="QOJ36" s="6"/>
      <c r="QOK36" s="6"/>
      <c r="QOL36" s="6"/>
      <c r="QOM36" s="6"/>
      <c r="QON36" s="6"/>
      <c r="QOO36" s="6"/>
      <c r="QOP36" s="6"/>
      <c r="QOQ36" s="6"/>
      <c r="QOR36" s="6"/>
      <c r="QOS36" s="6"/>
      <c r="QOT36" s="6"/>
      <c r="QOU36" s="6"/>
      <c r="QOV36" s="6"/>
      <c r="QOW36" s="6"/>
      <c r="QOX36" s="6"/>
      <c r="QOY36" s="6"/>
      <c r="QOZ36" s="6"/>
      <c r="QPA36" s="6"/>
      <c r="QPB36" s="6"/>
      <c r="QPC36" s="6"/>
      <c r="QPD36" s="6"/>
      <c r="QPE36" s="6"/>
      <c r="QPF36" s="6"/>
      <c r="QPG36" s="6"/>
      <c r="QPH36" s="6"/>
      <c r="QPI36" s="6"/>
      <c r="QPJ36" s="6"/>
      <c r="QPK36" s="6"/>
      <c r="QPL36" s="6"/>
      <c r="QPM36" s="6"/>
      <c r="QPN36" s="6"/>
      <c r="QPO36" s="6"/>
      <c r="QPP36" s="6"/>
      <c r="QPQ36" s="6"/>
      <c r="QPR36" s="6"/>
      <c r="QPS36" s="6"/>
      <c r="QPT36" s="6"/>
      <c r="QPU36" s="6"/>
      <c r="QPV36" s="6"/>
      <c r="QPW36" s="6"/>
      <c r="QPX36" s="6"/>
      <c r="QPY36" s="6"/>
      <c r="QPZ36" s="6"/>
      <c r="QQA36" s="6"/>
      <c r="QQB36" s="6"/>
      <c r="QQC36" s="6"/>
      <c r="QQD36" s="6"/>
      <c r="QQE36" s="6"/>
      <c r="QQF36" s="6"/>
      <c r="QQG36" s="6"/>
      <c r="QQH36" s="6"/>
      <c r="QQI36" s="6"/>
      <c r="QQJ36" s="6"/>
      <c r="QQK36" s="6"/>
      <c r="QQL36" s="6"/>
      <c r="QQM36" s="6"/>
      <c r="QQN36" s="6"/>
      <c r="QQO36" s="6"/>
      <c r="QQP36" s="6"/>
      <c r="QQQ36" s="6"/>
      <c r="QQR36" s="6"/>
      <c r="QQS36" s="6"/>
      <c r="QQT36" s="6"/>
      <c r="QQU36" s="6"/>
      <c r="QQV36" s="6"/>
      <c r="QQW36" s="6"/>
      <c r="QQX36" s="6"/>
      <c r="QQY36" s="6"/>
      <c r="QQZ36" s="6"/>
      <c r="QRA36" s="6"/>
      <c r="QRB36" s="6"/>
      <c r="QRC36" s="6"/>
      <c r="QRD36" s="6"/>
      <c r="QRE36" s="6"/>
      <c r="QRF36" s="6"/>
      <c r="QRG36" s="6"/>
      <c r="QRH36" s="6"/>
      <c r="QRI36" s="6"/>
      <c r="QRJ36" s="6"/>
      <c r="QRK36" s="6"/>
      <c r="QRL36" s="6"/>
      <c r="QRM36" s="6"/>
      <c r="QRN36" s="6"/>
      <c r="QRO36" s="6"/>
      <c r="QRP36" s="6"/>
      <c r="QRQ36" s="6"/>
      <c r="QRR36" s="6"/>
      <c r="QRS36" s="6"/>
      <c r="QRT36" s="6"/>
      <c r="QRU36" s="6"/>
      <c r="QRV36" s="6"/>
      <c r="QRW36" s="6"/>
      <c r="QRX36" s="6"/>
      <c r="QRY36" s="6"/>
      <c r="QRZ36" s="6"/>
      <c r="QSA36" s="6"/>
      <c r="QSB36" s="6"/>
      <c r="QSC36" s="6"/>
      <c r="QSD36" s="6"/>
      <c r="QSE36" s="6"/>
      <c r="QSF36" s="6"/>
      <c r="QSG36" s="6"/>
      <c r="QSH36" s="6"/>
      <c r="QSI36" s="6"/>
      <c r="QSJ36" s="6"/>
      <c r="QSK36" s="6"/>
      <c r="QSL36" s="6"/>
      <c r="QSM36" s="6"/>
      <c r="QSN36" s="6"/>
      <c r="QSO36" s="6"/>
      <c r="QSP36" s="6"/>
      <c r="QSQ36" s="6"/>
      <c r="QSR36" s="6"/>
      <c r="QSS36" s="6"/>
      <c r="QST36" s="6"/>
      <c r="QSU36" s="6"/>
      <c r="QSV36" s="6"/>
      <c r="QSW36" s="6"/>
      <c r="QSX36" s="6"/>
      <c r="QSY36" s="6"/>
      <c r="QSZ36" s="6"/>
      <c r="QTA36" s="6"/>
      <c r="QTB36" s="6"/>
      <c r="QTC36" s="6"/>
      <c r="QTD36" s="6"/>
      <c r="QTE36" s="6"/>
      <c r="QTF36" s="6"/>
      <c r="QTG36" s="6"/>
      <c r="QTH36" s="6"/>
      <c r="QTI36" s="6"/>
      <c r="QTJ36" s="6"/>
      <c r="QTK36" s="6"/>
      <c r="QTL36" s="6"/>
      <c r="QTM36" s="6"/>
      <c r="QTN36" s="6"/>
      <c r="QTO36" s="6"/>
      <c r="QTP36" s="6"/>
      <c r="QTQ36" s="6"/>
      <c r="QTR36" s="6"/>
      <c r="QTS36" s="6"/>
      <c r="QTT36" s="6"/>
      <c r="QTU36" s="6"/>
      <c r="QTV36" s="6"/>
      <c r="QTW36" s="6"/>
      <c r="QTX36" s="6"/>
      <c r="QTY36" s="6"/>
      <c r="QTZ36" s="6"/>
      <c r="QUA36" s="6"/>
      <c r="QUB36" s="6"/>
      <c r="QUC36" s="6"/>
      <c r="QUD36" s="6"/>
      <c r="QUE36" s="6"/>
      <c r="QUF36" s="6"/>
      <c r="QUG36" s="6"/>
      <c r="QUH36" s="6"/>
      <c r="QUI36" s="6"/>
      <c r="QUJ36" s="6"/>
      <c r="QUK36" s="6"/>
      <c r="QUL36" s="6"/>
      <c r="QUM36" s="6"/>
      <c r="QUN36" s="6"/>
      <c r="QUO36" s="6"/>
      <c r="QUP36" s="6"/>
      <c r="QUQ36" s="6"/>
      <c r="QUR36" s="6"/>
      <c r="QUS36" s="6"/>
      <c r="QUT36" s="6"/>
      <c r="QUU36" s="6"/>
      <c r="QUV36" s="6"/>
      <c r="QUW36" s="6"/>
      <c r="QUX36" s="6"/>
      <c r="QUY36" s="6"/>
      <c r="QUZ36" s="6"/>
      <c r="QVA36" s="6"/>
      <c r="QVB36" s="6"/>
      <c r="QVC36" s="6"/>
      <c r="QVD36" s="6"/>
      <c r="QVE36" s="6"/>
      <c r="QVF36" s="6"/>
      <c r="QVG36" s="6"/>
      <c r="QVH36" s="6"/>
      <c r="QVI36" s="6"/>
      <c r="QVJ36" s="6"/>
      <c r="QVK36" s="6"/>
      <c r="QVL36" s="6"/>
      <c r="QVM36" s="6"/>
      <c r="QVN36" s="6"/>
      <c r="QVO36" s="6"/>
      <c r="QVP36" s="6"/>
      <c r="QVQ36" s="6"/>
      <c r="QVR36" s="6"/>
      <c r="QVS36" s="6"/>
      <c r="QVT36" s="6"/>
      <c r="QVU36" s="6"/>
      <c r="QVV36" s="6"/>
      <c r="QVW36" s="6"/>
      <c r="QVX36" s="6"/>
      <c r="QVY36" s="6"/>
      <c r="QVZ36" s="6"/>
      <c r="QWA36" s="6"/>
      <c r="QWB36" s="6"/>
      <c r="QWC36" s="6"/>
      <c r="QWD36" s="6"/>
      <c r="QWE36" s="6"/>
      <c r="QWF36" s="6"/>
      <c r="QWG36" s="6"/>
      <c r="QWH36" s="6"/>
      <c r="QWI36" s="6"/>
      <c r="QWJ36" s="6"/>
      <c r="QWK36" s="6"/>
      <c r="QWL36" s="6"/>
      <c r="QWM36" s="6"/>
      <c r="QWN36" s="6"/>
      <c r="QWO36" s="6"/>
      <c r="QWP36" s="6"/>
      <c r="QWQ36" s="6"/>
      <c r="QWR36" s="6"/>
      <c r="QWS36" s="6"/>
      <c r="QWT36" s="6"/>
      <c r="QWU36" s="6"/>
      <c r="QWV36" s="6"/>
      <c r="QWW36" s="6"/>
      <c r="QWX36" s="6"/>
      <c r="QWY36" s="6"/>
      <c r="QWZ36" s="6"/>
      <c r="QXA36" s="6"/>
      <c r="QXB36" s="6"/>
      <c r="QXC36" s="6"/>
      <c r="QXD36" s="6"/>
      <c r="QXE36" s="6"/>
      <c r="QXF36" s="6"/>
      <c r="QXG36" s="6"/>
      <c r="QXH36" s="6"/>
      <c r="QXI36" s="6"/>
      <c r="QXJ36" s="6"/>
      <c r="QXK36" s="6"/>
      <c r="QXL36" s="6"/>
      <c r="QXM36" s="6"/>
      <c r="QXN36" s="6"/>
      <c r="QXO36" s="6"/>
      <c r="QXP36" s="6"/>
      <c r="QXQ36" s="6"/>
      <c r="QXR36" s="6"/>
      <c r="QXS36" s="6"/>
      <c r="QXT36" s="6"/>
      <c r="QXU36" s="6"/>
      <c r="QXV36" s="6"/>
      <c r="QXW36" s="6"/>
      <c r="QXX36" s="6"/>
      <c r="QXY36" s="6"/>
      <c r="QXZ36" s="6"/>
      <c r="QYA36" s="6"/>
      <c r="QYB36" s="6"/>
      <c r="QYC36" s="6"/>
      <c r="QYD36" s="6"/>
      <c r="QYE36" s="6"/>
      <c r="QYF36" s="6"/>
      <c r="QYG36" s="6"/>
      <c r="QYH36" s="6"/>
      <c r="QYI36" s="6"/>
      <c r="QYJ36" s="6"/>
      <c r="QYK36" s="6"/>
      <c r="QYL36" s="6"/>
      <c r="QYM36" s="6"/>
      <c r="QYN36" s="6"/>
      <c r="QYO36" s="6"/>
      <c r="QYP36" s="6"/>
      <c r="QYQ36" s="6"/>
      <c r="QYR36" s="6"/>
      <c r="QYS36" s="6"/>
      <c r="QYT36" s="6"/>
      <c r="QYU36" s="6"/>
      <c r="QYV36" s="6"/>
      <c r="QYW36" s="6"/>
      <c r="QYX36" s="6"/>
      <c r="QYY36" s="6"/>
      <c r="QYZ36" s="6"/>
      <c r="QZA36" s="6"/>
      <c r="QZB36" s="6"/>
      <c r="QZC36" s="6"/>
      <c r="QZD36" s="6"/>
      <c r="QZE36" s="6"/>
      <c r="QZF36" s="6"/>
      <c r="QZG36" s="6"/>
      <c r="QZH36" s="6"/>
      <c r="QZI36" s="6"/>
      <c r="QZJ36" s="6"/>
      <c r="QZK36" s="6"/>
      <c r="QZL36" s="6"/>
      <c r="QZM36" s="6"/>
      <c r="QZN36" s="6"/>
      <c r="QZO36" s="6"/>
      <c r="QZP36" s="6"/>
      <c r="QZQ36" s="6"/>
      <c r="QZR36" s="6"/>
      <c r="QZS36" s="6"/>
      <c r="QZT36" s="6"/>
      <c r="QZU36" s="6"/>
      <c r="QZV36" s="6"/>
      <c r="QZW36" s="6"/>
      <c r="QZX36" s="6"/>
      <c r="QZY36" s="6"/>
      <c r="QZZ36" s="6"/>
      <c r="RAA36" s="6"/>
      <c r="RAB36" s="6"/>
      <c r="RAC36" s="6"/>
      <c r="RAD36" s="6"/>
      <c r="RAE36" s="6"/>
      <c r="RAF36" s="6"/>
      <c r="RAG36" s="6"/>
      <c r="RAH36" s="6"/>
      <c r="RAI36" s="6"/>
      <c r="RAJ36" s="6"/>
      <c r="RAK36" s="6"/>
      <c r="RAL36" s="6"/>
      <c r="RAM36" s="6"/>
      <c r="RAN36" s="6"/>
      <c r="RAO36" s="6"/>
      <c r="RAP36" s="6"/>
      <c r="RAQ36" s="6"/>
      <c r="RAR36" s="6"/>
      <c r="RAS36" s="6"/>
      <c r="RAT36" s="6"/>
      <c r="RAU36" s="6"/>
      <c r="RAV36" s="6"/>
      <c r="RAW36" s="6"/>
      <c r="RAX36" s="6"/>
      <c r="RAY36" s="6"/>
      <c r="RAZ36" s="6"/>
      <c r="RBA36" s="6"/>
      <c r="RBB36" s="6"/>
      <c r="RBC36" s="6"/>
      <c r="RBD36" s="6"/>
      <c r="RBE36" s="6"/>
      <c r="RBF36" s="6"/>
      <c r="RBG36" s="6"/>
      <c r="RBH36" s="6"/>
      <c r="RBI36" s="6"/>
      <c r="RBJ36" s="6"/>
      <c r="RBK36" s="6"/>
      <c r="RBL36" s="6"/>
      <c r="RBM36" s="6"/>
      <c r="RBN36" s="6"/>
      <c r="RBO36" s="6"/>
      <c r="RBP36" s="6"/>
      <c r="RBQ36" s="6"/>
      <c r="RBR36" s="6"/>
      <c r="RBS36" s="6"/>
      <c r="RBT36" s="6"/>
      <c r="RBU36" s="6"/>
      <c r="RBV36" s="6"/>
      <c r="RBW36" s="6"/>
      <c r="RBX36" s="6"/>
      <c r="RBY36" s="6"/>
      <c r="RBZ36" s="6"/>
      <c r="RCA36" s="6"/>
      <c r="RCB36" s="6"/>
      <c r="RCC36" s="6"/>
      <c r="RCD36" s="6"/>
      <c r="RCE36" s="6"/>
      <c r="RCF36" s="6"/>
      <c r="RCG36" s="6"/>
      <c r="RCH36" s="6"/>
      <c r="RCI36" s="6"/>
      <c r="RCJ36" s="6"/>
      <c r="RCK36" s="6"/>
      <c r="RCL36" s="6"/>
      <c r="RCM36" s="6"/>
      <c r="RCN36" s="6"/>
      <c r="RCO36" s="6"/>
      <c r="RCP36" s="6"/>
      <c r="RCQ36" s="6"/>
      <c r="RCR36" s="6"/>
      <c r="RCS36" s="6"/>
      <c r="RCT36" s="6"/>
      <c r="RCU36" s="6"/>
      <c r="RCV36" s="6"/>
      <c r="RCW36" s="6"/>
      <c r="RCX36" s="6"/>
      <c r="RCY36" s="6"/>
      <c r="RCZ36" s="6"/>
      <c r="RDA36" s="6"/>
      <c r="RDB36" s="6"/>
      <c r="RDC36" s="6"/>
      <c r="RDD36" s="6"/>
      <c r="RDE36" s="6"/>
      <c r="RDF36" s="6"/>
      <c r="RDG36" s="6"/>
      <c r="RDH36" s="6"/>
      <c r="RDI36" s="6"/>
      <c r="RDJ36" s="6"/>
      <c r="RDK36" s="6"/>
      <c r="RDL36" s="6"/>
      <c r="RDM36" s="6"/>
      <c r="RDN36" s="6"/>
      <c r="RDO36" s="6"/>
      <c r="RDP36" s="6"/>
      <c r="RDQ36" s="6"/>
      <c r="RDR36" s="6"/>
      <c r="RDS36" s="6"/>
      <c r="RDT36" s="6"/>
      <c r="RDU36" s="6"/>
      <c r="RDV36" s="6"/>
      <c r="RDW36" s="6"/>
      <c r="RDX36" s="6"/>
      <c r="RDY36" s="6"/>
      <c r="RDZ36" s="6"/>
      <c r="REA36" s="6"/>
      <c r="REB36" s="6"/>
      <c r="REC36" s="6"/>
      <c r="RED36" s="6"/>
      <c r="REE36" s="6"/>
      <c r="REF36" s="6"/>
      <c r="REG36" s="6"/>
      <c r="REH36" s="6"/>
      <c r="REI36" s="6"/>
      <c r="REJ36" s="6"/>
      <c r="REK36" s="6"/>
      <c r="REL36" s="6"/>
      <c r="REM36" s="6"/>
      <c r="REN36" s="6"/>
      <c r="REO36" s="6"/>
      <c r="REP36" s="6"/>
      <c r="REQ36" s="6"/>
      <c r="RER36" s="6"/>
      <c r="RES36" s="6"/>
      <c r="RET36" s="6"/>
      <c r="REU36" s="6"/>
      <c r="REV36" s="6"/>
      <c r="REW36" s="6"/>
      <c r="REX36" s="6"/>
      <c r="REY36" s="6"/>
      <c r="REZ36" s="6"/>
      <c r="RFA36" s="6"/>
      <c r="RFB36" s="6"/>
      <c r="RFC36" s="6"/>
      <c r="RFD36" s="6"/>
      <c r="RFE36" s="6"/>
      <c r="RFF36" s="6"/>
      <c r="RFG36" s="6"/>
      <c r="RFH36" s="6"/>
      <c r="RFI36" s="6"/>
      <c r="RFJ36" s="6"/>
      <c r="RFK36" s="6"/>
      <c r="RFL36" s="6"/>
      <c r="RFM36" s="6"/>
      <c r="RFN36" s="6"/>
      <c r="RFO36" s="6"/>
      <c r="RFP36" s="6"/>
      <c r="RFQ36" s="6"/>
      <c r="RFR36" s="6"/>
      <c r="RFS36" s="6"/>
      <c r="RFT36" s="6"/>
      <c r="RFU36" s="6"/>
      <c r="RFV36" s="6"/>
      <c r="RFW36" s="6"/>
      <c r="RFX36" s="6"/>
      <c r="RFY36" s="6"/>
      <c r="RFZ36" s="6"/>
      <c r="RGA36" s="6"/>
      <c r="RGB36" s="6"/>
      <c r="RGC36" s="6"/>
      <c r="RGD36" s="6"/>
      <c r="RGE36" s="6"/>
      <c r="RGF36" s="6"/>
      <c r="RGG36" s="6"/>
      <c r="RGH36" s="6"/>
      <c r="RGI36" s="6"/>
      <c r="RGJ36" s="6"/>
      <c r="RGK36" s="6"/>
      <c r="RGL36" s="6"/>
      <c r="RGM36" s="6"/>
      <c r="RGN36" s="6"/>
      <c r="RGO36" s="6"/>
      <c r="RGP36" s="6"/>
      <c r="RGQ36" s="6"/>
      <c r="RGR36" s="6"/>
      <c r="RGS36" s="6"/>
      <c r="RGT36" s="6"/>
      <c r="RGU36" s="6"/>
      <c r="RGV36" s="6"/>
      <c r="RGW36" s="6"/>
      <c r="RGX36" s="6"/>
      <c r="RGY36" s="6"/>
      <c r="RGZ36" s="6"/>
      <c r="RHA36" s="6"/>
      <c r="RHB36" s="6"/>
      <c r="RHC36" s="6"/>
      <c r="RHD36" s="6"/>
      <c r="RHE36" s="6"/>
      <c r="RHF36" s="6"/>
      <c r="RHG36" s="6"/>
      <c r="RHH36" s="6"/>
      <c r="RHI36" s="6"/>
      <c r="RHJ36" s="6"/>
      <c r="RHK36" s="6"/>
      <c r="RHL36" s="6"/>
      <c r="RHM36" s="6"/>
      <c r="RHN36" s="6"/>
      <c r="RHO36" s="6"/>
      <c r="RHP36" s="6"/>
      <c r="RHQ36" s="6"/>
      <c r="RHR36" s="6"/>
      <c r="RHS36" s="6"/>
      <c r="RHT36" s="6"/>
      <c r="RHU36" s="6"/>
      <c r="RHV36" s="6"/>
      <c r="RHW36" s="6"/>
      <c r="RHX36" s="6"/>
      <c r="RHY36" s="6"/>
      <c r="RHZ36" s="6"/>
      <c r="RIA36" s="6"/>
      <c r="RIB36" s="6"/>
      <c r="RIC36" s="6"/>
      <c r="RID36" s="6"/>
      <c r="RIE36" s="6"/>
      <c r="RIF36" s="6"/>
      <c r="RIG36" s="6"/>
      <c r="RIH36" s="6"/>
      <c r="RII36" s="6"/>
      <c r="RIJ36" s="6"/>
      <c r="RIK36" s="6"/>
      <c r="RIL36" s="6"/>
      <c r="RIM36" s="6"/>
      <c r="RIN36" s="6"/>
      <c r="RIO36" s="6"/>
      <c r="RIP36" s="6"/>
      <c r="RIQ36" s="6"/>
      <c r="RIR36" s="6"/>
      <c r="RIS36" s="6"/>
      <c r="RIT36" s="6"/>
      <c r="RIU36" s="6"/>
      <c r="RIV36" s="6"/>
      <c r="RIW36" s="6"/>
      <c r="RIX36" s="6"/>
      <c r="RIY36" s="6"/>
      <c r="RIZ36" s="6"/>
      <c r="RJA36" s="6"/>
      <c r="RJB36" s="6"/>
      <c r="RJC36" s="6"/>
      <c r="RJD36" s="6"/>
      <c r="RJE36" s="6"/>
      <c r="RJF36" s="6"/>
      <c r="RJG36" s="6"/>
      <c r="RJH36" s="6"/>
      <c r="RJI36" s="6"/>
      <c r="RJJ36" s="6"/>
      <c r="RJK36" s="6"/>
      <c r="RJL36" s="6"/>
      <c r="RJM36" s="6"/>
      <c r="RJN36" s="6"/>
      <c r="RJO36" s="6"/>
      <c r="RJP36" s="6"/>
      <c r="RJQ36" s="6"/>
      <c r="RJR36" s="6"/>
      <c r="RJS36" s="6"/>
      <c r="RJT36" s="6"/>
      <c r="RJU36" s="6"/>
      <c r="RJV36" s="6"/>
      <c r="RJW36" s="6"/>
      <c r="RJX36" s="6"/>
      <c r="RJY36" s="6"/>
      <c r="RJZ36" s="6"/>
      <c r="RKA36" s="6"/>
      <c r="RKB36" s="6"/>
      <c r="RKC36" s="6"/>
      <c r="RKD36" s="6"/>
      <c r="RKE36" s="6"/>
      <c r="RKF36" s="6"/>
      <c r="RKG36" s="6"/>
      <c r="RKH36" s="6"/>
      <c r="RKI36" s="6"/>
      <c r="RKJ36" s="6"/>
      <c r="RKK36" s="6"/>
      <c r="RKL36" s="6"/>
      <c r="RKM36" s="6"/>
      <c r="RKN36" s="6"/>
      <c r="RKO36" s="6"/>
      <c r="RKP36" s="6"/>
      <c r="RKQ36" s="6"/>
      <c r="RKR36" s="6"/>
      <c r="RKS36" s="6"/>
      <c r="RKT36" s="6"/>
      <c r="RKU36" s="6"/>
      <c r="RKV36" s="6"/>
      <c r="RKW36" s="6"/>
      <c r="RKX36" s="6"/>
      <c r="RKY36" s="6"/>
      <c r="RKZ36" s="6"/>
      <c r="RLA36" s="6"/>
      <c r="RLB36" s="6"/>
      <c r="RLC36" s="6"/>
      <c r="RLD36" s="6"/>
      <c r="RLE36" s="6"/>
      <c r="RLF36" s="6"/>
      <c r="RLG36" s="6"/>
      <c r="RLH36" s="6"/>
      <c r="RLI36" s="6"/>
      <c r="RLJ36" s="6"/>
      <c r="RLK36" s="6"/>
      <c r="RLL36" s="6"/>
      <c r="RLM36" s="6"/>
      <c r="RLN36" s="6"/>
      <c r="RLO36" s="6"/>
      <c r="RLP36" s="6"/>
      <c r="RLQ36" s="6"/>
      <c r="RLR36" s="6"/>
      <c r="RLS36" s="6"/>
      <c r="RLT36" s="6"/>
      <c r="RLU36" s="6"/>
      <c r="RLV36" s="6"/>
      <c r="RLW36" s="6"/>
      <c r="RLX36" s="6"/>
      <c r="RLY36" s="6"/>
      <c r="RLZ36" s="6"/>
      <c r="RMA36" s="6"/>
      <c r="RMB36" s="6"/>
      <c r="RMC36" s="6"/>
      <c r="RMD36" s="6"/>
      <c r="RME36" s="6"/>
      <c r="RMF36" s="6"/>
      <c r="RMG36" s="6"/>
      <c r="RMH36" s="6"/>
      <c r="RMI36" s="6"/>
      <c r="RMJ36" s="6"/>
      <c r="RMK36" s="6"/>
      <c r="RML36" s="6"/>
      <c r="RMM36" s="6"/>
      <c r="RMN36" s="6"/>
      <c r="RMO36" s="6"/>
      <c r="RMP36" s="6"/>
      <c r="RMQ36" s="6"/>
      <c r="RMR36" s="6"/>
      <c r="RMS36" s="6"/>
      <c r="RMT36" s="6"/>
      <c r="RMU36" s="6"/>
      <c r="RMV36" s="6"/>
      <c r="RMW36" s="6"/>
      <c r="RMX36" s="6"/>
      <c r="RMY36" s="6"/>
      <c r="RMZ36" s="6"/>
      <c r="RNA36" s="6"/>
      <c r="RNB36" s="6"/>
      <c r="RNC36" s="6"/>
      <c r="RND36" s="6"/>
      <c r="RNE36" s="6"/>
      <c r="RNF36" s="6"/>
      <c r="RNG36" s="6"/>
      <c r="RNH36" s="6"/>
      <c r="RNI36" s="6"/>
      <c r="RNJ36" s="6"/>
      <c r="RNK36" s="6"/>
      <c r="RNL36" s="6"/>
      <c r="RNM36" s="6"/>
      <c r="RNN36" s="6"/>
      <c r="RNO36" s="6"/>
      <c r="RNP36" s="6"/>
      <c r="RNQ36" s="6"/>
      <c r="RNR36" s="6"/>
      <c r="RNS36" s="6"/>
      <c r="RNT36" s="6"/>
      <c r="RNU36" s="6"/>
      <c r="RNV36" s="6"/>
      <c r="RNW36" s="6"/>
      <c r="RNX36" s="6"/>
      <c r="RNY36" s="6"/>
      <c r="RNZ36" s="6"/>
      <c r="ROA36" s="6"/>
      <c r="ROB36" s="6"/>
      <c r="ROC36" s="6"/>
      <c r="ROD36" s="6"/>
      <c r="ROE36" s="6"/>
      <c r="ROF36" s="6"/>
      <c r="ROG36" s="6"/>
      <c r="ROH36" s="6"/>
      <c r="ROI36" s="6"/>
      <c r="ROJ36" s="6"/>
      <c r="ROK36" s="6"/>
      <c r="ROL36" s="6"/>
      <c r="ROM36" s="6"/>
      <c r="RON36" s="6"/>
      <c r="ROO36" s="6"/>
      <c r="ROP36" s="6"/>
      <c r="ROQ36" s="6"/>
      <c r="ROR36" s="6"/>
      <c r="ROS36" s="6"/>
      <c r="ROT36" s="6"/>
      <c r="ROU36" s="6"/>
      <c r="ROV36" s="6"/>
      <c r="ROW36" s="6"/>
      <c r="ROX36" s="6"/>
      <c r="ROY36" s="6"/>
      <c r="ROZ36" s="6"/>
      <c r="RPA36" s="6"/>
      <c r="RPB36" s="6"/>
      <c r="RPC36" s="6"/>
      <c r="RPD36" s="6"/>
      <c r="RPE36" s="6"/>
      <c r="RPF36" s="6"/>
      <c r="RPG36" s="6"/>
      <c r="RPH36" s="6"/>
      <c r="RPI36" s="6"/>
      <c r="RPJ36" s="6"/>
      <c r="RPK36" s="6"/>
      <c r="RPL36" s="6"/>
      <c r="RPM36" s="6"/>
      <c r="RPN36" s="6"/>
      <c r="RPO36" s="6"/>
      <c r="RPP36" s="6"/>
      <c r="RPQ36" s="6"/>
      <c r="RPR36" s="6"/>
      <c r="RPS36" s="6"/>
      <c r="RPT36" s="6"/>
      <c r="RPU36" s="6"/>
      <c r="RPV36" s="6"/>
      <c r="RPW36" s="6"/>
      <c r="RPX36" s="6"/>
      <c r="RPY36" s="6"/>
      <c r="RPZ36" s="6"/>
      <c r="RQA36" s="6"/>
      <c r="RQB36" s="6"/>
      <c r="RQC36" s="6"/>
      <c r="RQD36" s="6"/>
      <c r="RQE36" s="6"/>
      <c r="RQF36" s="6"/>
      <c r="RQG36" s="6"/>
      <c r="RQH36" s="6"/>
      <c r="RQI36" s="6"/>
      <c r="RQJ36" s="6"/>
      <c r="RQK36" s="6"/>
      <c r="RQL36" s="6"/>
      <c r="RQM36" s="6"/>
      <c r="RQN36" s="6"/>
      <c r="RQO36" s="6"/>
      <c r="RQP36" s="6"/>
      <c r="RQQ36" s="6"/>
      <c r="RQR36" s="6"/>
      <c r="RQS36" s="6"/>
      <c r="RQT36" s="6"/>
      <c r="RQU36" s="6"/>
      <c r="RQV36" s="6"/>
      <c r="RQW36" s="6"/>
      <c r="RQX36" s="6"/>
      <c r="RQY36" s="6"/>
      <c r="RQZ36" s="6"/>
      <c r="RRA36" s="6"/>
      <c r="RRB36" s="6"/>
      <c r="RRC36" s="6"/>
      <c r="RRD36" s="6"/>
      <c r="RRE36" s="6"/>
      <c r="RRF36" s="6"/>
      <c r="RRG36" s="6"/>
      <c r="RRH36" s="6"/>
      <c r="RRI36" s="6"/>
      <c r="RRJ36" s="6"/>
      <c r="RRK36" s="6"/>
      <c r="RRL36" s="6"/>
      <c r="RRM36" s="6"/>
      <c r="RRN36" s="6"/>
      <c r="RRO36" s="6"/>
      <c r="RRP36" s="6"/>
      <c r="RRQ36" s="6"/>
      <c r="RRR36" s="6"/>
      <c r="RRS36" s="6"/>
      <c r="RRT36" s="6"/>
      <c r="RRU36" s="6"/>
      <c r="RRV36" s="6"/>
      <c r="RRW36" s="6"/>
      <c r="RRX36" s="6"/>
      <c r="RRY36" s="6"/>
      <c r="RRZ36" s="6"/>
      <c r="RSA36" s="6"/>
      <c r="RSB36" s="6"/>
      <c r="RSC36" s="6"/>
      <c r="RSD36" s="6"/>
      <c r="RSE36" s="6"/>
      <c r="RSF36" s="6"/>
      <c r="RSG36" s="6"/>
      <c r="RSH36" s="6"/>
      <c r="RSI36" s="6"/>
      <c r="RSJ36" s="6"/>
      <c r="RSK36" s="6"/>
      <c r="RSL36" s="6"/>
      <c r="RSM36" s="6"/>
      <c r="RSN36" s="6"/>
      <c r="RSO36" s="6"/>
      <c r="RSP36" s="6"/>
      <c r="RSQ36" s="6"/>
      <c r="RSR36" s="6"/>
      <c r="RSS36" s="6"/>
      <c r="RST36" s="6"/>
      <c r="RSU36" s="6"/>
      <c r="RSV36" s="6"/>
      <c r="RSW36" s="6"/>
      <c r="RSX36" s="6"/>
      <c r="RSY36" s="6"/>
      <c r="RSZ36" s="6"/>
      <c r="RTA36" s="6"/>
      <c r="RTB36" s="6"/>
      <c r="RTC36" s="6"/>
      <c r="RTD36" s="6"/>
      <c r="RTE36" s="6"/>
      <c r="RTF36" s="6"/>
      <c r="RTG36" s="6"/>
      <c r="RTH36" s="6"/>
      <c r="RTI36" s="6"/>
      <c r="RTJ36" s="6"/>
      <c r="RTK36" s="6"/>
      <c r="RTL36" s="6"/>
      <c r="RTM36" s="6"/>
      <c r="RTN36" s="6"/>
      <c r="RTO36" s="6"/>
      <c r="RTP36" s="6"/>
      <c r="RTQ36" s="6"/>
      <c r="RTR36" s="6"/>
      <c r="RTS36" s="6"/>
      <c r="RTT36" s="6"/>
      <c r="RTU36" s="6"/>
      <c r="RTV36" s="6"/>
      <c r="RTW36" s="6"/>
      <c r="RTX36" s="6"/>
      <c r="RTY36" s="6"/>
      <c r="RTZ36" s="6"/>
      <c r="RUA36" s="6"/>
      <c r="RUB36" s="6"/>
      <c r="RUC36" s="6"/>
      <c r="RUD36" s="6"/>
      <c r="RUE36" s="6"/>
      <c r="RUF36" s="6"/>
      <c r="RUG36" s="6"/>
      <c r="RUH36" s="6"/>
      <c r="RUI36" s="6"/>
      <c r="RUJ36" s="6"/>
      <c r="RUK36" s="6"/>
      <c r="RUL36" s="6"/>
      <c r="RUM36" s="6"/>
      <c r="RUN36" s="6"/>
      <c r="RUO36" s="6"/>
      <c r="RUP36" s="6"/>
      <c r="RUQ36" s="6"/>
      <c r="RUR36" s="6"/>
      <c r="RUS36" s="6"/>
      <c r="RUT36" s="6"/>
      <c r="RUU36" s="6"/>
      <c r="RUV36" s="6"/>
      <c r="RUW36" s="6"/>
      <c r="RUX36" s="6"/>
      <c r="RUY36" s="6"/>
      <c r="RUZ36" s="6"/>
      <c r="RVA36" s="6"/>
      <c r="RVB36" s="6"/>
      <c r="RVC36" s="6"/>
      <c r="RVD36" s="6"/>
      <c r="RVE36" s="6"/>
      <c r="RVF36" s="6"/>
      <c r="RVG36" s="6"/>
      <c r="RVH36" s="6"/>
      <c r="RVI36" s="6"/>
      <c r="RVJ36" s="6"/>
      <c r="RVK36" s="6"/>
      <c r="RVL36" s="6"/>
      <c r="RVM36" s="6"/>
      <c r="RVN36" s="6"/>
      <c r="RVO36" s="6"/>
      <c r="RVP36" s="6"/>
      <c r="RVQ36" s="6"/>
      <c r="RVR36" s="6"/>
      <c r="RVS36" s="6"/>
      <c r="RVT36" s="6"/>
      <c r="RVU36" s="6"/>
      <c r="RVV36" s="6"/>
      <c r="RVW36" s="6"/>
      <c r="RVX36" s="6"/>
      <c r="RVY36" s="6"/>
      <c r="RVZ36" s="6"/>
      <c r="RWA36" s="6"/>
      <c r="RWB36" s="6"/>
      <c r="RWC36" s="6"/>
      <c r="RWD36" s="6"/>
      <c r="RWE36" s="6"/>
      <c r="RWF36" s="6"/>
      <c r="RWG36" s="6"/>
      <c r="RWH36" s="6"/>
      <c r="RWI36" s="6"/>
      <c r="RWJ36" s="6"/>
      <c r="RWK36" s="6"/>
      <c r="RWL36" s="6"/>
      <c r="RWM36" s="6"/>
      <c r="RWN36" s="6"/>
      <c r="RWO36" s="6"/>
      <c r="RWP36" s="6"/>
      <c r="RWQ36" s="6"/>
      <c r="RWR36" s="6"/>
      <c r="RWS36" s="6"/>
      <c r="RWT36" s="6"/>
      <c r="RWU36" s="6"/>
      <c r="RWV36" s="6"/>
      <c r="RWW36" s="6"/>
      <c r="RWX36" s="6"/>
      <c r="RWY36" s="6"/>
      <c r="RWZ36" s="6"/>
      <c r="RXA36" s="6"/>
      <c r="RXB36" s="6"/>
      <c r="RXC36" s="6"/>
      <c r="RXD36" s="6"/>
      <c r="RXE36" s="6"/>
      <c r="RXF36" s="6"/>
      <c r="RXG36" s="6"/>
      <c r="RXH36" s="6"/>
      <c r="RXI36" s="6"/>
      <c r="RXJ36" s="6"/>
      <c r="RXK36" s="6"/>
      <c r="RXL36" s="6"/>
      <c r="RXM36" s="6"/>
      <c r="RXN36" s="6"/>
      <c r="RXO36" s="6"/>
      <c r="RXP36" s="6"/>
      <c r="RXQ36" s="6"/>
      <c r="RXR36" s="6"/>
      <c r="RXS36" s="6"/>
      <c r="RXT36" s="6"/>
      <c r="RXU36" s="6"/>
      <c r="RXV36" s="6"/>
      <c r="RXW36" s="6"/>
      <c r="RXX36" s="6"/>
      <c r="RXY36" s="6"/>
      <c r="RXZ36" s="6"/>
      <c r="RYA36" s="6"/>
      <c r="RYB36" s="6"/>
      <c r="RYC36" s="6"/>
      <c r="RYD36" s="6"/>
      <c r="RYE36" s="6"/>
      <c r="RYF36" s="6"/>
      <c r="RYG36" s="6"/>
      <c r="RYH36" s="6"/>
      <c r="RYI36" s="6"/>
      <c r="RYJ36" s="6"/>
      <c r="RYK36" s="6"/>
      <c r="RYL36" s="6"/>
      <c r="RYM36" s="6"/>
      <c r="RYN36" s="6"/>
      <c r="RYO36" s="6"/>
      <c r="RYP36" s="6"/>
      <c r="RYQ36" s="6"/>
      <c r="RYR36" s="6"/>
      <c r="RYS36" s="6"/>
      <c r="RYT36" s="6"/>
      <c r="RYU36" s="6"/>
      <c r="RYV36" s="6"/>
      <c r="RYW36" s="6"/>
      <c r="RYX36" s="6"/>
      <c r="RYY36" s="6"/>
      <c r="RYZ36" s="6"/>
      <c r="RZA36" s="6"/>
      <c r="RZB36" s="6"/>
      <c r="RZC36" s="6"/>
      <c r="RZD36" s="6"/>
      <c r="RZE36" s="6"/>
      <c r="RZF36" s="6"/>
      <c r="RZG36" s="6"/>
      <c r="RZH36" s="6"/>
      <c r="RZI36" s="6"/>
      <c r="RZJ36" s="6"/>
      <c r="RZK36" s="6"/>
      <c r="RZL36" s="6"/>
      <c r="RZM36" s="6"/>
      <c r="RZN36" s="6"/>
      <c r="RZO36" s="6"/>
      <c r="RZP36" s="6"/>
      <c r="RZQ36" s="6"/>
      <c r="RZR36" s="6"/>
      <c r="RZS36" s="6"/>
      <c r="RZT36" s="6"/>
      <c r="RZU36" s="6"/>
      <c r="RZV36" s="6"/>
      <c r="RZW36" s="6"/>
      <c r="RZX36" s="6"/>
      <c r="RZY36" s="6"/>
      <c r="RZZ36" s="6"/>
      <c r="SAA36" s="6"/>
      <c r="SAB36" s="6"/>
      <c r="SAC36" s="6"/>
      <c r="SAD36" s="6"/>
      <c r="SAE36" s="6"/>
      <c r="SAF36" s="6"/>
      <c r="SAG36" s="6"/>
      <c r="SAH36" s="6"/>
      <c r="SAI36" s="6"/>
      <c r="SAJ36" s="6"/>
      <c r="SAK36" s="6"/>
      <c r="SAL36" s="6"/>
      <c r="SAM36" s="6"/>
      <c r="SAN36" s="6"/>
      <c r="SAO36" s="6"/>
      <c r="SAP36" s="6"/>
      <c r="SAQ36" s="6"/>
      <c r="SAR36" s="6"/>
      <c r="SAS36" s="6"/>
      <c r="SAT36" s="6"/>
      <c r="SAU36" s="6"/>
      <c r="SAV36" s="6"/>
      <c r="SAW36" s="6"/>
      <c r="SAX36" s="6"/>
      <c r="SAY36" s="6"/>
      <c r="SAZ36" s="6"/>
      <c r="SBA36" s="6"/>
      <c r="SBB36" s="6"/>
      <c r="SBC36" s="6"/>
      <c r="SBD36" s="6"/>
      <c r="SBE36" s="6"/>
      <c r="SBF36" s="6"/>
      <c r="SBG36" s="6"/>
      <c r="SBH36" s="6"/>
      <c r="SBI36" s="6"/>
      <c r="SBJ36" s="6"/>
      <c r="SBK36" s="6"/>
      <c r="SBL36" s="6"/>
      <c r="SBM36" s="6"/>
      <c r="SBN36" s="6"/>
      <c r="SBO36" s="6"/>
      <c r="SBP36" s="6"/>
      <c r="SBQ36" s="6"/>
      <c r="SBR36" s="6"/>
      <c r="SBS36" s="6"/>
      <c r="SBT36" s="6"/>
      <c r="SBU36" s="6"/>
      <c r="SBV36" s="6"/>
      <c r="SBW36" s="6"/>
      <c r="SBX36" s="6"/>
      <c r="SBY36" s="6"/>
      <c r="SBZ36" s="6"/>
      <c r="SCA36" s="6"/>
      <c r="SCB36" s="6"/>
      <c r="SCC36" s="6"/>
      <c r="SCD36" s="6"/>
      <c r="SCE36" s="6"/>
      <c r="SCF36" s="6"/>
      <c r="SCG36" s="6"/>
      <c r="SCH36" s="6"/>
      <c r="SCI36" s="6"/>
      <c r="SCJ36" s="6"/>
      <c r="SCK36" s="6"/>
      <c r="SCL36" s="6"/>
      <c r="SCM36" s="6"/>
      <c r="SCN36" s="6"/>
      <c r="SCO36" s="6"/>
      <c r="SCP36" s="6"/>
      <c r="SCQ36" s="6"/>
      <c r="SCR36" s="6"/>
      <c r="SCS36" s="6"/>
      <c r="SCT36" s="6"/>
      <c r="SCU36" s="6"/>
      <c r="SCV36" s="6"/>
      <c r="SCW36" s="6"/>
      <c r="SCX36" s="6"/>
      <c r="SCY36" s="6"/>
      <c r="SCZ36" s="6"/>
      <c r="SDA36" s="6"/>
      <c r="SDB36" s="6"/>
      <c r="SDC36" s="6"/>
      <c r="SDD36" s="6"/>
      <c r="SDE36" s="6"/>
      <c r="SDF36" s="6"/>
      <c r="SDG36" s="6"/>
      <c r="SDH36" s="6"/>
      <c r="SDI36" s="6"/>
      <c r="SDJ36" s="6"/>
      <c r="SDK36" s="6"/>
      <c r="SDL36" s="6"/>
      <c r="SDM36" s="6"/>
      <c r="SDN36" s="6"/>
      <c r="SDO36" s="6"/>
      <c r="SDP36" s="6"/>
      <c r="SDQ36" s="6"/>
      <c r="SDR36" s="6"/>
      <c r="SDS36" s="6"/>
      <c r="SDT36" s="6"/>
      <c r="SDU36" s="6"/>
      <c r="SDV36" s="6"/>
      <c r="SDW36" s="6"/>
      <c r="SDX36" s="6"/>
      <c r="SDY36" s="6"/>
      <c r="SDZ36" s="6"/>
      <c r="SEA36" s="6"/>
      <c r="SEB36" s="6"/>
      <c r="SEC36" s="6"/>
      <c r="SED36" s="6"/>
      <c r="SEE36" s="6"/>
      <c r="SEF36" s="6"/>
      <c r="SEG36" s="6"/>
      <c r="SEH36" s="6"/>
      <c r="SEI36" s="6"/>
      <c r="SEJ36" s="6"/>
      <c r="SEK36" s="6"/>
      <c r="SEL36" s="6"/>
      <c r="SEM36" s="6"/>
      <c r="SEN36" s="6"/>
      <c r="SEO36" s="6"/>
      <c r="SEP36" s="6"/>
      <c r="SEQ36" s="6"/>
      <c r="SER36" s="6"/>
      <c r="SES36" s="6"/>
      <c r="SET36" s="6"/>
      <c r="SEU36" s="6"/>
      <c r="SEV36" s="6"/>
      <c r="SEW36" s="6"/>
      <c r="SEX36" s="6"/>
      <c r="SEY36" s="6"/>
      <c r="SEZ36" s="6"/>
      <c r="SFA36" s="6"/>
      <c r="SFB36" s="6"/>
      <c r="SFC36" s="6"/>
      <c r="SFD36" s="6"/>
      <c r="SFE36" s="6"/>
      <c r="SFF36" s="6"/>
      <c r="SFG36" s="6"/>
      <c r="SFH36" s="6"/>
      <c r="SFI36" s="6"/>
      <c r="SFJ36" s="6"/>
      <c r="SFK36" s="6"/>
      <c r="SFL36" s="6"/>
      <c r="SFM36" s="6"/>
      <c r="SFN36" s="6"/>
      <c r="SFO36" s="6"/>
      <c r="SFP36" s="6"/>
      <c r="SFQ36" s="6"/>
      <c r="SFR36" s="6"/>
      <c r="SFS36" s="6"/>
      <c r="SFT36" s="6"/>
      <c r="SFU36" s="6"/>
      <c r="SFV36" s="6"/>
      <c r="SFW36" s="6"/>
      <c r="SFX36" s="6"/>
      <c r="SFY36" s="6"/>
      <c r="SFZ36" s="6"/>
      <c r="SGA36" s="6"/>
      <c r="SGB36" s="6"/>
      <c r="SGC36" s="6"/>
      <c r="SGD36" s="6"/>
      <c r="SGE36" s="6"/>
      <c r="SGF36" s="6"/>
      <c r="SGG36" s="6"/>
      <c r="SGH36" s="6"/>
      <c r="SGI36" s="6"/>
      <c r="SGJ36" s="6"/>
      <c r="SGK36" s="6"/>
      <c r="SGL36" s="6"/>
      <c r="SGM36" s="6"/>
      <c r="SGN36" s="6"/>
      <c r="SGO36" s="6"/>
      <c r="SGP36" s="6"/>
      <c r="SGQ36" s="6"/>
      <c r="SGR36" s="6"/>
      <c r="SGS36" s="6"/>
      <c r="SGT36" s="6"/>
      <c r="SGU36" s="6"/>
      <c r="SGV36" s="6"/>
      <c r="SGW36" s="6"/>
      <c r="SGX36" s="6"/>
      <c r="SGY36" s="6"/>
      <c r="SGZ36" s="6"/>
      <c r="SHA36" s="6"/>
      <c r="SHB36" s="6"/>
      <c r="SHC36" s="6"/>
      <c r="SHD36" s="6"/>
      <c r="SHE36" s="6"/>
      <c r="SHF36" s="6"/>
      <c r="SHG36" s="6"/>
      <c r="SHH36" s="6"/>
      <c r="SHI36" s="6"/>
      <c r="SHJ36" s="6"/>
      <c r="SHK36" s="6"/>
      <c r="SHL36" s="6"/>
      <c r="SHM36" s="6"/>
      <c r="SHN36" s="6"/>
      <c r="SHO36" s="6"/>
      <c r="SHP36" s="6"/>
      <c r="SHQ36" s="6"/>
      <c r="SHR36" s="6"/>
      <c r="SHS36" s="6"/>
      <c r="SHT36" s="6"/>
      <c r="SHU36" s="6"/>
      <c r="SHV36" s="6"/>
      <c r="SHW36" s="6"/>
      <c r="SHX36" s="6"/>
      <c r="SHY36" s="6"/>
      <c r="SHZ36" s="6"/>
      <c r="SIA36" s="6"/>
      <c r="SIB36" s="6"/>
      <c r="SIC36" s="6"/>
      <c r="SID36" s="6"/>
      <c r="SIE36" s="6"/>
      <c r="SIF36" s="6"/>
      <c r="SIG36" s="6"/>
      <c r="SIH36" s="6"/>
      <c r="SII36" s="6"/>
      <c r="SIJ36" s="6"/>
      <c r="SIK36" s="6"/>
      <c r="SIL36" s="6"/>
      <c r="SIM36" s="6"/>
      <c r="SIN36" s="6"/>
      <c r="SIO36" s="6"/>
      <c r="SIP36" s="6"/>
      <c r="SIQ36" s="6"/>
      <c r="SIR36" s="6"/>
      <c r="SIS36" s="6"/>
      <c r="SIT36" s="6"/>
      <c r="SIU36" s="6"/>
      <c r="SIV36" s="6"/>
      <c r="SIW36" s="6"/>
      <c r="SIX36" s="6"/>
      <c r="SIY36" s="6"/>
      <c r="SIZ36" s="6"/>
      <c r="SJA36" s="6"/>
      <c r="SJB36" s="6"/>
      <c r="SJC36" s="6"/>
      <c r="SJD36" s="6"/>
      <c r="SJE36" s="6"/>
      <c r="SJF36" s="6"/>
      <c r="SJG36" s="6"/>
      <c r="SJH36" s="6"/>
      <c r="SJI36" s="6"/>
      <c r="SJJ36" s="6"/>
      <c r="SJK36" s="6"/>
      <c r="SJL36" s="6"/>
      <c r="SJM36" s="6"/>
      <c r="SJN36" s="6"/>
      <c r="SJO36" s="6"/>
      <c r="SJP36" s="6"/>
      <c r="SJQ36" s="6"/>
      <c r="SJR36" s="6"/>
      <c r="SJS36" s="6"/>
      <c r="SJT36" s="6"/>
      <c r="SJU36" s="6"/>
      <c r="SJV36" s="6"/>
      <c r="SJW36" s="6"/>
      <c r="SJX36" s="6"/>
      <c r="SJY36" s="6"/>
      <c r="SJZ36" s="6"/>
      <c r="SKA36" s="6"/>
      <c r="SKB36" s="6"/>
      <c r="SKC36" s="6"/>
      <c r="SKD36" s="6"/>
      <c r="SKE36" s="6"/>
      <c r="SKF36" s="6"/>
      <c r="SKG36" s="6"/>
      <c r="SKH36" s="6"/>
      <c r="SKI36" s="6"/>
      <c r="SKJ36" s="6"/>
      <c r="SKK36" s="6"/>
      <c r="SKL36" s="6"/>
      <c r="SKM36" s="6"/>
      <c r="SKN36" s="6"/>
      <c r="SKO36" s="6"/>
      <c r="SKP36" s="6"/>
      <c r="SKQ36" s="6"/>
      <c r="SKR36" s="6"/>
      <c r="SKS36" s="6"/>
      <c r="SKT36" s="6"/>
      <c r="SKU36" s="6"/>
      <c r="SKV36" s="6"/>
      <c r="SKW36" s="6"/>
      <c r="SKX36" s="6"/>
      <c r="SKY36" s="6"/>
      <c r="SKZ36" s="6"/>
      <c r="SLA36" s="6"/>
      <c r="SLB36" s="6"/>
      <c r="SLC36" s="6"/>
      <c r="SLD36" s="6"/>
      <c r="SLE36" s="6"/>
      <c r="SLF36" s="6"/>
      <c r="SLG36" s="6"/>
      <c r="SLH36" s="6"/>
      <c r="SLI36" s="6"/>
      <c r="SLJ36" s="6"/>
      <c r="SLK36" s="6"/>
      <c r="SLL36" s="6"/>
      <c r="SLM36" s="6"/>
      <c r="SLN36" s="6"/>
      <c r="SLO36" s="6"/>
      <c r="SLP36" s="6"/>
      <c r="SLQ36" s="6"/>
      <c r="SLR36" s="6"/>
      <c r="SLS36" s="6"/>
      <c r="SLT36" s="6"/>
      <c r="SLU36" s="6"/>
      <c r="SLV36" s="6"/>
      <c r="SLW36" s="6"/>
      <c r="SLX36" s="6"/>
      <c r="SLY36" s="6"/>
      <c r="SLZ36" s="6"/>
      <c r="SMA36" s="6"/>
      <c r="SMB36" s="6"/>
      <c r="SMC36" s="6"/>
      <c r="SMD36" s="6"/>
      <c r="SME36" s="6"/>
      <c r="SMF36" s="6"/>
      <c r="SMG36" s="6"/>
      <c r="SMH36" s="6"/>
      <c r="SMI36" s="6"/>
      <c r="SMJ36" s="6"/>
      <c r="SMK36" s="6"/>
      <c r="SML36" s="6"/>
      <c r="SMM36" s="6"/>
      <c r="SMN36" s="6"/>
      <c r="SMO36" s="6"/>
      <c r="SMP36" s="6"/>
      <c r="SMQ36" s="6"/>
      <c r="SMR36" s="6"/>
      <c r="SMS36" s="6"/>
      <c r="SMT36" s="6"/>
      <c r="SMU36" s="6"/>
      <c r="SMV36" s="6"/>
      <c r="SMW36" s="6"/>
      <c r="SMX36" s="6"/>
      <c r="SMY36" s="6"/>
      <c r="SMZ36" s="6"/>
      <c r="SNA36" s="6"/>
      <c r="SNB36" s="6"/>
      <c r="SNC36" s="6"/>
      <c r="SND36" s="6"/>
      <c r="SNE36" s="6"/>
      <c r="SNF36" s="6"/>
      <c r="SNG36" s="6"/>
      <c r="SNH36" s="6"/>
      <c r="SNI36" s="6"/>
      <c r="SNJ36" s="6"/>
      <c r="SNK36" s="6"/>
      <c r="SNL36" s="6"/>
      <c r="SNM36" s="6"/>
      <c r="SNN36" s="6"/>
      <c r="SNO36" s="6"/>
      <c r="SNP36" s="6"/>
      <c r="SNQ36" s="6"/>
      <c r="SNR36" s="6"/>
      <c r="SNS36" s="6"/>
      <c r="SNT36" s="6"/>
      <c r="SNU36" s="6"/>
      <c r="SNV36" s="6"/>
      <c r="SNW36" s="6"/>
      <c r="SNX36" s="6"/>
      <c r="SNY36" s="6"/>
      <c r="SNZ36" s="6"/>
      <c r="SOA36" s="6"/>
      <c r="SOB36" s="6"/>
      <c r="SOC36" s="6"/>
      <c r="SOD36" s="6"/>
      <c r="SOE36" s="6"/>
      <c r="SOF36" s="6"/>
      <c r="SOG36" s="6"/>
      <c r="SOH36" s="6"/>
      <c r="SOI36" s="6"/>
      <c r="SOJ36" s="6"/>
      <c r="SOK36" s="6"/>
      <c r="SOL36" s="6"/>
      <c r="SOM36" s="6"/>
      <c r="SON36" s="6"/>
      <c r="SOO36" s="6"/>
      <c r="SOP36" s="6"/>
      <c r="SOQ36" s="6"/>
      <c r="SOR36" s="6"/>
      <c r="SOS36" s="6"/>
      <c r="SOT36" s="6"/>
      <c r="SOU36" s="6"/>
      <c r="SOV36" s="6"/>
      <c r="SOW36" s="6"/>
      <c r="SOX36" s="6"/>
      <c r="SOY36" s="6"/>
      <c r="SOZ36" s="6"/>
      <c r="SPA36" s="6"/>
      <c r="SPB36" s="6"/>
      <c r="SPC36" s="6"/>
      <c r="SPD36" s="6"/>
      <c r="SPE36" s="6"/>
      <c r="SPF36" s="6"/>
      <c r="SPG36" s="6"/>
      <c r="SPH36" s="6"/>
      <c r="SPI36" s="6"/>
      <c r="SPJ36" s="6"/>
      <c r="SPK36" s="6"/>
      <c r="SPL36" s="6"/>
      <c r="SPM36" s="6"/>
      <c r="SPN36" s="6"/>
      <c r="SPO36" s="6"/>
      <c r="SPP36" s="6"/>
      <c r="SPQ36" s="6"/>
      <c r="SPR36" s="6"/>
      <c r="SPS36" s="6"/>
      <c r="SPT36" s="6"/>
      <c r="SPU36" s="6"/>
      <c r="SPV36" s="6"/>
      <c r="SPW36" s="6"/>
      <c r="SPX36" s="6"/>
      <c r="SPY36" s="6"/>
      <c r="SPZ36" s="6"/>
      <c r="SQA36" s="6"/>
      <c r="SQB36" s="6"/>
      <c r="SQC36" s="6"/>
      <c r="SQD36" s="6"/>
      <c r="SQE36" s="6"/>
      <c r="SQF36" s="6"/>
      <c r="SQG36" s="6"/>
      <c r="SQH36" s="6"/>
      <c r="SQI36" s="6"/>
      <c r="SQJ36" s="6"/>
      <c r="SQK36" s="6"/>
      <c r="SQL36" s="6"/>
      <c r="SQM36" s="6"/>
      <c r="SQN36" s="6"/>
      <c r="SQO36" s="6"/>
      <c r="SQP36" s="6"/>
      <c r="SQQ36" s="6"/>
      <c r="SQR36" s="6"/>
      <c r="SQS36" s="6"/>
      <c r="SQT36" s="6"/>
      <c r="SQU36" s="6"/>
      <c r="SQV36" s="6"/>
      <c r="SQW36" s="6"/>
      <c r="SQX36" s="6"/>
      <c r="SQY36" s="6"/>
      <c r="SQZ36" s="6"/>
      <c r="SRA36" s="6"/>
      <c r="SRB36" s="6"/>
      <c r="SRC36" s="6"/>
      <c r="SRD36" s="6"/>
      <c r="SRE36" s="6"/>
      <c r="SRF36" s="6"/>
      <c r="SRG36" s="6"/>
      <c r="SRH36" s="6"/>
      <c r="SRI36" s="6"/>
      <c r="SRJ36" s="6"/>
      <c r="SRK36" s="6"/>
      <c r="SRL36" s="6"/>
      <c r="SRM36" s="6"/>
      <c r="SRN36" s="6"/>
      <c r="SRO36" s="6"/>
      <c r="SRP36" s="6"/>
      <c r="SRQ36" s="6"/>
      <c r="SRR36" s="6"/>
      <c r="SRS36" s="6"/>
      <c r="SRT36" s="6"/>
      <c r="SRU36" s="6"/>
      <c r="SRV36" s="6"/>
      <c r="SRW36" s="6"/>
      <c r="SRX36" s="6"/>
      <c r="SRY36" s="6"/>
      <c r="SRZ36" s="6"/>
      <c r="SSA36" s="6"/>
      <c r="SSB36" s="6"/>
      <c r="SSC36" s="6"/>
      <c r="SSD36" s="6"/>
      <c r="SSE36" s="6"/>
      <c r="SSF36" s="6"/>
      <c r="SSG36" s="6"/>
      <c r="SSH36" s="6"/>
      <c r="SSI36" s="6"/>
      <c r="SSJ36" s="6"/>
      <c r="SSK36" s="6"/>
      <c r="SSL36" s="6"/>
      <c r="SSM36" s="6"/>
      <c r="SSN36" s="6"/>
      <c r="SSO36" s="6"/>
      <c r="SSP36" s="6"/>
      <c r="SSQ36" s="6"/>
      <c r="SSR36" s="6"/>
      <c r="SSS36" s="6"/>
      <c r="SST36" s="6"/>
      <c r="SSU36" s="6"/>
      <c r="SSV36" s="6"/>
      <c r="SSW36" s="6"/>
      <c r="SSX36" s="6"/>
      <c r="SSY36" s="6"/>
      <c r="SSZ36" s="6"/>
      <c r="STA36" s="6"/>
      <c r="STB36" s="6"/>
      <c r="STC36" s="6"/>
      <c r="STD36" s="6"/>
      <c r="STE36" s="6"/>
      <c r="STF36" s="6"/>
      <c r="STG36" s="6"/>
      <c r="STH36" s="6"/>
      <c r="STI36" s="6"/>
      <c r="STJ36" s="6"/>
      <c r="STK36" s="6"/>
      <c r="STL36" s="6"/>
      <c r="STM36" s="6"/>
      <c r="STN36" s="6"/>
      <c r="STO36" s="6"/>
      <c r="STP36" s="6"/>
      <c r="STQ36" s="6"/>
      <c r="STR36" s="6"/>
      <c r="STS36" s="6"/>
      <c r="STT36" s="6"/>
      <c r="STU36" s="6"/>
      <c r="STV36" s="6"/>
      <c r="STW36" s="6"/>
      <c r="STX36" s="6"/>
      <c r="STY36" s="6"/>
      <c r="STZ36" s="6"/>
      <c r="SUA36" s="6"/>
      <c r="SUB36" s="6"/>
      <c r="SUC36" s="6"/>
      <c r="SUD36" s="6"/>
      <c r="SUE36" s="6"/>
      <c r="SUF36" s="6"/>
      <c r="SUG36" s="6"/>
      <c r="SUH36" s="6"/>
      <c r="SUI36" s="6"/>
      <c r="SUJ36" s="6"/>
      <c r="SUK36" s="6"/>
      <c r="SUL36" s="6"/>
      <c r="SUM36" s="6"/>
      <c r="SUN36" s="6"/>
      <c r="SUO36" s="6"/>
      <c r="SUP36" s="6"/>
      <c r="SUQ36" s="6"/>
      <c r="SUR36" s="6"/>
      <c r="SUS36" s="6"/>
      <c r="SUT36" s="6"/>
      <c r="SUU36" s="6"/>
      <c r="SUV36" s="6"/>
      <c r="SUW36" s="6"/>
      <c r="SUX36" s="6"/>
      <c r="SUY36" s="6"/>
      <c r="SUZ36" s="6"/>
      <c r="SVA36" s="6"/>
      <c r="SVB36" s="6"/>
      <c r="SVC36" s="6"/>
      <c r="SVD36" s="6"/>
      <c r="SVE36" s="6"/>
      <c r="SVF36" s="6"/>
      <c r="SVG36" s="6"/>
      <c r="SVH36" s="6"/>
      <c r="SVI36" s="6"/>
      <c r="SVJ36" s="6"/>
      <c r="SVK36" s="6"/>
      <c r="SVL36" s="6"/>
      <c r="SVM36" s="6"/>
      <c r="SVN36" s="6"/>
      <c r="SVO36" s="6"/>
      <c r="SVP36" s="6"/>
      <c r="SVQ36" s="6"/>
      <c r="SVR36" s="6"/>
      <c r="SVS36" s="6"/>
      <c r="SVT36" s="6"/>
      <c r="SVU36" s="6"/>
      <c r="SVV36" s="6"/>
      <c r="SVW36" s="6"/>
      <c r="SVX36" s="6"/>
      <c r="SVY36" s="6"/>
      <c r="SVZ36" s="6"/>
      <c r="SWA36" s="6"/>
      <c r="SWB36" s="6"/>
      <c r="SWC36" s="6"/>
      <c r="SWD36" s="6"/>
      <c r="SWE36" s="6"/>
      <c r="SWF36" s="6"/>
      <c r="SWG36" s="6"/>
      <c r="SWH36" s="6"/>
      <c r="SWI36" s="6"/>
      <c r="SWJ36" s="6"/>
      <c r="SWK36" s="6"/>
      <c r="SWL36" s="6"/>
      <c r="SWM36" s="6"/>
      <c r="SWN36" s="6"/>
      <c r="SWO36" s="6"/>
      <c r="SWP36" s="6"/>
      <c r="SWQ36" s="6"/>
      <c r="SWR36" s="6"/>
      <c r="SWS36" s="6"/>
      <c r="SWT36" s="6"/>
      <c r="SWU36" s="6"/>
      <c r="SWV36" s="6"/>
      <c r="SWW36" s="6"/>
      <c r="SWX36" s="6"/>
      <c r="SWY36" s="6"/>
      <c r="SWZ36" s="6"/>
      <c r="SXA36" s="6"/>
      <c r="SXB36" s="6"/>
      <c r="SXC36" s="6"/>
      <c r="SXD36" s="6"/>
      <c r="SXE36" s="6"/>
      <c r="SXF36" s="6"/>
      <c r="SXG36" s="6"/>
      <c r="SXH36" s="6"/>
      <c r="SXI36" s="6"/>
      <c r="SXJ36" s="6"/>
      <c r="SXK36" s="6"/>
      <c r="SXL36" s="6"/>
      <c r="SXM36" s="6"/>
      <c r="SXN36" s="6"/>
      <c r="SXO36" s="6"/>
      <c r="SXP36" s="6"/>
      <c r="SXQ36" s="6"/>
      <c r="SXR36" s="6"/>
      <c r="SXS36" s="6"/>
      <c r="SXT36" s="6"/>
      <c r="SXU36" s="6"/>
      <c r="SXV36" s="6"/>
      <c r="SXW36" s="6"/>
      <c r="SXX36" s="6"/>
      <c r="SXY36" s="6"/>
      <c r="SXZ36" s="6"/>
      <c r="SYA36" s="6"/>
      <c r="SYB36" s="6"/>
      <c r="SYC36" s="6"/>
      <c r="SYD36" s="6"/>
      <c r="SYE36" s="6"/>
      <c r="SYF36" s="6"/>
      <c r="SYG36" s="6"/>
      <c r="SYH36" s="6"/>
      <c r="SYI36" s="6"/>
      <c r="SYJ36" s="6"/>
      <c r="SYK36" s="6"/>
      <c r="SYL36" s="6"/>
      <c r="SYM36" s="6"/>
      <c r="SYN36" s="6"/>
      <c r="SYO36" s="6"/>
      <c r="SYP36" s="6"/>
      <c r="SYQ36" s="6"/>
      <c r="SYR36" s="6"/>
      <c r="SYS36" s="6"/>
      <c r="SYT36" s="6"/>
      <c r="SYU36" s="6"/>
      <c r="SYV36" s="6"/>
      <c r="SYW36" s="6"/>
      <c r="SYX36" s="6"/>
      <c r="SYY36" s="6"/>
      <c r="SYZ36" s="6"/>
      <c r="SZA36" s="6"/>
      <c r="SZB36" s="6"/>
      <c r="SZC36" s="6"/>
      <c r="SZD36" s="6"/>
      <c r="SZE36" s="6"/>
      <c r="SZF36" s="6"/>
      <c r="SZG36" s="6"/>
      <c r="SZH36" s="6"/>
      <c r="SZI36" s="6"/>
      <c r="SZJ36" s="6"/>
      <c r="SZK36" s="6"/>
      <c r="SZL36" s="6"/>
      <c r="SZM36" s="6"/>
      <c r="SZN36" s="6"/>
      <c r="SZO36" s="6"/>
      <c r="SZP36" s="6"/>
      <c r="SZQ36" s="6"/>
      <c r="SZR36" s="6"/>
      <c r="SZS36" s="6"/>
      <c r="SZT36" s="6"/>
      <c r="SZU36" s="6"/>
      <c r="SZV36" s="6"/>
      <c r="SZW36" s="6"/>
      <c r="SZX36" s="6"/>
      <c r="SZY36" s="6"/>
      <c r="SZZ36" s="6"/>
      <c r="TAA36" s="6"/>
      <c r="TAB36" s="6"/>
      <c r="TAC36" s="6"/>
      <c r="TAD36" s="6"/>
      <c r="TAE36" s="6"/>
      <c r="TAF36" s="6"/>
      <c r="TAG36" s="6"/>
      <c r="TAH36" s="6"/>
      <c r="TAI36" s="6"/>
      <c r="TAJ36" s="6"/>
      <c r="TAK36" s="6"/>
      <c r="TAL36" s="6"/>
      <c r="TAM36" s="6"/>
      <c r="TAN36" s="6"/>
      <c r="TAO36" s="6"/>
      <c r="TAP36" s="6"/>
      <c r="TAQ36" s="6"/>
      <c r="TAR36" s="6"/>
      <c r="TAS36" s="6"/>
      <c r="TAT36" s="6"/>
      <c r="TAU36" s="6"/>
      <c r="TAV36" s="6"/>
      <c r="TAW36" s="6"/>
      <c r="TAX36" s="6"/>
      <c r="TAY36" s="6"/>
      <c r="TAZ36" s="6"/>
      <c r="TBA36" s="6"/>
      <c r="TBB36" s="6"/>
      <c r="TBC36" s="6"/>
      <c r="TBD36" s="6"/>
      <c r="TBE36" s="6"/>
      <c r="TBF36" s="6"/>
      <c r="TBG36" s="6"/>
      <c r="TBH36" s="6"/>
      <c r="TBI36" s="6"/>
      <c r="TBJ36" s="6"/>
      <c r="TBK36" s="6"/>
      <c r="TBL36" s="6"/>
      <c r="TBM36" s="6"/>
      <c r="TBN36" s="6"/>
      <c r="TBO36" s="6"/>
      <c r="TBP36" s="6"/>
      <c r="TBQ36" s="6"/>
      <c r="TBR36" s="6"/>
      <c r="TBS36" s="6"/>
      <c r="TBT36" s="6"/>
      <c r="TBU36" s="6"/>
      <c r="TBV36" s="6"/>
      <c r="TBW36" s="6"/>
      <c r="TBX36" s="6"/>
      <c r="TBY36" s="6"/>
      <c r="TBZ36" s="6"/>
      <c r="TCA36" s="6"/>
      <c r="TCB36" s="6"/>
      <c r="TCC36" s="6"/>
      <c r="TCD36" s="6"/>
      <c r="TCE36" s="6"/>
      <c r="TCF36" s="6"/>
      <c r="TCG36" s="6"/>
      <c r="TCH36" s="6"/>
      <c r="TCI36" s="6"/>
      <c r="TCJ36" s="6"/>
      <c r="TCK36" s="6"/>
      <c r="TCL36" s="6"/>
      <c r="TCM36" s="6"/>
      <c r="TCN36" s="6"/>
      <c r="TCO36" s="6"/>
      <c r="TCP36" s="6"/>
      <c r="TCQ36" s="6"/>
      <c r="TCR36" s="6"/>
      <c r="TCS36" s="6"/>
      <c r="TCT36" s="6"/>
      <c r="TCU36" s="6"/>
      <c r="TCV36" s="6"/>
      <c r="TCW36" s="6"/>
      <c r="TCX36" s="6"/>
      <c r="TCY36" s="6"/>
      <c r="TCZ36" s="6"/>
      <c r="TDA36" s="6"/>
      <c r="TDB36" s="6"/>
      <c r="TDC36" s="6"/>
      <c r="TDD36" s="6"/>
      <c r="TDE36" s="6"/>
      <c r="TDF36" s="6"/>
      <c r="TDG36" s="6"/>
      <c r="TDH36" s="6"/>
      <c r="TDI36" s="6"/>
      <c r="TDJ36" s="6"/>
      <c r="TDK36" s="6"/>
      <c r="TDL36" s="6"/>
      <c r="TDM36" s="6"/>
      <c r="TDN36" s="6"/>
      <c r="TDO36" s="6"/>
      <c r="TDP36" s="6"/>
      <c r="TDQ36" s="6"/>
      <c r="TDR36" s="6"/>
      <c r="TDS36" s="6"/>
      <c r="TDT36" s="6"/>
      <c r="TDU36" s="6"/>
      <c r="TDV36" s="6"/>
      <c r="TDW36" s="6"/>
      <c r="TDX36" s="6"/>
      <c r="TDY36" s="6"/>
      <c r="TDZ36" s="6"/>
      <c r="TEA36" s="6"/>
      <c r="TEB36" s="6"/>
      <c r="TEC36" s="6"/>
      <c r="TED36" s="6"/>
      <c r="TEE36" s="6"/>
      <c r="TEF36" s="6"/>
      <c r="TEG36" s="6"/>
      <c r="TEH36" s="6"/>
      <c r="TEI36" s="6"/>
      <c r="TEJ36" s="6"/>
      <c r="TEK36" s="6"/>
      <c r="TEL36" s="6"/>
      <c r="TEM36" s="6"/>
      <c r="TEN36" s="6"/>
      <c r="TEO36" s="6"/>
      <c r="TEP36" s="6"/>
      <c r="TEQ36" s="6"/>
      <c r="TER36" s="6"/>
      <c r="TES36" s="6"/>
      <c r="TET36" s="6"/>
      <c r="TEU36" s="6"/>
      <c r="TEV36" s="6"/>
      <c r="TEW36" s="6"/>
      <c r="TEX36" s="6"/>
      <c r="TEY36" s="6"/>
      <c r="TEZ36" s="6"/>
      <c r="TFA36" s="6"/>
      <c r="TFB36" s="6"/>
      <c r="TFC36" s="6"/>
      <c r="TFD36" s="6"/>
      <c r="TFE36" s="6"/>
      <c r="TFF36" s="6"/>
      <c r="TFG36" s="6"/>
      <c r="TFH36" s="6"/>
      <c r="TFI36" s="6"/>
      <c r="TFJ36" s="6"/>
      <c r="TFK36" s="6"/>
      <c r="TFL36" s="6"/>
      <c r="TFM36" s="6"/>
      <c r="TFN36" s="6"/>
      <c r="TFO36" s="6"/>
      <c r="TFP36" s="6"/>
      <c r="TFQ36" s="6"/>
      <c r="TFR36" s="6"/>
      <c r="TFS36" s="6"/>
      <c r="TFT36" s="6"/>
      <c r="TFU36" s="6"/>
      <c r="TFV36" s="6"/>
      <c r="TFW36" s="6"/>
      <c r="TFX36" s="6"/>
      <c r="TFY36" s="6"/>
      <c r="TFZ36" s="6"/>
      <c r="TGA36" s="6"/>
      <c r="TGB36" s="6"/>
      <c r="TGC36" s="6"/>
      <c r="TGD36" s="6"/>
      <c r="TGE36" s="6"/>
      <c r="TGF36" s="6"/>
      <c r="TGG36" s="6"/>
      <c r="TGH36" s="6"/>
      <c r="TGI36" s="6"/>
      <c r="TGJ36" s="6"/>
      <c r="TGK36" s="6"/>
      <c r="TGL36" s="6"/>
      <c r="TGM36" s="6"/>
      <c r="TGN36" s="6"/>
      <c r="TGO36" s="6"/>
      <c r="TGP36" s="6"/>
      <c r="TGQ36" s="6"/>
      <c r="TGR36" s="6"/>
      <c r="TGS36" s="6"/>
      <c r="TGT36" s="6"/>
      <c r="TGU36" s="6"/>
      <c r="TGV36" s="6"/>
      <c r="TGW36" s="6"/>
      <c r="TGX36" s="6"/>
      <c r="TGY36" s="6"/>
      <c r="TGZ36" s="6"/>
      <c r="THA36" s="6"/>
      <c r="THB36" s="6"/>
      <c r="THC36" s="6"/>
      <c r="THD36" s="6"/>
      <c r="THE36" s="6"/>
      <c r="THF36" s="6"/>
      <c r="THG36" s="6"/>
      <c r="THH36" s="6"/>
      <c r="THI36" s="6"/>
      <c r="THJ36" s="6"/>
      <c r="THK36" s="6"/>
      <c r="THL36" s="6"/>
      <c r="THM36" s="6"/>
      <c r="THN36" s="6"/>
      <c r="THO36" s="6"/>
      <c r="THP36" s="6"/>
      <c r="THQ36" s="6"/>
      <c r="THR36" s="6"/>
      <c r="THS36" s="6"/>
      <c r="THT36" s="6"/>
      <c r="THU36" s="6"/>
      <c r="THV36" s="6"/>
      <c r="THW36" s="6"/>
      <c r="THX36" s="6"/>
      <c r="THY36" s="6"/>
      <c r="THZ36" s="6"/>
      <c r="TIA36" s="6"/>
      <c r="TIB36" s="6"/>
      <c r="TIC36" s="6"/>
      <c r="TID36" s="6"/>
      <c r="TIE36" s="6"/>
      <c r="TIF36" s="6"/>
      <c r="TIG36" s="6"/>
      <c r="TIH36" s="6"/>
      <c r="TII36" s="6"/>
      <c r="TIJ36" s="6"/>
      <c r="TIK36" s="6"/>
      <c r="TIL36" s="6"/>
      <c r="TIM36" s="6"/>
      <c r="TIN36" s="6"/>
      <c r="TIO36" s="6"/>
      <c r="TIP36" s="6"/>
      <c r="TIQ36" s="6"/>
      <c r="TIR36" s="6"/>
      <c r="TIS36" s="6"/>
      <c r="TIT36" s="6"/>
      <c r="TIU36" s="6"/>
      <c r="TIV36" s="6"/>
      <c r="TIW36" s="6"/>
      <c r="TIX36" s="6"/>
      <c r="TIY36" s="6"/>
      <c r="TIZ36" s="6"/>
      <c r="TJA36" s="6"/>
      <c r="TJB36" s="6"/>
      <c r="TJC36" s="6"/>
      <c r="TJD36" s="6"/>
      <c r="TJE36" s="6"/>
      <c r="TJF36" s="6"/>
      <c r="TJG36" s="6"/>
      <c r="TJH36" s="6"/>
      <c r="TJI36" s="6"/>
      <c r="TJJ36" s="6"/>
      <c r="TJK36" s="6"/>
      <c r="TJL36" s="6"/>
      <c r="TJM36" s="6"/>
      <c r="TJN36" s="6"/>
      <c r="TJO36" s="6"/>
      <c r="TJP36" s="6"/>
      <c r="TJQ36" s="6"/>
      <c r="TJR36" s="6"/>
      <c r="TJS36" s="6"/>
      <c r="TJT36" s="6"/>
      <c r="TJU36" s="6"/>
      <c r="TJV36" s="6"/>
      <c r="TJW36" s="6"/>
      <c r="TJX36" s="6"/>
      <c r="TJY36" s="6"/>
      <c r="TJZ36" s="6"/>
      <c r="TKA36" s="6"/>
      <c r="TKB36" s="6"/>
      <c r="TKC36" s="6"/>
      <c r="TKD36" s="6"/>
      <c r="TKE36" s="6"/>
      <c r="TKF36" s="6"/>
      <c r="TKG36" s="6"/>
      <c r="TKH36" s="6"/>
      <c r="TKI36" s="6"/>
      <c r="TKJ36" s="6"/>
      <c r="TKK36" s="6"/>
      <c r="TKL36" s="6"/>
      <c r="TKM36" s="6"/>
      <c r="TKN36" s="6"/>
      <c r="TKO36" s="6"/>
      <c r="TKP36" s="6"/>
      <c r="TKQ36" s="6"/>
      <c r="TKR36" s="6"/>
      <c r="TKS36" s="6"/>
      <c r="TKT36" s="6"/>
      <c r="TKU36" s="6"/>
      <c r="TKV36" s="6"/>
      <c r="TKW36" s="6"/>
      <c r="TKX36" s="6"/>
      <c r="TKY36" s="6"/>
      <c r="TKZ36" s="6"/>
      <c r="TLA36" s="6"/>
      <c r="TLB36" s="6"/>
      <c r="TLC36" s="6"/>
      <c r="TLD36" s="6"/>
      <c r="TLE36" s="6"/>
      <c r="TLF36" s="6"/>
      <c r="TLG36" s="6"/>
      <c r="TLH36" s="6"/>
      <c r="TLI36" s="6"/>
      <c r="TLJ36" s="6"/>
      <c r="TLK36" s="6"/>
      <c r="TLL36" s="6"/>
      <c r="TLM36" s="6"/>
      <c r="TLN36" s="6"/>
      <c r="TLO36" s="6"/>
      <c r="TLP36" s="6"/>
      <c r="TLQ36" s="6"/>
      <c r="TLR36" s="6"/>
      <c r="TLS36" s="6"/>
      <c r="TLT36" s="6"/>
      <c r="TLU36" s="6"/>
      <c r="TLV36" s="6"/>
      <c r="TLW36" s="6"/>
      <c r="TLX36" s="6"/>
      <c r="TLY36" s="6"/>
      <c r="TLZ36" s="6"/>
      <c r="TMA36" s="6"/>
      <c r="TMB36" s="6"/>
      <c r="TMC36" s="6"/>
      <c r="TMD36" s="6"/>
      <c r="TME36" s="6"/>
      <c r="TMF36" s="6"/>
      <c r="TMG36" s="6"/>
      <c r="TMH36" s="6"/>
      <c r="TMI36" s="6"/>
      <c r="TMJ36" s="6"/>
      <c r="TMK36" s="6"/>
      <c r="TML36" s="6"/>
      <c r="TMM36" s="6"/>
      <c r="TMN36" s="6"/>
      <c r="TMO36" s="6"/>
      <c r="TMP36" s="6"/>
      <c r="TMQ36" s="6"/>
      <c r="TMR36" s="6"/>
      <c r="TMS36" s="6"/>
      <c r="TMT36" s="6"/>
      <c r="TMU36" s="6"/>
      <c r="TMV36" s="6"/>
      <c r="TMW36" s="6"/>
      <c r="TMX36" s="6"/>
      <c r="TMY36" s="6"/>
      <c r="TMZ36" s="6"/>
      <c r="TNA36" s="6"/>
      <c r="TNB36" s="6"/>
      <c r="TNC36" s="6"/>
      <c r="TND36" s="6"/>
      <c r="TNE36" s="6"/>
      <c r="TNF36" s="6"/>
      <c r="TNG36" s="6"/>
      <c r="TNH36" s="6"/>
      <c r="TNI36" s="6"/>
      <c r="TNJ36" s="6"/>
      <c r="TNK36" s="6"/>
      <c r="TNL36" s="6"/>
      <c r="TNM36" s="6"/>
      <c r="TNN36" s="6"/>
      <c r="TNO36" s="6"/>
      <c r="TNP36" s="6"/>
      <c r="TNQ36" s="6"/>
      <c r="TNR36" s="6"/>
      <c r="TNS36" s="6"/>
      <c r="TNT36" s="6"/>
      <c r="TNU36" s="6"/>
      <c r="TNV36" s="6"/>
      <c r="TNW36" s="6"/>
      <c r="TNX36" s="6"/>
      <c r="TNY36" s="6"/>
      <c r="TNZ36" s="6"/>
      <c r="TOA36" s="6"/>
      <c r="TOB36" s="6"/>
      <c r="TOC36" s="6"/>
      <c r="TOD36" s="6"/>
      <c r="TOE36" s="6"/>
      <c r="TOF36" s="6"/>
      <c r="TOG36" s="6"/>
      <c r="TOH36" s="6"/>
      <c r="TOI36" s="6"/>
      <c r="TOJ36" s="6"/>
      <c r="TOK36" s="6"/>
      <c r="TOL36" s="6"/>
      <c r="TOM36" s="6"/>
      <c r="TON36" s="6"/>
      <c r="TOO36" s="6"/>
      <c r="TOP36" s="6"/>
      <c r="TOQ36" s="6"/>
      <c r="TOR36" s="6"/>
      <c r="TOS36" s="6"/>
      <c r="TOT36" s="6"/>
      <c r="TOU36" s="6"/>
      <c r="TOV36" s="6"/>
      <c r="TOW36" s="6"/>
      <c r="TOX36" s="6"/>
      <c r="TOY36" s="6"/>
      <c r="TOZ36" s="6"/>
      <c r="TPA36" s="6"/>
      <c r="TPB36" s="6"/>
      <c r="TPC36" s="6"/>
      <c r="TPD36" s="6"/>
      <c r="TPE36" s="6"/>
      <c r="TPF36" s="6"/>
      <c r="TPG36" s="6"/>
      <c r="TPH36" s="6"/>
      <c r="TPI36" s="6"/>
      <c r="TPJ36" s="6"/>
      <c r="TPK36" s="6"/>
      <c r="TPL36" s="6"/>
      <c r="TPM36" s="6"/>
      <c r="TPN36" s="6"/>
      <c r="TPO36" s="6"/>
      <c r="TPP36" s="6"/>
      <c r="TPQ36" s="6"/>
      <c r="TPR36" s="6"/>
      <c r="TPS36" s="6"/>
      <c r="TPT36" s="6"/>
      <c r="TPU36" s="6"/>
      <c r="TPV36" s="6"/>
      <c r="TPW36" s="6"/>
      <c r="TPX36" s="6"/>
      <c r="TPY36" s="6"/>
      <c r="TPZ36" s="6"/>
      <c r="TQA36" s="6"/>
      <c r="TQB36" s="6"/>
      <c r="TQC36" s="6"/>
      <c r="TQD36" s="6"/>
      <c r="TQE36" s="6"/>
      <c r="TQF36" s="6"/>
      <c r="TQG36" s="6"/>
      <c r="TQH36" s="6"/>
      <c r="TQI36" s="6"/>
      <c r="TQJ36" s="6"/>
      <c r="TQK36" s="6"/>
      <c r="TQL36" s="6"/>
      <c r="TQM36" s="6"/>
      <c r="TQN36" s="6"/>
      <c r="TQO36" s="6"/>
      <c r="TQP36" s="6"/>
      <c r="TQQ36" s="6"/>
      <c r="TQR36" s="6"/>
      <c r="TQS36" s="6"/>
      <c r="TQT36" s="6"/>
      <c r="TQU36" s="6"/>
      <c r="TQV36" s="6"/>
      <c r="TQW36" s="6"/>
      <c r="TQX36" s="6"/>
      <c r="TQY36" s="6"/>
      <c r="TQZ36" s="6"/>
      <c r="TRA36" s="6"/>
      <c r="TRB36" s="6"/>
      <c r="TRC36" s="6"/>
      <c r="TRD36" s="6"/>
      <c r="TRE36" s="6"/>
      <c r="TRF36" s="6"/>
      <c r="TRG36" s="6"/>
      <c r="TRH36" s="6"/>
      <c r="TRI36" s="6"/>
      <c r="TRJ36" s="6"/>
      <c r="TRK36" s="6"/>
      <c r="TRL36" s="6"/>
      <c r="TRM36" s="6"/>
      <c r="TRN36" s="6"/>
      <c r="TRO36" s="6"/>
      <c r="TRP36" s="6"/>
      <c r="TRQ36" s="6"/>
      <c r="TRR36" s="6"/>
      <c r="TRS36" s="6"/>
      <c r="TRT36" s="6"/>
      <c r="TRU36" s="6"/>
      <c r="TRV36" s="6"/>
      <c r="TRW36" s="6"/>
      <c r="TRX36" s="6"/>
      <c r="TRY36" s="6"/>
      <c r="TRZ36" s="6"/>
      <c r="TSA36" s="6"/>
      <c r="TSB36" s="6"/>
      <c r="TSC36" s="6"/>
      <c r="TSD36" s="6"/>
      <c r="TSE36" s="6"/>
      <c r="TSF36" s="6"/>
      <c r="TSG36" s="6"/>
      <c r="TSH36" s="6"/>
      <c r="TSI36" s="6"/>
      <c r="TSJ36" s="6"/>
      <c r="TSK36" s="6"/>
      <c r="TSL36" s="6"/>
      <c r="TSM36" s="6"/>
      <c r="TSN36" s="6"/>
      <c r="TSO36" s="6"/>
      <c r="TSP36" s="6"/>
      <c r="TSQ36" s="6"/>
      <c r="TSR36" s="6"/>
      <c r="TSS36" s="6"/>
      <c r="TST36" s="6"/>
      <c r="TSU36" s="6"/>
      <c r="TSV36" s="6"/>
      <c r="TSW36" s="6"/>
      <c r="TSX36" s="6"/>
      <c r="TSY36" s="6"/>
      <c r="TSZ36" s="6"/>
      <c r="TTA36" s="6"/>
      <c r="TTB36" s="6"/>
      <c r="TTC36" s="6"/>
      <c r="TTD36" s="6"/>
      <c r="TTE36" s="6"/>
      <c r="TTF36" s="6"/>
      <c r="TTG36" s="6"/>
      <c r="TTH36" s="6"/>
      <c r="TTI36" s="6"/>
      <c r="TTJ36" s="6"/>
      <c r="TTK36" s="6"/>
      <c r="TTL36" s="6"/>
      <c r="TTM36" s="6"/>
      <c r="TTN36" s="6"/>
      <c r="TTO36" s="6"/>
      <c r="TTP36" s="6"/>
      <c r="TTQ36" s="6"/>
      <c r="TTR36" s="6"/>
      <c r="TTS36" s="6"/>
      <c r="TTT36" s="6"/>
      <c r="TTU36" s="6"/>
      <c r="TTV36" s="6"/>
      <c r="TTW36" s="6"/>
      <c r="TTX36" s="6"/>
      <c r="TTY36" s="6"/>
      <c r="TTZ36" s="6"/>
      <c r="TUA36" s="6"/>
      <c r="TUB36" s="6"/>
      <c r="TUC36" s="6"/>
      <c r="TUD36" s="6"/>
      <c r="TUE36" s="6"/>
      <c r="TUF36" s="6"/>
      <c r="TUG36" s="6"/>
      <c r="TUH36" s="6"/>
      <c r="TUI36" s="6"/>
      <c r="TUJ36" s="6"/>
      <c r="TUK36" s="6"/>
      <c r="TUL36" s="6"/>
      <c r="TUM36" s="6"/>
      <c r="TUN36" s="6"/>
      <c r="TUO36" s="6"/>
      <c r="TUP36" s="6"/>
      <c r="TUQ36" s="6"/>
      <c r="TUR36" s="6"/>
      <c r="TUS36" s="6"/>
      <c r="TUT36" s="6"/>
      <c r="TUU36" s="6"/>
      <c r="TUV36" s="6"/>
      <c r="TUW36" s="6"/>
      <c r="TUX36" s="6"/>
      <c r="TUY36" s="6"/>
      <c r="TUZ36" s="6"/>
      <c r="TVA36" s="6"/>
      <c r="TVB36" s="6"/>
      <c r="TVC36" s="6"/>
      <c r="TVD36" s="6"/>
      <c r="TVE36" s="6"/>
      <c r="TVF36" s="6"/>
      <c r="TVG36" s="6"/>
      <c r="TVH36" s="6"/>
      <c r="TVI36" s="6"/>
      <c r="TVJ36" s="6"/>
      <c r="TVK36" s="6"/>
      <c r="TVL36" s="6"/>
      <c r="TVM36" s="6"/>
      <c r="TVN36" s="6"/>
      <c r="TVO36" s="6"/>
      <c r="TVP36" s="6"/>
      <c r="TVQ36" s="6"/>
      <c r="TVR36" s="6"/>
      <c r="TVS36" s="6"/>
      <c r="TVT36" s="6"/>
      <c r="TVU36" s="6"/>
      <c r="TVV36" s="6"/>
      <c r="TVW36" s="6"/>
      <c r="TVX36" s="6"/>
      <c r="TVY36" s="6"/>
      <c r="TVZ36" s="6"/>
      <c r="TWA36" s="6"/>
      <c r="TWB36" s="6"/>
      <c r="TWC36" s="6"/>
      <c r="TWD36" s="6"/>
      <c r="TWE36" s="6"/>
      <c r="TWF36" s="6"/>
      <c r="TWG36" s="6"/>
      <c r="TWH36" s="6"/>
      <c r="TWI36" s="6"/>
      <c r="TWJ36" s="6"/>
      <c r="TWK36" s="6"/>
      <c r="TWL36" s="6"/>
      <c r="TWM36" s="6"/>
      <c r="TWN36" s="6"/>
      <c r="TWO36" s="6"/>
      <c r="TWP36" s="6"/>
      <c r="TWQ36" s="6"/>
      <c r="TWR36" s="6"/>
      <c r="TWS36" s="6"/>
      <c r="TWT36" s="6"/>
      <c r="TWU36" s="6"/>
      <c r="TWV36" s="6"/>
      <c r="TWW36" s="6"/>
      <c r="TWX36" s="6"/>
      <c r="TWY36" s="6"/>
      <c r="TWZ36" s="6"/>
      <c r="TXA36" s="6"/>
      <c r="TXB36" s="6"/>
      <c r="TXC36" s="6"/>
      <c r="TXD36" s="6"/>
      <c r="TXE36" s="6"/>
      <c r="TXF36" s="6"/>
      <c r="TXG36" s="6"/>
      <c r="TXH36" s="6"/>
      <c r="TXI36" s="6"/>
      <c r="TXJ36" s="6"/>
      <c r="TXK36" s="6"/>
      <c r="TXL36" s="6"/>
      <c r="TXM36" s="6"/>
      <c r="TXN36" s="6"/>
      <c r="TXO36" s="6"/>
      <c r="TXP36" s="6"/>
      <c r="TXQ36" s="6"/>
      <c r="TXR36" s="6"/>
      <c r="TXS36" s="6"/>
      <c r="TXT36" s="6"/>
      <c r="TXU36" s="6"/>
      <c r="TXV36" s="6"/>
      <c r="TXW36" s="6"/>
      <c r="TXX36" s="6"/>
      <c r="TXY36" s="6"/>
      <c r="TXZ36" s="6"/>
      <c r="TYA36" s="6"/>
      <c r="TYB36" s="6"/>
      <c r="TYC36" s="6"/>
      <c r="TYD36" s="6"/>
      <c r="TYE36" s="6"/>
      <c r="TYF36" s="6"/>
      <c r="TYG36" s="6"/>
      <c r="TYH36" s="6"/>
      <c r="TYI36" s="6"/>
      <c r="TYJ36" s="6"/>
      <c r="TYK36" s="6"/>
      <c r="TYL36" s="6"/>
      <c r="TYM36" s="6"/>
      <c r="TYN36" s="6"/>
      <c r="TYO36" s="6"/>
      <c r="TYP36" s="6"/>
      <c r="TYQ36" s="6"/>
      <c r="TYR36" s="6"/>
      <c r="TYS36" s="6"/>
      <c r="TYT36" s="6"/>
      <c r="TYU36" s="6"/>
      <c r="TYV36" s="6"/>
      <c r="TYW36" s="6"/>
      <c r="TYX36" s="6"/>
      <c r="TYY36" s="6"/>
      <c r="TYZ36" s="6"/>
      <c r="TZA36" s="6"/>
      <c r="TZB36" s="6"/>
      <c r="TZC36" s="6"/>
      <c r="TZD36" s="6"/>
      <c r="TZE36" s="6"/>
      <c r="TZF36" s="6"/>
      <c r="TZG36" s="6"/>
      <c r="TZH36" s="6"/>
      <c r="TZI36" s="6"/>
      <c r="TZJ36" s="6"/>
      <c r="TZK36" s="6"/>
      <c r="TZL36" s="6"/>
      <c r="TZM36" s="6"/>
      <c r="TZN36" s="6"/>
      <c r="TZO36" s="6"/>
      <c r="TZP36" s="6"/>
      <c r="TZQ36" s="6"/>
      <c r="TZR36" s="6"/>
      <c r="TZS36" s="6"/>
      <c r="TZT36" s="6"/>
      <c r="TZU36" s="6"/>
      <c r="TZV36" s="6"/>
      <c r="TZW36" s="6"/>
      <c r="TZX36" s="6"/>
      <c r="TZY36" s="6"/>
      <c r="TZZ36" s="6"/>
      <c r="UAA36" s="6"/>
      <c r="UAB36" s="6"/>
      <c r="UAC36" s="6"/>
      <c r="UAD36" s="6"/>
      <c r="UAE36" s="6"/>
      <c r="UAF36" s="6"/>
      <c r="UAG36" s="6"/>
      <c r="UAH36" s="6"/>
      <c r="UAI36" s="6"/>
      <c r="UAJ36" s="6"/>
      <c r="UAK36" s="6"/>
      <c r="UAL36" s="6"/>
      <c r="UAM36" s="6"/>
      <c r="UAN36" s="6"/>
      <c r="UAO36" s="6"/>
      <c r="UAP36" s="6"/>
      <c r="UAQ36" s="6"/>
      <c r="UAR36" s="6"/>
      <c r="UAS36" s="6"/>
      <c r="UAT36" s="6"/>
      <c r="UAU36" s="6"/>
      <c r="UAV36" s="6"/>
      <c r="UAW36" s="6"/>
      <c r="UAX36" s="6"/>
      <c r="UAY36" s="6"/>
      <c r="UAZ36" s="6"/>
      <c r="UBA36" s="6"/>
      <c r="UBB36" s="6"/>
      <c r="UBC36" s="6"/>
      <c r="UBD36" s="6"/>
      <c r="UBE36" s="6"/>
      <c r="UBF36" s="6"/>
      <c r="UBG36" s="6"/>
      <c r="UBH36" s="6"/>
      <c r="UBI36" s="6"/>
      <c r="UBJ36" s="6"/>
      <c r="UBK36" s="6"/>
      <c r="UBL36" s="6"/>
      <c r="UBM36" s="6"/>
      <c r="UBN36" s="6"/>
      <c r="UBO36" s="6"/>
      <c r="UBP36" s="6"/>
      <c r="UBQ36" s="6"/>
      <c r="UBR36" s="6"/>
      <c r="UBS36" s="6"/>
      <c r="UBT36" s="6"/>
      <c r="UBU36" s="6"/>
      <c r="UBV36" s="6"/>
      <c r="UBW36" s="6"/>
      <c r="UBX36" s="6"/>
      <c r="UBY36" s="6"/>
      <c r="UBZ36" s="6"/>
      <c r="UCA36" s="6"/>
      <c r="UCB36" s="6"/>
      <c r="UCC36" s="6"/>
      <c r="UCD36" s="6"/>
      <c r="UCE36" s="6"/>
      <c r="UCF36" s="6"/>
      <c r="UCG36" s="6"/>
      <c r="UCH36" s="6"/>
      <c r="UCI36" s="6"/>
      <c r="UCJ36" s="6"/>
      <c r="UCK36" s="6"/>
      <c r="UCL36" s="6"/>
      <c r="UCM36" s="6"/>
      <c r="UCN36" s="6"/>
      <c r="UCO36" s="6"/>
      <c r="UCP36" s="6"/>
      <c r="UCQ36" s="6"/>
      <c r="UCR36" s="6"/>
      <c r="UCS36" s="6"/>
      <c r="UCT36" s="6"/>
      <c r="UCU36" s="6"/>
      <c r="UCV36" s="6"/>
      <c r="UCW36" s="6"/>
      <c r="UCX36" s="6"/>
      <c r="UCY36" s="6"/>
      <c r="UCZ36" s="6"/>
      <c r="UDA36" s="6"/>
      <c r="UDB36" s="6"/>
      <c r="UDC36" s="6"/>
      <c r="UDD36" s="6"/>
      <c r="UDE36" s="6"/>
      <c r="UDF36" s="6"/>
      <c r="UDG36" s="6"/>
      <c r="UDH36" s="6"/>
      <c r="UDI36" s="6"/>
      <c r="UDJ36" s="6"/>
      <c r="UDK36" s="6"/>
      <c r="UDL36" s="6"/>
      <c r="UDM36" s="6"/>
      <c r="UDN36" s="6"/>
      <c r="UDO36" s="6"/>
      <c r="UDP36" s="6"/>
      <c r="UDQ36" s="6"/>
      <c r="UDR36" s="6"/>
      <c r="UDS36" s="6"/>
      <c r="UDT36" s="6"/>
      <c r="UDU36" s="6"/>
      <c r="UDV36" s="6"/>
      <c r="UDW36" s="6"/>
      <c r="UDX36" s="6"/>
      <c r="UDY36" s="6"/>
      <c r="UDZ36" s="6"/>
      <c r="UEA36" s="6"/>
      <c r="UEB36" s="6"/>
      <c r="UEC36" s="6"/>
      <c r="UED36" s="6"/>
      <c r="UEE36" s="6"/>
      <c r="UEF36" s="6"/>
      <c r="UEG36" s="6"/>
      <c r="UEH36" s="6"/>
      <c r="UEI36" s="6"/>
      <c r="UEJ36" s="6"/>
      <c r="UEK36" s="6"/>
      <c r="UEL36" s="6"/>
      <c r="UEM36" s="6"/>
      <c r="UEN36" s="6"/>
      <c r="UEO36" s="6"/>
      <c r="UEP36" s="6"/>
      <c r="UEQ36" s="6"/>
      <c r="UER36" s="6"/>
      <c r="UES36" s="6"/>
      <c r="UET36" s="6"/>
      <c r="UEU36" s="6"/>
      <c r="UEV36" s="6"/>
      <c r="UEW36" s="6"/>
      <c r="UEX36" s="6"/>
      <c r="UEY36" s="6"/>
      <c r="UEZ36" s="6"/>
      <c r="UFA36" s="6"/>
      <c r="UFB36" s="6"/>
      <c r="UFC36" s="6"/>
      <c r="UFD36" s="6"/>
      <c r="UFE36" s="6"/>
      <c r="UFF36" s="6"/>
      <c r="UFG36" s="6"/>
      <c r="UFH36" s="6"/>
      <c r="UFI36" s="6"/>
      <c r="UFJ36" s="6"/>
      <c r="UFK36" s="6"/>
      <c r="UFL36" s="6"/>
      <c r="UFM36" s="6"/>
      <c r="UFN36" s="6"/>
      <c r="UFO36" s="6"/>
      <c r="UFP36" s="6"/>
      <c r="UFQ36" s="6"/>
      <c r="UFR36" s="6"/>
      <c r="UFS36" s="6"/>
      <c r="UFT36" s="6"/>
      <c r="UFU36" s="6"/>
      <c r="UFV36" s="6"/>
      <c r="UFW36" s="6"/>
      <c r="UFX36" s="6"/>
      <c r="UFY36" s="6"/>
      <c r="UFZ36" s="6"/>
      <c r="UGA36" s="6"/>
      <c r="UGB36" s="6"/>
      <c r="UGC36" s="6"/>
      <c r="UGD36" s="6"/>
      <c r="UGE36" s="6"/>
      <c r="UGF36" s="6"/>
      <c r="UGG36" s="6"/>
      <c r="UGH36" s="6"/>
      <c r="UGI36" s="6"/>
      <c r="UGJ36" s="6"/>
      <c r="UGK36" s="6"/>
      <c r="UGL36" s="6"/>
      <c r="UGM36" s="6"/>
      <c r="UGN36" s="6"/>
      <c r="UGO36" s="6"/>
      <c r="UGP36" s="6"/>
      <c r="UGQ36" s="6"/>
      <c r="UGR36" s="6"/>
      <c r="UGS36" s="6"/>
      <c r="UGT36" s="6"/>
      <c r="UGU36" s="6"/>
      <c r="UGV36" s="6"/>
      <c r="UGW36" s="6"/>
      <c r="UGX36" s="6"/>
      <c r="UGY36" s="6"/>
      <c r="UGZ36" s="6"/>
      <c r="UHA36" s="6"/>
      <c r="UHB36" s="6"/>
      <c r="UHC36" s="6"/>
      <c r="UHD36" s="6"/>
      <c r="UHE36" s="6"/>
      <c r="UHF36" s="6"/>
      <c r="UHG36" s="6"/>
      <c r="UHH36" s="6"/>
      <c r="UHI36" s="6"/>
      <c r="UHJ36" s="6"/>
      <c r="UHK36" s="6"/>
      <c r="UHL36" s="6"/>
      <c r="UHM36" s="6"/>
      <c r="UHN36" s="6"/>
      <c r="UHO36" s="6"/>
      <c r="UHP36" s="6"/>
      <c r="UHQ36" s="6"/>
      <c r="UHR36" s="6"/>
      <c r="UHS36" s="6"/>
      <c r="UHT36" s="6"/>
      <c r="UHU36" s="6"/>
      <c r="UHV36" s="6"/>
      <c r="UHW36" s="6"/>
      <c r="UHX36" s="6"/>
      <c r="UHY36" s="6"/>
      <c r="UHZ36" s="6"/>
      <c r="UIA36" s="6"/>
      <c r="UIB36" s="6"/>
      <c r="UIC36" s="6"/>
      <c r="UID36" s="6"/>
      <c r="UIE36" s="6"/>
      <c r="UIF36" s="6"/>
      <c r="UIG36" s="6"/>
      <c r="UIH36" s="6"/>
      <c r="UII36" s="6"/>
      <c r="UIJ36" s="6"/>
      <c r="UIK36" s="6"/>
      <c r="UIL36" s="6"/>
      <c r="UIM36" s="6"/>
      <c r="UIN36" s="6"/>
      <c r="UIO36" s="6"/>
      <c r="UIP36" s="6"/>
      <c r="UIQ36" s="6"/>
      <c r="UIR36" s="6"/>
      <c r="UIS36" s="6"/>
      <c r="UIT36" s="6"/>
      <c r="UIU36" s="6"/>
      <c r="UIV36" s="6"/>
      <c r="UIW36" s="6"/>
      <c r="UIX36" s="6"/>
      <c r="UIY36" s="6"/>
      <c r="UIZ36" s="6"/>
      <c r="UJA36" s="6"/>
      <c r="UJB36" s="6"/>
      <c r="UJC36" s="6"/>
      <c r="UJD36" s="6"/>
      <c r="UJE36" s="6"/>
      <c r="UJF36" s="6"/>
      <c r="UJG36" s="6"/>
      <c r="UJH36" s="6"/>
      <c r="UJI36" s="6"/>
      <c r="UJJ36" s="6"/>
      <c r="UJK36" s="6"/>
      <c r="UJL36" s="6"/>
      <c r="UJM36" s="6"/>
      <c r="UJN36" s="6"/>
      <c r="UJO36" s="6"/>
      <c r="UJP36" s="6"/>
      <c r="UJQ36" s="6"/>
      <c r="UJR36" s="6"/>
      <c r="UJS36" s="6"/>
      <c r="UJT36" s="6"/>
      <c r="UJU36" s="6"/>
      <c r="UJV36" s="6"/>
      <c r="UJW36" s="6"/>
      <c r="UJX36" s="6"/>
      <c r="UJY36" s="6"/>
      <c r="UJZ36" s="6"/>
      <c r="UKA36" s="6"/>
      <c r="UKB36" s="6"/>
      <c r="UKC36" s="6"/>
      <c r="UKD36" s="6"/>
      <c r="UKE36" s="6"/>
      <c r="UKF36" s="6"/>
      <c r="UKG36" s="6"/>
      <c r="UKH36" s="6"/>
      <c r="UKI36" s="6"/>
      <c r="UKJ36" s="6"/>
      <c r="UKK36" s="6"/>
      <c r="UKL36" s="6"/>
      <c r="UKM36" s="6"/>
      <c r="UKN36" s="6"/>
      <c r="UKO36" s="6"/>
      <c r="UKP36" s="6"/>
      <c r="UKQ36" s="6"/>
      <c r="UKR36" s="6"/>
      <c r="UKS36" s="6"/>
      <c r="UKT36" s="6"/>
      <c r="UKU36" s="6"/>
      <c r="UKV36" s="6"/>
      <c r="UKW36" s="6"/>
      <c r="UKX36" s="6"/>
      <c r="UKY36" s="6"/>
      <c r="UKZ36" s="6"/>
      <c r="ULA36" s="6"/>
      <c r="ULB36" s="6"/>
      <c r="ULC36" s="6"/>
      <c r="ULD36" s="6"/>
      <c r="ULE36" s="6"/>
      <c r="ULF36" s="6"/>
      <c r="ULG36" s="6"/>
      <c r="ULH36" s="6"/>
      <c r="ULI36" s="6"/>
      <c r="ULJ36" s="6"/>
      <c r="ULK36" s="6"/>
      <c r="ULL36" s="6"/>
      <c r="ULM36" s="6"/>
      <c r="ULN36" s="6"/>
      <c r="ULO36" s="6"/>
      <c r="ULP36" s="6"/>
      <c r="ULQ36" s="6"/>
      <c r="ULR36" s="6"/>
      <c r="ULS36" s="6"/>
      <c r="ULT36" s="6"/>
      <c r="ULU36" s="6"/>
      <c r="ULV36" s="6"/>
      <c r="ULW36" s="6"/>
      <c r="ULX36" s="6"/>
      <c r="ULY36" s="6"/>
      <c r="ULZ36" s="6"/>
      <c r="UMA36" s="6"/>
      <c r="UMB36" s="6"/>
      <c r="UMC36" s="6"/>
      <c r="UMD36" s="6"/>
      <c r="UME36" s="6"/>
      <c r="UMF36" s="6"/>
      <c r="UMG36" s="6"/>
      <c r="UMH36" s="6"/>
      <c r="UMI36" s="6"/>
      <c r="UMJ36" s="6"/>
      <c r="UMK36" s="6"/>
      <c r="UML36" s="6"/>
      <c r="UMM36" s="6"/>
      <c r="UMN36" s="6"/>
      <c r="UMO36" s="6"/>
      <c r="UMP36" s="6"/>
      <c r="UMQ36" s="6"/>
      <c r="UMR36" s="6"/>
      <c r="UMS36" s="6"/>
      <c r="UMT36" s="6"/>
      <c r="UMU36" s="6"/>
      <c r="UMV36" s="6"/>
      <c r="UMW36" s="6"/>
      <c r="UMX36" s="6"/>
      <c r="UMY36" s="6"/>
      <c r="UMZ36" s="6"/>
      <c r="UNA36" s="6"/>
      <c r="UNB36" s="6"/>
      <c r="UNC36" s="6"/>
      <c r="UND36" s="6"/>
      <c r="UNE36" s="6"/>
      <c r="UNF36" s="6"/>
      <c r="UNG36" s="6"/>
      <c r="UNH36" s="6"/>
      <c r="UNI36" s="6"/>
      <c r="UNJ36" s="6"/>
      <c r="UNK36" s="6"/>
      <c r="UNL36" s="6"/>
      <c r="UNM36" s="6"/>
      <c r="UNN36" s="6"/>
      <c r="UNO36" s="6"/>
      <c r="UNP36" s="6"/>
      <c r="UNQ36" s="6"/>
      <c r="UNR36" s="6"/>
      <c r="UNS36" s="6"/>
      <c r="UNT36" s="6"/>
      <c r="UNU36" s="6"/>
      <c r="UNV36" s="6"/>
      <c r="UNW36" s="6"/>
      <c r="UNX36" s="6"/>
      <c r="UNY36" s="6"/>
      <c r="UNZ36" s="6"/>
      <c r="UOA36" s="6"/>
      <c r="UOB36" s="6"/>
      <c r="UOC36" s="6"/>
      <c r="UOD36" s="6"/>
      <c r="UOE36" s="6"/>
      <c r="UOF36" s="6"/>
      <c r="UOG36" s="6"/>
      <c r="UOH36" s="6"/>
      <c r="UOI36" s="6"/>
      <c r="UOJ36" s="6"/>
      <c r="UOK36" s="6"/>
      <c r="UOL36" s="6"/>
      <c r="UOM36" s="6"/>
      <c r="UON36" s="6"/>
      <c r="UOO36" s="6"/>
      <c r="UOP36" s="6"/>
      <c r="UOQ36" s="6"/>
      <c r="UOR36" s="6"/>
      <c r="UOS36" s="6"/>
      <c r="UOT36" s="6"/>
      <c r="UOU36" s="6"/>
      <c r="UOV36" s="6"/>
      <c r="UOW36" s="6"/>
      <c r="UOX36" s="6"/>
      <c r="UOY36" s="6"/>
      <c r="UOZ36" s="6"/>
      <c r="UPA36" s="6"/>
      <c r="UPB36" s="6"/>
      <c r="UPC36" s="6"/>
      <c r="UPD36" s="6"/>
      <c r="UPE36" s="6"/>
      <c r="UPF36" s="6"/>
      <c r="UPG36" s="6"/>
      <c r="UPH36" s="6"/>
      <c r="UPI36" s="6"/>
      <c r="UPJ36" s="6"/>
      <c r="UPK36" s="6"/>
      <c r="UPL36" s="6"/>
      <c r="UPM36" s="6"/>
      <c r="UPN36" s="6"/>
      <c r="UPO36" s="6"/>
      <c r="UPP36" s="6"/>
      <c r="UPQ36" s="6"/>
      <c r="UPR36" s="6"/>
      <c r="UPS36" s="6"/>
      <c r="UPT36" s="6"/>
      <c r="UPU36" s="6"/>
      <c r="UPV36" s="6"/>
      <c r="UPW36" s="6"/>
      <c r="UPX36" s="6"/>
      <c r="UPY36" s="6"/>
      <c r="UPZ36" s="6"/>
      <c r="UQA36" s="6"/>
      <c r="UQB36" s="6"/>
      <c r="UQC36" s="6"/>
      <c r="UQD36" s="6"/>
      <c r="UQE36" s="6"/>
      <c r="UQF36" s="6"/>
      <c r="UQG36" s="6"/>
      <c r="UQH36" s="6"/>
      <c r="UQI36" s="6"/>
      <c r="UQJ36" s="6"/>
      <c r="UQK36" s="6"/>
      <c r="UQL36" s="6"/>
      <c r="UQM36" s="6"/>
      <c r="UQN36" s="6"/>
      <c r="UQO36" s="6"/>
      <c r="UQP36" s="6"/>
      <c r="UQQ36" s="6"/>
      <c r="UQR36" s="6"/>
      <c r="UQS36" s="6"/>
      <c r="UQT36" s="6"/>
      <c r="UQU36" s="6"/>
      <c r="UQV36" s="6"/>
      <c r="UQW36" s="6"/>
      <c r="UQX36" s="6"/>
      <c r="UQY36" s="6"/>
      <c r="UQZ36" s="6"/>
      <c r="URA36" s="6"/>
      <c r="URB36" s="6"/>
      <c r="URC36" s="6"/>
      <c r="URD36" s="6"/>
      <c r="URE36" s="6"/>
      <c r="URF36" s="6"/>
      <c r="URG36" s="6"/>
      <c r="URH36" s="6"/>
      <c r="URI36" s="6"/>
      <c r="URJ36" s="6"/>
      <c r="URK36" s="6"/>
      <c r="URL36" s="6"/>
      <c r="URM36" s="6"/>
      <c r="URN36" s="6"/>
      <c r="URO36" s="6"/>
      <c r="URP36" s="6"/>
      <c r="URQ36" s="6"/>
      <c r="URR36" s="6"/>
      <c r="URS36" s="6"/>
      <c r="URT36" s="6"/>
      <c r="URU36" s="6"/>
      <c r="URV36" s="6"/>
      <c r="URW36" s="6"/>
      <c r="URX36" s="6"/>
      <c r="URY36" s="6"/>
      <c r="URZ36" s="6"/>
      <c r="USA36" s="6"/>
      <c r="USB36" s="6"/>
      <c r="USC36" s="6"/>
      <c r="USD36" s="6"/>
      <c r="USE36" s="6"/>
      <c r="USF36" s="6"/>
      <c r="USG36" s="6"/>
      <c r="USH36" s="6"/>
      <c r="USI36" s="6"/>
      <c r="USJ36" s="6"/>
      <c r="USK36" s="6"/>
      <c r="USL36" s="6"/>
      <c r="USM36" s="6"/>
      <c r="USN36" s="6"/>
      <c r="USO36" s="6"/>
      <c r="USP36" s="6"/>
      <c r="USQ36" s="6"/>
      <c r="USR36" s="6"/>
      <c r="USS36" s="6"/>
      <c r="UST36" s="6"/>
      <c r="USU36" s="6"/>
      <c r="USV36" s="6"/>
      <c r="USW36" s="6"/>
      <c r="USX36" s="6"/>
      <c r="USY36" s="6"/>
      <c r="USZ36" s="6"/>
      <c r="UTA36" s="6"/>
      <c r="UTB36" s="6"/>
      <c r="UTC36" s="6"/>
      <c r="UTD36" s="6"/>
      <c r="UTE36" s="6"/>
      <c r="UTF36" s="6"/>
      <c r="UTG36" s="6"/>
      <c r="UTH36" s="6"/>
      <c r="UTI36" s="6"/>
      <c r="UTJ36" s="6"/>
      <c r="UTK36" s="6"/>
      <c r="UTL36" s="6"/>
      <c r="UTM36" s="6"/>
      <c r="UTN36" s="6"/>
      <c r="UTO36" s="6"/>
      <c r="UTP36" s="6"/>
      <c r="UTQ36" s="6"/>
      <c r="UTR36" s="6"/>
      <c r="UTS36" s="6"/>
      <c r="UTT36" s="6"/>
      <c r="UTU36" s="6"/>
      <c r="UTV36" s="6"/>
      <c r="UTW36" s="6"/>
      <c r="UTX36" s="6"/>
      <c r="UTY36" s="6"/>
      <c r="UTZ36" s="6"/>
      <c r="UUA36" s="6"/>
      <c r="UUB36" s="6"/>
      <c r="UUC36" s="6"/>
      <c r="UUD36" s="6"/>
      <c r="UUE36" s="6"/>
      <c r="UUF36" s="6"/>
      <c r="UUG36" s="6"/>
      <c r="UUH36" s="6"/>
      <c r="UUI36" s="6"/>
      <c r="UUJ36" s="6"/>
      <c r="UUK36" s="6"/>
      <c r="UUL36" s="6"/>
      <c r="UUM36" s="6"/>
      <c r="UUN36" s="6"/>
      <c r="UUO36" s="6"/>
      <c r="UUP36" s="6"/>
      <c r="UUQ36" s="6"/>
      <c r="UUR36" s="6"/>
      <c r="UUS36" s="6"/>
      <c r="UUT36" s="6"/>
      <c r="UUU36" s="6"/>
      <c r="UUV36" s="6"/>
      <c r="UUW36" s="6"/>
      <c r="UUX36" s="6"/>
      <c r="UUY36" s="6"/>
      <c r="UUZ36" s="6"/>
      <c r="UVA36" s="6"/>
      <c r="UVB36" s="6"/>
      <c r="UVC36" s="6"/>
      <c r="UVD36" s="6"/>
      <c r="UVE36" s="6"/>
      <c r="UVF36" s="6"/>
      <c r="UVG36" s="6"/>
      <c r="UVH36" s="6"/>
      <c r="UVI36" s="6"/>
      <c r="UVJ36" s="6"/>
      <c r="UVK36" s="6"/>
      <c r="UVL36" s="6"/>
      <c r="UVM36" s="6"/>
      <c r="UVN36" s="6"/>
      <c r="UVO36" s="6"/>
      <c r="UVP36" s="6"/>
      <c r="UVQ36" s="6"/>
      <c r="UVR36" s="6"/>
      <c r="UVS36" s="6"/>
      <c r="UVT36" s="6"/>
      <c r="UVU36" s="6"/>
      <c r="UVV36" s="6"/>
      <c r="UVW36" s="6"/>
      <c r="UVX36" s="6"/>
      <c r="UVY36" s="6"/>
      <c r="UVZ36" s="6"/>
      <c r="UWA36" s="6"/>
      <c r="UWB36" s="6"/>
      <c r="UWC36" s="6"/>
      <c r="UWD36" s="6"/>
      <c r="UWE36" s="6"/>
      <c r="UWF36" s="6"/>
      <c r="UWG36" s="6"/>
      <c r="UWH36" s="6"/>
      <c r="UWI36" s="6"/>
      <c r="UWJ36" s="6"/>
      <c r="UWK36" s="6"/>
      <c r="UWL36" s="6"/>
      <c r="UWM36" s="6"/>
      <c r="UWN36" s="6"/>
      <c r="UWO36" s="6"/>
      <c r="UWP36" s="6"/>
      <c r="UWQ36" s="6"/>
      <c r="UWR36" s="6"/>
      <c r="UWS36" s="6"/>
      <c r="UWT36" s="6"/>
      <c r="UWU36" s="6"/>
      <c r="UWV36" s="6"/>
      <c r="UWW36" s="6"/>
      <c r="UWX36" s="6"/>
      <c r="UWY36" s="6"/>
      <c r="UWZ36" s="6"/>
      <c r="UXA36" s="6"/>
      <c r="UXB36" s="6"/>
      <c r="UXC36" s="6"/>
      <c r="UXD36" s="6"/>
      <c r="UXE36" s="6"/>
      <c r="UXF36" s="6"/>
      <c r="UXG36" s="6"/>
      <c r="UXH36" s="6"/>
      <c r="UXI36" s="6"/>
      <c r="UXJ36" s="6"/>
      <c r="UXK36" s="6"/>
      <c r="UXL36" s="6"/>
      <c r="UXM36" s="6"/>
      <c r="UXN36" s="6"/>
      <c r="UXO36" s="6"/>
      <c r="UXP36" s="6"/>
      <c r="UXQ36" s="6"/>
      <c r="UXR36" s="6"/>
      <c r="UXS36" s="6"/>
      <c r="UXT36" s="6"/>
      <c r="UXU36" s="6"/>
      <c r="UXV36" s="6"/>
      <c r="UXW36" s="6"/>
      <c r="UXX36" s="6"/>
      <c r="UXY36" s="6"/>
      <c r="UXZ36" s="6"/>
      <c r="UYA36" s="6"/>
      <c r="UYB36" s="6"/>
      <c r="UYC36" s="6"/>
      <c r="UYD36" s="6"/>
      <c r="UYE36" s="6"/>
      <c r="UYF36" s="6"/>
      <c r="UYG36" s="6"/>
      <c r="UYH36" s="6"/>
      <c r="UYI36" s="6"/>
      <c r="UYJ36" s="6"/>
      <c r="UYK36" s="6"/>
      <c r="UYL36" s="6"/>
      <c r="UYM36" s="6"/>
      <c r="UYN36" s="6"/>
      <c r="UYO36" s="6"/>
      <c r="UYP36" s="6"/>
      <c r="UYQ36" s="6"/>
      <c r="UYR36" s="6"/>
      <c r="UYS36" s="6"/>
      <c r="UYT36" s="6"/>
      <c r="UYU36" s="6"/>
      <c r="UYV36" s="6"/>
      <c r="UYW36" s="6"/>
      <c r="UYX36" s="6"/>
      <c r="UYY36" s="6"/>
      <c r="UYZ36" s="6"/>
      <c r="UZA36" s="6"/>
      <c r="UZB36" s="6"/>
      <c r="UZC36" s="6"/>
      <c r="UZD36" s="6"/>
      <c r="UZE36" s="6"/>
      <c r="UZF36" s="6"/>
      <c r="UZG36" s="6"/>
      <c r="UZH36" s="6"/>
      <c r="UZI36" s="6"/>
      <c r="UZJ36" s="6"/>
      <c r="UZK36" s="6"/>
      <c r="UZL36" s="6"/>
      <c r="UZM36" s="6"/>
      <c r="UZN36" s="6"/>
      <c r="UZO36" s="6"/>
      <c r="UZP36" s="6"/>
      <c r="UZQ36" s="6"/>
      <c r="UZR36" s="6"/>
      <c r="UZS36" s="6"/>
      <c r="UZT36" s="6"/>
      <c r="UZU36" s="6"/>
      <c r="UZV36" s="6"/>
      <c r="UZW36" s="6"/>
      <c r="UZX36" s="6"/>
      <c r="UZY36" s="6"/>
      <c r="UZZ36" s="6"/>
      <c r="VAA36" s="6"/>
      <c r="VAB36" s="6"/>
      <c r="VAC36" s="6"/>
      <c r="VAD36" s="6"/>
      <c r="VAE36" s="6"/>
      <c r="VAF36" s="6"/>
      <c r="VAG36" s="6"/>
      <c r="VAH36" s="6"/>
      <c r="VAI36" s="6"/>
      <c r="VAJ36" s="6"/>
      <c r="VAK36" s="6"/>
      <c r="VAL36" s="6"/>
      <c r="VAM36" s="6"/>
      <c r="VAN36" s="6"/>
      <c r="VAO36" s="6"/>
      <c r="VAP36" s="6"/>
      <c r="VAQ36" s="6"/>
      <c r="VAR36" s="6"/>
      <c r="VAS36" s="6"/>
      <c r="VAT36" s="6"/>
      <c r="VAU36" s="6"/>
      <c r="VAV36" s="6"/>
      <c r="VAW36" s="6"/>
      <c r="VAX36" s="6"/>
      <c r="VAY36" s="6"/>
      <c r="VAZ36" s="6"/>
      <c r="VBA36" s="6"/>
      <c r="VBB36" s="6"/>
      <c r="VBC36" s="6"/>
      <c r="VBD36" s="6"/>
      <c r="VBE36" s="6"/>
      <c r="VBF36" s="6"/>
      <c r="VBG36" s="6"/>
      <c r="VBH36" s="6"/>
      <c r="VBI36" s="6"/>
      <c r="VBJ36" s="6"/>
      <c r="VBK36" s="6"/>
      <c r="VBL36" s="6"/>
      <c r="VBM36" s="6"/>
      <c r="VBN36" s="6"/>
      <c r="VBO36" s="6"/>
      <c r="VBP36" s="6"/>
      <c r="VBQ36" s="6"/>
      <c r="VBR36" s="6"/>
      <c r="VBS36" s="6"/>
      <c r="VBT36" s="6"/>
      <c r="VBU36" s="6"/>
      <c r="VBV36" s="6"/>
      <c r="VBW36" s="6"/>
      <c r="VBX36" s="6"/>
      <c r="VBY36" s="6"/>
      <c r="VBZ36" s="6"/>
      <c r="VCA36" s="6"/>
      <c r="VCB36" s="6"/>
      <c r="VCC36" s="6"/>
      <c r="VCD36" s="6"/>
      <c r="VCE36" s="6"/>
      <c r="VCF36" s="6"/>
      <c r="VCG36" s="6"/>
      <c r="VCH36" s="6"/>
      <c r="VCI36" s="6"/>
      <c r="VCJ36" s="6"/>
      <c r="VCK36" s="6"/>
      <c r="VCL36" s="6"/>
      <c r="VCM36" s="6"/>
      <c r="VCN36" s="6"/>
      <c r="VCO36" s="6"/>
      <c r="VCP36" s="6"/>
      <c r="VCQ36" s="6"/>
      <c r="VCR36" s="6"/>
      <c r="VCS36" s="6"/>
      <c r="VCT36" s="6"/>
      <c r="VCU36" s="6"/>
      <c r="VCV36" s="6"/>
      <c r="VCW36" s="6"/>
      <c r="VCX36" s="6"/>
      <c r="VCY36" s="6"/>
      <c r="VCZ36" s="6"/>
      <c r="VDA36" s="6"/>
      <c r="VDB36" s="6"/>
      <c r="VDC36" s="6"/>
      <c r="VDD36" s="6"/>
      <c r="VDE36" s="6"/>
      <c r="VDF36" s="6"/>
      <c r="VDG36" s="6"/>
      <c r="VDH36" s="6"/>
      <c r="VDI36" s="6"/>
      <c r="VDJ36" s="6"/>
      <c r="VDK36" s="6"/>
      <c r="VDL36" s="6"/>
      <c r="VDM36" s="6"/>
      <c r="VDN36" s="6"/>
      <c r="VDO36" s="6"/>
      <c r="VDP36" s="6"/>
      <c r="VDQ36" s="6"/>
      <c r="VDR36" s="6"/>
      <c r="VDS36" s="6"/>
      <c r="VDT36" s="6"/>
      <c r="VDU36" s="6"/>
      <c r="VDV36" s="6"/>
      <c r="VDW36" s="6"/>
      <c r="VDX36" s="6"/>
      <c r="VDY36" s="6"/>
      <c r="VDZ36" s="6"/>
      <c r="VEA36" s="6"/>
      <c r="VEB36" s="6"/>
      <c r="VEC36" s="6"/>
      <c r="VED36" s="6"/>
      <c r="VEE36" s="6"/>
      <c r="VEF36" s="6"/>
      <c r="VEG36" s="6"/>
      <c r="VEH36" s="6"/>
      <c r="VEI36" s="6"/>
      <c r="VEJ36" s="6"/>
      <c r="VEK36" s="6"/>
      <c r="VEL36" s="6"/>
      <c r="VEM36" s="6"/>
      <c r="VEN36" s="6"/>
      <c r="VEO36" s="6"/>
      <c r="VEP36" s="6"/>
      <c r="VEQ36" s="6"/>
      <c r="VER36" s="6"/>
      <c r="VES36" s="6"/>
      <c r="VET36" s="6"/>
      <c r="VEU36" s="6"/>
      <c r="VEV36" s="6"/>
      <c r="VEW36" s="6"/>
      <c r="VEX36" s="6"/>
      <c r="VEY36" s="6"/>
      <c r="VEZ36" s="6"/>
      <c r="VFA36" s="6"/>
      <c r="VFB36" s="6"/>
      <c r="VFC36" s="6"/>
      <c r="VFD36" s="6"/>
      <c r="VFE36" s="6"/>
      <c r="VFF36" s="6"/>
      <c r="VFG36" s="6"/>
      <c r="VFH36" s="6"/>
      <c r="VFI36" s="6"/>
      <c r="VFJ36" s="6"/>
      <c r="VFK36" s="6"/>
      <c r="VFL36" s="6"/>
      <c r="VFM36" s="6"/>
      <c r="VFN36" s="6"/>
      <c r="VFO36" s="6"/>
      <c r="VFP36" s="6"/>
      <c r="VFQ36" s="6"/>
      <c r="VFR36" s="6"/>
      <c r="VFS36" s="6"/>
      <c r="VFT36" s="6"/>
      <c r="VFU36" s="6"/>
      <c r="VFV36" s="6"/>
      <c r="VFW36" s="6"/>
      <c r="VFX36" s="6"/>
      <c r="VFY36" s="6"/>
      <c r="VFZ36" s="6"/>
      <c r="VGA36" s="6"/>
      <c r="VGB36" s="6"/>
      <c r="VGC36" s="6"/>
      <c r="VGD36" s="6"/>
      <c r="VGE36" s="6"/>
      <c r="VGF36" s="6"/>
      <c r="VGG36" s="6"/>
      <c r="VGH36" s="6"/>
      <c r="VGI36" s="6"/>
      <c r="VGJ36" s="6"/>
      <c r="VGK36" s="6"/>
      <c r="VGL36" s="6"/>
      <c r="VGM36" s="6"/>
      <c r="VGN36" s="6"/>
      <c r="VGO36" s="6"/>
      <c r="VGP36" s="6"/>
      <c r="VGQ36" s="6"/>
      <c r="VGR36" s="6"/>
      <c r="VGS36" s="6"/>
      <c r="VGT36" s="6"/>
      <c r="VGU36" s="6"/>
      <c r="VGV36" s="6"/>
      <c r="VGW36" s="6"/>
      <c r="VGX36" s="6"/>
      <c r="VGY36" s="6"/>
      <c r="VGZ36" s="6"/>
      <c r="VHA36" s="6"/>
      <c r="VHB36" s="6"/>
      <c r="VHC36" s="6"/>
      <c r="VHD36" s="6"/>
      <c r="VHE36" s="6"/>
      <c r="VHF36" s="6"/>
      <c r="VHG36" s="6"/>
      <c r="VHH36" s="6"/>
      <c r="VHI36" s="6"/>
      <c r="VHJ36" s="6"/>
      <c r="VHK36" s="6"/>
      <c r="VHL36" s="6"/>
    </row>
    <row r="37" spans="1:15092" s="1" customFormat="1" ht="13.8">
      <c r="B37" s="70"/>
      <c r="C37" s="200" t="s">
        <v>41</v>
      </c>
      <c r="D37" s="264">
        <f>SUM(D38:D39)</f>
        <v>1128336.1585714291</v>
      </c>
      <c r="E37" s="201" t="s">
        <v>9</v>
      </c>
      <c r="F37" s="64">
        <f>SUM(F38:F39)</f>
        <v>0</v>
      </c>
      <c r="G37" s="64">
        <f t="shared" ref="G37:O37" si="13">SUM(G38:G39)</f>
        <v>0</v>
      </c>
      <c r="H37" s="64">
        <f t="shared" si="13"/>
        <v>0</v>
      </c>
      <c r="I37" s="64">
        <f t="shared" si="13"/>
        <v>0</v>
      </c>
      <c r="J37" s="64">
        <f t="shared" si="13"/>
        <v>0</v>
      </c>
      <c r="K37" s="64">
        <f t="shared" si="13"/>
        <v>0</v>
      </c>
      <c r="L37" s="64">
        <f t="shared" si="13"/>
        <v>0</v>
      </c>
      <c r="M37" s="64">
        <f t="shared" si="13"/>
        <v>0</v>
      </c>
      <c r="N37" s="64">
        <f t="shared" si="13"/>
        <v>0</v>
      </c>
      <c r="O37" s="64">
        <f t="shared" si="13"/>
        <v>672000.00000008696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f>SUM(X38:X39)</f>
        <v>339799.99999997701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117"/>
      <c r="AL37" s="125">
        <f t="shared" si="12"/>
        <v>1011800.000000064</v>
      </c>
      <c r="AM37" s="227"/>
      <c r="AN37" s="118"/>
    </row>
    <row r="38" spans="1:15092" s="1" customFormat="1" ht="13.8">
      <c r="B38" s="70"/>
      <c r="C38" s="200" t="s">
        <v>42</v>
      </c>
      <c r="D38" s="264">
        <f>789.835311*1000</f>
        <v>789835.3110000001</v>
      </c>
      <c r="E38" s="201" t="s">
        <v>9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f>536.70000000007*1000</f>
        <v>536700.00000006997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f>259.599999999977*1000</f>
        <v>259599.99999997701</v>
      </c>
      <c r="Y38" s="64">
        <v>0</v>
      </c>
      <c r="Z38" s="64">
        <v>0</v>
      </c>
      <c r="AA38" s="64">
        <v>0</v>
      </c>
      <c r="AB38" s="64">
        <v>0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0</v>
      </c>
      <c r="AI38" s="64">
        <v>0</v>
      </c>
      <c r="AJ38" s="64">
        <v>0</v>
      </c>
      <c r="AK38" s="117"/>
      <c r="AL38" s="127">
        <f>SUM(F38:AJ38)</f>
        <v>796300.00000004703</v>
      </c>
      <c r="AM38" s="227"/>
      <c r="AN38" s="118"/>
      <c r="AP38" s="228">
        <f>AP33-AP34</f>
        <v>3763.9999999999345</v>
      </c>
    </row>
    <row r="39" spans="1:15092" s="1" customFormat="1" ht="13.8">
      <c r="B39" s="70"/>
      <c r="C39" s="61" t="s">
        <v>38</v>
      </c>
      <c r="D39" s="264">
        <f>338.500847571429*1000</f>
        <v>338500.84757142898</v>
      </c>
      <c r="E39" s="201" t="s">
        <v>9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f>135.300000000017*1000</f>
        <v>135300.000000017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80200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117"/>
      <c r="AL39" s="125">
        <f t="shared" si="12"/>
        <v>215500.000000017</v>
      </c>
      <c r="AM39" s="230"/>
      <c r="AN39" s="118"/>
      <c r="AP39" s="227">
        <f>31-26</f>
        <v>5</v>
      </c>
    </row>
    <row r="40" spans="1:15092">
      <c r="B40" s="70"/>
      <c r="C40" s="76" t="s">
        <v>43</v>
      </c>
      <c r="D40" s="265"/>
      <c r="E40" s="78"/>
      <c r="F40" s="59"/>
      <c r="G40" s="59"/>
      <c r="H40" s="59"/>
      <c r="I40" s="9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104"/>
      <c r="AE40" s="104"/>
      <c r="AF40" s="104"/>
      <c r="AG40" s="104"/>
      <c r="AH40" s="104"/>
      <c r="AI40" s="104"/>
      <c r="AJ40" s="104"/>
      <c r="AK40" s="117"/>
      <c r="AL40" s="123" t="s">
        <v>44</v>
      </c>
      <c r="AP40" s="228">
        <f>AP38/AP39</f>
        <v>752.79999999998688</v>
      </c>
    </row>
    <row r="41" spans="1:15092" s="3" customFormat="1" hidden="1">
      <c r="A41" s="6"/>
      <c r="B41" s="42"/>
      <c r="C41" s="79" t="s">
        <v>25</v>
      </c>
      <c r="D41" s="266"/>
      <c r="E41" s="80" t="s">
        <v>9</v>
      </c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>
        <f>1183.29999999999*1000</f>
        <v>1183299.99999999</v>
      </c>
      <c r="V41" s="64">
        <f>V23</f>
        <v>1560330</v>
      </c>
      <c r="W41" s="64"/>
      <c r="X41" s="64"/>
      <c r="Y41" s="64"/>
      <c r="Z41" s="64"/>
      <c r="AA41" s="64"/>
      <c r="AB41" s="64"/>
      <c r="AC41" s="64"/>
      <c r="AD41" s="105"/>
      <c r="AE41" s="105"/>
      <c r="AF41" s="105"/>
      <c r="AG41" s="105">
        <f>441.2*1000</f>
        <v>441200</v>
      </c>
      <c r="AH41" s="105">
        <f>AH23</f>
        <v>1457990.00000001</v>
      </c>
      <c r="AI41" s="105">
        <f>AI23</f>
        <v>1542159.99999999</v>
      </c>
      <c r="AJ41" s="105">
        <f>AJ23</f>
        <v>1382910</v>
      </c>
      <c r="AK41" s="124"/>
      <c r="AL41" s="125">
        <f>SUM(F41:AJ41)</f>
        <v>7567889.9999999898</v>
      </c>
      <c r="AM41" s="6"/>
      <c r="AN41" s="12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236"/>
      <c r="BL41" s="23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229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  <c r="AMY41" s="6"/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6"/>
      <c r="ANV41" s="6"/>
      <c r="ANW41" s="6"/>
      <c r="ANX41" s="6"/>
      <c r="ANY41" s="6"/>
      <c r="ANZ41" s="6"/>
      <c r="AOA41" s="6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 s="6"/>
      <c r="APQ41" s="6"/>
      <c r="APR41" s="6"/>
      <c r="APS41" s="6"/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QX41" s="6"/>
      <c r="AQY41" s="6"/>
      <c r="AQZ41" s="6"/>
      <c r="ARA41" s="6"/>
      <c r="ARB41" s="6"/>
      <c r="ARC41" s="6"/>
      <c r="ARD41" s="6"/>
      <c r="ARE41" s="6"/>
      <c r="ARF41" s="6"/>
      <c r="ARG41" s="6"/>
      <c r="ARH41" s="6"/>
      <c r="ARI41" s="6"/>
      <c r="ARJ41" s="6"/>
      <c r="ARK41" s="6"/>
      <c r="ARL41" s="6"/>
      <c r="ARM41" s="6"/>
      <c r="ARN41" s="6"/>
      <c r="ARO41" s="6"/>
      <c r="ARP41" s="6"/>
      <c r="ARQ41" s="6"/>
      <c r="ARR41" s="6"/>
      <c r="ARS41" s="6"/>
      <c r="ART41" s="6"/>
      <c r="ARU41" s="6"/>
      <c r="ARV41" s="6"/>
      <c r="ARW41" s="6"/>
      <c r="ARX41" s="6"/>
      <c r="ARY41" s="6"/>
      <c r="ARZ41" s="6"/>
      <c r="ASA41" s="6"/>
      <c r="ASB41" s="6"/>
      <c r="ASC41" s="6"/>
      <c r="ASD41" s="6"/>
      <c r="ASE41" s="6"/>
      <c r="ASF41" s="6"/>
      <c r="ASG41" s="6"/>
      <c r="ASH41" s="6"/>
      <c r="ASI41" s="6"/>
      <c r="ASJ41" s="6"/>
      <c r="ASK41" s="6"/>
      <c r="ASL41" s="6"/>
      <c r="ASM41" s="6"/>
      <c r="ASN41" s="6"/>
      <c r="ASO41" s="6"/>
      <c r="ASP41" s="6"/>
      <c r="ASQ41" s="6"/>
      <c r="ASR41" s="6"/>
      <c r="ASS41" s="6"/>
      <c r="AST41" s="6"/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6"/>
      <c r="AUS41" s="6"/>
      <c r="AUT41" s="6"/>
      <c r="AUU41" s="6"/>
      <c r="AUV41" s="6"/>
      <c r="AUW41" s="6"/>
      <c r="AUX41" s="6"/>
      <c r="AUY41" s="6"/>
      <c r="AUZ41" s="6"/>
      <c r="AVA41" s="6"/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6"/>
      <c r="AYF41" s="6"/>
      <c r="AYG41" s="6"/>
      <c r="AYH41" s="6"/>
      <c r="AYI41" s="6"/>
      <c r="AYJ41" s="6"/>
      <c r="AYK41" s="6"/>
      <c r="AYL41" s="6"/>
      <c r="AYM41" s="6"/>
      <c r="AYN41" s="6"/>
      <c r="AYO41" s="6"/>
      <c r="AYP41" s="6"/>
      <c r="AYQ41" s="6"/>
      <c r="AYR41" s="6"/>
      <c r="AYS41" s="6"/>
      <c r="AYT41" s="6"/>
      <c r="AYU41" s="6"/>
      <c r="AYV41" s="6"/>
      <c r="AYW41" s="6"/>
      <c r="AYX41" s="6"/>
      <c r="AYY41" s="6"/>
      <c r="AYZ41" s="6"/>
      <c r="AZA41" s="6"/>
      <c r="AZB41" s="6"/>
      <c r="AZC41" s="6"/>
      <c r="AZD41" s="6"/>
      <c r="AZE41" s="6"/>
      <c r="AZF41" s="6"/>
      <c r="AZG41" s="6"/>
      <c r="AZH41" s="6"/>
      <c r="AZI41" s="6"/>
      <c r="AZJ41" s="6"/>
      <c r="AZK41" s="6"/>
      <c r="AZL41" s="6"/>
      <c r="AZM41" s="6"/>
      <c r="AZN41" s="6"/>
      <c r="AZO41" s="6"/>
      <c r="AZP41" s="6"/>
      <c r="AZQ41" s="6"/>
      <c r="AZR41" s="6"/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 s="6"/>
      <c r="BDB41" s="6"/>
      <c r="BDC41" s="6"/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EZ41" s="6"/>
      <c r="BFA41" s="6"/>
      <c r="BFB41" s="6"/>
      <c r="BFC41" s="6"/>
      <c r="BFD41" s="6"/>
      <c r="BFE41" s="6"/>
      <c r="BFF41" s="6"/>
      <c r="BFG41" s="6"/>
      <c r="BFH41" s="6"/>
      <c r="BFI41" s="6"/>
      <c r="BFJ41" s="6"/>
      <c r="BFK41" s="6"/>
      <c r="BFL41" s="6"/>
      <c r="BFM41" s="6"/>
      <c r="BFN41" s="6"/>
      <c r="BFO41" s="6"/>
      <c r="BFP41" s="6"/>
      <c r="BFQ41" s="6"/>
      <c r="BFR41" s="6"/>
      <c r="BFS41" s="6"/>
      <c r="BFT41" s="6"/>
      <c r="BFU41" s="6"/>
      <c r="BFV41" s="6"/>
      <c r="BFW41" s="6"/>
      <c r="BFX41" s="6"/>
      <c r="BFY41" s="6"/>
      <c r="BFZ41" s="6"/>
      <c r="BGA41" s="6"/>
      <c r="BGB41" s="6"/>
      <c r="BGC41" s="6"/>
      <c r="BGD41" s="6"/>
      <c r="BGE41" s="6"/>
      <c r="BGF41" s="6"/>
      <c r="BGG41" s="6"/>
      <c r="BGH41" s="6"/>
      <c r="BGI41" s="6"/>
      <c r="BGJ41" s="6"/>
      <c r="BGK41" s="6"/>
      <c r="BGL41" s="6"/>
      <c r="BGM41" s="6"/>
      <c r="BGN41" s="6"/>
      <c r="BGO41" s="6"/>
      <c r="BGP41" s="6"/>
      <c r="BGQ41" s="6"/>
      <c r="BGR41" s="6"/>
      <c r="BGS41" s="6"/>
      <c r="BGT41" s="6"/>
      <c r="BGU41" s="6"/>
      <c r="BGV41" s="6"/>
      <c r="BGW41" s="6"/>
      <c r="BGX41" s="6"/>
      <c r="BGY41" s="6"/>
      <c r="BGZ41" s="6"/>
      <c r="BHA41" s="6"/>
      <c r="BHB41" s="6"/>
      <c r="BHC41" s="6"/>
      <c r="BHD41" s="6"/>
      <c r="BHE41" s="6"/>
      <c r="BHF41" s="6"/>
      <c r="BHG41" s="6"/>
      <c r="BHH41" s="6"/>
      <c r="BHI41" s="6"/>
      <c r="BHJ41" s="6"/>
      <c r="BHK41" s="6"/>
      <c r="BHL41" s="6"/>
      <c r="BHM41" s="6"/>
      <c r="BHN41" s="6"/>
      <c r="BHO41" s="6"/>
      <c r="BHP41" s="6"/>
      <c r="BHQ41" s="6"/>
      <c r="BHR41" s="6"/>
      <c r="BHS41" s="6"/>
      <c r="BHT41" s="6"/>
      <c r="BHU41" s="6"/>
      <c r="BHV41" s="6"/>
      <c r="BHW41" s="6"/>
      <c r="BHX41" s="6"/>
      <c r="BHY41" s="6"/>
      <c r="BHZ41" s="6"/>
      <c r="BIA41" s="6"/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  <c r="BIO41" s="6"/>
      <c r="BIP41" s="6"/>
      <c r="BIQ41" s="6"/>
      <c r="BIR41" s="6"/>
      <c r="BIS41" s="6"/>
      <c r="BIT41" s="6"/>
      <c r="BIU41" s="6"/>
      <c r="BIV41" s="6"/>
      <c r="BIW41" s="6"/>
      <c r="BIX41" s="6"/>
      <c r="BIY41" s="6"/>
      <c r="BIZ41" s="6"/>
      <c r="BJA41" s="6"/>
      <c r="BJB41" s="6"/>
      <c r="BJC41" s="6"/>
      <c r="BJD41" s="6"/>
      <c r="BJE41" s="6"/>
      <c r="BJF41" s="6"/>
      <c r="BJG41" s="6"/>
      <c r="BJH41" s="6"/>
      <c r="BJI41" s="6"/>
      <c r="BJJ41" s="6"/>
      <c r="BJK41" s="6"/>
      <c r="BJL41" s="6"/>
      <c r="BJM41" s="6"/>
      <c r="BJN41" s="6"/>
      <c r="BJO41" s="6"/>
      <c r="BJP41" s="6"/>
      <c r="BJQ41" s="6"/>
      <c r="BJR41" s="6"/>
      <c r="BJS41" s="6"/>
      <c r="BJT41" s="6"/>
      <c r="BJU41" s="6"/>
      <c r="BJV41" s="6"/>
      <c r="BJW41" s="6"/>
      <c r="BJX41" s="6"/>
      <c r="BJY41" s="6"/>
      <c r="BJZ41" s="6"/>
      <c r="BKA41" s="6"/>
      <c r="BKB41" s="6"/>
      <c r="BKC41" s="6"/>
      <c r="BKD41" s="6"/>
      <c r="BKE41" s="6"/>
      <c r="BKF41" s="6"/>
      <c r="BKG41" s="6"/>
      <c r="BKH41" s="6"/>
      <c r="BKI41" s="6"/>
      <c r="BKJ41" s="6"/>
      <c r="BKK41" s="6"/>
      <c r="BKL41" s="6"/>
      <c r="BKM41" s="6"/>
      <c r="BKN41" s="6"/>
      <c r="BKO41" s="6"/>
      <c r="BKP41" s="6"/>
      <c r="BKQ41" s="6"/>
      <c r="BKR41" s="6"/>
      <c r="BKS41" s="6"/>
      <c r="BKT41" s="6"/>
      <c r="BKU41" s="6"/>
      <c r="BKV41" s="6"/>
      <c r="BKW41" s="6"/>
      <c r="BKX41" s="6"/>
      <c r="BKY41" s="6"/>
      <c r="BKZ41" s="6"/>
      <c r="BLA41" s="6"/>
      <c r="BLB41" s="6"/>
      <c r="BLC41" s="6"/>
      <c r="BLD41" s="6"/>
      <c r="BLE41" s="6"/>
      <c r="BLF41" s="6"/>
      <c r="BLG41" s="6"/>
      <c r="BLH41" s="6"/>
      <c r="BLI41" s="6"/>
      <c r="BLJ41" s="6"/>
      <c r="BLK41" s="6"/>
      <c r="BLL41" s="6"/>
      <c r="BLM41" s="6"/>
      <c r="BLN41" s="6"/>
      <c r="BLO41" s="6"/>
      <c r="BLP41" s="6"/>
      <c r="BLQ41" s="6"/>
      <c r="BLR41" s="6"/>
      <c r="BLS41" s="6"/>
      <c r="BLT41" s="6"/>
      <c r="BLU41" s="6"/>
      <c r="BLV41" s="6"/>
      <c r="BLW41" s="6"/>
      <c r="BLX41" s="6"/>
      <c r="BLY41" s="6"/>
      <c r="BLZ41" s="6"/>
      <c r="BMA41" s="6"/>
      <c r="BMB41" s="6"/>
      <c r="BMC41" s="6"/>
      <c r="BMD41" s="6"/>
      <c r="BME41" s="6"/>
      <c r="BMF41" s="6"/>
      <c r="BMG41" s="6"/>
      <c r="BMH41" s="6"/>
      <c r="BMI41" s="6"/>
      <c r="BMJ41" s="6"/>
      <c r="BMK41" s="6"/>
      <c r="BML41" s="6"/>
      <c r="BMM41" s="6"/>
      <c r="BMN41" s="6"/>
      <c r="BMO41" s="6"/>
      <c r="BMP41" s="6"/>
      <c r="BMQ41" s="6"/>
      <c r="BMR41" s="6"/>
      <c r="BMS41" s="6"/>
      <c r="BMT41" s="6"/>
      <c r="BMU41" s="6"/>
      <c r="BMV41" s="6"/>
      <c r="BMW41" s="6"/>
      <c r="BMX41" s="6"/>
      <c r="BMY41" s="6"/>
      <c r="BMZ41" s="6"/>
      <c r="BNA41" s="6"/>
      <c r="BNB41" s="6"/>
      <c r="BNC41" s="6"/>
      <c r="BND41" s="6"/>
      <c r="BNE41" s="6"/>
      <c r="BNF41" s="6"/>
      <c r="BNG41" s="6"/>
      <c r="BNH41" s="6"/>
      <c r="BNI41" s="6"/>
      <c r="BNJ41" s="6"/>
      <c r="BNK41" s="6"/>
      <c r="BNL41" s="6"/>
      <c r="BNM41" s="6"/>
      <c r="BNN41" s="6"/>
      <c r="BNO41" s="6"/>
      <c r="BNP41" s="6"/>
      <c r="BNQ41" s="6"/>
      <c r="BNR41" s="6"/>
      <c r="BNS41" s="6"/>
      <c r="BNT41" s="6"/>
      <c r="BNU41" s="6"/>
      <c r="BNV41" s="6"/>
      <c r="BNW41" s="6"/>
      <c r="BNX41" s="6"/>
      <c r="BNY41" s="6"/>
      <c r="BNZ41" s="6"/>
      <c r="BOA41" s="6"/>
      <c r="BOB41" s="6"/>
      <c r="BOC41" s="6"/>
      <c r="BOD41" s="6"/>
      <c r="BOE41" s="6"/>
      <c r="BOF41" s="6"/>
      <c r="BOG41" s="6"/>
      <c r="BOH41" s="6"/>
      <c r="BOI41" s="6"/>
      <c r="BOJ41" s="6"/>
      <c r="BOK41" s="6"/>
      <c r="BOL41" s="6"/>
      <c r="BOM41" s="6"/>
      <c r="BON41" s="6"/>
      <c r="BOO41" s="6"/>
      <c r="BOP41" s="6"/>
      <c r="BOQ41" s="6"/>
      <c r="BOR41" s="6"/>
      <c r="BOS41" s="6"/>
      <c r="BOT41" s="6"/>
      <c r="BOU41" s="6"/>
      <c r="BOV41" s="6"/>
      <c r="BOW41" s="6"/>
      <c r="BOX41" s="6"/>
      <c r="BOY41" s="6"/>
      <c r="BOZ41" s="6"/>
      <c r="BPA41" s="6"/>
      <c r="BPB41" s="6"/>
      <c r="BPC41" s="6"/>
      <c r="BPD41" s="6"/>
      <c r="BPE41" s="6"/>
      <c r="BPF41" s="6"/>
      <c r="BPG41" s="6"/>
      <c r="BPH41" s="6"/>
      <c r="BPI41" s="6"/>
      <c r="BPJ41" s="6"/>
      <c r="BPK41" s="6"/>
      <c r="BPL41" s="6"/>
      <c r="BPM41" s="6"/>
      <c r="BPN41" s="6"/>
      <c r="BPO41" s="6"/>
      <c r="BPP41" s="6"/>
      <c r="BPQ41" s="6"/>
      <c r="BPR41" s="6"/>
      <c r="BPS41" s="6"/>
      <c r="BPT41" s="6"/>
      <c r="BPU41" s="6"/>
      <c r="BPV41" s="6"/>
      <c r="BPW41" s="6"/>
      <c r="BPX41" s="6"/>
      <c r="BPY41" s="6"/>
      <c r="BPZ41" s="6"/>
      <c r="BQA41" s="6"/>
      <c r="BQB41" s="6"/>
      <c r="BQC41" s="6"/>
      <c r="BQD41" s="6"/>
      <c r="BQE41" s="6"/>
      <c r="BQF41" s="6"/>
      <c r="BQG41" s="6"/>
      <c r="BQH41" s="6"/>
      <c r="BQI41" s="6"/>
      <c r="BQJ41" s="6"/>
      <c r="BQK41" s="6"/>
      <c r="BQL41" s="6"/>
      <c r="BQM41" s="6"/>
      <c r="BQN41" s="6"/>
      <c r="BQO41" s="6"/>
      <c r="BQP41" s="6"/>
      <c r="BQQ41" s="6"/>
      <c r="BQR41" s="6"/>
      <c r="BQS41" s="6"/>
      <c r="BQT41" s="6"/>
      <c r="BQU41" s="6"/>
      <c r="BQV41" s="6"/>
      <c r="BQW41" s="6"/>
      <c r="BQX41" s="6"/>
      <c r="BQY41" s="6"/>
      <c r="BQZ41" s="6"/>
      <c r="BRA41" s="6"/>
      <c r="BRB41" s="6"/>
      <c r="BRC41" s="6"/>
      <c r="BRD41" s="6"/>
      <c r="BRE41" s="6"/>
      <c r="BRF41" s="6"/>
      <c r="BRG41" s="6"/>
      <c r="BRH41" s="6"/>
      <c r="BRI41" s="6"/>
      <c r="BRJ41" s="6"/>
      <c r="BRK41" s="6"/>
      <c r="BRL41" s="6"/>
      <c r="BRM41" s="6"/>
      <c r="BRN41" s="6"/>
      <c r="BRO41" s="6"/>
      <c r="BRP41" s="6"/>
      <c r="BRQ41" s="6"/>
      <c r="BRR41" s="6"/>
      <c r="BRS41" s="6"/>
      <c r="BRT41" s="6"/>
      <c r="BRU41" s="6"/>
      <c r="BRV41" s="6"/>
      <c r="BRW41" s="6"/>
      <c r="BRX41" s="6"/>
      <c r="BRY41" s="6"/>
      <c r="BRZ41" s="6"/>
      <c r="BSA41" s="6"/>
      <c r="BSB41" s="6"/>
      <c r="BSC41" s="6"/>
      <c r="BSD41" s="6"/>
      <c r="BSE41" s="6"/>
      <c r="BSF41" s="6"/>
      <c r="BSG41" s="6"/>
      <c r="BSH41" s="6"/>
      <c r="BSI41" s="6"/>
      <c r="BSJ41" s="6"/>
      <c r="BSK41" s="6"/>
      <c r="BSL41" s="6"/>
      <c r="BSM41" s="6"/>
      <c r="BSN41" s="6"/>
      <c r="BSO41" s="6"/>
      <c r="BSP41" s="6"/>
      <c r="BSQ41" s="6"/>
      <c r="BSR41" s="6"/>
      <c r="BSS41" s="6"/>
      <c r="BST41" s="6"/>
      <c r="BSU41" s="6"/>
      <c r="BSV41" s="6"/>
      <c r="BSW41" s="6"/>
      <c r="BSX41" s="6"/>
      <c r="BSY41" s="6"/>
      <c r="BSZ41" s="6"/>
      <c r="BTA41" s="6"/>
      <c r="BTB41" s="6"/>
      <c r="BTC41" s="6"/>
      <c r="BTD41" s="6"/>
      <c r="BTE41" s="6"/>
      <c r="BTF41" s="6"/>
      <c r="BTG41" s="6"/>
      <c r="BTH41" s="6"/>
      <c r="BTI41" s="6"/>
      <c r="BTJ41" s="6"/>
      <c r="BTK41" s="6"/>
      <c r="BTL41" s="6"/>
      <c r="BTM41" s="6"/>
      <c r="BTN41" s="6"/>
      <c r="BTO41" s="6"/>
      <c r="BTP41" s="6"/>
      <c r="BTQ41" s="6"/>
      <c r="BTR41" s="6"/>
      <c r="BTS41" s="6"/>
      <c r="BTT41" s="6"/>
      <c r="BTU41" s="6"/>
      <c r="BTV41" s="6"/>
      <c r="BTW41" s="6"/>
      <c r="BTX41" s="6"/>
      <c r="BTY41" s="6"/>
      <c r="BTZ41" s="6"/>
      <c r="BUA41" s="6"/>
      <c r="BUB41" s="6"/>
      <c r="BUC41" s="6"/>
      <c r="BUD41" s="6"/>
      <c r="BUE41" s="6"/>
      <c r="BUF41" s="6"/>
      <c r="BUG41" s="6"/>
      <c r="BUH41" s="6"/>
      <c r="BUI41" s="6"/>
      <c r="BUJ41" s="6"/>
      <c r="BUK41" s="6"/>
      <c r="BUL41" s="6"/>
      <c r="BUM41" s="6"/>
      <c r="BUN41" s="6"/>
      <c r="BUO41" s="6"/>
      <c r="BUP41" s="6"/>
      <c r="BUQ41" s="6"/>
      <c r="BUR41" s="6"/>
      <c r="BUS41" s="6"/>
      <c r="BUT41" s="6"/>
      <c r="BUU41" s="6"/>
      <c r="BUV41" s="6"/>
      <c r="BUW41" s="6"/>
      <c r="BUX41" s="6"/>
      <c r="BUY41" s="6"/>
      <c r="BUZ41" s="6"/>
      <c r="BVA41" s="6"/>
      <c r="BVB41" s="6"/>
      <c r="BVC41" s="6"/>
      <c r="BVD41" s="6"/>
      <c r="BVE41" s="6"/>
      <c r="BVF41" s="6"/>
      <c r="BVG41" s="6"/>
      <c r="BVH41" s="6"/>
      <c r="BVI41" s="6"/>
      <c r="BVJ41" s="6"/>
      <c r="BVK41" s="6"/>
      <c r="BVL41" s="6"/>
      <c r="BVM41" s="6"/>
      <c r="BVN41" s="6"/>
      <c r="BVO41" s="6"/>
      <c r="BVP41" s="6"/>
      <c r="BVQ41" s="6"/>
      <c r="BVR41" s="6"/>
      <c r="BVS41" s="6"/>
      <c r="BVT41" s="6"/>
      <c r="BVU41" s="6"/>
      <c r="BVV41" s="6"/>
      <c r="BVW41" s="6"/>
      <c r="BVX41" s="6"/>
      <c r="BVY41" s="6"/>
      <c r="BVZ41" s="6"/>
      <c r="BWA41" s="6"/>
      <c r="BWB41" s="6"/>
      <c r="BWC41" s="6"/>
      <c r="BWD41" s="6"/>
      <c r="BWE41" s="6"/>
      <c r="BWF41" s="6"/>
      <c r="BWG41" s="6"/>
      <c r="BWH41" s="6"/>
      <c r="BWI41" s="6"/>
      <c r="BWJ41" s="6"/>
      <c r="BWK41" s="6"/>
      <c r="BWL41" s="6"/>
      <c r="BWM41" s="6"/>
      <c r="BWN41" s="6"/>
      <c r="BWO41" s="6"/>
      <c r="BWP41" s="6"/>
      <c r="BWQ41" s="6"/>
      <c r="BWR41" s="6"/>
      <c r="BWS41" s="6"/>
      <c r="BWT41" s="6"/>
      <c r="BWU41" s="6"/>
      <c r="BWV41" s="6"/>
      <c r="BWW41" s="6"/>
      <c r="BWX41" s="6"/>
      <c r="BWY41" s="6"/>
      <c r="BWZ41" s="6"/>
      <c r="BXA41" s="6"/>
      <c r="BXB41" s="6"/>
      <c r="BXC41" s="6"/>
      <c r="BXD41" s="6"/>
      <c r="BXE41" s="6"/>
      <c r="BXF41" s="6"/>
      <c r="BXG41" s="6"/>
      <c r="BXH41" s="6"/>
      <c r="BXI41" s="6"/>
      <c r="BXJ41" s="6"/>
      <c r="BXK41" s="6"/>
      <c r="BXL41" s="6"/>
      <c r="BXM41" s="6"/>
      <c r="BXN41" s="6"/>
      <c r="BXO41" s="6"/>
      <c r="BXP41" s="6"/>
      <c r="BXQ41" s="6"/>
      <c r="BXR41" s="6"/>
      <c r="BXS41" s="6"/>
      <c r="BXT41" s="6"/>
      <c r="BXU41" s="6"/>
      <c r="BXV41" s="6"/>
      <c r="BXW41" s="6"/>
      <c r="BXX41" s="6"/>
      <c r="BXY41" s="6"/>
      <c r="BXZ41" s="6"/>
      <c r="BYA41" s="6"/>
      <c r="BYB41" s="6"/>
      <c r="BYC41" s="6"/>
      <c r="BYD41" s="6"/>
      <c r="BYE41" s="6"/>
      <c r="BYF41" s="6"/>
      <c r="BYG41" s="6"/>
      <c r="BYH41" s="6"/>
      <c r="BYI41" s="6"/>
      <c r="BYJ41" s="6"/>
      <c r="BYK41" s="6"/>
      <c r="BYL41" s="6"/>
      <c r="BYM41" s="6"/>
      <c r="BYN41" s="6"/>
      <c r="BYO41" s="6"/>
      <c r="BYP41" s="6"/>
      <c r="BYQ41" s="6"/>
      <c r="BYR41" s="6"/>
      <c r="BYS41" s="6"/>
      <c r="BYT41" s="6"/>
      <c r="BYU41" s="6"/>
      <c r="BYV41" s="6"/>
      <c r="BYW41" s="6"/>
      <c r="BYX41" s="6"/>
      <c r="BYY41" s="6"/>
      <c r="BYZ41" s="6"/>
      <c r="BZA41" s="6"/>
      <c r="BZB41" s="6"/>
      <c r="BZC41" s="6"/>
      <c r="BZD41" s="6"/>
      <c r="BZE41" s="6"/>
      <c r="BZF41" s="6"/>
      <c r="BZG41" s="6"/>
      <c r="BZH41" s="6"/>
      <c r="BZI41" s="6"/>
      <c r="BZJ41" s="6"/>
      <c r="BZK41" s="6"/>
      <c r="BZL41" s="6"/>
      <c r="BZM41" s="6"/>
      <c r="BZN41" s="6"/>
      <c r="BZO41" s="6"/>
      <c r="BZP41" s="6"/>
      <c r="BZQ41" s="6"/>
      <c r="BZR41" s="6"/>
      <c r="BZS41" s="6"/>
      <c r="BZT41" s="6"/>
      <c r="BZU41" s="6"/>
      <c r="BZV41" s="6"/>
      <c r="BZW41" s="6"/>
      <c r="BZX41" s="6"/>
      <c r="BZY41" s="6"/>
      <c r="BZZ41" s="6"/>
      <c r="CAA41" s="6"/>
      <c r="CAB41" s="6"/>
      <c r="CAC41" s="6"/>
      <c r="CAD41" s="6"/>
      <c r="CAE41" s="6"/>
      <c r="CAF41" s="6"/>
      <c r="CAG41" s="6"/>
      <c r="CAH41" s="6"/>
      <c r="CAI41" s="6"/>
      <c r="CAJ41" s="6"/>
      <c r="CAK41" s="6"/>
      <c r="CAL41" s="6"/>
      <c r="CAM41" s="6"/>
      <c r="CAN41" s="6"/>
      <c r="CAO41" s="6"/>
      <c r="CAP41" s="6"/>
      <c r="CAQ41" s="6"/>
      <c r="CAR41" s="6"/>
      <c r="CAS41" s="6"/>
      <c r="CAT41" s="6"/>
      <c r="CAU41" s="6"/>
      <c r="CAV41" s="6"/>
      <c r="CAW41" s="6"/>
      <c r="CAX41" s="6"/>
      <c r="CAY41" s="6"/>
      <c r="CAZ41" s="6"/>
      <c r="CBA41" s="6"/>
      <c r="CBB41" s="6"/>
      <c r="CBC41" s="6"/>
      <c r="CBD41" s="6"/>
      <c r="CBE41" s="6"/>
      <c r="CBF41" s="6"/>
      <c r="CBG41" s="6"/>
      <c r="CBH41" s="6"/>
      <c r="CBI41" s="6"/>
      <c r="CBJ41" s="6"/>
      <c r="CBK41" s="6"/>
      <c r="CBL41" s="6"/>
      <c r="CBM41" s="6"/>
      <c r="CBN41" s="6"/>
      <c r="CBO41" s="6"/>
      <c r="CBP41" s="6"/>
      <c r="CBQ41" s="6"/>
      <c r="CBR41" s="6"/>
      <c r="CBS41" s="6"/>
      <c r="CBT41" s="6"/>
      <c r="CBU41" s="6"/>
      <c r="CBV41" s="6"/>
      <c r="CBW41" s="6"/>
      <c r="CBX41" s="6"/>
      <c r="CBY41" s="6"/>
      <c r="CBZ41" s="6"/>
      <c r="CCA41" s="6"/>
      <c r="CCB41" s="6"/>
      <c r="CCC41" s="6"/>
      <c r="CCD41" s="6"/>
      <c r="CCE41" s="6"/>
      <c r="CCF41" s="6"/>
      <c r="CCG41" s="6"/>
      <c r="CCH41" s="6"/>
      <c r="CCI41" s="6"/>
      <c r="CCJ41" s="6"/>
      <c r="CCK41" s="6"/>
      <c r="CCL41" s="6"/>
      <c r="CCM41" s="6"/>
      <c r="CCN41" s="6"/>
      <c r="CCO41" s="6"/>
      <c r="CCP41" s="6"/>
      <c r="CCQ41" s="6"/>
      <c r="CCR41" s="6"/>
      <c r="CCS41" s="6"/>
      <c r="CCT41" s="6"/>
      <c r="CCU41" s="6"/>
      <c r="CCV41" s="6"/>
      <c r="CCW41" s="6"/>
      <c r="CCX41" s="6"/>
      <c r="CCY41" s="6"/>
      <c r="CCZ41" s="6"/>
      <c r="CDA41" s="6"/>
      <c r="CDB41" s="6"/>
      <c r="CDC41" s="6"/>
      <c r="CDD41" s="6"/>
      <c r="CDE41" s="6"/>
      <c r="CDF41" s="6"/>
      <c r="CDG41" s="6"/>
      <c r="CDH41" s="6"/>
      <c r="CDI41" s="6"/>
      <c r="CDJ41" s="6"/>
      <c r="CDK41" s="6"/>
      <c r="CDL41" s="6"/>
      <c r="CDM41" s="6"/>
      <c r="CDN41" s="6"/>
      <c r="CDO41" s="6"/>
      <c r="CDP41" s="6"/>
      <c r="CDQ41" s="6"/>
      <c r="CDR41" s="6"/>
      <c r="CDS41" s="6"/>
      <c r="CDT41" s="6"/>
      <c r="CDU41" s="6"/>
      <c r="CDV41" s="6"/>
      <c r="CDW41" s="6"/>
      <c r="CDX41" s="6"/>
      <c r="CDY41" s="6"/>
      <c r="CDZ41" s="6"/>
      <c r="CEA41" s="6"/>
      <c r="CEB41" s="6"/>
      <c r="CEC41" s="6"/>
      <c r="CED41" s="6"/>
      <c r="CEE41" s="6"/>
      <c r="CEF41" s="6"/>
      <c r="CEG41" s="6"/>
      <c r="CEH41" s="6"/>
      <c r="CEI41" s="6"/>
      <c r="CEJ41" s="6"/>
      <c r="CEK41" s="6"/>
      <c r="CEL41" s="6"/>
      <c r="CEM41" s="6"/>
      <c r="CEN41" s="6"/>
      <c r="CEO41" s="6"/>
      <c r="CEP41" s="6"/>
      <c r="CEQ41" s="6"/>
      <c r="CER41" s="6"/>
      <c r="CES41" s="6"/>
      <c r="CET41" s="6"/>
      <c r="CEU41" s="6"/>
      <c r="CEV41" s="6"/>
      <c r="CEW41" s="6"/>
      <c r="CEX41" s="6"/>
      <c r="CEY41" s="6"/>
      <c r="CEZ41" s="6"/>
      <c r="CFA41" s="6"/>
      <c r="CFB41" s="6"/>
      <c r="CFC41" s="6"/>
      <c r="CFD41" s="6"/>
      <c r="CFE41" s="6"/>
      <c r="CFF41" s="6"/>
      <c r="CFG41" s="6"/>
      <c r="CFH41" s="6"/>
      <c r="CFI41" s="6"/>
      <c r="CFJ41" s="6"/>
      <c r="CFK41" s="6"/>
      <c r="CFL41" s="6"/>
      <c r="CFM41" s="6"/>
      <c r="CFN41" s="6"/>
      <c r="CFO41" s="6"/>
      <c r="CFP41" s="6"/>
      <c r="CFQ41" s="6"/>
      <c r="CFR41" s="6"/>
      <c r="CFS41" s="6"/>
      <c r="CFT41" s="6"/>
      <c r="CFU41" s="6"/>
      <c r="CFV41" s="6"/>
      <c r="CFW41" s="6"/>
      <c r="CFX41" s="6"/>
      <c r="CFY41" s="6"/>
      <c r="CFZ41" s="6"/>
      <c r="CGA41" s="6"/>
      <c r="CGB41" s="6"/>
      <c r="CGC41" s="6"/>
      <c r="CGD41" s="6"/>
      <c r="CGE41" s="6"/>
      <c r="CGF41" s="6"/>
      <c r="CGG41" s="6"/>
      <c r="CGH41" s="6"/>
      <c r="CGI41" s="6"/>
      <c r="CGJ41" s="6"/>
      <c r="CGK41" s="6"/>
      <c r="CGL41" s="6"/>
      <c r="CGM41" s="6"/>
      <c r="CGN41" s="6"/>
      <c r="CGO41" s="6"/>
      <c r="CGP41" s="6"/>
      <c r="CGQ41" s="6"/>
      <c r="CGR41" s="6"/>
      <c r="CGS41" s="6"/>
      <c r="CGT41" s="6"/>
      <c r="CGU41" s="6"/>
      <c r="CGV41" s="6"/>
      <c r="CGW41" s="6"/>
      <c r="CGX41" s="6"/>
      <c r="CGY41" s="6"/>
      <c r="CGZ41" s="6"/>
      <c r="CHA41" s="6"/>
      <c r="CHB41" s="6"/>
      <c r="CHC41" s="6"/>
      <c r="CHD41" s="6"/>
      <c r="CHE41" s="6"/>
      <c r="CHF41" s="6"/>
      <c r="CHG41" s="6"/>
      <c r="CHH41" s="6"/>
      <c r="CHI41" s="6"/>
      <c r="CHJ41" s="6"/>
      <c r="CHK41" s="6"/>
      <c r="CHL41" s="6"/>
      <c r="CHM41" s="6"/>
      <c r="CHN41" s="6"/>
      <c r="CHO41" s="6"/>
      <c r="CHP41" s="6"/>
      <c r="CHQ41" s="6"/>
      <c r="CHR41" s="6"/>
      <c r="CHS41" s="6"/>
      <c r="CHT41" s="6"/>
      <c r="CHU41" s="6"/>
      <c r="CHV41" s="6"/>
      <c r="CHW41" s="6"/>
      <c r="CHX41" s="6"/>
      <c r="CHY41" s="6"/>
      <c r="CHZ41" s="6"/>
      <c r="CIA41" s="6"/>
      <c r="CIB41" s="6"/>
      <c r="CIC41" s="6"/>
      <c r="CID41" s="6"/>
      <c r="CIE41" s="6"/>
      <c r="CIF41" s="6"/>
      <c r="CIG41" s="6"/>
      <c r="CIH41" s="6"/>
      <c r="CII41" s="6"/>
      <c r="CIJ41" s="6"/>
      <c r="CIK41" s="6"/>
      <c r="CIL41" s="6"/>
      <c r="CIM41" s="6"/>
      <c r="CIN41" s="6"/>
      <c r="CIO41" s="6"/>
      <c r="CIP41" s="6"/>
      <c r="CIQ41" s="6"/>
      <c r="CIR41" s="6"/>
      <c r="CIS41" s="6"/>
      <c r="CIT41" s="6"/>
      <c r="CIU41" s="6"/>
      <c r="CIV41" s="6"/>
      <c r="CIW41" s="6"/>
      <c r="CIX41" s="6"/>
      <c r="CIY41" s="6"/>
      <c r="CIZ41" s="6"/>
      <c r="CJA41" s="6"/>
      <c r="CJB41" s="6"/>
      <c r="CJC41" s="6"/>
      <c r="CJD41" s="6"/>
      <c r="CJE41" s="6"/>
      <c r="CJF41" s="6"/>
      <c r="CJG41" s="6"/>
      <c r="CJH41" s="6"/>
      <c r="CJI41" s="6"/>
      <c r="CJJ41" s="6"/>
      <c r="CJK41" s="6"/>
      <c r="CJL41" s="6"/>
      <c r="CJM41" s="6"/>
      <c r="CJN41" s="6"/>
      <c r="CJO41" s="6"/>
      <c r="CJP41" s="6"/>
      <c r="CJQ41" s="6"/>
      <c r="CJR41" s="6"/>
      <c r="CJS41" s="6"/>
      <c r="CJT41" s="6"/>
      <c r="CJU41" s="6"/>
      <c r="CJV41" s="6"/>
      <c r="CJW41" s="6"/>
      <c r="CJX41" s="6"/>
      <c r="CJY41" s="6"/>
      <c r="CJZ41" s="6"/>
      <c r="CKA41" s="6"/>
      <c r="CKB41" s="6"/>
      <c r="CKC41" s="6"/>
      <c r="CKD41" s="6"/>
      <c r="CKE41" s="6"/>
      <c r="CKF41" s="6"/>
      <c r="CKG41" s="6"/>
      <c r="CKH41" s="6"/>
      <c r="CKI41" s="6"/>
      <c r="CKJ41" s="6"/>
      <c r="CKK41" s="6"/>
      <c r="CKL41" s="6"/>
      <c r="CKM41" s="6"/>
      <c r="CKN41" s="6"/>
      <c r="CKO41" s="6"/>
      <c r="CKP41" s="6"/>
      <c r="CKQ41" s="6"/>
      <c r="CKR41" s="6"/>
      <c r="CKS41" s="6"/>
      <c r="CKT41" s="6"/>
      <c r="CKU41" s="6"/>
      <c r="CKV41" s="6"/>
      <c r="CKW41" s="6"/>
      <c r="CKX41" s="6"/>
      <c r="CKY41" s="6"/>
      <c r="CKZ41" s="6"/>
      <c r="CLA41" s="6"/>
      <c r="CLB41" s="6"/>
      <c r="CLC41" s="6"/>
      <c r="CLD41" s="6"/>
      <c r="CLE41" s="6"/>
      <c r="CLF41" s="6"/>
      <c r="CLG41" s="6"/>
      <c r="CLH41" s="6"/>
      <c r="CLI41" s="6"/>
      <c r="CLJ41" s="6"/>
      <c r="CLK41" s="6"/>
      <c r="CLL41" s="6"/>
      <c r="CLM41" s="6"/>
      <c r="CLN41" s="6"/>
      <c r="CLO41" s="6"/>
      <c r="CLP41" s="6"/>
      <c r="CLQ41" s="6"/>
      <c r="CLR41" s="6"/>
      <c r="CLS41" s="6"/>
      <c r="CLT41" s="6"/>
      <c r="CLU41" s="6"/>
      <c r="CLV41" s="6"/>
      <c r="CLW41" s="6"/>
      <c r="CLX41" s="6"/>
      <c r="CLY41" s="6"/>
      <c r="CLZ41" s="6"/>
      <c r="CMA41" s="6"/>
      <c r="CMB41" s="6"/>
      <c r="CMC41" s="6"/>
      <c r="CMD41" s="6"/>
      <c r="CME41" s="6"/>
      <c r="CMF41" s="6"/>
      <c r="CMG41" s="6"/>
      <c r="CMH41" s="6"/>
      <c r="CMI41" s="6"/>
      <c r="CMJ41" s="6"/>
      <c r="CMK41" s="6"/>
      <c r="CML41" s="6"/>
      <c r="CMM41" s="6"/>
      <c r="CMN41" s="6"/>
      <c r="CMO41" s="6"/>
      <c r="CMP41" s="6"/>
      <c r="CMQ41" s="6"/>
      <c r="CMR41" s="6"/>
      <c r="CMS41" s="6"/>
      <c r="CMT41" s="6"/>
      <c r="CMU41" s="6"/>
      <c r="CMV41" s="6"/>
      <c r="CMW41" s="6"/>
      <c r="CMX41" s="6"/>
      <c r="CMY41" s="6"/>
      <c r="CMZ41" s="6"/>
      <c r="CNA41" s="6"/>
      <c r="CNB41" s="6"/>
      <c r="CNC41" s="6"/>
      <c r="CND41" s="6"/>
      <c r="CNE41" s="6"/>
      <c r="CNF41" s="6"/>
      <c r="CNG41" s="6"/>
      <c r="CNH41" s="6"/>
      <c r="CNI41" s="6"/>
      <c r="CNJ41" s="6"/>
      <c r="CNK41" s="6"/>
      <c r="CNL41" s="6"/>
      <c r="CNM41" s="6"/>
      <c r="CNN41" s="6"/>
      <c r="CNO41" s="6"/>
      <c r="CNP41" s="6"/>
      <c r="CNQ41" s="6"/>
      <c r="CNR41" s="6"/>
      <c r="CNS41" s="6"/>
      <c r="CNT41" s="6"/>
      <c r="CNU41" s="6"/>
      <c r="CNV41" s="6"/>
      <c r="CNW41" s="6"/>
      <c r="CNX41" s="6"/>
      <c r="CNY41" s="6"/>
      <c r="CNZ41" s="6"/>
      <c r="COA41" s="6"/>
      <c r="COB41" s="6"/>
      <c r="COC41" s="6"/>
      <c r="COD41" s="6"/>
      <c r="COE41" s="6"/>
      <c r="COF41" s="6"/>
      <c r="COG41" s="6"/>
      <c r="COH41" s="6"/>
      <c r="COI41" s="6"/>
      <c r="COJ41" s="6"/>
      <c r="COK41" s="6"/>
      <c r="COL41" s="6"/>
      <c r="COM41" s="6"/>
      <c r="CON41" s="6"/>
      <c r="COO41" s="6"/>
      <c r="COP41" s="6"/>
      <c r="COQ41" s="6"/>
      <c r="COR41" s="6"/>
      <c r="COS41" s="6"/>
      <c r="COT41" s="6"/>
      <c r="COU41" s="6"/>
      <c r="COV41" s="6"/>
      <c r="COW41" s="6"/>
      <c r="COX41" s="6"/>
      <c r="COY41" s="6"/>
      <c r="COZ41" s="6"/>
      <c r="CPA41" s="6"/>
      <c r="CPB41" s="6"/>
      <c r="CPC41" s="6"/>
      <c r="CPD41" s="6"/>
      <c r="CPE41" s="6"/>
      <c r="CPF41" s="6"/>
      <c r="CPG41" s="6"/>
      <c r="CPH41" s="6"/>
      <c r="CPI41" s="6"/>
      <c r="CPJ41" s="6"/>
      <c r="CPK41" s="6"/>
      <c r="CPL41" s="6"/>
      <c r="CPM41" s="6"/>
      <c r="CPN41" s="6"/>
      <c r="CPO41" s="6"/>
      <c r="CPP41" s="6"/>
      <c r="CPQ41" s="6"/>
      <c r="CPR41" s="6"/>
      <c r="CPS41" s="6"/>
      <c r="CPT41" s="6"/>
      <c r="CPU41" s="6"/>
      <c r="CPV41" s="6"/>
      <c r="CPW41" s="6"/>
      <c r="CPX41" s="6"/>
      <c r="CPY41" s="6"/>
      <c r="CPZ41" s="6"/>
      <c r="CQA41" s="6"/>
      <c r="CQB41" s="6"/>
      <c r="CQC41" s="6"/>
      <c r="CQD41" s="6"/>
      <c r="CQE41" s="6"/>
      <c r="CQF41" s="6"/>
      <c r="CQG41" s="6"/>
      <c r="CQH41" s="6"/>
      <c r="CQI41" s="6"/>
      <c r="CQJ41" s="6"/>
      <c r="CQK41" s="6"/>
      <c r="CQL41" s="6"/>
      <c r="CQM41" s="6"/>
      <c r="CQN41" s="6"/>
      <c r="CQO41" s="6"/>
      <c r="CQP41" s="6"/>
      <c r="CQQ41" s="6"/>
      <c r="CQR41" s="6"/>
      <c r="CQS41" s="6"/>
      <c r="CQT41" s="6"/>
      <c r="CQU41" s="6"/>
      <c r="CQV41" s="6"/>
      <c r="CQW41" s="6"/>
      <c r="CQX41" s="6"/>
      <c r="CQY41" s="6"/>
      <c r="CQZ41" s="6"/>
      <c r="CRA41" s="6"/>
      <c r="CRB41" s="6"/>
      <c r="CRC41" s="6"/>
      <c r="CRD41" s="6"/>
      <c r="CRE41" s="6"/>
      <c r="CRF41" s="6"/>
      <c r="CRG41" s="6"/>
      <c r="CRH41" s="6"/>
      <c r="CRI41" s="6"/>
      <c r="CRJ41" s="6"/>
      <c r="CRK41" s="6"/>
      <c r="CRL41" s="6"/>
      <c r="CRM41" s="6"/>
      <c r="CRN41" s="6"/>
      <c r="CRO41" s="6"/>
      <c r="CRP41" s="6"/>
      <c r="CRQ41" s="6"/>
      <c r="CRR41" s="6"/>
      <c r="CRS41" s="6"/>
      <c r="CRT41" s="6"/>
      <c r="CRU41" s="6"/>
      <c r="CRV41" s="6"/>
      <c r="CRW41" s="6"/>
      <c r="CRX41" s="6"/>
      <c r="CRY41" s="6"/>
      <c r="CRZ41" s="6"/>
      <c r="CSA41" s="6"/>
      <c r="CSB41" s="6"/>
      <c r="CSC41" s="6"/>
      <c r="CSD41" s="6"/>
      <c r="CSE41" s="6"/>
      <c r="CSF41" s="6"/>
      <c r="CSG41" s="6"/>
      <c r="CSH41" s="6"/>
      <c r="CSI41" s="6"/>
      <c r="CSJ41" s="6"/>
      <c r="CSK41" s="6"/>
      <c r="CSL41" s="6"/>
      <c r="CSM41" s="6"/>
      <c r="CSN41" s="6"/>
      <c r="CSO41" s="6"/>
      <c r="CSP41" s="6"/>
      <c r="CSQ41" s="6"/>
      <c r="CSR41" s="6"/>
      <c r="CSS41" s="6"/>
      <c r="CST41" s="6"/>
      <c r="CSU41" s="6"/>
      <c r="CSV41" s="6"/>
      <c r="CSW41" s="6"/>
      <c r="CSX41" s="6"/>
      <c r="CSY41" s="6"/>
      <c r="CSZ41" s="6"/>
      <c r="CTA41" s="6"/>
      <c r="CTB41" s="6"/>
      <c r="CTC41" s="6"/>
      <c r="CTD41" s="6"/>
      <c r="CTE41" s="6"/>
      <c r="CTF41" s="6"/>
      <c r="CTG41" s="6"/>
      <c r="CTH41" s="6"/>
      <c r="CTI41" s="6"/>
      <c r="CTJ41" s="6"/>
      <c r="CTK41" s="6"/>
      <c r="CTL41" s="6"/>
      <c r="CTM41" s="6"/>
      <c r="CTN41" s="6"/>
      <c r="CTO41" s="6"/>
      <c r="CTP41" s="6"/>
      <c r="CTQ41" s="6"/>
      <c r="CTR41" s="6"/>
      <c r="CTS41" s="6"/>
      <c r="CTT41" s="6"/>
      <c r="CTU41" s="6"/>
      <c r="CTV41" s="6"/>
      <c r="CTW41" s="6"/>
      <c r="CTX41" s="6"/>
      <c r="CTY41" s="6"/>
      <c r="CTZ41" s="6"/>
      <c r="CUA41" s="6"/>
      <c r="CUB41" s="6"/>
      <c r="CUC41" s="6"/>
      <c r="CUD41" s="6"/>
      <c r="CUE41" s="6"/>
      <c r="CUF41" s="6"/>
      <c r="CUG41" s="6"/>
      <c r="CUH41" s="6"/>
      <c r="CUI41" s="6"/>
      <c r="CUJ41" s="6"/>
      <c r="CUK41" s="6"/>
      <c r="CUL41" s="6"/>
      <c r="CUM41" s="6"/>
      <c r="CUN41" s="6"/>
      <c r="CUO41" s="6"/>
      <c r="CUP41" s="6"/>
      <c r="CUQ41" s="6"/>
      <c r="CUR41" s="6"/>
      <c r="CUS41" s="6"/>
      <c r="CUT41" s="6"/>
      <c r="CUU41" s="6"/>
      <c r="CUV41" s="6"/>
      <c r="CUW41" s="6"/>
      <c r="CUX41" s="6"/>
      <c r="CUY41" s="6"/>
      <c r="CUZ41" s="6"/>
      <c r="CVA41" s="6"/>
      <c r="CVB41" s="6"/>
      <c r="CVC41" s="6"/>
      <c r="CVD41" s="6"/>
      <c r="CVE41" s="6"/>
      <c r="CVF41" s="6"/>
      <c r="CVG41" s="6"/>
      <c r="CVH41" s="6"/>
      <c r="CVI41" s="6"/>
      <c r="CVJ41" s="6"/>
      <c r="CVK41" s="6"/>
      <c r="CVL41" s="6"/>
      <c r="CVM41" s="6"/>
      <c r="CVN41" s="6"/>
      <c r="CVO41" s="6"/>
      <c r="CVP41" s="6"/>
      <c r="CVQ41" s="6"/>
      <c r="CVR41" s="6"/>
      <c r="CVS41" s="6"/>
      <c r="CVT41" s="6"/>
      <c r="CVU41" s="6"/>
      <c r="CVV41" s="6"/>
      <c r="CVW41" s="6"/>
      <c r="CVX41" s="6"/>
      <c r="CVY41" s="6"/>
      <c r="CVZ41" s="6"/>
      <c r="CWA41" s="6"/>
      <c r="CWB41" s="6"/>
      <c r="CWC41" s="6"/>
      <c r="CWD41" s="6"/>
      <c r="CWE41" s="6"/>
      <c r="CWF41" s="6"/>
      <c r="CWG41" s="6"/>
      <c r="CWH41" s="6"/>
      <c r="CWI41" s="6"/>
      <c r="CWJ41" s="6"/>
      <c r="CWK41" s="6"/>
      <c r="CWL41" s="6"/>
      <c r="CWM41" s="6"/>
      <c r="CWN41" s="6"/>
      <c r="CWO41" s="6"/>
      <c r="CWP41" s="6"/>
      <c r="CWQ41" s="6"/>
      <c r="CWR41" s="6"/>
      <c r="CWS41" s="6"/>
      <c r="CWT41" s="6"/>
      <c r="CWU41" s="6"/>
      <c r="CWV41" s="6"/>
      <c r="CWW41" s="6"/>
      <c r="CWX41" s="6"/>
      <c r="CWY41" s="6"/>
      <c r="CWZ41" s="6"/>
      <c r="CXA41" s="6"/>
      <c r="CXB41" s="6"/>
      <c r="CXC41" s="6"/>
      <c r="CXD41" s="6"/>
      <c r="CXE41" s="6"/>
      <c r="CXF41" s="6"/>
      <c r="CXG41" s="6"/>
      <c r="CXH41" s="6"/>
      <c r="CXI41" s="6"/>
      <c r="CXJ41" s="6"/>
      <c r="CXK41" s="6"/>
      <c r="CXL41" s="6"/>
      <c r="CXM41" s="6"/>
      <c r="CXN41" s="6"/>
      <c r="CXO41" s="6"/>
      <c r="CXP41" s="6"/>
      <c r="CXQ41" s="6"/>
      <c r="CXR41" s="6"/>
      <c r="CXS41" s="6"/>
      <c r="CXT41" s="6"/>
      <c r="CXU41" s="6"/>
      <c r="CXV41" s="6"/>
      <c r="CXW41" s="6"/>
      <c r="CXX41" s="6"/>
      <c r="CXY41" s="6"/>
      <c r="CXZ41" s="6"/>
      <c r="CYA41" s="6"/>
      <c r="CYB41" s="6"/>
      <c r="CYC41" s="6"/>
      <c r="CYD41" s="6"/>
      <c r="CYE41" s="6"/>
      <c r="CYF41" s="6"/>
      <c r="CYG41" s="6"/>
      <c r="CYH41" s="6"/>
      <c r="CYI41" s="6"/>
      <c r="CYJ41" s="6"/>
      <c r="CYK41" s="6"/>
      <c r="CYL41" s="6"/>
      <c r="CYM41" s="6"/>
      <c r="CYN41" s="6"/>
      <c r="CYO41" s="6"/>
      <c r="CYP41" s="6"/>
      <c r="CYQ41" s="6"/>
      <c r="CYR41" s="6"/>
      <c r="CYS41" s="6"/>
      <c r="CYT41" s="6"/>
      <c r="CYU41" s="6"/>
      <c r="CYV41" s="6"/>
      <c r="CYW41" s="6"/>
      <c r="CYX41" s="6"/>
      <c r="CYY41" s="6"/>
      <c r="CYZ41" s="6"/>
      <c r="CZA41" s="6"/>
      <c r="CZB41" s="6"/>
      <c r="CZC41" s="6"/>
      <c r="CZD41" s="6"/>
      <c r="CZE41" s="6"/>
      <c r="CZF41" s="6"/>
      <c r="CZG41" s="6"/>
      <c r="CZH41" s="6"/>
      <c r="CZI41" s="6"/>
      <c r="CZJ41" s="6"/>
      <c r="CZK41" s="6"/>
      <c r="CZL41" s="6"/>
      <c r="CZM41" s="6"/>
      <c r="CZN41" s="6"/>
      <c r="CZO41" s="6"/>
      <c r="CZP41" s="6"/>
      <c r="CZQ41" s="6"/>
      <c r="CZR41" s="6"/>
      <c r="CZS41" s="6"/>
      <c r="CZT41" s="6"/>
      <c r="CZU41" s="6"/>
      <c r="CZV41" s="6"/>
      <c r="CZW41" s="6"/>
      <c r="CZX41" s="6"/>
      <c r="CZY41" s="6"/>
      <c r="CZZ41" s="6"/>
      <c r="DAA41" s="6"/>
      <c r="DAB41" s="6"/>
      <c r="DAC41" s="6"/>
      <c r="DAD41" s="6"/>
      <c r="DAE41" s="6"/>
      <c r="DAF41" s="6"/>
      <c r="DAG41" s="6"/>
      <c r="DAH41" s="6"/>
      <c r="DAI41" s="6"/>
      <c r="DAJ41" s="6"/>
      <c r="DAK41" s="6"/>
      <c r="DAL41" s="6"/>
      <c r="DAM41" s="6"/>
      <c r="DAN41" s="6"/>
      <c r="DAO41" s="6"/>
      <c r="DAP41" s="6"/>
      <c r="DAQ41" s="6"/>
      <c r="DAR41" s="6"/>
      <c r="DAS41" s="6"/>
      <c r="DAT41" s="6"/>
      <c r="DAU41" s="6"/>
      <c r="DAV41" s="6"/>
      <c r="DAW41" s="6"/>
      <c r="DAX41" s="6"/>
      <c r="DAY41" s="6"/>
      <c r="DAZ41" s="6"/>
      <c r="DBA41" s="6"/>
      <c r="DBB41" s="6"/>
      <c r="DBC41" s="6"/>
      <c r="DBD41" s="6"/>
      <c r="DBE41" s="6"/>
      <c r="DBF41" s="6"/>
      <c r="DBG41" s="6"/>
      <c r="DBH41" s="6"/>
      <c r="DBI41" s="6"/>
      <c r="DBJ41" s="6"/>
      <c r="DBK41" s="6"/>
      <c r="DBL41" s="6"/>
      <c r="DBM41" s="6"/>
      <c r="DBN41" s="6"/>
      <c r="DBO41" s="6"/>
      <c r="DBP41" s="6"/>
      <c r="DBQ41" s="6"/>
      <c r="DBR41" s="6"/>
      <c r="DBS41" s="6"/>
      <c r="DBT41" s="6"/>
      <c r="DBU41" s="6"/>
      <c r="DBV41" s="6"/>
      <c r="DBW41" s="6"/>
      <c r="DBX41" s="6"/>
      <c r="DBY41" s="6"/>
      <c r="DBZ41" s="6"/>
      <c r="DCA41" s="6"/>
      <c r="DCB41" s="6"/>
      <c r="DCC41" s="6"/>
      <c r="DCD41" s="6"/>
      <c r="DCE41" s="6"/>
      <c r="DCF41" s="6"/>
      <c r="DCG41" s="6"/>
      <c r="DCH41" s="6"/>
      <c r="DCI41" s="6"/>
      <c r="DCJ41" s="6"/>
      <c r="DCK41" s="6"/>
      <c r="DCL41" s="6"/>
      <c r="DCM41" s="6"/>
      <c r="DCN41" s="6"/>
      <c r="DCO41" s="6"/>
      <c r="DCP41" s="6"/>
      <c r="DCQ41" s="6"/>
      <c r="DCR41" s="6"/>
      <c r="DCS41" s="6"/>
      <c r="DCT41" s="6"/>
      <c r="DCU41" s="6"/>
      <c r="DCV41" s="6"/>
      <c r="DCW41" s="6"/>
      <c r="DCX41" s="6"/>
      <c r="DCY41" s="6"/>
      <c r="DCZ41" s="6"/>
      <c r="DDA41" s="6"/>
      <c r="DDB41" s="6"/>
      <c r="DDC41" s="6"/>
      <c r="DDD41" s="6"/>
      <c r="DDE41" s="6"/>
      <c r="DDF41" s="6"/>
      <c r="DDG41" s="6"/>
      <c r="DDH41" s="6"/>
      <c r="DDI41" s="6"/>
      <c r="DDJ41" s="6"/>
      <c r="DDK41" s="6"/>
      <c r="DDL41" s="6"/>
      <c r="DDM41" s="6"/>
      <c r="DDN41" s="6"/>
      <c r="DDO41" s="6"/>
      <c r="DDP41" s="6"/>
      <c r="DDQ41" s="6"/>
      <c r="DDR41" s="6"/>
      <c r="DDS41" s="6"/>
      <c r="DDT41" s="6"/>
      <c r="DDU41" s="6"/>
      <c r="DDV41" s="6"/>
      <c r="DDW41" s="6"/>
      <c r="DDX41" s="6"/>
      <c r="DDY41" s="6"/>
      <c r="DDZ41" s="6"/>
      <c r="DEA41" s="6"/>
      <c r="DEB41" s="6"/>
      <c r="DEC41" s="6"/>
      <c r="DED41" s="6"/>
      <c r="DEE41" s="6"/>
      <c r="DEF41" s="6"/>
      <c r="DEG41" s="6"/>
      <c r="DEH41" s="6"/>
      <c r="DEI41" s="6"/>
      <c r="DEJ41" s="6"/>
      <c r="DEK41" s="6"/>
      <c r="DEL41" s="6"/>
      <c r="DEM41" s="6"/>
      <c r="DEN41" s="6"/>
      <c r="DEO41" s="6"/>
      <c r="DEP41" s="6"/>
      <c r="DEQ41" s="6"/>
      <c r="DER41" s="6"/>
      <c r="DES41" s="6"/>
      <c r="DET41" s="6"/>
      <c r="DEU41" s="6"/>
      <c r="DEV41" s="6"/>
      <c r="DEW41" s="6"/>
      <c r="DEX41" s="6"/>
      <c r="DEY41" s="6"/>
      <c r="DEZ41" s="6"/>
      <c r="DFA41" s="6"/>
      <c r="DFB41" s="6"/>
      <c r="DFC41" s="6"/>
      <c r="DFD41" s="6"/>
      <c r="DFE41" s="6"/>
      <c r="DFF41" s="6"/>
      <c r="DFG41" s="6"/>
      <c r="DFH41" s="6"/>
      <c r="DFI41" s="6"/>
      <c r="DFJ41" s="6"/>
      <c r="DFK41" s="6"/>
      <c r="DFL41" s="6"/>
      <c r="DFM41" s="6"/>
      <c r="DFN41" s="6"/>
      <c r="DFO41" s="6"/>
      <c r="DFP41" s="6"/>
      <c r="DFQ41" s="6"/>
      <c r="DFR41" s="6"/>
      <c r="DFS41" s="6"/>
      <c r="DFT41" s="6"/>
      <c r="DFU41" s="6"/>
      <c r="DFV41" s="6"/>
      <c r="DFW41" s="6"/>
      <c r="DFX41" s="6"/>
      <c r="DFY41" s="6"/>
      <c r="DFZ41" s="6"/>
      <c r="DGA41" s="6"/>
      <c r="DGB41" s="6"/>
      <c r="DGC41" s="6"/>
      <c r="DGD41" s="6"/>
      <c r="DGE41" s="6"/>
      <c r="DGF41" s="6"/>
      <c r="DGG41" s="6"/>
      <c r="DGH41" s="6"/>
      <c r="DGI41" s="6"/>
      <c r="DGJ41" s="6"/>
      <c r="DGK41" s="6"/>
      <c r="DGL41" s="6"/>
      <c r="DGM41" s="6"/>
      <c r="DGN41" s="6"/>
      <c r="DGO41" s="6"/>
      <c r="DGP41" s="6"/>
      <c r="DGQ41" s="6"/>
      <c r="DGR41" s="6"/>
      <c r="DGS41" s="6"/>
      <c r="DGT41" s="6"/>
      <c r="DGU41" s="6"/>
      <c r="DGV41" s="6"/>
      <c r="DGW41" s="6"/>
      <c r="DGX41" s="6"/>
      <c r="DGY41" s="6"/>
      <c r="DGZ41" s="6"/>
      <c r="DHA41" s="6"/>
      <c r="DHB41" s="6"/>
      <c r="DHC41" s="6"/>
      <c r="DHD41" s="6"/>
      <c r="DHE41" s="6"/>
      <c r="DHF41" s="6"/>
      <c r="DHG41" s="6"/>
      <c r="DHH41" s="6"/>
      <c r="DHI41" s="6"/>
      <c r="DHJ41" s="6"/>
      <c r="DHK41" s="6"/>
      <c r="DHL41" s="6"/>
      <c r="DHM41" s="6"/>
      <c r="DHN41" s="6"/>
      <c r="DHO41" s="6"/>
      <c r="DHP41" s="6"/>
      <c r="DHQ41" s="6"/>
      <c r="DHR41" s="6"/>
      <c r="DHS41" s="6"/>
      <c r="DHT41" s="6"/>
      <c r="DHU41" s="6"/>
      <c r="DHV41" s="6"/>
      <c r="DHW41" s="6"/>
      <c r="DHX41" s="6"/>
      <c r="DHY41" s="6"/>
      <c r="DHZ41" s="6"/>
      <c r="DIA41" s="6"/>
      <c r="DIB41" s="6"/>
      <c r="DIC41" s="6"/>
      <c r="DID41" s="6"/>
      <c r="DIE41" s="6"/>
      <c r="DIF41" s="6"/>
      <c r="DIG41" s="6"/>
      <c r="DIH41" s="6"/>
      <c r="DII41" s="6"/>
      <c r="DIJ41" s="6"/>
      <c r="DIK41" s="6"/>
      <c r="DIL41" s="6"/>
      <c r="DIM41" s="6"/>
      <c r="DIN41" s="6"/>
      <c r="DIO41" s="6"/>
      <c r="DIP41" s="6"/>
      <c r="DIQ41" s="6"/>
      <c r="DIR41" s="6"/>
      <c r="DIS41" s="6"/>
      <c r="DIT41" s="6"/>
      <c r="DIU41" s="6"/>
      <c r="DIV41" s="6"/>
      <c r="DIW41" s="6"/>
      <c r="DIX41" s="6"/>
      <c r="DIY41" s="6"/>
      <c r="DIZ41" s="6"/>
      <c r="DJA41" s="6"/>
      <c r="DJB41" s="6"/>
      <c r="DJC41" s="6"/>
      <c r="DJD41" s="6"/>
      <c r="DJE41" s="6"/>
      <c r="DJF41" s="6"/>
      <c r="DJG41" s="6"/>
      <c r="DJH41" s="6"/>
      <c r="DJI41" s="6"/>
      <c r="DJJ41" s="6"/>
      <c r="DJK41" s="6"/>
      <c r="DJL41" s="6"/>
      <c r="DJM41" s="6"/>
      <c r="DJN41" s="6"/>
      <c r="DJO41" s="6"/>
      <c r="DJP41" s="6"/>
      <c r="DJQ41" s="6"/>
      <c r="DJR41" s="6"/>
      <c r="DJS41" s="6"/>
      <c r="DJT41" s="6"/>
      <c r="DJU41" s="6"/>
      <c r="DJV41" s="6"/>
      <c r="DJW41" s="6"/>
      <c r="DJX41" s="6"/>
      <c r="DJY41" s="6"/>
      <c r="DJZ41" s="6"/>
      <c r="DKA41" s="6"/>
      <c r="DKB41" s="6"/>
      <c r="DKC41" s="6"/>
      <c r="DKD41" s="6"/>
      <c r="DKE41" s="6"/>
      <c r="DKF41" s="6"/>
      <c r="DKG41" s="6"/>
      <c r="DKH41" s="6"/>
      <c r="DKI41" s="6"/>
      <c r="DKJ41" s="6"/>
      <c r="DKK41" s="6"/>
      <c r="DKL41" s="6"/>
      <c r="DKM41" s="6"/>
      <c r="DKN41" s="6"/>
      <c r="DKO41" s="6"/>
      <c r="DKP41" s="6"/>
      <c r="DKQ41" s="6"/>
      <c r="DKR41" s="6"/>
      <c r="DKS41" s="6"/>
      <c r="DKT41" s="6"/>
      <c r="DKU41" s="6"/>
      <c r="DKV41" s="6"/>
      <c r="DKW41" s="6"/>
      <c r="DKX41" s="6"/>
      <c r="DKY41" s="6"/>
      <c r="DKZ41" s="6"/>
      <c r="DLA41" s="6"/>
      <c r="DLB41" s="6"/>
      <c r="DLC41" s="6"/>
      <c r="DLD41" s="6"/>
      <c r="DLE41" s="6"/>
      <c r="DLF41" s="6"/>
      <c r="DLG41" s="6"/>
      <c r="DLH41" s="6"/>
      <c r="DLI41" s="6"/>
      <c r="DLJ41" s="6"/>
      <c r="DLK41" s="6"/>
      <c r="DLL41" s="6"/>
      <c r="DLM41" s="6"/>
      <c r="DLN41" s="6"/>
      <c r="DLO41" s="6"/>
      <c r="DLP41" s="6"/>
      <c r="DLQ41" s="6"/>
      <c r="DLR41" s="6"/>
      <c r="DLS41" s="6"/>
      <c r="DLT41" s="6"/>
      <c r="DLU41" s="6"/>
      <c r="DLV41" s="6"/>
      <c r="DLW41" s="6"/>
      <c r="DLX41" s="6"/>
      <c r="DLY41" s="6"/>
      <c r="DLZ41" s="6"/>
      <c r="DMA41" s="6"/>
      <c r="DMB41" s="6"/>
      <c r="DMC41" s="6"/>
      <c r="DMD41" s="6"/>
      <c r="DME41" s="6"/>
      <c r="DMF41" s="6"/>
      <c r="DMG41" s="6"/>
      <c r="DMH41" s="6"/>
      <c r="DMI41" s="6"/>
      <c r="DMJ41" s="6"/>
      <c r="DMK41" s="6"/>
      <c r="DML41" s="6"/>
      <c r="DMM41" s="6"/>
      <c r="DMN41" s="6"/>
      <c r="DMO41" s="6"/>
      <c r="DMP41" s="6"/>
      <c r="DMQ41" s="6"/>
      <c r="DMR41" s="6"/>
      <c r="DMS41" s="6"/>
      <c r="DMT41" s="6"/>
      <c r="DMU41" s="6"/>
      <c r="DMV41" s="6"/>
      <c r="DMW41" s="6"/>
      <c r="DMX41" s="6"/>
      <c r="DMY41" s="6"/>
      <c r="DMZ41" s="6"/>
      <c r="DNA41" s="6"/>
      <c r="DNB41" s="6"/>
      <c r="DNC41" s="6"/>
      <c r="DND41" s="6"/>
      <c r="DNE41" s="6"/>
      <c r="DNF41" s="6"/>
      <c r="DNG41" s="6"/>
      <c r="DNH41" s="6"/>
      <c r="DNI41" s="6"/>
      <c r="DNJ41" s="6"/>
      <c r="DNK41" s="6"/>
      <c r="DNL41" s="6"/>
      <c r="DNM41" s="6"/>
      <c r="DNN41" s="6"/>
      <c r="DNO41" s="6"/>
      <c r="DNP41" s="6"/>
      <c r="DNQ41" s="6"/>
      <c r="DNR41" s="6"/>
      <c r="DNS41" s="6"/>
      <c r="DNT41" s="6"/>
      <c r="DNU41" s="6"/>
      <c r="DNV41" s="6"/>
      <c r="DNW41" s="6"/>
      <c r="DNX41" s="6"/>
      <c r="DNY41" s="6"/>
      <c r="DNZ41" s="6"/>
      <c r="DOA41" s="6"/>
      <c r="DOB41" s="6"/>
      <c r="DOC41" s="6"/>
      <c r="DOD41" s="6"/>
      <c r="DOE41" s="6"/>
      <c r="DOF41" s="6"/>
      <c r="DOG41" s="6"/>
      <c r="DOH41" s="6"/>
      <c r="DOI41" s="6"/>
      <c r="DOJ41" s="6"/>
      <c r="DOK41" s="6"/>
      <c r="DOL41" s="6"/>
      <c r="DOM41" s="6"/>
      <c r="DON41" s="6"/>
      <c r="DOO41" s="6"/>
      <c r="DOP41" s="6"/>
      <c r="DOQ41" s="6"/>
      <c r="DOR41" s="6"/>
      <c r="DOS41" s="6"/>
      <c r="DOT41" s="6"/>
      <c r="DOU41" s="6"/>
      <c r="DOV41" s="6"/>
      <c r="DOW41" s="6"/>
      <c r="DOX41" s="6"/>
      <c r="DOY41" s="6"/>
      <c r="DOZ41" s="6"/>
      <c r="DPA41" s="6"/>
      <c r="DPB41" s="6"/>
      <c r="DPC41" s="6"/>
      <c r="DPD41" s="6"/>
      <c r="DPE41" s="6"/>
      <c r="DPF41" s="6"/>
      <c r="DPG41" s="6"/>
      <c r="DPH41" s="6"/>
      <c r="DPI41" s="6"/>
      <c r="DPJ41" s="6"/>
      <c r="DPK41" s="6"/>
      <c r="DPL41" s="6"/>
      <c r="DPM41" s="6"/>
      <c r="DPN41" s="6"/>
      <c r="DPO41" s="6"/>
      <c r="DPP41" s="6"/>
      <c r="DPQ41" s="6"/>
      <c r="DPR41" s="6"/>
      <c r="DPS41" s="6"/>
      <c r="DPT41" s="6"/>
      <c r="DPU41" s="6"/>
      <c r="DPV41" s="6"/>
      <c r="DPW41" s="6"/>
      <c r="DPX41" s="6"/>
      <c r="DPY41" s="6"/>
      <c r="DPZ41" s="6"/>
      <c r="DQA41" s="6"/>
      <c r="DQB41" s="6"/>
      <c r="DQC41" s="6"/>
      <c r="DQD41" s="6"/>
      <c r="DQE41" s="6"/>
      <c r="DQF41" s="6"/>
      <c r="DQG41" s="6"/>
      <c r="DQH41" s="6"/>
      <c r="DQI41" s="6"/>
      <c r="DQJ41" s="6"/>
      <c r="DQK41" s="6"/>
      <c r="DQL41" s="6"/>
      <c r="DQM41" s="6"/>
      <c r="DQN41" s="6"/>
      <c r="DQO41" s="6"/>
      <c r="DQP41" s="6"/>
      <c r="DQQ41" s="6"/>
      <c r="DQR41" s="6"/>
      <c r="DQS41" s="6"/>
      <c r="DQT41" s="6"/>
      <c r="DQU41" s="6"/>
      <c r="DQV41" s="6"/>
      <c r="DQW41" s="6"/>
      <c r="DQX41" s="6"/>
      <c r="DQY41" s="6"/>
      <c r="DQZ41" s="6"/>
      <c r="DRA41" s="6"/>
      <c r="DRB41" s="6"/>
      <c r="DRC41" s="6"/>
      <c r="DRD41" s="6"/>
      <c r="DRE41" s="6"/>
      <c r="DRF41" s="6"/>
      <c r="DRG41" s="6"/>
      <c r="DRH41" s="6"/>
      <c r="DRI41" s="6"/>
      <c r="DRJ41" s="6"/>
      <c r="DRK41" s="6"/>
      <c r="DRL41" s="6"/>
      <c r="DRM41" s="6"/>
      <c r="DRN41" s="6"/>
      <c r="DRO41" s="6"/>
      <c r="DRP41" s="6"/>
      <c r="DRQ41" s="6"/>
      <c r="DRR41" s="6"/>
      <c r="DRS41" s="6"/>
      <c r="DRT41" s="6"/>
      <c r="DRU41" s="6"/>
      <c r="DRV41" s="6"/>
      <c r="DRW41" s="6"/>
      <c r="DRX41" s="6"/>
      <c r="DRY41" s="6"/>
      <c r="DRZ41" s="6"/>
      <c r="DSA41" s="6"/>
      <c r="DSB41" s="6"/>
      <c r="DSC41" s="6"/>
      <c r="DSD41" s="6"/>
      <c r="DSE41" s="6"/>
      <c r="DSF41" s="6"/>
      <c r="DSG41" s="6"/>
      <c r="DSH41" s="6"/>
      <c r="DSI41" s="6"/>
      <c r="DSJ41" s="6"/>
      <c r="DSK41" s="6"/>
      <c r="DSL41" s="6"/>
      <c r="DSM41" s="6"/>
      <c r="DSN41" s="6"/>
      <c r="DSO41" s="6"/>
      <c r="DSP41" s="6"/>
      <c r="DSQ41" s="6"/>
      <c r="DSR41" s="6"/>
      <c r="DSS41" s="6"/>
      <c r="DST41" s="6"/>
      <c r="DSU41" s="6"/>
      <c r="DSV41" s="6"/>
      <c r="DSW41" s="6"/>
      <c r="DSX41" s="6"/>
      <c r="DSY41" s="6"/>
      <c r="DSZ41" s="6"/>
      <c r="DTA41" s="6"/>
      <c r="DTB41" s="6"/>
      <c r="DTC41" s="6"/>
      <c r="DTD41" s="6"/>
      <c r="DTE41" s="6"/>
      <c r="DTF41" s="6"/>
      <c r="DTG41" s="6"/>
      <c r="DTH41" s="6"/>
      <c r="DTI41" s="6"/>
      <c r="DTJ41" s="6"/>
      <c r="DTK41" s="6"/>
      <c r="DTL41" s="6"/>
      <c r="DTM41" s="6"/>
      <c r="DTN41" s="6"/>
      <c r="DTO41" s="6"/>
      <c r="DTP41" s="6"/>
      <c r="DTQ41" s="6"/>
      <c r="DTR41" s="6"/>
      <c r="DTS41" s="6"/>
      <c r="DTT41" s="6"/>
      <c r="DTU41" s="6"/>
      <c r="DTV41" s="6"/>
      <c r="DTW41" s="6"/>
      <c r="DTX41" s="6"/>
      <c r="DTY41" s="6"/>
      <c r="DTZ41" s="6"/>
      <c r="DUA41" s="6"/>
      <c r="DUB41" s="6"/>
      <c r="DUC41" s="6"/>
      <c r="DUD41" s="6"/>
      <c r="DUE41" s="6"/>
      <c r="DUF41" s="6"/>
      <c r="DUG41" s="6"/>
      <c r="DUH41" s="6"/>
      <c r="DUI41" s="6"/>
      <c r="DUJ41" s="6"/>
      <c r="DUK41" s="6"/>
      <c r="DUL41" s="6"/>
      <c r="DUM41" s="6"/>
      <c r="DUN41" s="6"/>
      <c r="DUO41" s="6"/>
      <c r="DUP41" s="6"/>
      <c r="DUQ41" s="6"/>
      <c r="DUR41" s="6"/>
      <c r="DUS41" s="6"/>
      <c r="DUT41" s="6"/>
      <c r="DUU41" s="6"/>
      <c r="DUV41" s="6"/>
      <c r="DUW41" s="6"/>
      <c r="DUX41" s="6"/>
      <c r="DUY41" s="6"/>
      <c r="DUZ41" s="6"/>
      <c r="DVA41" s="6"/>
      <c r="DVB41" s="6"/>
      <c r="DVC41" s="6"/>
      <c r="DVD41" s="6"/>
      <c r="DVE41" s="6"/>
      <c r="DVF41" s="6"/>
      <c r="DVG41" s="6"/>
      <c r="DVH41" s="6"/>
      <c r="DVI41" s="6"/>
      <c r="DVJ41" s="6"/>
      <c r="DVK41" s="6"/>
      <c r="DVL41" s="6"/>
      <c r="DVM41" s="6"/>
      <c r="DVN41" s="6"/>
      <c r="DVO41" s="6"/>
      <c r="DVP41" s="6"/>
      <c r="DVQ41" s="6"/>
      <c r="DVR41" s="6"/>
      <c r="DVS41" s="6"/>
      <c r="DVT41" s="6"/>
      <c r="DVU41" s="6"/>
      <c r="DVV41" s="6"/>
      <c r="DVW41" s="6"/>
      <c r="DVX41" s="6"/>
      <c r="DVY41" s="6"/>
      <c r="DVZ41" s="6"/>
      <c r="DWA41" s="6"/>
      <c r="DWB41" s="6"/>
      <c r="DWC41" s="6"/>
      <c r="DWD41" s="6"/>
      <c r="DWE41" s="6"/>
      <c r="DWF41" s="6"/>
      <c r="DWG41" s="6"/>
      <c r="DWH41" s="6"/>
      <c r="DWI41" s="6"/>
      <c r="DWJ41" s="6"/>
      <c r="DWK41" s="6"/>
      <c r="DWL41" s="6"/>
      <c r="DWM41" s="6"/>
      <c r="DWN41" s="6"/>
      <c r="DWO41" s="6"/>
      <c r="DWP41" s="6"/>
      <c r="DWQ41" s="6"/>
      <c r="DWR41" s="6"/>
      <c r="DWS41" s="6"/>
      <c r="DWT41" s="6"/>
      <c r="DWU41" s="6"/>
      <c r="DWV41" s="6"/>
      <c r="DWW41" s="6"/>
      <c r="DWX41" s="6"/>
      <c r="DWY41" s="6"/>
      <c r="DWZ41" s="6"/>
      <c r="DXA41" s="6"/>
      <c r="DXB41" s="6"/>
      <c r="DXC41" s="6"/>
      <c r="DXD41" s="6"/>
      <c r="DXE41" s="6"/>
      <c r="DXF41" s="6"/>
      <c r="DXG41" s="6"/>
      <c r="DXH41" s="6"/>
      <c r="DXI41" s="6"/>
      <c r="DXJ41" s="6"/>
      <c r="DXK41" s="6"/>
      <c r="DXL41" s="6"/>
      <c r="DXM41" s="6"/>
      <c r="DXN41" s="6"/>
      <c r="DXO41" s="6"/>
      <c r="DXP41" s="6"/>
      <c r="DXQ41" s="6"/>
      <c r="DXR41" s="6"/>
      <c r="DXS41" s="6"/>
      <c r="DXT41" s="6"/>
      <c r="DXU41" s="6"/>
      <c r="DXV41" s="6"/>
      <c r="DXW41" s="6"/>
      <c r="DXX41" s="6"/>
      <c r="DXY41" s="6"/>
      <c r="DXZ41" s="6"/>
      <c r="DYA41" s="6"/>
      <c r="DYB41" s="6"/>
      <c r="DYC41" s="6"/>
      <c r="DYD41" s="6"/>
      <c r="DYE41" s="6"/>
      <c r="DYF41" s="6"/>
      <c r="DYG41" s="6"/>
      <c r="DYH41" s="6"/>
      <c r="DYI41" s="6"/>
      <c r="DYJ41" s="6"/>
      <c r="DYK41" s="6"/>
      <c r="DYL41" s="6"/>
      <c r="DYM41" s="6"/>
      <c r="DYN41" s="6"/>
      <c r="DYO41" s="6"/>
      <c r="DYP41" s="6"/>
      <c r="DYQ41" s="6"/>
      <c r="DYR41" s="6"/>
      <c r="DYS41" s="6"/>
      <c r="DYT41" s="6"/>
      <c r="DYU41" s="6"/>
      <c r="DYV41" s="6"/>
      <c r="DYW41" s="6"/>
      <c r="DYX41" s="6"/>
      <c r="DYY41" s="6"/>
      <c r="DYZ41" s="6"/>
      <c r="DZA41" s="6"/>
      <c r="DZB41" s="6"/>
      <c r="DZC41" s="6"/>
      <c r="DZD41" s="6"/>
      <c r="DZE41" s="6"/>
      <c r="DZF41" s="6"/>
      <c r="DZG41" s="6"/>
      <c r="DZH41" s="6"/>
      <c r="DZI41" s="6"/>
      <c r="DZJ41" s="6"/>
      <c r="DZK41" s="6"/>
      <c r="DZL41" s="6"/>
      <c r="DZM41" s="6"/>
      <c r="DZN41" s="6"/>
      <c r="DZO41" s="6"/>
      <c r="DZP41" s="6"/>
      <c r="DZQ41" s="6"/>
      <c r="DZR41" s="6"/>
      <c r="DZS41" s="6"/>
      <c r="DZT41" s="6"/>
      <c r="DZU41" s="6"/>
      <c r="DZV41" s="6"/>
      <c r="DZW41" s="6"/>
      <c r="DZX41" s="6"/>
      <c r="DZY41" s="6"/>
      <c r="DZZ41" s="6"/>
      <c r="EAA41" s="6"/>
      <c r="EAB41" s="6"/>
      <c r="EAC41" s="6"/>
      <c r="EAD41" s="6"/>
      <c r="EAE41" s="6"/>
      <c r="EAF41" s="6"/>
      <c r="EAG41" s="6"/>
      <c r="EAH41" s="6"/>
      <c r="EAI41" s="6"/>
      <c r="EAJ41" s="6"/>
      <c r="EAK41" s="6"/>
      <c r="EAL41" s="6"/>
      <c r="EAM41" s="6"/>
      <c r="EAN41" s="6"/>
      <c r="EAO41" s="6"/>
      <c r="EAP41" s="6"/>
      <c r="EAQ41" s="6"/>
      <c r="EAR41" s="6"/>
      <c r="EAS41" s="6"/>
      <c r="EAT41" s="6"/>
      <c r="EAU41" s="6"/>
      <c r="EAV41" s="6"/>
      <c r="EAW41" s="6"/>
      <c r="EAX41" s="6"/>
      <c r="EAY41" s="6"/>
      <c r="EAZ41" s="6"/>
      <c r="EBA41" s="6"/>
      <c r="EBB41" s="6"/>
      <c r="EBC41" s="6"/>
      <c r="EBD41" s="6"/>
      <c r="EBE41" s="6"/>
      <c r="EBF41" s="6"/>
      <c r="EBG41" s="6"/>
      <c r="EBH41" s="6"/>
      <c r="EBI41" s="6"/>
      <c r="EBJ41" s="6"/>
      <c r="EBK41" s="6"/>
      <c r="EBL41" s="6"/>
      <c r="EBM41" s="6"/>
      <c r="EBN41" s="6"/>
      <c r="EBO41" s="6"/>
      <c r="EBP41" s="6"/>
      <c r="EBQ41" s="6"/>
      <c r="EBR41" s="6"/>
      <c r="EBS41" s="6"/>
      <c r="EBT41" s="6"/>
      <c r="EBU41" s="6"/>
      <c r="EBV41" s="6"/>
      <c r="EBW41" s="6"/>
      <c r="EBX41" s="6"/>
      <c r="EBY41" s="6"/>
      <c r="EBZ41" s="6"/>
      <c r="ECA41" s="6"/>
      <c r="ECB41" s="6"/>
      <c r="ECC41" s="6"/>
      <c r="ECD41" s="6"/>
      <c r="ECE41" s="6"/>
      <c r="ECF41" s="6"/>
      <c r="ECG41" s="6"/>
      <c r="ECH41" s="6"/>
      <c r="ECI41" s="6"/>
      <c r="ECJ41" s="6"/>
      <c r="ECK41" s="6"/>
      <c r="ECL41" s="6"/>
      <c r="ECM41" s="6"/>
      <c r="ECN41" s="6"/>
      <c r="ECO41" s="6"/>
      <c r="ECP41" s="6"/>
      <c r="ECQ41" s="6"/>
      <c r="ECR41" s="6"/>
      <c r="ECS41" s="6"/>
      <c r="ECT41" s="6"/>
      <c r="ECU41" s="6"/>
      <c r="ECV41" s="6"/>
      <c r="ECW41" s="6"/>
      <c r="ECX41" s="6"/>
      <c r="ECY41" s="6"/>
      <c r="ECZ41" s="6"/>
      <c r="EDA41" s="6"/>
      <c r="EDB41" s="6"/>
      <c r="EDC41" s="6"/>
      <c r="EDD41" s="6"/>
      <c r="EDE41" s="6"/>
      <c r="EDF41" s="6"/>
      <c r="EDG41" s="6"/>
      <c r="EDH41" s="6"/>
      <c r="EDI41" s="6"/>
      <c r="EDJ41" s="6"/>
      <c r="EDK41" s="6"/>
      <c r="EDL41" s="6"/>
      <c r="EDM41" s="6"/>
      <c r="EDN41" s="6"/>
      <c r="EDO41" s="6"/>
      <c r="EDP41" s="6"/>
      <c r="EDQ41" s="6"/>
      <c r="EDR41" s="6"/>
      <c r="EDS41" s="6"/>
      <c r="EDT41" s="6"/>
      <c r="EDU41" s="6"/>
      <c r="EDV41" s="6"/>
      <c r="EDW41" s="6"/>
      <c r="EDX41" s="6"/>
      <c r="EDY41" s="6"/>
      <c r="EDZ41" s="6"/>
      <c r="EEA41" s="6"/>
      <c r="EEB41" s="6"/>
      <c r="EEC41" s="6"/>
      <c r="EED41" s="6"/>
      <c r="EEE41" s="6"/>
      <c r="EEF41" s="6"/>
      <c r="EEG41" s="6"/>
      <c r="EEH41" s="6"/>
      <c r="EEI41" s="6"/>
      <c r="EEJ41" s="6"/>
      <c r="EEK41" s="6"/>
      <c r="EEL41" s="6"/>
      <c r="EEM41" s="6"/>
      <c r="EEN41" s="6"/>
      <c r="EEO41" s="6"/>
      <c r="EEP41" s="6"/>
      <c r="EEQ41" s="6"/>
      <c r="EER41" s="6"/>
      <c r="EES41" s="6"/>
      <c r="EET41" s="6"/>
      <c r="EEU41" s="6"/>
      <c r="EEV41" s="6"/>
      <c r="EEW41" s="6"/>
      <c r="EEX41" s="6"/>
      <c r="EEY41" s="6"/>
      <c r="EEZ41" s="6"/>
      <c r="EFA41" s="6"/>
      <c r="EFB41" s="6"/>
      <c r="EFC41" s="6"/>
      <c r="EFD41" s="6"/>
      <c r="EFE41" s="6"/>
      <c r="EFF41" s="6"/>
      <c r="EFG41" s="6"/>
      <c r="EFH41" s="6"/>
      <c r="EFI41" s="6"/>
      <c r="EFJ41" s="6"/>
      <c r="EFK41" s="6"/>
      <c r="EFL41" s="6"/>
      <c r="EFM41" s="6"/>
      <c r="EFN41" s="6"/>
      <c r="EFO41" s="6"/>
      <c r="EFP41" s="6"/>
      <c r="EFQ41" s="6"/>
      <c r="EFR41" s="6"/>
      <c r="EFS41" s="6"/>
      <c r="EFT41" s="6"/>
      <c r="EFU41" s="6"/>
      <c r="EFV41" s="6"/>
      <c r="EFW41" s="6"/>
      <c r="EFX41" s="6"/>
      <c r="EFY41" s="6"/>
      <c r="EFZ41" s="6"/>
      <c r="EGA41" s="6"/>
      <c r="EGB41" s="6"/>
      <c r="EGC41" s="6"/>
      <c r="EGD41" s="6"/>
      <c r="EGE41" s="6"/>
      <c r="EGF41" s="6"/>
      <c r="EGG41" s="6"/>
      <c r="EGH41" s="6"/>
      <c r="EGI41" s="6"/>
      <c r="EGJ41" s="6"/>
      <c r="EGK41" s="6"/>
      <c r="EGL41" s="6"/>
      <c r="EGM41" s="6"/>
      <c r="EGN41" s="6"/>
      <c r="EGO41" s="6"/>
      <c r="EGP41" s="6"/>
      <c r="EGQ41" s="6"/>
      <c r="EGR41" s="6"/>
      <c r="EGS41" s="6"/>
      <c r="EGT41" s="6"/>
      <c r="EGU41" s="6"/>
      <c r="EGV41" s="6"/>
      <c r="EGW41" s="6"/>
      <c r="EGX41" s="6"/>
      <c r="EGY41" s="6"/>
      <c r="EGZ41" s="6"/>
      <c r="EHA41" s="6"/>
      <c r="EHB41" s="6"/>
      <c r="EHC41" s="6"/>
      <c r="EHD41" s="6"/>
      <c r="EHE41" s="6"/>
      <c r="EHF41" s="6"/>
      <c r="EHG41" s="6"/>
      <c r="EHH41" s="6"/>
      <c r="EHI41" s="6"/>
      <c r="EHJ41" s="6"/>
      <c r="EHK41" s="6"/>
      <c r="EHL41" s="6"/>
      <c r="EHM41" s="6"/>
      <c r="EHN41" s="6"/>
      <c r="EHO41" s="6"/>
      <c r="EHP41" s="6"/>
      <c r="EHQ41" s="6"/>
      <c r="EHR41" s="6"/>
      <c r="EHS41" s="6"/>
      <c r="EHT41" s="6"/>
      <c r="EHU41" s="6"/>
      <c r="EHV41" s="6"/>
      <c r="EHW41" s="6"/>
      <c r="EHX41" s="6"/>
      <c r="EHY41" s="6"/>
      <c r="EHZ41" s="6"/>
      <c r="EIA41" s="6"/>
      <c r="EIB41" s="6"/>
      <c r="EIC41" s="6"/>
      <c r="EID41" s="6"/>
      <c r="EIE41" s="6"/>
      <c r="EIF41" s="6"/>
      <c r="EIG41" s="6"/>
      <c r="EIH41" s="6"/>
      <c r="EII41" s="6"/>
      <c r="EIJ41" s="6"/>
      <c r="EIK41" s="6"/>
      <c r="EIL41" s="6"/>
      <c r="EIM41" s="6"/>
      <c r="EIN41" s="6"/>
      <c r="EIO41" s="6"/>
      <c r="EIP41" s="6"/>
      <c r="EIQ41" s="6"/>
      <c r="EIR41" s="6"/>
      <c r="EIS41" s="6"/>
      <c r="EIT41" s="6"/>
      <c r="EIU41" s="6"/>
      <c r="EIV41" s="6"/>
      <c r="EIW41" s="6"/>
      <c r="EIX41" s="6"/>
      <c r="EIY41" s="6"/>
      <c r="EIZ41" s="6"/>
      <c r="EJA41" s="6"/>
      <c r="EJB41" s="6"/>
      <c r="EJC41" s="6"/>
      <c r="EJD41" s="6"/>
      <c r="EJE41" s="6"/>
      <c r="EJF41" s="6"/>
      <c r="EJG41" s="6"/>
      <c r="EJH41" s="6"/>
      <c r="EJI41" s="6"/>
      <c r="EJJ41" s="6"/>
      <c r="EJK41" s="6"/>
      <c r="EJL41" s="6"/>
      <c r="EJM41" s="6"/>
      <c r="EJN41" s="6"/>
      <c r="EJO41" s="6"/>
      <c r="EJP41" s="6"/>
      <c r="EJQ41" s="6"/>
      <c r="EJR41" s="6"/>
      <c r="EJS41" s="6"/>
      <c r="EJT41" s="6"/>
      <c r="EJU41" s="6"/>
      <c r="EJV41" s="6"/>
      <c r="EJW41" s="6"/>
      <c r="EJX41" s="6"/>
      <c r="EJY41" s="6"/>
      <c r="EJZ41" s="6"/>
      <c r="EKA41" s="6"/>
      <c r="EKB41" s="6"/>
      <c r="EKC41" s="6"/>
      <c r="EKD41" s="6"/>
      <c r="EKE41" s="6"/>
      <c r="EKF41" s="6"/>
      <c r="EKG41" s="6"/>
      <c r="EKH41" s="6"/>
      <c r="EKI41" s="6"/>
      <c r="EKJ41" s="6"/>
      <c r="EKK41" s="6"/>
      <c r="EKL41" s="6"/>
      <c r="EKM41" s="6"/>
      <c r="EKN41" s="6"/>
      <c r="EKO41" s="6"/>
      <c r="EKP41" s="6"/>
      <c r="EKQ41" s="6"/>
      <c r="EKR41" s="6"/>
      <c r="EKS41" s="6"/>
      <c r="EKT41" s="6"/>
      <c r="EKU41" s="6"/>
      <c r="EKV41" s="6"/>
      <c r="EKW41" s="6"/>
      <c r="EKX41" s="6"/>
      <c r="EKY41" s="6"/>
      <c r="EKZ41" s="6"/>
      <c r="ELA41" s="6"/>
      <c r="ELB41" s="6"/>
      <c r="ELC41" s="6"/>
      <c r="ELD41" s="6"/>
      <c r="ELE41" s="6"/>
      <c r="ELF41" s="6"/>
      <c r="ELG41" s="6"/>
      <c r="ELH41" s="6"/>
      <c r="ELI41" s="6"/>
      <c r="ELJ41" s="6"/>
      <c r="ELK41" s="6"/>
      <c r="ELL41" s="6"/>
      <c r="ELM41" s="6"/>
      <c r="ELN41" s="6"/>
      <c r="ELO41" s="6"/>
      <c r="ELP41" s="6"/>
      <c r="ELQ41" s="6"/>
      <c r="ELR41" s="6"/>
      <c r="ELS41" s="6"/>
      <c r="ELT41" s="6"/>
      <c r="ELU41" s="6"/>
      <c r="ELV41" s="6"/>
      <c r="ELW41" s="6"/>
      <c r="ELX41" s="6"/>
      <c r="ELY41" s="6"/>
      <c r="ELZ41" s="6"/>
      <c r="EMA41" s="6"/>
      <c r="EMB41" s="6"/>
      <c r="EMC41" s="6"/>
      <c r="EMD41" s="6"/>
      <c r="EME41" s="6"/>
      <c r="EMF41" s="6"/>
      <c r="EMG41" s="6"/>
      <c r="EMH41" s="6"/>
      <c r="EMI41" s="6"/>
      <c r="EMJ41" s="6"/>
      <c r="EMK41" s="6"/>
      <c r="EML41" s="6"/>
      <c r="EMM41" s="6"/>
      <c r="EMN41" s="6"/>
      <c r="EMO41" s="6"/>
      <c r="EMP41" s="6"/>
      <c r="EMQ41" s="6"/>
      <c r="EMR41" s="6"/>
      <c r="EMS41" s="6"/>
      <c r="EMT41" s="6"/>
      <c r="EMU41" s="6"/>
      <c r="EMV41" s="6"/>
      <c r="EMW41" s="6"/>
      <c r="EMX41" s="6"/>
      <c r="EMY41" s="6"/>
      <c r="EMZ41" s="6"/>
      <c r="ENA41" s="6"/>
      <c r="ENB41" s="6"/>
      <c r="ENC41" s="6"/>
      <c r="END41" s="6"/>
      <c r="ENE41" s="6"/>
      <c r="ENF41" s="6"/>
      <c r="ENG41" s="6"/>
      <c r="ENH41" s="6"/>
      <c r="ENI41" s="6"/>
      <c r="ENJ41" s="6"/>
      <c r="ENK41" s="6"/>
      <c r="ENL41" s="6"/>
      <c r="ENM41" s="6"/>
      <c r="ENN41" s="6"/>
      <c r="ENO41" s="6"/>
      <c r="ENP41" s="6"/>
      <c r="ENQ41" s="6"/>
      <c r="ENR41" s="6"/>
      <c r="ENS41" s="6"/>
      <c r="ENT41" s="6"/>
      <c r="ENU41" s="6"/>
      <c r="ENV41" s="6"/>
      <c r="ENW41" s="6"/>
      <c r="ENX41" s="6"/>
      <c r="ENY41" s="6"/>
      <c r="ENZ41" s="6"/>
      <c r="EOA41" s="6"/>
      <c r="EOB41" s="6"/>
      <c r="EOC41" s="6"/>
      <c r="EOD41" s="6"/>
      <c r="EOE41" s="6"/>
      <c r="EOF41" s="6"/>
      <c r="EOG41" s="6"/>
      <c r="EOH41" s="6"/>
      <c r="EOI41" s="6"/>
      <c r="EOJ41" s="6"/>
      <c r="EOK41" s="6"/>
      <c r="EOL41" s="6"/>
      <c r="EOM41" s="6"/>
      <c r="EON41" s="6"/>
      <c r="EOO41" s="6"/>
      <c r="EOP41" s="6"/>
      <c r="EOQ41" s="6"/>
      <c r="EOR41" s="6"/>
      <c r="EOS41" s="6"/>
      <c r="EOT41" s="6"/>
      <c r="EOU41" s="6"/>
      <c r="EOV41" s="6"/>
      <c r="EOW41" s="6"/>
      <c r="EOX41" s="6"/>
      <c r="EOY41" s="6"/>
      <c r="EOZ41" s="6"/>
      <c r="EPA41" s="6"/>
      <c r="EPB41" s="6"/>
      <c r="EPC41" s="6"/>
      <c r="EPD41" s="6"/>
      <c r="EPE41" s="6"/>
      <c r="EPF41" s="6"/>
      <c r="EPG41" s="6"/>
      <c r="EPH41" s="6"/>
      <c r="EPI41" s="6"/>
      <c r="EPJ41" s="6"/>
      <c r="EPK41" s="6"/>
      <c r="EPL41" s="6"/>
      <c r="EPM41" s="6"/>
      <c r="EPN41" s="6"/>
      <c r="EPO41" s="6"/>
      <c r="EPP41" s="6"/>
      <c r="EPQ41" s="6"/>
      <c r="EPR41" s="6"/>
      <c r="EPS41" s="6"/>
      <c r="EPT41" s="6"/>
      <c r="EPU41" s="6"/>
      <c r="EPV41" s="6"/>
      <c r="EPW41" s="6"/>
      <c r="EPX41" s="6"/>
      <c r="EPY41" s="6"/>
      <c r="EPZ41" s="6"/>
      <c r="EQA41" s="6"/>
      <c r="EQB41" s="6"/>
      <c r="EQC41" s="6"/>
      <c r="EQD41" s="6"/>
      <c r="EQE41" s="6"/>
      <c r="EQF41" s="6"/>
      <c r="EQG41" s="6"/>
      <c r="EQH41" s="6"/>
      <c r="EQI41" s="6"/>
      <c r="EQJ41" s="6"/>
      <c r="EQK41" s="6"/>
      <c r="EQL41" s="6"/>
      <c r="EQM41" s="6"/>
      <c r="EQN41" s="6"/>
      <c r="EQO41" s="6"/>
      <c r="EQP41" s="6"/>
      <c r="EQQ41" s="6"/>
      <c r="EQR41" s="6"/>
      <c r="EQS41" s="6"/>
      <c r="EQT41" s="6"/>
      <c r="EQU41" s="6"/>
      <c r="EQV41" s="6"/>
      <c r="EQW41" s="6"/>
      <c r="EQX41" s="6"/>
      <c r="EQY41" s="6"/>
      <c r="EQZ41" s="6"/>
      <c r="ERA41" s="6"/>
      <c r="ERB41" s="6"/>
      <c r="ERC41" s="6"/>
      <c r="ERD41" s="6"/>
      <c r="ERE41" s="6"/>
      <c r="ERF41" s="6"/>
      <c r="ERG41" s="6"/>
      <c r="ERH41" s="6"/>
      <c r="ERI41" s="6"/>
      <c r="ERJ41" s="6"/>
      <c r="ERK41" s="6"/>
      <c r="ERL41" s="6"/>
      <c r="ERM41" s="6"/>
      <c r="ERN41" s="6"/>
      <c r="ERO41" s="6"/>
      <c r="ERP41" s="6"/>
      <c r="ERQ41" s="6"/>
      <c r="ERR41" s="6"/>
      <c r="ERS41" s="6"/>
      <c r="ERT41" s="6"/>
      <c r="ERU41" s="6"/>
      <c r="ERV41" s="6"/>
      <c r="ERW41" s="6"/>
      <c r="ERX41" s="6"/>
      <c r="ERY41" s="6"/>
      <c r="ERZ41" s="6"/>
      <c r="ESA41" s="6"/>
      <c r="ESB41" s="6"/>
      <c r="ESC41" s="6"/>
      <c r="ESD41" s="6"/>
      <c r="ESE41" s="6"/>
      <c r="ESF41" s="6"/>
      <c r="ESG41" s="6"/>
      <c r="ESH41" s="6"/>
      <c r="ESI41" s="6"/>
      <c r="ESJ41" s="6"/>
      <c r="ESK41" s="6"/>
      <c r="ESL41" s="6"/>
      <c r="ESM41" s="6"/>
      <c r="ESN41" s="6"/>
      <c r="ESO41" s="6"/>
      <c r="ESP41" s="6"/>
      <c r="ESQ41" s="6"/>
      <c r="ESR41" s="6"/>
      <c r="ESS41" s="6"/>
      <c r="EST41" s="6"/>
      <c r="ESU41" s="6"/>
      <c r="ESV41" s="6"/>
      <c r="ESW41" s="6"/>
      <c r="ESX41" s="6"/>
      <c r="ESY41" s="6"/>
      <c r="ESZ41" s="6"/>
      <c r="ETA41" s="6"/>
      <c r="ETB41" s="6"/>
      <c r="ETC41" s="6"/>
      <c r="ETD41" s="6"/>
      <c r="ETE41" s="6"/>
      <c r="ETF41" s="6"/>
      <c r="ETG41" s="6"/>
      <c r="ETH41" s="6"/>
      <c r="ETI41" s="6"/>
      <c r="ETJ41" s="6"/>
      <c r="ETK41" s="6"/>
      <c r="ETL41" s="6"/>
      <c r="ETM41" s="6"/>
      <c r="ETN41" s="6"/>
      <c r="ETO41" s="6"/>
      <c r="ETP41" s="6"/>
      <c r="ETQ41" s="6"/>
      <c r="ETR41" s="6"/>
      <c r="ETS41" s="6"/>
      <c r="ETT41" s="6"/>
      <c r="ETU41" s="6"/>
      <c r="ETV41" s="6"/>
      <c r="ETW41" s="6"/>
      <c r="ETX41" s="6"/>
      <c r="ETY41" s="6"/>
      <c r="ETZ41" s="6"/>
      <c r="EUA41" s="6"/>
      <c r="EUB41" s="6"/>
      <c r="EUC41" s="6"/>
      <c r="EUD41" s="6"/>
      <c r="EUE41" s="6"/>
      <c r="EUF41" s="6"/>
      <c r="EUG41" s="6"/>
      <c r="EUH41" s="6"/>
      <c r="EUI41" s="6"/>
      <c r="EUJ41" s="6"/>
      <c r="EUK41" s="6"/>
      <c r="EUL41" s="6"/>
      <c r="EUM41" s="6"/>
      <c r="EUN41" s="6"/>
      <c r="EUO41" s="6"/>
      <c r="EUP41" s="6"/>
      <c r="EUQ41" s="6"/>
      <c r="EUR41" s="6"/>
      <c r="EUS41" s="6"/>
      <c r="EUT41" s="6"/>
      <c r="EUU41" s="6"/>
      <c r="EUV41" s="6"/>
      <c r="EUW41" s="6"/>
      <c r="EUX41" s="6"/>
      <c r="EUY41" s="6"/>
      <c r="EUZ41" s="6"/>
      <c r="EVA41" s="6"/>
      <c r="EVB41" s="6"/>
      <c r="EVC41" s="6"/>
      <c r="EVD41" s="6"/>
      <c r="EVE41" s="6"/>
      <c r="EVF41" s="6"/>
      <c r="EVG41" s="6"/>
      <c r="EVH41" s="6"/>
      <c r="EVI41" s="6"/>
      <c r="EVJ41" s="6"/>
      <c r="EVK41" s="6"/>
      <c r="EVL41" s="6"/>
      <c r="EVM41" s="6"/>
      <c r="EVN41" s="6"/>
      <c r="EVO41" s="6"/>
      <c r="EVP41" s="6"/>
      <c r="EVQ41" s="6"/>
      <c r="EVR41" s="6"/>
      <c r="EVS41" s="6"/>
      <c r="EVT41" s="6"/>
      <c r="EVU41" s="6"/>
      <c r="EVV41" s="6"/>
      <c r="EVW41" s="6"/>
      <c r="EVX41" s="6"/>
      <c r="EVY41" s="6"/>
      <c r="EVZ41" s="6"/>
      <c r="EWA41" s="6"/>
      <c r="EWB41" s="6"/>
      <c r="EWC41" s="6"/>
      <c r="EWD41" s="6"/>
      <c r="EWE41" s="6"/>
      <c r="EWF41" s="6"/>
      <c r="EWG41" s="6"/>
      <c r="EWH41" s="6"/>
      <c r="EWI41" s="6"/>
      <c r="EWJ41" s="6"/>
      <c r="EWK41" s="6"/>
      <c r="EWL41" s="6"/>
      <c r="EWM41" s="6"/>
      <c r="EWN41" s="6"/>
      <c r="EWO41" s="6"/>
      <c r="EWP41" s="6"/>
      <c r="EWQ41" s="6"/>
      <c r="EWR41" s="6"/>
      <c r="EWS41" s="6"/>
      <c r="EWT41" s="6"/>
      <c r="EWU41" s="6"/>
      <c r="EWV41" s="6"/>
      <c r="EWW41" s="6"/>
      <c r="EWX41" s="6"/>
      <c r="EWY41" s="6"/>
      <c r="EWZ41" s="6"/>
      <c r="EXA41" s="6"/>
      <c r="EXB41" s="6"/>
      <c r="EXC41" s="6"/>
      <c r="EXD41" s="6"/>
      <c r="EXE41" s="6"/>
      <c r="EXF41" s="6"/>
      <c r="EXG41" s="6"/>
      <c r="EXH41" s="6"/>
      <c r="EXI41" s="6"/>
      <c r="EXJ41" s="6"/>
      <c r="EXK41" s="6"/>
      <c r="EXL41" s="6"/>
      <c r="EXM41" s="6"/>
      <c r="EXN41" s="6"/>
      <c r="EXO41" s="6"/>
      <c r="EXP41" s="6"/>
      <c r="EXQ41" s="6"/>
      <c r="EXR41" s="6"/>
      <c r="EXS41" s="6"/>
      <c r="EXT41" s="6"/>
      <c r="EXU41" s="6"/>
      <c r="EXV41" s="6"/>
      <c r="EXW41" s="6"/>
      <c r="EXX41" s="6"/>
      <c r="EXY41" s="6"/>
      <c r="EXZ41" s="6"/>
      <c r="EYA41" s="6"/>
      <c r="EYB41" s="6"/>
      <c r="EYC41" s="6"/>
      <c r="EYD41" s="6"/>
      <c r="EYE41" s="6"/>
      <c r="EYF41" s="6"/>
      <c r="EYG41" s="6"/>
      <c r="EYH41" s="6"/>
      <c r="EYI41" s="6"/>
      <c r="EYJ41" s="6"/>
      <c r="EYK41" s="6"/>
      <c r="EYL41" s="6"/>
      <c r="EYM41" s="6"/>
      <c r="EYN41" s="6"/>
      <c r="EYO41" s="6"/>
      <c r="EYP41" s="6"/>
      <c r="EYQ41" s="6"/>
      <c r="EYR41" s="6"/>
      <c r="EYS41" s="6"/>
      <c r="EYT41" s="6"/>
      <c r="EYU41" s="6"/>
      <c r="EYV41" s="6"/>
      <c r="EYW41" s="6"/>
      <c r="EYX41" s="6"/>
      <c r="EYY41" s="6"/>
      <c r="EYZ41" s="6"/>
      <c r="EZA41" s="6"/>
      <c r="EZB41" s="6"/>
      <c r="EZC41" s="6"/>
      <c r="EZD41" s="6"/>
      <c r="EZE41" s="6"/>
      <c r="EZF41" s="6"/>
      <c r="EZG41" s="6"/>
      <c r="EZH41" s="6"/>
      <c r="EZI41" s="6"/>
      <c r="EZJ41" s="6"/>
      <c r="EZK41" s="6"/>
      <c r="EZL41" s="6"/>
      <c r="EZM41" s="6"/>
      <c r="EZN41" s="6"/>
      <c r="EZO41" s="6"/>
      <c r="EZP41" s="6"/>
      <c r="EZQ41" s="6"/>
      <c r="EZR41" s="6"/>
      <c r="EZS41" s="6"/>
      <c r="EZT41" s="6"/>
      <c r="EZU41" s="6"/>
      <c r="EZV41" s="6"/>
      <c r="EZW41" s="6"/>
      <c r="EZX41" s="6"/>
      <c r="EZY41" s="6"/>
      <c r="EZZ41" s="6"/>
      <c r="FAA41" s="6"/>
      <c r="FAB41" s="6"/>
      <c r="FAC41" s="6"/>
      <c r="FAD41" s="6"/>
      <c r="FAE41" s="6"/>
      <c r="FAF41" s="6"/>
      <c r="FAG41" s="6"/>
      <c r="FAH41" s="6"/>
      <c r="FAI41" s="6"/>
      <c r="FAJ41" s="6"/>
      <c r="FAK41" s="6"/>
      <c r="FAL41" s="6"/>
      <c r="FAM41" s="6"/>
      <c r="FAN41" s="6"/>
      <c r="FAO41" s="6"/>
      <c r="FAP41" s="6"/>
      <c r="FAQ41" s="6"/>
      <c r="FAR41" s="6"/>
      <c r="FAS41" s="6"/>
      <c r="FAT41" s="6"/>
      <c r="FAU41" s="6"/>
      <c r="FAV41" s="6"/>
      <c r="FAW41" s="6"/>
      <c r="FAX41" s="6"/>
      <c r="FAY41" s="6"/>
      <c r="FAZ41" s="6"/>
      <c r="FBA41" s="6"/>
      <c r="FBB41" s="6"/>
      <c r="FBC41" s="6"/>
      <c r="FBD41" s="6"/>
      <c r="FBE41" s="6"/>
      <c r="FBF41" s="6"/>
      <c r="FBG41" s="6"/>
      <c r="FBH41" s="6"/>
      <c r="FBI41" s="6"/>
      <c r="FBJ41" s="6"/>
      <c r="FBK41" s="6"/>
      <c r="FBL41" s="6"/>
      <c r="FBM41" s="6"/>
      <c r="FBN41" s="6"/>
      <c r="FBO41" s="6"/>
      <c r="FBP41" s="6"/>
      <c r="FBQ41" s="6"/>
      <c r="FBR41" s="6"/>
      <c r="FBS41" s="6"/>
      <c r="FBT41" s="6"/>
      <c r="FBU41" s="6"/>
      <c r="FBV41" s="6"/>
      <c r="FBW41" s="6"/>
      <c r="FBX41" s="6"/>
      <c r="FBY41" s="6"/>
      <c r="FBZ41" s="6"/>
      <c r="FCA41" s="6"/>
      <c r="FCB41" s="6"/>
      <c r="FCC41" s="6"/>
      <c r="FCD41" s="6"/>
      <c r="FCE41" s="6"/>
      <c r="FCF41" s="6"/>
      <c r="FCG41" s="6"/>
      <c r="FCH41" s="6"/>
      <c r="FCI41" s="6"/>
      <c r="FCJ41" s="6"/>
      <c r="FCK41" s="6"/>
      <c r="FCL41" s="6"/>
      <c r="FCM41" s="6"/>
      <c r="FCN41" s="6"/>
      <c r="FCO41" s="6"/>
      <c r="FCP41" s="6"/>
      <c r="FCQ41" s="6"/>
      <c r="FCR41" s="6"/>
      <c r="FCS41" s="6"/>
      <c r="FCT41" s="6"/>
      <c r="FCU41" s="6"/>
      <c r="FCV41" s="6"/>
      <c r="FCW41" s="6"/>
      <c r="FCX41" s="6"/>
      <c r="FCY41" s="6"/>
      <c r="FCZ41" s="6"/>
      <c r="FDA41" s="6"/>
      <c r="FDB41" s="6"/>
      <c r="FDC41" s="6"/>
      <c r="FDD41" s="6"/>
      <c r="FDE41" s="6"/>
      <c r="FDF41" s="6"/>
      <c r="FDG41" s="6"/>
      <c r="FDH41" s="6"/>
      <c r="FDI41" s="6"/>
      <c r="FDJ41" s="6"/>
      <c r="FDK41" s="6"/>
      <c r="FDL41" s="6"/>
      <c r="FDM41" s="6"/>
      <c r="FDN41" s="6"/>
      <c r="FDO41" s="6"/>
      <c r="FDP41" s="6"/>
      <c r="FDQ41" s="6"/>
      <c r="FDR41" s="6"/>
      <c r="FDS41" s="6"/>
      <c r="FDT41" s="6"/>
      <c r="FDU41" s="6"/>
      <c r="FDV41" s="6"/>
      <c r="FDW41" s="6"/>
      <c r="FDX41" s="6"/>
      <c r="FDY41" s="6"/>
      <c r="FDZ41" s="6"/>
      <c r="FEA41" s="6"/>
      <c r="FEB41" s="6"/>
      <c r="FEC41" s="6"/>
      <c r="FED41" s="6"/>
      <c r="FEE41" s="6"/>
      <c r="FEF41" s="6"/>
      <c r="FEG41" s="6"/>
      <c r="FEH41" s="6"/>
      <c r="FEI41" s="6"/>
      <c r="FEJ41" s="6"/>
      <c r="FEK41" s="6"/>
      <c r="FEL41" s="6"/>
      <c r="FEM41" s="6"/>
      <c r="FEN41" s="6"/>
      <c r="FEO41" s="6"/>
      <c r="FEP41" s="6"/>
      <c r="FEQ41" s="6"/>
      <c r="FER41" s="6"/>
      <c r="FES41" s="6"/>
      <c r="FET41" s="6"/>
      <c r="FEU41" s="6"/>
      <c r="FEV41" s="6"/>
      <c r="FEW41" s="6"/>
      <c r="FEX41" s="6"/>
      <c r="FEY41" s="6"/>
      <c r="FEZ41" s="6"/>
      <c r="FFA41" s="6"/>
      <c r="FFB41" s="6"/>
      <c r="FFC41" s="6"/>
      <c r="FFD41" s="6"/>
      <c r="FFE41" s="6"/>
      <c r="FFF41" s="6"/>
      <c r="FFG41" s="6"/>
      <c r="FFH41" s="6"/>
      <c r="FFI41" s="6"/>
      <c r="FFJ41" s="6"/>
      <c r="FFK41" s="6"/>
      <c r="FFL41" s="6"/>
      <c r="FFM41" s="6"/>
      <c r="FFN41" s="6"/>
      <c r="FFO41" s="6"/>
      <c r="FFP41" s="6"/>
      <c r="FFQ41" s="6"/>
      <c r="FFR41" s="6"/>
      <c r="FFS41" s="6"/>
      <c r="FFT41" s="6"/>
      <c r="FFU41" s="6"/>
      <c r="FFV41" s="6"/>
      <c r="FFW41" s="6"/>
      <c r="FFX41" s="6"/>
      <c r="FFY41" s="6"/>
      <c r="FFZ41" s="6"/>
      <c r="FGA41" s="6"/>
      <c r="FGB41" s="6"/>
      <c r="FGC41" s="6"/>
      <c r="FGD41" s="6"/>
      <c r="FGE41" s="6"/>
      <c r="FGF41" s="6"/>
      <c r="FGG41" s="6"/>
      <c r="FGH41" s="6"/>
      <c r="FGI41" s="6"/>
      <c r="FGJ41" s="6"/>
      <c r="FGK41" s="6"/>
      <c r="FGL41" s="6"/>
      <c r="FGM41" s="6"/>
      <c r="FGN41" s="6"/>
      <c r="FGO41" s="6"/>
      <c r="FGP41" s="6"/>
      <c r="FGQ41" s="6"/>
      <c r="FGR41" s="6"/>
      <c r="FGS41" s="6"/>
      <c r="FGT41" s="6"/>
      <c r="FGU41" s="6"/>
      <c r="FGV41" s="6"/>
      <c r="FGW41" s="6"/>
      <c r="FGX41" s="6"/>
      <c r="FGY41" s="6"/>
      <c r="FGZ41" s="6"/>
      <c r="FHA41" s="6"/>
      <c r="FHB41" s="6"/>
      <c r="FHC41" s="6"/>
      <c r="FHD41" s="6"/>
      <c r="FHE41" s="6"/>
      <c r="FHF41" s="6"/>
      <c r="FHG41" s="6"/>
      <c r="FHH41" s="6"/>
      <c r="FHI41" s="6"/>
      <c r="FHJ41" s="6"/>
      <c r="FHK41" s="6"/>
      <c r="FHL41" s="6"/>
      <c r="FHM41" s="6"/>
      <c r="FHN41" s="6"/>
      <c r="FHO41" s="6"/>
      <c r="FHP41" s="6"/>
      <c r="FHQ41" s="6"/>
      <c r="FHR41" s="6"/>
      <c r="FHS41" s="6"/>
      <c r="FHT41" s="6"/>
      <c r="FHU41" s="6"/>
      <c r="FHV41" s="6"/>
      <c r="FHW41" s="6"/>
      <c r="FHX41" s="6"/>
      <c r="FHY41" s="6"/>
      <c r="FHZ41" s="6"/>
      <c r="FIA41" s="6"/>
      <c r="FIB41" s="6"/>
      <c r="FIC41" s="6"/>
      <c r="FID41" s="6"/>
      <c r="FIE41" s="6"/>
      <c r="FIF41" s="6"/>
      <c r="FIG41" s="6"/>
      <c r="FIH41" s="6"/>
      <c r="FII41" s="6"/>
      <c r="FIJ41" s="6"/>
      <c r="FIK41" s="6"/>
      <c r="FIL41" s="6"/>
      <c r="FIM41" s="6"/>
      <c r="FIN41" s="6"/>
      <c r="FIO41" s="6"/>
      <c r="FIP41" s="6"/>
      <c r="FIQ41" s="6"/>
      <c r="FIR41" s="6"/>
      <c r="FIS41" s="6"/>
      <c r="FIT41" s="6"/>
      <c r="FIU41" s="6"/>
      <c r="FIV41" s="6"/>
      <c r="FIW41" s="6"/>
      <c r="FIX41" s="6"/>
      <c r="FIY41" s="6"/>
      <c r="FIZ41" s="6"/>
      <c r="FJA41" s="6"/>
      <c r="FJB41" s="6"/>
      <c r="FJC41" s="6"/>
      <c r="FJD41" s="6"/>
      <c r="FJE41" s="6"/>
      <c r="FJF41" s="6"/>
      <c r="FJG41" s="6"/>
      <c r="FJH41" s="6"/>
      <c r="FJI41" s="6"/>
      <c r="FJJ41" s="6"/>
      <c r="FJK41" s="6"/>
      <c r="FJL41" s="6"/>
      <c r="FJM41" s="6"/>
      <c r="FJN41" s="6"/>
      <c r="FJO41" s="6"/>
      <c r="FJP41" s="6"/>
      <c r="FJQ41" s="6"/>
      <c r="FJR41" s="6"/>
      <c r="FJS41" s="6"/>
      <c r="FJT41" s="6"/>
      <c r="FJU41" s="6"/>
      <c r="FJV41" s="6"/>
      <c r="FJW41" s="6"/>
      <c r="FJX41" s="6"/>
      <c r="FJY41" s="6"/>
      <c r="FJZ41" s="6"/>
      <c r="FKA41" s="6"/>
      <c r="FKB41" s="6"/>
      <c r="FKC41" s="6"/>
      <c r="FKD41" s="6"/>
      <c r="FKE41" s="6"/>
      <c r="FKF41" s="6"/>
      <c r="FKG41" s="6"/>
      <c r="FKH41" s="6"/>
      <c r="FKI41" s="6"/>
      <c r="FKJ41" s="6"/>
      <c r="FKK41" s="6"/>
      <c r="FKL41" s="6"/>
      <c r="FKM41" s="6"/>
      <c r="FKN41" s="6"/>
      <c r="FKO41" s="6"/>
      <c r="FKP41" s="6"/>
      <c r="FKQ41" s="6"/>
      <c r="FKR41" s="6"/>
      <c r="FKS41" s="6"/>
      <c r="FKT41" s="6"/>
      <c r="FKU41" s="6"/>
      <c r="FKV41" s="6"/>
      <c r="FKW41" s="6"/>
      <c r="FKX41" s="6"/>
      <c r="FKY41" s="6"/>
      <c r="FKZ41" s="6"/>
      <c r="FLA41" s="6"/>
      <c r="FLB41" s="6"/>
      <c r="FLC41" s="6"/>
      <c r="FLD41" s="6"/>
      <c r="FLE41" s="6"/>
      <c r="FLF41" s="6"/>
      <c r="FLG41" s="6"/>
      <c r="FLH41" s="6"/>
      <c r="FLI41" s="6"/>
      <c r="FLJ41" s="6"/>
      <c r="FLK41" s="6"/>
      <c r="FLL41" s="6"/>
      <c r="FLM41" s="6"/>
      <c r="FLN41" s="6"/>
      <c r="FLO41" s="6"/>
      <c r="FLP41" s="6"/>
      <c r="FLQ41" s="6"/>
      <c r="FLR41" s="6"/>
      <c r="FLS41" s="6"/>
      <c r="FLT41" s="6"/>
      <c r="FLU41" s="6"/>
      <c r="FLV41" s="6"/>
      <c r="FLW41" s="6"/>
      <c r="FLX41" s="6"/>
      <c r="FLY41" s="6"/>
      <c r="FLZ41" s="6"/>
      <c r="FMA41" s="6"/>
      <c r="FMB41" s="6"/>
      <c r="FMC41" s="6"/>
      <c r="FMD41" s="6"/>
      <c r="FME41" s="6"/>
      <c r="FMF41" s="6"/>
      <c r="FMG41" s="6"/>
      <c r="FMH41" s="6"/>
      <c r="FMI41" s="6"/>
      <c r="FMJ41" s="6"/>
      <c r="FMK41" s="6"/>
      <c r="FML41" s="6"/>
      <c r="FMM41" s="6"/>
      <c r="FMN41" s="6"/>
      <c r="FMO41" s="6"/>
      <c r="FMP41" s="6"/>
      <c r="FMQ41" s="6"/>
      <c r="FMR41" s="6"/>
      <c r="FMS41" s="6"/>
      <c r="FMT41" s="6"/>
      <c r="FMU41" s="6"/>
      <c r="FMV41" s="6"/>
      <c r="FMW41" s="6"/>
      <c r="FMX41" s="6"/>
      <c r="FMY41" s="6"/>
      <c r="FMZ41" s="6"/>
      <c r="FNA41" s="6"/>
      <c r="FNB41" s="6"/>
      <c r="FNC41" s="6"/>
      <c r="FND41" s="6"/>
      <c r="FNE41" s="6"/>
      <c r="FNF41" s="6"/>
      <c r="FNG41" s="6"/>
      <c r="FNH41" s="6"/>
      <c r="FNI41" s="6"/>
      <c r="FNJ41" s="6"/>
      <c r="FNK41" s="6"/>
      <c r="FNL41" s="6"/>
      <c r="FNM41" s="6"/>
      <c r="FNN41" s="6"/>
      <c r="FNO41" s="6"/>
      <c r="FNP41" s="6"/>
      <c r="FNQ41" s="6"/>
      <c r="FNR41" s="6"/>
      <c r="FNS41" s="6"/>
      <c r="FNT41" s="6"/>
      <c r="FNU41" s="6"/>
      <c r="FNV41" s="6"/>
      <c r="FNW41" s="6"/>
      <c r="FNX41" s="6"/>
      <c r="FNY41" s="6"/>
      <c r="FNZ41" s="6"/>
      <c r="FOA41" s="6"/>
      <c r="FOB41" s="6"/>
      <c r="FOC41" s="6"/>
      <c r="FOD41" s="6"/>
      <c r="FOE41" s="6"/>
      <c r="FOF41" s="6"/>
      <c r="FOG41" s="6"/>
      <c r="FOH41" s="6"/>
      <c r="FOI41" s="6"/>
      <c r="FOJ41" s="6"/>
      <c r="FOK41" s="6"/>
      <c r="FOL41" s="6"/>
      <c r="FOM41" s="6"/>
      <c r="FON41" s="6"/>
      <c r="FOO41" s="6"/>
      <c r="FOP41" s="6"/>
      <c r="FOQ41" s="6"/>
      <c r="FOR41" s="6"/>
      <c r="FOS41" s="6"/>
      <c r="FOT41" s="6"/>
      <c r="FOU41" s="6"/>
      <c r="FOV41" s="6"/>
      <c r="FOW41" s="6"/>
      <c r="FOX41" s="6"/>
      <c r="FOY41" s="6"/>
      <c r="FOZ41" s="6"/>
      <c r="FPA41" s="6"/>
      <c r="FPB41" s="6"/>
      <c r="FPC41" s="6"/>
      <c r="FPD41" s="6"/>
      <c r="FPE41" s="6"/>
      <c r="FPF41" s="6"/>
      <c r="FPG41" s="6"/>
      <c r="FPH41" s="6"/>
      <c r="FPI41" s="6"/>
      <c r="FPJ41" s="6"/>
      <c r="FPK41" s="6"/>
      <c r="FPL41" s="6"/>
      <c r="FPM41" s="6"/>
      <c r="FPN41" s="6"/>
      <c r="FPO41" s="6"/>
      <c r="FPP41" s="6"/>
      <c r="FPQ41" s="6"/>
      <c r="FPR41" s="6"/>
      <c r="FPS41" s="6"/>
      <c r="FPT41" s="6"/>
      <c r="FPU41" s="6"/>
      <c r="FPV41" s="6"/>
      <c r="FPW41" s="6"/>
      <c r="FPX41" s="6"/>
      <c r="FPY41" s="6"/>
      <c r="FPZ41" s="6"/>
      <c r="FQA41" s="6"/>
      <c r="FQB41" s="6"/>
      <c r="FQC41" s="6"/>
      <c r="FQD41" s="6"/>
      <c r="FQE41" s="6"/>
      <c r="FQF41" s="6"/>
      <c r="FQG41" s="6"/>
      <c r="FQH41" s="6"/>
      <c r="FQI41" s="6"/>
      <c r="FQJ41" s="6"/>
      <c r="FQK41" s="6"/>
      <c r="FQL41" s="6"/>
      <c r="FQM41" s="6"/>
      <c r="FQN41" s="6"/>
      <c r="FQO41" s="6"/>
      <c r="FQP41" s="6"/>
      <c r="FQQ41" s="6"/>
      <c r="FQR41" s="6"/>
      <c r="FQS41" s="6"/>
      <c r="FQT41" s="6"/>
      <c r="FQU41" s="6"/>
      <c r="FQV41" s="6"/>
      <c r="FQW41" s="6"/>
      <c r="FQX41" s="6"/>
      <c r="FQY41" s="6"/>
      <c r="FQZ41" s="6"/>
      <c r="FRA41" s="6"/>
      <c r="FRB41" s="6"/>
      <c r="FRC41" s="6"/>
      <c r="FRD41" s="6"/>
      <c r="FRE41" s="6"/>
      <c r="FRF41" s="6"/>
      <c r="FRG41" s="6"/>
      <c r="FRH41" s="6"/>
      <c r="FRI41" s="6"/>
      <c r="FRJ41" s="6"/>
      <c r="FRK41" s="6"/>
      <c r="FRL41" s="6"/>
      <c r="FRM41" s="6"/>
      <c r="FRN41" s="6"/>
      <c r="FRO41" s="6"/>
      <c r="FRP41" s="6"/>
      <c r="FRQ41" s="6"/>
      <c r="FRR41" s="6"/>
      <c r="FRS41" s="6"/>
      <c r="FRT41" s="6"/>
      <c r="FRU41" s="6"/>
      <c r="FRV41" s="6"/>
      <c r="FRW41" s="6"/>
      <c r="FRX41" s="6"/>
      <c r="FRY41" s="6"/>
      <c r="FRZ41" s="6"/>
      <c r="FSA41" s="6"/>
      <c r="FSB41" s="6"/>
      <c r="FSC41" s="6"/>
      <c r="FSD41" s="6"/>
      <c r="FSE41" s="6"/>
      <c r="FSF41" s="6"/>
      <c r="FSG41" s="6"/>
      <c r="FSH41" s="6"/>
      <c r="FSI41" s="6"/>
      <c r="FSJ41" s="6"/>
      <c r="FSK41" s="6"/>
      <c r="FSL41" s="6"/>
      <c r="FSM41" s="6"/>
      <c r="FSN41" s="6"/>
      <c r="FSO41" s="6"/>
      <c r="FSP41" s="6"/>
      <c r="FSQ41" s="6"/>
      <c r="FSR41" s="6"/>
      <c r="FSS41" s="6"/>
      <c r="FST41" s="6"/>
      <c r="FSU41" s="6"/>
      <c r="FSV41" s="6"/>
      <c r="FSW41" s="6"/>
      <c r="FSX41" s="6"/>
      <c r="FSY41" s="6"/>
      <c r="FSZ41" s="6"/>
      <c r="FTA41" s="6"/>
      <c r="FTB41" s="6"/>
      <c r="FTC41" s="6"/>
      <c r="FTD41" s="6"/>
      <c r="FTE41" s="6"/>
      <c r="FTF41" s="6"/>
      <c r="FTG41" s="6"/>
      <c r="FTH41" s="6"/>
      <c r="FTI41" s="6"/>
      <c r="FTJ41" s="6"/>
      <c r="FTK41" s="6"/>
      <c r="FTL41" s="6"/>
      <c r="FTM41" s="6"/>
      <c r="FTN41" s="6"/>
      <c r="FTO41" s="6"/>
      <c r="FTP41" s="6"/>
      <c r="FTQ41" s="6"/>
      <c r="FTR41" s="6"/>
      <c r="FTS41" s="6"/>
      <c r="FTT41" s="6"/>
      <c r="FTU41" s="6"/>
      <c r="FTV41" s="6"/>
      <c r="FTW41" s="6"/>
      <c r="FTX41" s="6"/>
      <c r="FTY41" s="6"/>
      <c r="FTZ41" s="6"/>
      <c r="FUA41" s="6"/>
      <c r="FUB41" s="6"/>
      <c r="FUC41" s="6"/>
      <c r="FUD41" s="6"/>
      <c r="FUE41" s="6"/>
      <c r="FUF41" s="6"/>
      <c r="FUG41" s="6"/>
      <c r="FUH41" s="6"/>
      <c r="FUI41" s="6"/>
      <c r="FUJ41" s="6"/>
      <c r="FUK41" s="6"/>
      <c r="FUL41" s="6"/>
      <c r="FUM41" s="6"/>
      <c r="FUN41" s="6"/>
      <c r="FUO41" s="6"/>
      <c r="FUP41" s="6"/>
      <c r="FUQ41" s="6"/>
      <c r="FUR41" s="6"/>
      <c r="FUS41" s="6"/>
      <c r="FUT41" s="6"/>
      <c r="FUU41" s="6"/>
      <c r="FUV41" s="6"/>
      <c r="FUW41" s="6"/>
      <c r="FUX41" s="6"/>
      <c r="FUY41" s="6"/>
      <c r="FUZ41" s="6"/>
      <c r="FVA41" s="6"/>
      <c r="FVB41" s="6"/>
      <c r="FVC41" s="6"/>
      <c r="FVD41" s="6"/>
      <c r="FVE41" s="6"/>
      <c r="FVF41" s="6"/>
      <c r="FVG41" s="6"/>
      <c r="FVH41" s="6"/>
      <c r="FVI41" s="6"/>
      <c r="FVJ41" s="6"/>
      <c r="FVK41" s="6"/>
      <c r="FVL41" s="6"/>
      <c r="FVM41" s="6"/>
      <c r="FVN41" s="6"/>
      <c r="FVO41" s="6"/>
      <c r="FVP41" s="6"/>
      <c r="FVQ41" s="6"/>
      <c r="FVR41" s="6"/>
      <c r="FVS41" s="6"/>
      <c r="FVT41" s="6"/>
      <c r="FVU41" s="6"/>
      <c r="FVV41" s="6"/>
      <c r="FVW41" s="6"/>
      <c r="FVX41" s="6"/>
      <c r="FVY41" s="6"/>
      <c r="FVZ41" s="6"/>
      <c r="FWA41" s="6"/>
      <c r="FWB41" s="6"/>
      <c r="FWC41" s="6"/>
      <c r="FWD41" s="6"/>
      <c r="FWE41" s="6"/>
      <c r="FWF41" s="6"/>
      <c r="FWG41" s="6"/>
      <c r="FWH41" s="6"/>
      <c r="FWI41" s="6"/>
      <c r="FWJ41" s="6"/>
      <c r="FWK41" s="6"/>
      <c r="FWL41" s="6"/>
      <c r="FWM41" s="6"/>
      <c r="FWN41" s="6"/>
      <c r="FWO41" s="6"/>
      <c r="FWP41" s="6"/>
      <c r="FWQ41" s="6"/>
      <c r="FWR41" s="6"/>
      <c r="FWS41" s="6"/>
      <c r="FWT41" s="6"/>
      <c r="FWU41" s="6"/>
      <c r="FWV41" s="6"/>
      <c r="FWW41" s="6"/>
      <c r="FWX41" s="6"/>
      <c r="FWY41" s="6"/>
      <c r="FWZ41" s="6"/>
      <c r="FXA41" s="6"/>
      <c r="FXB41" s="6"/>
      <c r="FXC41" s="6"/>
      <c r="FXD41" s="6"/>
      <c r="FXE41" s="6"/>
      <c r="FXF41" s="6"/>
      <c r="FXG41" s="6"/>
      <c r="FXH41" s="6"/>
      <c r="FXI41" s="6"/>
      <c r="FXJ41" s="6"/>
      <c r="FXK41" s="6"/>
      <c r="FXL41" s="6"/>
      <c r="FXM41" s="6"/>
      <c r="FXN41" s="6"/>
      <c r="FXO41" s="6"/>
      <c r="FXP41" s="6"/>
      <c r="FXQ41" s="6"/>
      <c r="FXR41" s="6"/>
      <c r="FXS41" s="6"/>
      <c r="FXT41" s="6"/>
      <c r="FXU41" s="6"/>
      <c r="FXV41" s="6"/>
      <c r="FXW41" s="6"/>
      <c r="FXX41" s="6"/>
      <c r="FXY41" s="6"/>
      <c r="FXZ41" s="6"/>
      <c r="FYA41" s="6"/>
      <c r="FYB41" s="6"/>
      <c r="FYC41" s="6"/>
      <c r="FYD41" s="6"/>
      <c r="FYE41" s="6"/>
      <c r="FYF41" s="6"/>
      <c r="FYG41" s="6"/>
      <c r="FYH41" s="6"/>
      <c r="FYI41" s="6"/>
      <c r="FYJ41" s="6"/>
      <c r="FYK41" s="6"/>
      <c r="FYL41" s="6"/>
      <c r="FYM41" s="6"/>
      <c r="FYN41" s="6"/>
      <c r="FYO41" s="6"/>
      <c r="FYP41" s="6"/>
      <c r="FYQ41" s="6"/>
      <c r="FYR41" s="6"/>
      <c r="FYS41" s="6"/>
      <c r="FYT41" s="6"/>
      <c r="FYU41" s="6"/>
      <c r="FYV41" s="6"/>
      <c r="FYW41" s="6"/>
      <c r="FYX41" s="6"/>
      <c r="FYY41" s="6"/>
      <c r="FYZ41" s="6"/>
      <c r="FZA41" s="6"/>
      <c r="FZB41" s="6"/>
      <c r="FZC41" s="6"/>
      <c r="FZD41" s="6"/>
      <c r="FZE41" s="6"/>
      <c r="FZF41" s="6"/>
      <c r="FZG41" s="6"/>
      <c r="FZH41" s="6"/>
      <c r="FZI41" s="6"/>
      <c r="FZJ41" s="6"/>
      <c r="FZK41" s="6"/>
      <c r="FZL41" s="6"/>
      <c r="FZM41" s="6"/>
      <c r="FZN41" s="6"/>
      <c r="FZO41" s="6"/>
      <c r="FZP41" s="6"/>
      <c r="FZQ41" s="6"/>
      <c r="FZR41" s="6"/>
      <c r="FZS41" s="6"/>
      <c r="FZT41" s="6"/>
      <c r="FZU41" s="6"/>
      <c r="FZV41" s="6"/>
      <c r="FZW41" s="6"/>
      <c r="FZX41" s="6"/>
      <c r="FZY41" s="6"/>
      <c r="FZZ41" s="6"/>
      <c r="GAA41" s="6"/>
      <c r="GAB41" s="6"/>
      <c r="GAC41" s="6"/>
      <c r="GAD41" s="6"/>
      <c r="GAE41" s="6"/>
      <c r="GAF41" s="6"/>
      <c r="GAG41" s="6"/>
      <c r="GAH41" s="6"/>
      <c r="GAI41" s="6"/>
      <c r="GAJ41" s="6"/>
      <c r="GAK41" s="6"/>
      <c r="GAL41" s="6"/>
      <c r="GAM41" s="6"/>
      <c r="GAN41" s="6"/>
      <c r="GAO41" s="6"/>
      <c r="GAP41" s="6"/>
      <c r="GAQ41" s="6"/>
      <c r="GAR41" s="6"/>
      <c r="GAS41" s="6"/>
      <c r="GAT41" s="6"/>
      <c r="GAU41" s="6"/>
      <c r="GAV41" s="6"/>
      <c r="GAW41" s="6"/>
      <c r="GAX41" s="6"/>
      <c r="GAY41" s="6"/>
      <c r="GAZ41" s="6"/>
      <c r="GBA41" s="6"/>
      <c r="GBB41" s="6"/>
      <c r="GBC41" s="6"/>
      <c r="GBD41" s="6"/>
      <c r="GBE41" s="6"/>
      <c r="GBF41" s="6"/>
      <c r="GBG41" s="6"/>
      <c r="GBH41" s="6"/>
      <c r="GBI41" s="6"/>
      <c r="GBJ41" s="6"/>
      <c r="GBK41" s="6"/>
      <c r="GBL41" s="6"/>
      <c r="GBM41" s="6"/>
      <c r="GBN41" s="6"/>
      <c r="GBO41" s="6"/>
      <c r="GBP41" s="6"/>
      <c r="GBQ41" s="6"/>
      <c r="GBR41" s="6"/>
      <c r="GBS41" s="6"/>
      <c r="GBT41" s="6"/>
      <c r="GBU41" s="6"/>
      <c r="GBV41" s="6"/>
      <c r="GBW41" s="6"/>
      <c r="GBX41" s="6"/>
      <c r="GBY41" s="6"/>
      <c r="GBZ41" s="6"/>
      <c r="GCA41" s="6"/>
      <c r="GCB41" s="6"/>
      <c r="GCC41" s="6"/>
      <c r="GCD41" s="6"/>
      <c r="GCE41" s="6"/>
      <c r="GCF41" s="6"/>
      <c r="GCG41" s="6"/>
      <c r="GCH41" s="6"/>
      <c r="GCI41" s="6"/>
      <c r="GCJ41" s="6"/>
      <c r="GCK41" s="6"/>
      <c r="GCL41" s="6"/>
      <c r="GCM41" s="6"/>
      <c r="GCN41" s="6"/>
      <c r="GCO41" s="6"/>
      <c r="GCP41" s="6"/>
      <c r="GCQ41" s="6"/>
      <c r="GCR41" s="6"/>
      <c r="GCS41" s="6"/>
      <c r="GCT41" s="6"/>
      <c r="GCU41" s="6"/>
      <c r="GCV41" s="6"/>
      <c r="GCW41" s="6"/>
      <c r="GCX41" s="6"/>
      <c r="GCY41" s="6"/>
      <c r="GCZ41" s="6"/>
      <c r="GDA41" s="6"/>
      <c r="GDB41" s="6"/>
      <c r="GDC41" s="6"/>
      <c r="GDD41" s="6"/>
      <c r="GDE41" s="6"/>
      <c r="GDF41" s="6"/>
      <c r="GDG41" s="6"/>
      <c r="GDH41" s="6"/>
      <c r="GDI41" s="6"/>
      <c r="GDJ41" s="6"/>
      <c r="GDK41" s="6"/>
      <c r="GDL41" s="6"/>
      <c r="GDM41" s="6"/>
      <c r="GDN41" s="6"/>
      <c r="GDO41" s="6"/>
      <c r="GDP41" s="6"/>
      <c r="GDQ41" s="6"/>
      <c r="GDR41" s="6"/>
      <c r="GDS41" s="6"/>
      <c r="GDT41" s="6"/>
      <c r="GDU41" s="6"/>
      <c r="GDV41" s="6"/>
      <c r="GDW41" s="6"/>
      <c r="GDX41" s="6"/>
      <c r="GDY41" s="6"/>
      <c r="GDZ41" s="6"/>
      <c r="GEA41" s="6"/>
      <c r="GEB41" s="6"/>
      <c r="GEC41" s="6"/>
      <c r="GED41" s="6"/>
      <c r="GEE41" s="6"/>
      <c r="GEF41" s="6"/>
      <c r="GEG41" s="6"/>
      <c r="GEH41" s="6"/>
      <c r="GEI41" s="6"/>
      <c r="GEJ41" s="6"/>
      <c r="GEK41" s="6"/>
      <c r="GEL41" s="6"/>
      <c r="GEM41" s="6"/>
      <c r="GEN41" s="6"/>
      <c r="GEO41" s="6"/>
      <c r="GEP41" s="6"/>
      <c r="GEQ41" s="6"/>
      <c r="GER41" s="6"/>
      <c r="GES41" s="6"/>
      <c r="GET41" s="6"/>
      <c r="GEU41" s="6"/>
      <c r="GEV41" s="6"/>
      <c r="GEW41" s="6"/>
      <c r="GEX41" s="6"/>
      <c r="GEY41" s="6"/>
      <c r="GEZ41" s="6"/>
      <c r="GFA41" s="6"/>
      <c r="GFB41" s="6"/>
      <c r="GFC41" s="6"/>
      <c r="GFD41" s="6"/>
      <c r="GFE41" s="6"/>
      <c r="GFF41" s="6"/>
      <c r="GFG41" s="6"/>
      <c r="GFH41" s="6"/>
      <c r="GFI41" s="6"/>
      <c r="GFJ41" s="6"/>
      <c r="GFK41" s="6"/>
      <c r="GFL41" s="6"/>
      <c r="GFM41" s="6"/>
      <c r="GFN41" s="6"/>
      <c r="GFO41" s="6"/>
      <c r="GFP41" s="6"/>
      <c r="GFQ41" s="6"/>
      <c r="GFR41" s="6"/>
      <c r="GFS41" s="6"/>
      <c r="GFT41" s="6"/>
      <c r="GFU41" s="6"/>
      <c r="GFV41" s="6"/>
      <c r="GFW41" s="6"/>
      <c r="GFX41" s="6"/>
      <c r="GFY41" s="6"/>
      <c r="GFZ41" s="6"/>
      <c r="GGA41" s="6"/>
      <c r="GGB41" s="6"/>
      <c r="GGC41" s="6"/>
      <c r="GGD41" s="6"/>
      <c r="GGE41" s="6"/>
      <c r="GGF41" s="6"/>
      <c r="GGG41" s="6"/>
      <c r="GGH41" s="6"/>
      <c r="GGI41" s="6"/>
      <c r="GGJ41" s="6"/>
      <c r="GGK41" s="6"/>
      <c r="GGL41" s="6"/>
      <c r="GGM41" s="6"/>
      <c r="GGN41" s="6"/>
      <c r="GGO41" s="6"/>
      <c r="GGP41" s="6"/>
      <c r="GGQ41" s="6"/>
      <c r="GGR41" s="6"/>
      <c r="GGS41" s="6"/>
      <c r="GGT41" s="6"/>
      <c r="GGU41" s="6"/>
      <c r="GGV41" s="6"/>
      <c r="GGW41" s="6"/>
      <c r="GGX41" s="6"/>
      <c r="GGY41" s="6"/>
      <c r="GGZ41" s="6"/>
      <c r="GHA41" s="6"/>
      <c r="GHB41" s="6"/>
      <c r="GHC41" s="6"/>
      <c r="GHD41" s="6"/>
      <c r="GHE41" s="6"/>
      <c r="GHF41" s="6"/>
      <c r="GHG41" s="6"/>
      <c r="GHH41" s="6"/>
      <c r="GHI41" s="6"/>
      <c r="GHJ41" s="6"/>
      <c r="GHK41" s="6"/>
      <c r="GHL41" s="6"/>
      <c r="GHM41" s="6"/>
      <c r="GHN41" s="6"/>
      <c r="GHO41" s="6"/>
      <c r="GHP41" s="6"/>
      <c r="GHQ41" s="6"/>
      <c r="GHR41" s="6"/>
      <c r="GHS41" s="6"/>
      <c r="GHT41" s="6"/>
      <c r="GHU41" s="6"/>
      <c r="GHV41" s="6"/>
      <c r="GHW41" s="6"/>
      <c r="GHX41" s="6"/>
      <c r="GHY41" s="6"/>
      <c r="GHZ41" s="6"/>
      <c r="GIA41" s="6"/>
      <c r="GIB41" s="6"/>
      <c r="GIC41" s="6"/>
      <c r="GID41" s="6"/>
      <c r="GIE41" s="6"/>
      <c r="GIF41" s="6"/>
      <c r="GIG41" s="6"/>
      <c r="GIH41" s="6"/>
      <c r="GII41" s="6"/>
      <c r="GIJ41" s="6"/>
      <c r="GIK41" s="6"/>
      <c r="GIL41" s="6"/>
      <c r="GIM41" s="6"/>
      <c r="GIN41" s="6"/>
      <c r="GIO41" s="6"/>
      <c r="GIP41" s="6"/>
      <c r="GIQ41" s="6"/>
      <c r="GIR41" s="6"/>
      <c r="GIS41" s="6"/>
      <c r="GIT41" s="6"/>
      <c r="GIU41" s="6"/>
      <c r="GIV41" s="6"/>
      <c r="GIW41" s="6"/>
      <c r="GIX41" s="6"/>
      <c r="GIY41" s="6"/>
      <c r="GIZ41" s="6"/>
      <c r="GJA41" s="6"/>
      <c r="GJB41" s="6"/>
      <c r="GJC41" s="6"/>
      <c r="GJD41" s="6"/>
      <c r="GJE41" s="6"/>
      <c r="GJF41" s="6"/>
      <c r="GJG41" s="6"/>
      <c r="GJH41" s="6"/>
      <c r="GJI41" s="6"/>
      <c r="GJJ41" s="6"/>
      <c r="GJK41" s="6"/>
      <c r="GJL41" s="6"/>
      <c r="GJM41" s="6"/>
      <c r="GJN41" s="6"/>
      <c r="GJO41" s="6"/>
      <c r="GJP41" s="6"/>
      <c r="GJQ41" s="6"/>
      <c r="GJR41" s="6"/>
      <c r="GJS41" s="6"/>
      <c r="GJT41" s="6"/>
      <c r="GJU41" s="6"/>
      <c r="GJV41" s="6"/>
      <c r="GJW41" s="6"/>
      <c r="GJX41" s="6"/>
      <c r="GJY41" s="6"/>
      <c r="GJZ41" s="6"/>
      <c r="GKA41" s="6"/>
      <c r="GKB41" s="6"/>
      <c r="GKC41" s="6"/>
      <c r="GKD41" s="6"/>
      <c r="GKE41" s="6"/>
      <c r="GKF41" s="6"/>
      <c r="GKG41" s="6"/>
      <c r="GKH41" s="6"/>
      <c r="GKI41" s="6"/>
      <c r="GKJ41" s="6"/>
      <c r="GKK41" s="6"/>
      <c r="GKL41" s="6"/>
      <c r="GKM41" s="6"/>
      <c r="GKN41" s="6"/>
      <c r="GKO41" s="6"/>
      <c r="GKP41" s="6"/>
      <c r="GKQ41" s="6"/>
      <c r="GKR41" s="6"/>
      <c r="GKS41" s="6"/>
      <c r="GKT41" s="6"/>
      <c r="GKU41" s="6"/>
      <c r="GKV41" s="6"/>
      <c r="GKW41" s="6"/>
      <c r="GKX41" s="6"/>
      <c r="GKY41" s="6"/>
      <c r="GKZ41" s="6"/>
      <c r="GLA41" s="6"/>
      <c r="GLB41" s="6"/>
      <c r="GLC41" s="6"/>
      <c r="GLD41" s="6"/>
      <c r="GLE41" s="6"/>
      <c r="GLF41" s="6"/>
      <c r="GLG41" s="6"/>
      <c r="GLH41" s="6"/>
      <c r="GLI41" s="6"/>
      <c r="GLJ41" s="6"/>
      <c r="GLK41" s="6"/>
      <c r="GLL41" s="6"/>
      <c r="GLM41" s="6"/>
      <c r="GLN41" s="6"/>
      <c r="GLO41" s="6"/>
      <c r="GLP41" s="6"/>
      <c r="GLQ41" s="6"/>
      <c r="GLR41" s="6"/>
      <c r="GLS41" s="6"/>
      <c r="GLT41" s="6"/>
      <c r="GLU41" s="6"/>
      <c r="GLV41" s="6"/>
      <c r="GLW41" s="6"/>
      <c r="GLX41" s="6"/>
      <c r="GLY41" s="6"/>
      <c r="GLZ41" s="6"/>
      <c r="GMA41" s="6"/>
      <c r="GMB41" s="6"/>
      <c r="GMC41" s="6"/>
      <c r="GMD41" s="6"/>
      <c r="GME41" s="6"/>
      <c r="GMF41" s="6"/>
      <c r="GMG41" s="6"/>
      <c r="GMH41" s="6"/>
      <c r="GMI41" s="6"/>
      <c r="GMJ41" s="6"/>
      <c r="GMK41" s="6"/>
      <c r="GML41" s="6"/>
      <c r="GMM41" s="6"/>
      <c r="GMN41" s="6"/>
      <c r="GMO41" s="6"/>
      <c r="GMP41" s="6"/>
      <c r="GMQ41" s="6"/>
      <c r="GMR41" s="6"/>
      <c r="GMS41" s="6"/>
      <c r="GMT41" s="6"/>
      <c r="GMU41" s="6"/>
      <c r="GMV41" s="6"/>
      <c r="GMW41" s="6"/>
      <c r="GMX41" s="6"/>
      <c r="GMY41" s="6"/>
      <c r="GMZ41" s="6"/>
      <c r="GNA41" s="6"/>
      <c r="GNB41" s="6"/>
      <c r="GNC41" s="6"/>
      <c r="GND41" s="6"/>
      <c r="GNE41" s="6"/>
      <c r="GNF41" s="6"/>
      <c r="GNG41" s="6"/>
      <c r="GNH41" s="6"/>
      <c r="GNI41" s="6"/>
      <c r="GNJ41" s="6"/>
      <c r="GNK41" s="6"/>
      <c r="GNL41" s="6"/>
      <c r="GNM41" s="6"/>
      <c r="GNN41" s="6"/>
      <c r="GNO41" s="6"/>
      <c r="GNP41" s="6"/>
      <c r="GNQ41" s="6"/>
      <c r="GNR41" s="6"/>
      <c r="GNS41" s="6"/>
      <c r="GNT41" s="6"/>
      <c r="GNU41" s="6"/>
      <c r="GNV41" s="6"/>
      <c r="GNW41" s="6"/>
      <c r="GNX41" s="6"/>
      <c r="GNY41" s="6"/>
      <c r="GNZ41" s="6"/>
      <c r="GOA41" s="6"/>
      <c r="GOB41" s="6"/>
      <c r="GOC41" s="6"/>
      <c r="GOD41" s="6"/>
      <c r="GOE41" s="6"/>
      <c r="GOF41" s="6"/>
      <c r="GOG41" s="6"/>
      <c r="GOH41" s="6"/>
      <c r="GOI41" s="6"/>
      <c r="GOJ41" s="6"/>
      <c r="GOK41" s="6"/>
      <c r="GOL41" s="6"/>
      <c r="GOM41" s="6"/>
      <c r="GON41" s="6"/>
      <c r="GOO41" s="6"/>
      <c r="GOP41" s="6"/>
      <c r="GOQ41" s="6"/>
      <c r="GOR41" s="6"/>
      <c r="GOS41" s="6"/>
      <c r="GOT41" s="6"/>
      <c r="GOU41" s="6"/>
      <c r="GOV41" s="6"/>
      <c r="GOW41" s="6"/>
      <c r="GOX41" s="6"/>
      <c r="GOY41" s="6"/>
      <c r="GOZ41" s="6"/>
      <c r="GPA41" s="6"/>
      <c r="GPB41" s="6"/>
      <c r="GPC41" s="6"/>
      <c r="GPD41" s="6"/>
      <c r="GPE41" s="6"/>
      <c r="GPF41" s="6"/>
      <c r="GPG41" s="6"/>
      <c r="GPH41" s="6"/>
      <c r="GPI41" s="6"/>
      <c r="GPJ41" s="6"/>
      <c r="GPK41" s="6"/>
      <c r="GPL41" s="6"/>
      <c r="GPM41" s="6"/>
      <c r="GPN41" s="6"/>
      <c r="GPO41" s="6"/>
      <c r="GPP41" s="6"/>
      <c r="GPQ41" s="6"/>
      <c r="GPR41" s="6"/>
      <c r="GPS41" s="6"/>
      <c r="GPT41" s="6"/>
      <c r="GPU41" s="6"/>
      <c r="GPV41" s="6"/>
      <c r="GPW41" s="6"/>
      <c r="GPX41" s="6"/>
      <c r="GPY41" s="6"/>
      <c r="GPZ41" s="6"/>
      <c r="GQA41" s="6"/>
      <c r="GQB41" s="6"/>
      <c r="GQC41" s="6"/>
      <c r="GQD41" s="6"/>
      <c r="GQE41" s="6"/>
      <c r="GQF41" s="6"/>
      <c r="GQG41" s="6"/>
      <c r="GQH41" s="6"/>
      <c r="GQI41" s="6"/>
      <c r="GQJ41" s="6"/>
      <c r="GQK41" s="6"/>
      <c r="GQL41" s="6"/>
      <c r="GQM41" s="6"/>
      <c r="GQN41" s="6"/>
      <c r="GQO41" s="6"/>
      <c r="GQP41" s="6"/>
      <c r="GQQ41" s="6"/>
      <c r="GQR41" s="6"/>
      <c r="GQS41" s="6"/>
      <c r="GQT41" s="6"/>
      <c r="GQU41" s="6"/>
      <c r="GQV41" s="6"/>
      <c r="GQW41" s="6"/>
      <c r="GQX41" s="6"/>
      <c r="GQY41" s="6"/>
      <c r="GQZ41" s="6"/>
      <c r="GRA41" s="6"/>
      <c r="GRB41" s="6"/>
      <c r="GRC41" s="6"/>
      <c r="GRD41" s="6"/>
      <c r="GRE41" s="6"/>
      <c r="GRF41" s="6"/>
      <c r="GRG41" s="6"/>
      <c r="GRH41" s="6"/>
      <c r="GRI41" s="6"/>
      <c r="GRJ41" s="6"/>
      <c r="GRK41" s="6"/>
      <c r="GRL41" s="6"/>
      <c r="GRM41" s="6"/>
      <c r="GRN41" s="6"/>
      <c r="GRO41" s="6"/>
      <c r="GRP41" s="6"/>
      <c r="GRQ41" s="6"/>
      <c r="GRR41" s="6"/>
      <c r="GRS41" s="6"/>
      <c r="GRT41" s="6"/>
      <c r="GRU41" s="6"/>
      <c r="GRV41" s="6"/>
      <c r="GRW41" s="6"/>
      <c r="GRX41" s="6"/>
      <c r="GRY41" s="6"/>
      <c r="GRZ41" s="6"/>
      <c r="GSA41" s="6"/>
      <c r="GSB41" s="6"/>
      <c r="GSC41" s="6"/>
      <c r="GSD41" s="6"/>
      <c r="GSE41" s="6"/>
      <c r="GSF41" s="6"/>
      <c r="GSG41" s="6"/>
      <c r="GSH41" s="6"/>
      <c r="GSI41" s="6"/>
      <c r="GSJ41" s="6"/>
      <c r="GSK41" s="6"/>
      <c r="GSL41" s="6"/>
      <c r="GSM41" s="6"/>
      <c r="GSN41" s="6"/>
      <c r="GSO41" s="6"/>
      <c r="GSP41" s="6"/>
      <c r="GSQ41" s="6"/>
      <c r="GSR41" s="6"/>
      <c r="GSS41" s="6"/>
      <c r="GST41" s="6"/>
      <c r="GSU41" s="6"/>
      <c r="GSV41" s="6"/>
      <c r="GSW41" s="6"/>
      <c r="GSX41" s="6"/>
      <c r="GSY41" s="6"/>
      <c r="GSZ41" s="6"/>
      <c r="GTA41" s="6"/>
      <c r="GTB41" s="6"/>
      <c r="GTC41" s="6"/>
      <c r="GTD41" s="6"/>
      <c r="GTE41" s="6"/>
      <c r="GTF41" s="6"/>
      <c r="GTG41" s="6"/>
      <c r="GTH41" s="6"/>
      <c r="GTI41" s="6"/>
      <c r="GTJ41" s="6"/>
      <c r="GTK41" s="6"/>
      <c r="GTL41" s="6"/>
      <c r="GTM41" s="6"/>
      <c r="GTN41" s="6"/>
      <c r="GTO41" s="6"/>
      <c r="GTP41" s="6"/>
      <c r="GTQ41" s="6"/>
      <c r="GTR41" s="6"/>
      <c r="GTS41" s="6"/>
      <c r="GTT41" s="6"/>
      <c r="GTU41" s="6"/>
      <c r="GTV41" s="6"/>
      <c r="GTW41" s="6"/>
      <c r="GTX41" s="6"/>
      <c r="GTY41" s="6"/>
      <c r="GTZ41" s="6"/>
      <c r="GUA41" s="6"/>
      <c r="GUB41" s="6"/>
      <c r="GUC41" s="6"/>
      <c r="GUD41" s="6"/>
      <c r="GUE41" s="6"/>
      <c r="GUF41" s="6"/>
      <c r="GUG41" s="6"/>
      <c r="GUH41" s="6"/>
      <c r="GUI41" s="6"/>
      <c r="GUJ41" s="6"/>
      <c r="GUK41" s="6"/>
      <c r="GUL41" s="6"/>
      <c r="GUM41" s="6"/>
      <c r="GUN41" s="6"/>
      <c r="GUO41" s="6"/>
      <c r="GUP41" s="6"/>
      <c r="GUQ41" s="6"/>
      <c r="GUR41" s="6"/>
      <c r="GUS41" s="6"/>
      <c r="GUT41" s="6"/>
      <c r="GUU41" s="6"/>
      <c r="GUV41" s="6"/>
      <c r="GUW41" s="6"/>
      <c r="GUX41" s="6"/>
      <c r="GUY41" s="6"/>
      <c r="GUZ41" s="6"/>
      <c r="GVA41" s="6"/>
      <c r="GVB41" s="6"/>
      <c r="GVC41" s="6"/>
      <c r="GVD41" s="6"/>
      <c r="GVE41" s="6"/>
      <c r="GVF41" s="6"/>
      <c r="GVG41" s="6"/>
      <c r="GVH41" s="6"/>
      <c r="GVI41" s="6"/>
      <c r="GVJ41" s="6"/>
      <c r="GVK41" s="6"/>
      <c r="GVL41" s="6"/>
      <c r="GVM41" s="6"/>
      <c r="GVN41" s="6"/>
      <c r="GVO41" s="6"/>
      <c r="GVP41" s="6"/>
      <c r="GVQ41" s="6"/>
      <c r="GVR41" s="6"/>
      <c r="GVS41" s="6"/>
      <c r="GVT41" s="6"/>
      <c r="GVU41" s="6"/>
      <c r="GVV41" s="6"/>
      <c r="GVW41" s="6"/>
      <c r="GVX41" s="6"/>
      <c r="GVY41" s="6"/>
      <c r="GVZ41" s="6"/>
      <c r="GWA41" s="6"/>
      <c r="GWB41" s="6"/>
      <c r="GWC41" s="6"/>
      <c r="GWD41" s="6"/>
      <c r="GWE41" s="6"/>
      <c r="GWF41" s="6"/>
      <c r="GWG41" s="6"/>
      <c r="GWH41" s="6"/>
      <c r="GWI41" s="6"/>
      <c r="GWJ41" s="6"/>
      <c r="GWK41" s="6"/>
      <c r="GWL41" s="6"/>
      <c r="GWM41" s="6"/>
      <c r="GWN41" s="6"/>
      <c r="GWO41" s="6"/>
      <c r="GWP41" s="6"/>
      <c r="GWQ41" s="6"/>
      <c r="GWR41" s="6"/>
      <c r="GWS41" s="6"/>
      <c r="GWT41" s="6"/>
      <c r="GWU41" s="6"/>
      <c r="GWV41" s="6"/>
      <c r="GWW41" s="6"/>
      <c r="GWX41" s="6"/>
      <c r="GWY41" s="6"/>
      <c r="GWZ41" s="6"/>
      <c r="GXA41" s="6"/>
      <c r="GXB41" s="6"/>
      <c r="GXC41" s="6"/>
      <c r="GXD41" s="6"/>
      <c r="GXE41" s="6"/>
      <c r="GXF41" s="6"/>
      <c r="GXG41" s="6"/>
      <c r="GXH41" s="6"/>
      <c r="GXI41" s="6"/>
      <c r="GXJ41" s="6"/>
      <c r="GXK41" s="6"/>
      <c r="GXL41" s="6"/>
      <c r="GXM41" s="6"/>
      <c r="GXN41" s="6"/>
      <c r="GXO41" s="6"/>
      <c r="GXP41" s="6"/>
      <c r="GXQ41" s="6"/>
      <c r="GXR41" s="6"/>
      <c r="GXS41" s="6"/>
      <c r="GXT41" s="6"/>
      <c r="GXU41" s="6"/>
      <c r="GXV41" s="6"/>
      <c r="GXW41" s="6"/>
      <c r="GXX41" s="6"/>
      <c r="GXY41" s="6"/>
      <c r="GXZ41" s="6"/>
      <c r="GYA41" s="6"/>
      <c r="GYB41" s="6"/>
      <c r="GYC41" s="6"/>
      <c r="GYD41" s="6"/>
      <c r="GYE41" s="6"/>
      <c r="GYF41" s="6"/>
      <c r="GYG41" s="6"/>
      <c r="GYH41" s="6"/>
      <c r="GYI41" s="6"/>
      <c r="GYJ41" s="6"/>
      <c r="GYK41" s="6"/>
      <c r="GYL41" s="6"/>
      <c r="GYM41" s="6"/>
      <c r="GYN41" s="6"/>
      <c r="GYO41" s="6"/>
      <c r="GYP41" s="6"/>
      <c r="GYQ41" s="6"/>
      <c r="GYR41" s="6"/>
      <c r="GYS41" s="6"/>
      <c r="GYT41" s="6"/>
      <c r="GYU41" s="6"/>
      <c r="GYV41" s="6"/>
      <c r="GYW41" s="6"/>
      <c r="GYX41" s="6"/>
      <c r="GYY41" s="6"/>
      <c r="GYZ41" s="6"/>
      <c r="GZA41" s="6"/>
      <c r="GZB41" s="6"/>
      <c r="GZC41" s="6"/>
      <c r="GZD41" s="6"/>
      <c r="GZE41" s="6"/>
      <c r="GZF41" s="6"/>
      <c r="GZG41" s="6"/>
      <c r="GZH41" s="6"/>
      <c r="GZI41" s="6"/>
      <c r="GZJ41" s="6"/>
      <c r="GZK41" s="6"/>
      <c r="GZL41" s="6"/>
      <c r="GZM41" s="6"/>
      <c r="GZN41" s="6"/>
      <c r="GZO41" s="6"/>
      <c r="GZP41" s="6"/>
      <c r="GZQ41" s="6"/>
      <c r="GZR41" s="6"/>
      <c r="GZS41" s="6"/>
      <c r="GZT41" s="6"/>
      <c r="GZU41" s="6"/>
      <c r="GZV41" s="6"/>
      <c r="GZW41" s="6"/>
      <c r="GZX41" s="6"/>
      <c r="GZY41" s="6"/>
      <c r="GZZ41" s="6"/>
      <c r="HAA41" s="6"/>
      <c r="HAB41" s="6"/>
      <c r="HAC41" s="6"/>
      <c r="HAD41" s="6"/>
      <c r="HAE41" s="6"/>
      <c r="HAF41" s="6"/>
      <c r="HAG41" s="6"/>
      <c r="HAH41" s="6"/>
      <c r="HAI41" s="6"/>
      <c r="HAJ41" s="6"/>
      <c r="HAK41" s="6"/>
      <c r="HAL41" s="6"/>
      <c r="HAM41" s="6"/>
      <c r="HAN41" s="6"/>
      <c r="HAO41" s="6"/>
      <c r="HAP41" s="6"/>
      <c r="HAQ41" s="6"/>
      <c r="HAR41" s="6"/>
      <c r="HAS41" s="6"/>
      <c r="HAT41" s="6"/>
      <c r="HAU41" s="6"/>
      <c r="HAV41" s="6"/>
      <c r="HAW41" s="6"/>
      <c r="HAX41" s="6"/>
      <c r="HAY41" s="6"/>
      <c r="HAZ41" s="6"/>
      <c r="HBA41" s="6"/>
      <c r="HBB41" s="6"/>
      <c r="HBC41" s="6"/>
      <c r="HBD41" s="6"/>
      <c r="HBE41" s="6"/>
      <c r="HBF41" s="6"/>
      <c r="HBG41" s="6"/>
      <c r="HBH41" s="6"/>
      <c r="HBI41" s="6"/>
      <c r="HBJ41" s="6"/>
      <c r="HBK41" s="6"/>
      <c r="HBL41" s="6"/>
      <c r="HBM41" s="6"/>
      <c r="HBN41" s="6"/>
      <c r="HBO41" s="6"/>
      <c r="HBP41" s="6"/>
      <c r="HBQ41" s="6"/>
      <c r="HBR41" s="6"/>
      <c r="HBS41" s="6"/>
      <c r="HBT41" s="6"/>
      <c r="HBU41" s="6"/>
      <c r="HBV41" s="6"/>
      <c r="HBW41" s="6"/>
      <c r="HBX41" s="6"/>
      <c r="HBY41" s="6"/>
      <c r="HBZ41" s="6"/>
      <c r="HCA41" s="6"/>
      <c r="HCB41" s="6"/>
      <c r="HCC41" s="6"/>
      <c r="HCD41" s="6"/>
      <c r="HCE41" s="6"/>
      <c r="HCF41" s="6"/>
      <c r="HCG41" s="6"/>
      <c r="HCH41" s="6"/>
      <c r="HCI41" s="6"/>
      <c r="HCJ41" s="6"/>
      <c r="HCK41" s="6"/>
      <c r="HCL41" s="6"/>
      <c r="HCM41" s="6"/>
      <c r="HCN41" s="6"/>
      <c r="HCO41" s="6"/>
      <c r="HCP41" s="6"/>
      <c r="HCQ41" s="6"/>
      <c r="HCR41" s="6"/>
      <c r="HCS41" s="6"/>
      <c r="HCT41" s="6"/>
      <c r="HCU41" s="6"/>
      <c r="HCV41" s="6"/>
      <c r="HCW41" s="6"/>
      <c r="HCX41" s="6"/>
      <c r="HCY41" s="6"/>
      <c r="HCZ41" s="6"/>
      <c r="HDA41" s="6"/>
      <c r="HDB41" s="6"/>
      <c r="HDC41" s="6"/>
      <c r="HDD41" s="6"/>
      <c r="HDE41" s="6"/>
      <c r="HDF41" s="6"/>
      <c r="HDG41" s="6"/>
      <c r="HDH41" s="6"/>
      <c r="HDI41" s="6"/>
      <c r="HDJ41" s="6"/>
      <c r="HDK41" s="6"/>
      <c r="HDL41" s="6"/>
      <c r="HDM41" s="6"/>
      <c r="HDN41" s="6"/>
      <c r="HDO41" s="6"/>
      <c r="HDP41" s="6"/>
      <c r="HDQ41" s="6"/>
      <c r="HDR41" s="6"/>
      <c r="HDS41" s="6"/>
      <c r="HDT41" s="6"/>
      <c r="HDU41" s="6"/>
      <c r="HDV41" s="6"/>
      <c r="HDW41" s="6"/>
      <c r="HDX41" s="6"/>
      <c r="HDY41" s="6"/>
      <c r="HDZ41" s="6"/>
      <c r="HEA41" s="6"/>
      <c r="HEB41" s="6"/>
      <c r="HEC41" s="6"/>
      <c r="HED41" s="6"/>
      <c r="HEE41" s="6"/>
      <c r="HEF41" s="6"/>
      <c r="HEG41" s="6"/>
      <c r="HEH41" s="6"/>
      <c r="HEI41" s="6"/>
      <c r="HEJ41" s="6"/>
      <c r="HEK41" s="6"/>
      <c r="HEL41" s="6"/>
      <c r="HEM41" s="6"/>
      <c r="HEN41" s="6"/>
      <c r="HEO41" s="6"/>
      <c r="HEP41" s="6"/>
      <c r="HEQ41" s="6"/>
      <c r="HER41" s="6"/>
      <c r="HES41" s="6"/>
      <c r="HET41" s="6"/>
      <c r="HEU41" s="6"/>
      <c r="HEV41" s="6"/>
      <c r="HEW41" s="6"/>
      <c r="HEX41" s="6"/>
      <c r="HEY41" s="6"/>
      <c r="HEZ41" s="6"/>
      <c r="HFA41" s="6"/>
      <c r="HFB41" s="6"/>
      <c r="HFC41" s="6"/>
      <c r="HFD41" s="6"/>
      <c r="HFE41" s="6"/>
      <c r="HFF41" s="6"/>
      <c r="HFG41" s="6"/>
      <c r="HFH41" s="6"/>
      <c r="HFI41" s="6"/>
      <c r="HFJ41" s="6"/>
      <c r="HFK41" s="6"/>
      <c r="HFL41" s="6"/>
      <c r="HFM41" s="6"/>
      <c r="HFN41" s="6"/>
      <c r="HFO41" s="6"/>
      <c r="HFP41" s="6"/>
      <c r="HFQ41" s="6"/>
      <c r="HFR41" s="6"/>
      <c r="HFS41" s="6"/>
      <c r="HFT41" s="6"/>
      <c r="HFU41" s="6"/>
      <c r="HFV41" s="6"/>
      <c r="HFW41" s="6"/>
      <c r="HFX41" s="6"/>
      <c r="HFY41" s="6"/>
      <c r="HFZ41" s="6"/>
      <c r="HGA41" s="6"/>
      <c r="HGB41" s="6"/>
      <c r="HGC41" s="6"/>
      <c r="HGD41" s="6"/>
      <c r="HGE41" s="6"/>
      <c r="HGF41" s="6"/>
      <c r="HGG41" s="6"/>
      <c r="HGH41" s="6"/>
      <c r="HGI41" s="6"/>
      <c r="HGJ41" s="6"/>
      <c r="HGK41" s="6"/>
      <c r="HGL41" s="6"/>
      <c r="HGM41" s="6"/>
      <c r="HGN41" s="6"/>
      <c r="HGO41" s="6"/>
      <c r="HGP41" s="6"/>
      <c r="HGQ41" s="6"/>
      <c r="HGR41" s="6"/>
      <c r="HGS41" s="6"/>
      <c r="HGT41" s="6"/>
      <c r="HGU41" s="6"/>
      <c r="HGV41" s="6"/>
      <c r="HGW41" s="6"/>
      <c r="HGX41" s="6"/>
      <c r="HGY41" s="6"/>
      <c r="HGZ41" s="6"/>
      <c r="HHA41" s="6"/>
      <c r="HHB41" s="6"/>
      <c r="HHC41" s="6"/>
      <c r="HHD41" s="6"/>
      <c r="HHE41" s="6"/>
      <c r="HHF41" s="6"/>
      <c r="HHG41" s="6"/>
      <c r="HHH41" s="6"/>
      <c r="HHI41" s="6"/>
      <c r="HHJ41" s="6"/>
      <c r="HHK41" s="6"/>
      <c r="HHL41" s="6"/>
      <c r="HHM41" s="6"/>
      <c r="HHN41" s="6"/>
      <c r="HHO41" s="6"/>
      <c r="HHP41" s="6"/>
      <c r="HHQ41" s="6"/>
      <c r="HHR41" s="6"/>
      <c r="HHS41" s="6"/>
      <c r="HHT41" s="6"/>
      <c r="HHU41" s="6"/>
      <c r="HHV41" s="6"/>
      <c r="HHW41" s="6"/>
      <c r="HHX41" s="6"/>
      <c r="HHY41" s="6"/>
      <c r="HHZ41" s="6"/>
      <c r="HIA41" s="6"/>
      <c r="HIB41" s="6"/>
      <c r="HIC41" s="6"/>
      <c r="HID41" s="6"/>
      <c r="HIE41" s="6"/>
      <c r="HIF41" s="6"/>
      <c r="HIG41" s="6"/>
      <c r="HIH41" s="6"/>
      <c r="HII41" s="6"/>
      <c r="HIJ41" s="6"/>
      <c r="HIK41" s="6"/>
      <c r="HIL41" s="6"/>
      <c r="HIM41" s="6"/>
      <c r="HIN41" s="6"/>
      <c r="HIO41" s="6"/>
      <c r="HIP41" s="6"/>
      <c r="HIQ41" s="6"/>
      <c r="HIR41" s="6"/>
      <c r="HIS41" s="6"/>
      <c r="HIT41" s="6"/>
      <c r="HIU41" s="6"/>
      <c r="HIV41" s="6"/>
      <c r="HIW41" s="6"/>
      <c r="HIX41" s="6"/>
      <c r="HIY41" s="6"/>
      <c r="HIZ41" s="6"/>
      <c r="HJA41" s="6"/>
      <c r="HJB41" s="6"/>
      <c r="HJC41" s="6"/>
      <c r="HJD41" s="6"/>
      <c r="HJE41" s="6"/>
      <c r="HJF41" s="6"/>
      <c r="HJG41" s="6"/>
      <c r="HJH41" s="6"/>
      <c r="HJI41" s="6"/>
      <c r="HJJ41" s="6"/>
      <c r="HJK41" s="6"/>
      <c r="HJL41" s="6"/>
      <c r="HJM41" s="6"/>
      <c r="HJN41" s="6"/>
      <c r="HJO41" s="6"/>
      <c r="HJP41" s="6"/>
      <c r="HJQ41" s="6"/>
      <c r="HJR41" s="6"/>
      <c r="HJS41" s="6"/>
      <c r="HJT41" s="6"/>
      <c r="HJU41" s="6"/>
      <c r="HJV41" s="6"/>
      <c r="HJW41" s="6"/>
      <c r="HJX41" s="6"/>
      <c r="HJY41" s="6"/>
      <c r="HJZ41" s="6"/>
      <c r="HKA41" s="6"/>
      <c r="HKB41" s="6"/>
      <c r="HKC41" s="6"/>
      <c r="HKD41" s="6"/>
      <c r="HKE41" s="6"/>
      <c r="HKF41" s="6"/>
      <c r="HKG41" s="6"/>
      <c r="HKH41" s="6"/>
      <c r="HKI41" s="6"/>
      <c r="HKJ41" s="6"/>
      <c r="HKK41" s="6"/>
      <c r="HKL41" s="6"/>
      <c r="HKM41" s="6"/>
      <c r="HKN41" s="6"/>
      <c r="HKO41" s="6"/>
      <c r="HKP41" s="6"/>
      <c r="HKQ41" s="6"/>
      <c r="HKR41" s="6"/>
      <c r="HKS41" s="6"/>
      <c r="HKT41" s="6"/>
      <c r="HKU41" s="6"/>
      <c r="HKV41" s="6"/>
      <c r="HKW41" s="6"/>
      <c r="HKX41" s="6"/>
      <c r="HKY41" s="6"/>
      <c r="HKZ41" s="6"/>
      <c r="HLA41" s="6"/>
      <c r="HLB41" s="6"/>
      <c r="HLC41" s="6"/>
      <c r="HLD41" s="6"/>
      <c r="HLE41" s="6"/>
      <c r="HLF41" s="6"/>
      <c r="HLG41" s="6"/>
      <c r="HLH41" s="6"/>
      <c r="HLI41" s="6"/>
      <c r="HLJ41" s="6"/>
      <c r="HLK41" s="6"/>
      <c r="HLL41" s="6"/>
      <c r="HLM41" s="6"/>
      <c r="HLN41" s="6"/>
      <c r="HLO41" s="6"/>
      <c r="HLP41" s="6"/>
      <c r="HLQ41" s="6"/>
      <c r="HLR41" s="6"/>
      <c r="HLS41" s="6"/>
      <c r="HLT41" s="6"/>
      <c r="HLU41" s="6"/>
      <c r="HLV41" s="6"/>
      <c r="HLW41" s="6"/>
      <c r="HLX41" s="6"/>
      <c r="HLY41" s="6"/>
      <c r="HLZ41" s="6"/>
      <c r="HMA41" s="6"/>
      <c r="HMB41" s="6"/>
      <c r="HMC41" s="6"/>
      <c r="HMD41" s="6"/>
      <c r="HME41" s="6"/>
      <c r="HMF41" s="6"/>
      <c r="HMG41" s="6"/>
      <c r="HMH41" s="6"/>
      <c r="HMI41" s="6"/>
      <c r="HMJ41" s="6"/>
      <c r="HMK41" s="6"/>
      <c r="HML41" s="6"/>
      <c r="HMM41" s="6"/>
      <c r="HMN41" s="6"/>
      <c r="HMO41" s="6"/>
      <c r="HMP41" s="6"/>
      <c r="HMQ41" s="6"/>
      <c r="HMR41" s="6"/>
      <c r="HMS41" s="6"/>
      <c r="HMT41" s="6"/>
      <c r="HMU41" s="6"/>
      <c r="HMV41" s="6"/>
      <c r="HMW41" s="6"/>
      <c r="HMX41" s="6"/>
      <c r="HMY41" s="6"/>
      <c r="HMZ41" s="6"/>
      <c r="HNA41" s="6"/>
      <c r="HNB41" s="6"/>
      <c r="HNC41" s="6"/>
      <c r="HND41" s="6"/>
      <c r="HNE41" s="6"/>
      <c r="HNF41" s="6"/>
      <c r="HNG41" s="6"/>
      <c r="HNH41" s="6"/>
      <c r="HNI41" s="6"/>
      <c r="HNJ41" s="6"/>
      <c r="HNK41" s="6"/>
      <c r="HNL41" s="6"/>
      <c r="HNM41" s="6"/>
      <c r="HNN41" s="6"/>
      <c r="HNO41" s="6"/>
      <c r="HNP41" s="6"/>
      <c r="HNQ41" s="6"/>
      <c r="HNR41" s="6"/>
      <c r="HNS41" s="6"/>
      <c r="HNT41" s="6"/>
      <c r="HNU41" s="6"/>
      <c r="HNV41" s="6"/>
      <c r="HNW41" s="6"/>
      <c r="HNX41" s="6"/>
      <c r="HNY41" s="6"/>
      <c r="HNZ41" s="6"/>
      <c r="HOA41" s="6"/>
      <c r="HOB41" s="6"/>
      <c r="HOC41" s="6"/>
      <c r="HOD41" s="6"/>
      <c r="HOE41" s="6"/>
      <c r="HOF41" s="6"/>
      <c r="HOG41" s="6"/>
      <c r="HOH41" s="6"/>
      <c r="HOI41" s="6"/>
      <c r="HOJ41" s="6"/>
      <c r="HOK41" s="6"/>
      <c r="HOL41" s="6"/>
      <c r="HOM41" s="6"/>
      <c r="HON41" s="6"/>
      <c r="HOO41" s="6"/>
      <c r="HOP41" s="6"/>
      <c r="HOQ41" s="6"/>
      <c r="HOR41" s="6"/>
      <c r="HOS41" s="6"/>
      <c r="HOT41" s="6"/>
      <c r="HOU41" s="6"/>
      <c r="HOV41" s="6"/>
      <c r="HOW41" s="6"/>
      <c r="HOX41" s="6"/>
      <c r="HOY41" s="6"/>
      <c r="HOZ41" s="6"/>
      <c r="HPA41" s="6"/>
      <c r="HPB41" s="6"/>
      <c r="HPC41" s="6"/>
      <c r="HPD41" s="6"/>
      <c r="HPE41" s="6"/>
      <c r="HPF41" s="6"/>
      <c r="HPG41" s="6"/>
      <c r="HPH41" s="6"/>
      <c r="HPI41" s="6"/>
      <c r="HPJ41" s="6"/>
      <c r="HPK41" s="6"/>
      <c r="HPL41" s="6"/>
      <c r="HPM41" s="6"/>
      <c r="HPN41" s="6"/>
      <c r="HPO41" s="6"/>
      <c r="HPP41" s="6"/>
      <c r="HPQ41" s="6"/>
      <c r="HPR41" s="6"/>
      <c r="HPS41" s="6"/>
      <c r="HPT41" s="6"/>
      <c r="HPU41" s="6"/>
      <c r="HPV41" s="6"/>
      <c r="HPW41" s="6"/>
      <c r="HPX41" s="6"/>
      <c r="HPY41" s="6"/>
      <c r="HPZ41" s="6"/>
      <c r="HQA41" s="6"/>
      <c r="HQB41" s="6"/>
      <c r="HQC41" s="6"/>
      <c r="HQD41" s="6"/>
      <c r="HQE41" s="6"/>
      <c r="HQF41" s="6"/>
      <c r="HQG41" s="6"/>
      <c r="HQH41" s="6"/>
      <c r="HQI41" s="6"/>
      <c r="HQJ41" s="6"/>
      <c r="HQK41" s="6"/>
      <c r="HQL41" s="6"/>
      <c r="HQM41" s="6"/>
      <c r="HQN41" s="6"/>
      <c r="HQO41" s="6"/>
      <c r="HQP41" s="6"/>
      <c r="HQQ41" s="6"/>
      <c r="HQR41" s="6"/>
      <c r="HQS41" s="6"/>
      <c r="HQT41" s="6"/>
      <c r="HQU41" s="6"/>
      <c r="HQV41" s="6"/>
      <c r="HQW41" s="6"/>
      <c r="HQX41" s="6"/>
      <c r="HQY41" s="6"/>
      <c r="HQZ41" s="6"/>
      <c r="HRA41" s="6"/>
      <c r="HRB41" s="6"/>
      <c r="HRC41" s="6"/>
      <c r="HRD41" s="6"/>
      <c r="HRE41" s="6"/>
      <c r="HRF41" s="6"/>
      <c r="HRG41" s="6"/>
      <c r="HRH41" s="6"/>
      <c r="HRI41" s="6"/>
      <c r="HRJ41" s="6"/>
      <c r="HRK41" s="6"/>
      <c r="HRL41" s="6"/>
      <c r="HRM41" s="6"/>
      <c r="HRN41" s="6"/>
      <c r="HRO41" s="6"/>
      <c r="HRP41" s="6"/>
      <c r="HRQ41" s="6"/>
      <c r="HRR41" s="6"/>
      <c r="HRS41" s="6"/>
      <c r="HRT41" s="6"/>
      <c r="HRU41" s="6"/>
      <c r="HRV41" s="6"/>
      <c r="HRW41" s="6"/>
      <c r="HRX41" s="6"/>
      <c r="HRY41" s="6"/>
      <c r="HRZ41" s="6"/>
      <c r="HSA41" s="6"/>
      <c r="HSB41" s="6"/>
      <c r="HSC41" s="6"/>
      <c r="HSD41" s="6"/>
      <c r="HSE41" s="6"/>
      <c r="HSF41" s="6"/>
      <c r="HSG41" s="6"/>
      <c r="HSH41" s="6"/>
      <c r="HSI41" s="6"/>
      <c r="HSJ41" s="6"/>
      <c r="HSK41" s="6"/>
      <c r="HSL41" s="6"/>
      <c r="HSM41" s="6"/>
      <c r="HSN41" s="6"/>
      <c r="HSO41" s="6"/>
      <c r="HSP41" s="6"/>
      <c r="HSQ41" s="6"/>
      <c r="HSR41" s="6"/>
      <c r="HSS41" s="6"/>
      <c r="HST41" s="6"/>
      <c r="HSU41" s="6"/>
      <c r="HSV41" s="6"/>
      <c r="HSW41" s="6"/>
      <c r="HSX41" s="6"/>
      <c r="HSY41" s="6"/>
      <c r="HSZ41" s="6"/>
      <c r="HTA41" s="6"/>
      <c r="HTB41" s="6"/>
      <c r="HTC41" s="6"/>
      <c r="HTD41" s="6"/>
      <c r="HTE41" s="6"/>
      <c r="HTF41" s="6"/>
      <c r="HTG41" s="6"/>
      <c r="HTH41" s="6"/>
      <c r="HTI41" s="6"/>
      <c r="HTJ41" s="6"/>
      <c r="HTK41" s="6"/>
      <c r="HTL41" s="6"/>
      <c r="HTM41" s="6"/>
      <c r="HTN41" s="6"/>
      <c r="HTO41" s="6"/>
      <c r="HTP41" s="6"/>
      <c r="HTQ41" s="6"/>
      <c r="HTR41" s="6"/>
      <c r="HTS41" s="6"/>
      <c r="HTT41" s="6"/>
      <c r="HTU41" s="6"/>
      <c r="HTV41" s="6"/>
      <c r="HTW41" s="6"/>
      <c r="HTX41" s="6"/>
      <c r="HTY41" s="6"/>
      <c r="HTZ41" s="6"/>
      <c r="HUA41" s="6"/>
      <c r="HUB41" s="6"/>
      <c r="HUC41" s="6"/>
      <c r="HUD41" s="6"/>
      <c r="HUE41" s="6"/>
      <c r="HUF41" s="6"/>
      <c r="HUG41" s="6"/>
      <c r="HUH41" s="6"/>
      <c r="HUI41" s="6"/>
      <c r="HUJ41" s="6"/>
      <c r="HUK41" s="6"/>
      <c r="HUL41" s="6"/>
      <c r="HUM41" s="6"/>
      <c r="HUN41" s="6"/>
      <c r="HUO41" s="6"/>
      <c r="HUP41" s="6"/>
      <c r="HUQ41" s="6"/>
      <c r="HUR41" s="6"/>
      <c r="HUS41" s="6"/>
      <c r="HUT41" s="6"/>
      <c r="HUU41" s="6"/>
      <c r="HUV41" s="6"/>
      <c r="HUW41" s="6"/>
      <c r="HUX41" s="6"/>
      <c r="HUY41" s="6"/>
      <c r="HUZ41" s="6"/>
      <c r="HVA41" s="6"/>
      <c r="HVB41" s="6"/>
      <c r="HVC41" s="6"/>
      <c r="HVD41" s="6"/>
      <c r="HVE41" s="6"/>
      <c r="HVF41" s="6"/>
      <c r="HVG41" s="6"/>
      <c r="HVH41" s="6"/>
      <c r="HVI41" s="6"/>
      <c r="HVJ41" s="6"/>
      <c r="HVK41" s="6"/>
      <c r="HVL41" s="6"/>
      <c r="HVM41" s="6"/>
      <c r="HVN41" s="6"/>
      <c r="HVO41" s="6"/>
      <c r="HVP41" s="6"/>
      <c r="HVQ41" s="6"/>
      <c r="HVR41" s="6"/>
      <c r="HVS41" s="6"/>
      <c r="HVT41" s="6"/>
      <c r="HVU41" s="6"/>
      <c r="HVV41" s="6"/>
      <c r="HVW41" s="6"/>
      <c r="HVX41" s="6"/>
      <c r="HVY41" s="6"/>
      <c r="HVZ41" s="6"/>
      <c r="HWA41" s="6"/>
      <c r="HWB41" s="6"/>
      <c r="HWC41" s="6"/>
      <c r="HWD41" s="6"/>
      <c r="HWE41" s="6"/>
      <c r="HWF41" s="6"/>
      <c r="HWG41" s="6"/>
      <c r="HWH41" s="6"/>
      <c r="HWI41" s="6"/>
      <c r="HWJ41" s="6"/>
      <c r="HWK41" s="6"/>
      <c r="HWL41" s="6"/>
      <c r="HWM41" s="6"/>
      <c r="HWN41" s="6"/>
      <c r="HWO41" s="6"/>
      <c r="HWP41" s="6"/>
      <c r="HWQ41" s="6"/>
      <c r="HWR41" s="6"/>
      <c r="HWS41" s="6"/>
      <c r="HWT41" s="6"/>
      <c r="HWU41" s="6"/>
      <c r="HWV41" s="6"/>
      <c r="HWW41" s="6"/>
      <c r="HWX41" s="6"/>
      <c r="HWY41" s="6"/>
      <c r="HWZ41" s="6"/>
      <c r="HXA41" s="6"/>
      <c r="HXB41" s="6"/>
      <c r="HXC41" s="6"/>
      <c r="HXD41" s="6"/>
      <c r="HXE41" s="6"/>
      <c r="HXF41" s="6"/>
      <c r="HXG41" s="6"/>
      <c r="HXH41" s="6"/>
      <c r="HXI41" s="6"/>
      <c r="HXJ41" s="6"/>
      <c r="HXK41" s="6"/>
      <c r="HXL41" s="6"/>
      <c r="HXM41" s="6"/>
      <c r="HXN41" s="6"/>
      <c r="HXO41" s="6"/>
      <c r="HXP41" s="6"/>
      <c r="HXQ41" s="6"/>
      <c r="HXR41" s="6"/>
      <c r="HXS41" s="6"/>
      <c r="HXT41" s="6"/>
      <c r="HXU41" s="6"/>
      <c r="HXV41" s="6"/>
      <c r="HXW41" s="6"/>
      <c r="HXX41" s="6"/>
      <c r="HXY41" s="6"/>
      <c r="HXZ41" s="6"/>
      <c r="HYA41" s="6"/>
      <c r="HYB41" s="6"/>
      <c r="HYC41" s="6"/>
      <c r="HYD41" s="6"/>
      <c r="HYE41" s="6"/>
      <c r="HYF41" s="6"/>
      <c r="HYG41" s="6"/>
      <c r="HYH41" s="6"/>
      <c r="HYI41" s="6"/>
      <c r="HYJ41" s="6"/>
      <c r="HYK41" s="6"/>
      <c r="HYL41" s="6"/>
      <c r="HYM41" s="6"/>
      <c r="HYN41" s="6"/>
      <c r="HYO41" s="6"/>
      <c r="HYP41" s="6"/>
      <c r="HYQ41" s="6"/>
      <c r="HYR41" s="6"/>
      <c r="HYS41" s="6"/>
      <c r="HYT41" s="6"/>
      <c r="HYU41" s="6"/>
      <c r="HYV41" s="6"/>
      <c r="HYW41" s="6"/>
      <c r="HYX41" s="6"/>
      <c r="HYY41" s="6"/>
      <c r="HYZ41" s="6"/>
      <c r="HZA41" s="6"/>
      <c r="HZB41" s="6"/>
      <c r="HZC41" s="6"/>
      <c r="HZD41" s="6"/>
      <c r="HZE41" s="6"/>
      <c r="HZF41" s="6"/>
      <c r="HZG41" s="6"/>
      <c r="HZH41" s="6"/>
      <c r="HZI41" s="6"/>
      <c r="HZJ41" s="6"/>
      <c r="HZK41" s="6"/>
      <c r="HZL41" s="6"/>
      <c r="HZM41" s="6"/>
      <c r="HZN41" s="6"/>
      <c r="HZO41" s="6"/>
      <c r="HZP41" s="6"/>
      <c r="HZQ41" s="6"/>
      <c r="HZR41" s="6"/>
      <c r="HZS41" s="6"/>
      <c r="HZT41" s="6"/>
      <c r="HZU41" s="6"/>
      <c r="HZV41" s="6"/>
      <c r="HZW41" s="6"/>
      <c r="HZX41" s="6"/>
      <c r="HZY41" s="6"/>
      <c r="HZZ41" s="6"/>
      <c r="IAA41" s="6"/>
      <c r="IAB41" s="6"/>
      <c r="IAC41" s="6"/>
      <c r="IAD41" s="6"/>
      <c r="IAE41" s="6"/>
      <c r="IAF41" s="6"/>
      <c r="IAG41" s="6"/>
      <c r="IAH41" s="6"/>
      <c r="IAI41" s="6"/>
      <c r="IAJ41" s="6"/>
      <c r="IAK41" s="6"/>
      <c r="IAL41" s="6"/>
      <c r="IAM41" s="6"/>
      <c r="IAN41" s="6"/>
      <c r="IAO41" s="6"/>
      <c r="IAP41" s="6"/>
      <c r="IAQ41" s="6"/>
      <c r="IAR41" s="6"/>
      <c r="IAS41" s="6"/>
      <c r="IAT41" s="6"/>
      <c r="IAU41" s="6"/>
      <c r="IAV41" s="6"/>
      <c r="IAW41" s="6"/>
      <c r="IAX41" s="6"/>
      <c r="IAY41" s="6"/>
      <c r="IAZ41" s="6"/>
      <c r="IBA41" s="6"/>
      <c r="IBB41" s="6"/>
      <c r="IBC41" s="6"/>
      <c r="IBD41" s="6"/>
      <c r="IBE41" s="6"/>
      <c r="IBF41" s="6"/>
      <c r="IBG41" s="6"/>
      <c r="IBH41" s="6"/>
      <c r="IBI41" s="6"/>
      <c r="IBJ41" s="6"/>
      <c r="IBK41" s="6"/>
      <c r="IBL41" s="6"/>
      <c r="IBM41" s="6"/>
      <c r="IBN41" s="6"/>
      <c r="IBO41" s="6"/>
      <c r="IBP41" s="6"/>
      <c r="IBQ41" s="6"/>
      <c r="IBR41" s="6"/>
      <c r="IBS41" s="6"/>
      <c r="IBT41" s="6"/>
      <c r="IBU41" s="6"/>
      <c r="IBV41" s="6"/>
      <c r="IBW41" s="6"/>
      <c r="IBX41" s="6"/>
      <c r="IBY41" s="6"/>
      <c r="IBZ41" s="6"/>
      <c r="ICA41" s="6"/>
      <c r="ICB41" s="6"/>
      <c r="ICC41" s="6"/>
      <c r="ICD41" s="6"/>
      <c r="ICE41" s="6"/>
      <c r="ICF41" s="6"/>
      <c r="ICG41" s="6"/>
      <c r="ICH41" s="6"/>
      <c r="ICI41" s="6"/>
      <c r="ICJ41" s="6"/>
      <c r="ICK41" s="6"/>
      <c r="ICL41" s="6"/>
      <c r="ICM41" s="6"/>
      <c r="ICN41" s="6"/>
      <c r="ICO41" s="6"/>
      <c r="ICP41" s="6"/>
      <c r="ICQ41" s="6"/>
      <c r="ICR41" s="6"/>
      <c r="ICS41" s="6"/>
      <c r="ICT41" s="6"/>
      <c r="ICU41" s="6"/>
      <c r="ICV41" s="6"/>
      <c r="ICW41" s="6"/>
      <c r="ICX41" s="6"/>
      <c r="ICY41" s="6"/>
      <c r="ICZ41" s="6"/>
      <c r="IDA41" s="6"/>
      <c r="IDB41" s="6"/>
      <c r="IDC41" s="6"/>
      <c r="IDD41" s="6"/>
      <c r="IDE41" s="6"/>
      <c r="IDF41" s="6"/>
      <c r="IDG41" s="6"/>
      <c r="IDH41" s="6"/>
      <c r="IDI41" s="6"/>
      <c r="IDJ41" s="6"/>
      <c r="IDK41" s="6"/>
      <c r="IDL41" s="6"/>
      <c r="IDM41" s="6"/>
      <c r="IDN41" s="6"/>
      <c r="IDO41" s="6"/>
      <c r="IDP41" s="6"/>
      <c r="IDQ41" s="6"/>
      <c r="IDR41" s="6"/>
      <c r="IDS41" s="6"/>
      <c r="IDT41" s="6"/>
      <c r="IDU41" s="6"/>
      <c r="IDV41" s="6"/>
      <c r="IDW41" s="6"/>
      <c r="IDX41" s="6"/>
      <c r="IDY41" s="6"/>
      <c r="IDZ41" s="6"/>
      <c r="IEA41" s="6"/>
      <c r="IEB41" s="6"/>
      <c r="IEC41" s="6"/>
      <c r="IED41" s="6"/>
      <c r="IEE41" s="6"/>
      <c r="IEF41" s="6"/>
      <c r="IEG41" s="6"/>
      <c r="IEH41" s="6"/>
      <c r="IEI41" s="6"/>
      <c r="IEJ41" s="6"/>
      <c r="IEK41" s="6"/>
      <c r="IEL41" s="6"/>
      <c r="IEM41" s="6"/>
      <c r="IEN41" s="6"/>
      <c r="IEO41" s="6"/>
      <c r="IEP41" s="6"/>
      <c r="IEQ41" s="6"/>
      <c r="IER41" s="6"/>
      <c r="IES41" s="6"/>
      <c r="IET41" s="6"/>
      <c r="IEU41" s="6"/>
      <c r="IEV41" s="6"/>
      <c r="IEW41" s="6"/>
      <c r="IEX41" s="6"/>
      <c r="IEY41" s="6"/>
      <c r="IEZ41" s="6"/>
      <c r="IFA41" s="6"/>
      <c r="IFB41" s="6"/>
      <c r="IFC41" s="6"/>
      <c r="IFD41" s="6"/>
      <c r="IFE41" s="6"/>
      <c r="IFF41" s="6"/>
      <c r="IFG41" s="6"/>
      <c r="IFH41" s="6"/>
      <c r="IFI41" s="6"/>
      <c r="IFJ41" s="6"/>
      <c r="IFK41" s="6"/>
      <c r="IFL41" s="6"/>
      <c r="IFM41" s="6"/>
      <c r="IFN41" s="6"/>
      <c r="IFO41" s="6"/>
      <c r="IFP41" s="6"/>
      <c r="IFQ41" s="6"/>
      <c r="IFR41" s="6"/>
      <c r="IFS41" s="6"/>
      <c r="IFT41" s="6"/>
      <c r="IFU41" s="6"/>
      <c r="IFV41" s="6"/>
      <c r="IFW41" s="6"/>
      <c r="IFX41" s="6"/>
      <c r="IFY41" s="6"/>
      <c r="IFZ41" s="6"/>
      <c r="IGA41" s="6"/>
      <c r="IGB41" s="6"/>
      <c r="IGC41" s="6"/>
      <c r="IGD41" s="6"/>
      <c r="IGE41" s="6"/>
      <c r="IGF41" s="6"/>
      <c r="IGG41" s="6"/>
      <c r="IGH41" s="6"/>
      <c r="IGI41" s="6"/>
      <c r="IGJ41" s="6"/>
      <c r="IGK41" s="6"/>
      <c r="IGL41" s="6"/>
      <c r="IGM41" s="6"/>
      <c r="IGN41" s="6"/>
      <c r="IGO41" s="6"/>
      <c r="IGP41" s="6"/>
      <c r="IGQ41" s="6"/>
      <c r="IGR41" s="6"/>
      <c r="IGS41" s="6"/>
      <c r="IGT41" s="6"/>
      <c r="IGU41" s="6"/>
      <c r="IGV41" s="6"/>
      <c r="IGW41" s="6"/>
      <c r="IGX41" s="6"/>
      <c r="IGY41" s="6"/>
      <c r="IGZ41" s="6"/>
      <c r="IHA41" s="6"/>
      <c r="IHB41" s="6"/>
      <c r="IHC41" s="6"/>
      <c r="IHD41" s="6"/>
      <c r="IHE41" s="6"/>
      <c r="IHF41" s="6"/>
      <c r="IHG41" s="6"/>
      <c r="IHH41" s="6"/>
      <c r="IHI41" s="6"/>
      <c r="IHJ41" s="6"/>
      <c r="IHK41" s="6"/>
      <c r="IHL41" s="6"/>
      <c r="IHM41" s="6"/>
      <c r="IHN41" s="6"/>
      <c r="IHO41" s="6"/>
      <c r="IHP41" s="6"/>
      <c r="IHQ41" s="6"/>
      <c r="IHR41" s="6"/>
      <c r="IHS41" s="6"/>
      <c r="IHT41" s="6"/>
      <c r="IHU41" s="6"/>
      <c r="IHV41" s="6"/>
      <c r="IHW41" s="6"/>
      <c r="IHX41" s="6"/>
      <c r="IHY41" s="6"/>
      <c r="IHZ41" s="6"/>
      <c r="IIA41" s="6"/>
      <c r="IIB41" s="6"/>
      <c r="IIC41" s="6"/>
      <c r="IID41" s="6"/>
      <c r="IIE41" s="6"/>
      <c r="IIF41" s="6"/>
      <c r="IIG41" s="6"/>
      <c r="IIH41" s="6"/>
      <c r="III41" s="6"/>
      <c r="IIJ41" s="6"/>
      <c r="IIK41" s="6"/>
      <c r="IIL41" s="6"/>
      <c r="IIM41" s="6"/>
      <c r="IIN41" s="6"/>
      <c r="IIO41" s="6"/>
      <c r="IIP41" s="6"/>
      <c r="IIQ41" s="6"/>
      <c r="IIR41" s="6"/>
      <c r="IIS41" s="6"/>
      <c r="IIT41" s="6"/>
      <c r="IIU41" s="6"/>
      <c r="IIV41" s="6"/>
      <c r="IIW41" s="6"/>
      <c r="IIX41" s="6"/>
      <c r="IIY41" s="6"/>
      <c r="IIZ41" s="6"/>
      <c r="IJA41" s="6"/>
      <c r="IJB41" s="6"/>
      <c r="IJC41" s="6"/>
      <c r="IJD41" s="6"/>
      <c r="IJE41" s="6"/>
      <c r="IJF41" s="6"/>
      <c r="IJG41" s="6"/>
      <c r="IJH41" s="6"/>
      <c r="IJI41" s="6"/>
      <c r="IJJ41" s="6"/>
      <c r="IJK41" s="6"/>
      <c r="IJL41" s="6"/>
      <c r="IJM41" s="6"/>
      <c r="IJN41" s="6"/>
      <c r="IJO41" s="6"/>
      <c r="IJP41" s="6"/>
      <c r="IJQ41" s="6"/>
      <c r="IJR41" s="6"/>
      <c r="IJS41" s="6"/>
      <c r="IJT41" s="6"/>
      <c r="IJU41" s="6"/>
      <c r="IJV41" s="6"/>
      <c r="IJW41" s="6"/>
      <c r="IJX41" s="6"/>
      <c r="IJY41" s="6"/>
      <c r="IJZ41" s="6"/>
      <c r="IKA41" s="6"/>
      <c r="IKB41" s="6"/>
      <c r="IKC41" s="6"/>
      <c r="IKD41" s="6"/>
      <c r="IKE41" s="6"/>
      <c r="IKF41" s="6"/>
      <c r="IKG41" s="6"/>
      <c r="IKH41" s="6"/>
      <c r="IKI41" s="6"/>
      <c r="IKJ41" s="6"/>
      <c r="IKK41" s="6"/>
      <c r="IKL41" s="6"/>
      <c r="IKM41" s="6"/>
      <c r="IKN41" s="6"/>
      <c r="IKO41" s="6"/>
      <c r="IKP41" s="6"/>
      <c r="IKQ41" s="6"/>
      <c r="IKR41" s="6"/>
      <c r="IKS41" s="6"/>
      <c r="IKT41" s="6"/>
      <c r="IKU41" s="6"/>
      <c r="IKV41" s="6"/>
      <c r="IKW41" s="6"/>
      <c r="IKX41" s="6"/>
      <c r="IKY41" s="6"/>
      <c r="IKZ41" s="6"/>
      <c r="ILA41" s="6"/>
      <c r="ILB41" s="6"/>
      <c r="ILC41" s="6"/>
      <c r="ILD41" s="6"/>
      <c r="ILE41" s="6"/>
      <c r="ILF41" s="6"/>
      <c r="ILG41" s="6"/>
      <c r="ILH41" s="6"/>
      <c r="ILI41" s="6"/>
      <c r="ILJ41" s="6"/>
      <c r="ILK41" s="6"/>
      <c r="ILL41" s="6"/>
      <c r="ILM41" s="6"/>
      <c r="ILN41" s="6"/>
      <c r="ILO41" s="6"/>
      <c r="ILP41" s="6"/>
      <c r="ILQ41" s="6"/>
      <c r="ILR41" s="6"/>
      <c r="ILS41" s="6"/>
      <c r="ILT41" s="6"/>
      <c r="ILU41" s="6"/>
      <c r="ILV41" s="6"/>
      <c r="ILW41" s="6"/>
      <c r="ILX41" s="6"/>
      <c r="ILY41" s="6"/>
      <c r="ILZ41" s="6"/>
      <c r="IMA41" s="6"/>
      <c r="IMB41" s="6"/>
      <c r="IMC41" s="6"/>
      <c r="IMD41" s="6"/>
      <c r="IME41" s="6"/>
      <c r="IMF41" s="6"/>
      <c r="IMG41" s="6"/>
      <c r="IMH41" s="6"/>
      <c r="IMI41" s="6"/>
      <c r="IMJ41" s="6"/>
      <c r="IMK41" s="6"/>
      <c r="IML41" s="6"/>
      <c r="IMM41" s="6"/>
      <c r="IMN41" s="6"/>
      <c r="IMO41" s="6"/>
      <c r="IMP41" s="6"/>
      <c r="IMQ41" s="6"/>
      <c r="IMR41" s="6"/>
      <c r="IMS41" s="6"/>
      <c r="IMT41" s="6"/>
      <c r="IMU41" s="6"/>
      <c r="IMV41" s="6"/>
      <c r="IMW41" s="6"/>
      <c r="IMX41" s="6"/>
      <c r="IMY41" s="6"/>
      <c r="IMZ41" s="6"/>
      <c r="INA41" s="6"/>
      <c r="INB41" s="6"/>
      <c r="INC41" s="6"/>
      <c r="IND41" s="6"/>
      <c r="INE41" s="6"/>
      <c r="INF41" s="6"/>
      <c r="ING41" s="6"/>
      <c r="INH41" s="6"/>
      <c r="INI41" s="6"/>
      <c r="INJ41" s="6"/>
      <c r="INK41" s="6"/>
      <c r="INL41" s="6"/>
      <c r="INM41" s="6"/>
      <c r="INN41" s="6"/>
      <c r="INO41" s="6"/>
      <c r="INP41" s="6"/>
      <c r="INQ41" s="6"/>
      <c r="INR41" s="6"/>
      <c r="INS41" s="6"/>
      <c r="INT41" s="6"/>
      <c r="INU41" s="6"/>
      <c r="INV41" s="6"/>
      <c r="INW41" s="6"/>
      <c r="INX41" s="6"/>
      <c r="INY41" s="6"/>
      <c r="INZ41" s="6"/>
      <c r="IOA41" s="6"/>
      <c r="IOB41" s="6"/>
      <c r="IOC41" s="6"/>
      <c r="IOD41" s="6"/>
      <c r="IOE41" s="6"/>
      <c r="IOF41" s="6"/>
      <c r="IOG41" s="6"/>
      <c r="IOH41" s="6"/>
      <c r="IOI41" s="6"/>
      <c r="IOJ41" s="6"/>
      <c r="IOK41" s="6"/>
      <c r="IOL41" s="6"/>
      <c r="IOM41" s="6"/>
      <c r="ION41" s="6"/>
      <c r="IOO41" s="6"/>
      <c r="IOP41" s="6"/>
      <c r="IOQ41" s="6"/>
      <c r="IOR41" s="6"/>
      <c r="IOS41" s="6"/>
      <c r="IOT41" s="6"/>
      <c r="IOU41" s="6"/>
      <c r="IOV41" s="6"/>
      <c r="IOW41" s="6"/>
      <c r="IOX41" s="6"/>
      <c r="IOY41" s="6"/>
      <c r="IOZ41" s="6"/>
      <c r="IPA41" s="6"/>
      <c r="IPB41" s="6"/>
      <c r="IPC41" s="6"/>
      <c r="IPD41" s="6"/>
      <c r="IPE41" s="6"/>
      <c r="IPF41" s="6"/>
      <c r="IPG41" s="6"/>
      <c r="IPH41" s="6"/>
      <c r="IPI41" s="6"/>
      <c r="IPJ41" s="6"/>
      <c r="IPK41" s="6"/>
      <c r="IPL41" s="6"/>
      <c r="IPM41" s="6"/>
      <c r="IPN41" s="6"/>
      <c r="IPO41" s="6"/>
      <c r="IPP41" s="6"/>
      <c r="IPQ41" s="6"/>
      <c r="IPR41" s="6"/>
      <c r="IPS41" s="6"/>
      <c r="IPT41" s="6"/>
      <c r="IPU41" s="6"/>
      <c r="IPV41" s="6"/>
      <c r="IPW41" s="6"/>
      <c r="IPX41" s="6"/>
      <c r="IPY41" s="6"/>
      <c r="IPZ41" s="6"/>
      <c r="IQA41" s="6"/>
      <c r="IQB41" s="6"/>
      <c r="IQC41" s="6"/>
      <c r="IQD41" s="6"/>
      <c r="IQE41" s="6"/>
      <c r="IQF41" s="6"/>
      <c r="IQG41" s="6"/>
      <c r="IQH41" s="6"/>
      <c r="IQI41" s="6"/>
      <c r="IQJ41" s="6"/>
      <c r="IQK41" s="6"/>
      <c r="IQL41" s="6"/>
      <c r="IQM41" s="6"/>
      <c r="IQN41" s="6"/>
      <c r="IQO41" s="6"/>
      <c r="IQP41" s="6"/>
      <c r="IQQ41" s="6"/>
      <c r="IQR41" s="6"/>
      <c r="IQS41" s="6"/>
      <c r="IQT41" s="6"/>
      <c r="IQU41" s="6"/>
      <c r="IQV41" s="6"/>
      <c r="IQW41" s="6"/>
      <c r="IQX41" s="6"/>
      <c r="IQY41" s="6"/>
      <c r="IQZ41" s="6"/>
      <c r="IRA41" s="6"/>
      <c r="IRB41" s="6"/>
      <c r="IRC41" s="6"/>
      <c r="IRD41" s="6"/>
      <c r="IRE41" s="6"/>
      <c r="IRF41" s="6"/>
      <c r="IRG41" s="6"/>
      <c r="IRH41" s="6"/>
      <c r="IRI41" s="6"/>
      <c r="IRJ41" s="6"/>
      <c r="IRK41" s="6"/>
      <c r="IRL41" s="6"/>
      <c r="IRM41" s="6"/>
      <c r="IRN41" s="6"/>
      <c r="IRO41" s="6"/>
      <c r="IRP41" s="6"/>
      <c r="IRQ41" s="6"/>
      <c r="IRR41" s="6"/>
      <c r="IRS41" s="6"/>
      <c r="IRT41" s="6"/>
      <c r="IRU41" s="6"/>
      <c r="IRV41" s="6"/>
      <c r="IRW41" s="6"/>
      <c r="IRX41" s="6"/>
      <c r="IRY41" s="6"/>
      <c r="IRZ41" s="6"/>
      <c r="ISA41" s="6"/>
      <c r="ISB41" s="6"/>
      <c r="ISC41" s="6"/>
      <c r="ISD41" s="6"/>
      <c r="ISE41" s="6"/>
      <c r="ISF41" s="6"/>
      <c r="ISG41" s="6"/>
      <c r="ISH41" s="6"/>
      <c r="ISI41" s="6"/>
      <c r="ISJ41" s="6"/>
      <c r="ISK41" s="6"/>
      <c r="ISL41" s="6"/>
      <c r="ISM41" s="6"/>
      <c r="ISN41" s="6"/>
      <c r="ISO41" s="6"/>
      <c r="ISP41" s="6"/>
      <c r="ISQ41" s="6"/>
      <c r="ISR41" s="6"/>
      <c r="ISS41" s="6"/>
      <c r="IST41" s="6"/>
      <c r="ISU41" s="6"/>
      <c r="ISV41" s="6"/>
      <c r="ISW41" s="6"/>
      <c r="ISX41" s="6"/>
      <c r="ISY41" s="6"/>
      <c r="ISZ41" s="6"/>
      <c r="ITA41" s="6"/>
      <c r="ITB41" s="6"/>
      <c r="ITC41" s="6"/>
      <c r="ITD41" s="6"/>
      <c r="ITE41" s="6"/>
      <c r="ITF41" s="6"/>
      <c r="ITG41" s="6"/>
      <c r="ITH41" s="6"/>
      <c r="ITI41" s="6"/>
      <c r="ITJ41" s="6"/>
      <c r="ITK41" s="6"/>
      <c r="ITL41" s="6"/>
      <c r="ITM41" s="6"/>
      <c r="ITN41" s="6"/>
      <c r="ITO41" s="6"/>
      <c r="ITP41" s="6"/>
      <c r="ITQ41" s="6"/>
      <c r="ITR41" s="6"/>
      <c r="ITS41" s="6"/>
      <c r="ITT41" s="6"/>
      <c r="ITU41" s="6"/>
      <c r="ITV41" s="6"/>
      <c r="ITW41" s="6"/>
      <c r="ITX41" s="6"/>
      <c r="ITY41" s="6"/>
      <c r="ITZ41" s="6"/>
      <c r="IUA41" s="6"/>
      <c r="IUB41" s="6"/>
      <c r="IUC41" s="6"/>
      <c r="IUD41" s="6"/>
      <c r="IUE41" s="6"/>
      <c r="IUF41" s="6"/>
      <c r="IUG41" s="6"/>
      <c r="IUH41" s="6"/>
      <c r="IUI41" s="6"/>
      <c r="IUJ41" s="6"/>
      <c r="IUK41" s="6"/>
      <c r="IUL41" s="6"/>
      <c r="IUM41" s="6"/>
      <c r="IUN41" s="6"/>
      <c r="IUO41" s="6"/>
      <c r="IUP41" s="6"/>
      <c r="IUQ41" s="6"/>
      <c r="IUR41" s="6"/>
      <c r="IUS41" s="6"/>
      <c r="IUT41" s="6"/>
      <c r="IUU41" s="6"/>
      <c r="IUV41" s="6"/>
      <c r="IUW41" s="6"/>
      <c r="IUX41" s="6"/>
      <c r="IUY41" s="6"/>
      <c r="IUZ41" s="6"/>
      <c r="IVA41" s="6"/>
      <c r="IVB41" s="6"/>
      <c r="IVC41" s="6"/>
      <c r="IVD41" s="6"/>
      <c r="IVE41" s="6"/>
      <c r="IVF41" s="6"/>
      <c r="IVG41" s="6"/>
      <c r="IVH41" s="6"/>
      <c r="IVI41" s="6"/>
      <c r="IVJ41" s="6"/>
      <c r="IVK41" s="6"/>
      <c r="IVL41" s="6"/>
      <c r="IVM41" s="6"/>
      <c r="IVN41" s="6"/>
      <c r="IVO41" s="6"/>
      <c r="IVP41" s="6"/>
      <c r="IVQ41" s="6"/>
      <c r="IVR41" s="6"/>
      <c r="IVS41" s="6"/>
      <c r="IVT41" s="6"/>
      <c r="IVU41" s="6"/>
      <c r="IVV41" s="6"/>
      <c r="IVW41" s="6"/>
      <c r="IVX41" s="6"/>
      <c r="IVY41" s="6"/>
      <c r="IVZ41" s="6"/>
      <c r="IWA41" s="6"/>
      <c r="IWB41" s="6"/>
      <c r="IWC41" s="6"/>
      <c r="IWD41" s="6"/>
      <c r="IWE41" s="6"/>
      <c r="IWF41" s="6"/>
      <c r="IWG41" s="6"/>
      <c r="IWH41" s="6"/>
      <c r="IWI41" s="6"/>
      <c r="IWJ41" s="6"/>
      <c r="IWK41" s="6"/>
      <c r="IWL41" s="6"/>
      <c r="IWM41" s="6"/>
      <c r="IWN41" s="6"/>
      <c r="IWO41" s="6"/>
      <c r="IWP41" s="6"/>
      <c r="IWQ41" s="6"/>
      <c r="IWR41" s="6"/>
      <c r="IWS41" s="6"/>
      <c r="IWT41" s="6"/>
      <c r="IWU41" s="6"/>
      <c r="IWV41" s="6"/>
      <c r="IWW41" s="6"/>
      <c r="IWX41" s="6"/>
      <c r="IWY41" s="6"/>
      <c r="IWZ41" s="6"/>
      <c r="IXA41" s="6"/>
      <c r="IXB41" s="6"/>
      <c r="IXC41" s="6"/>
      <c r="IXD41" s="6"/>
      <c r="IXE41" s="6"/>
      <c r="IXF41" s="6"/>
      <c r="IXG41" s="6"/>
      <c r="IXH41" s="6"/>
      <c r="IXI41" s="6"/>
      <c r="IXJ41" s="6"/>
      <c r="IXK41" s="6"/>
      <c r="IXL41" s="6"/>
      <c r="IXM41" s="6"/>
      <c r="IXN41" s="6"/>
      <c r="IXO41" s="6"/>
      <c r="IXP41" s="6"/>
      <c r="IXQ41" s="6"/>
      <c r="IXR41" s="6"/>
      <c r="IXS41" s="6"/>
      <c r="IXT41" s="6"/>
      <c r="IXU41" s="6"/>
      <c r="IXV41" s="6"/>
      <c r="IXW41" s="6"/>
      <c r="IXX41" s="6"/>
      <c r="IXY41" s="6"/>
      <c r="IXZ41" s="6"/>
      <c r="IYA41" s="6"/>
      <c r="IYB41" s="6"/>
      <c r="IYC41" s="6"/>
      <c r="IYD41" s="6"/>
      <c r="IYE41" s="6"/>
      <c r="IYF41" s="6"/>
      <c r="IYG41" s="6"/>
      <c r="IYH41" s="6"/>
      <c r="IYI41" s="6"/>
      <c r="IYJ41" s="6"/>
      <c r="IYK41" s="6"/>
      <c r="IYL41" s="6"/>
      <c r="IYM41" s="6"/>
      <c r="IYN41" s="6"/>
      <c r="IYO41" s="6"/>
      <c r="IYP41" s="6"/>
      <c r="IYQ41" s="6"/>
      <c r="IYR41" s="6"/>
      <c r="IYS41" s="6"/>
      <c r="IYT41" s="6"/>
      <c r="IYU41" s="6"/>
      <c r="IYV41" s="6"/>
      <c r="IYW41" s="6"/>
      <c r="IYX41" s="6"/>
      <c r="IYY41" s="6"/>
      <c r="IYZ41" s="6"/>
      <c r="IZA41" s="6"/>
      <c r="IZB41" s="6"/>
      <c r="IZC41" s="6"/>
      <c r="IZD41" s="6"/>
      <c r="IZE41" s="6"/>
      <c r="IZF41" s="6"/>
      <c r="IZG41" s="6"/>
      <c r="IZH41" s="6"/>
      <c r="IZI41" s="6"/>
      <c r="IZJ41" s="6"/>
      <c r="IZK41" s="6"/>
      <c r="IZL41" s="6"/>
      <c r="IZM41" s="6"/>
      <c r="IZN41" s="6"/>
      <c r="IZO41" s="6"/>
      <c r="IZP41" s="6"/>
      <c r="IZQ41" s="6"/>
      <c r="IZR41" s="6"/>
      <c r="IZS41" s="6"/>
      <c r="IZT41" s="6"/>
      <c r="IZU41" s="6"/>
      <c r="IZV41" s="6"/>
      <c r="IZW41" s="6"/>
      <c r="IZX41" s="6"/>
      <c r="IZY41" s="6"/>
      <c r="IZZ41" s="6"/>
      <c r="JAA41" s="6"/>
      <c r="JAB41" s="6"/>
      <c r="JAC41" s="6"/>
      <c r="JAD41" s="6"/>
      <c r="JAE41" s="6"/>
      <c r="JAF41" s="6"/>
      <c r="JAG41" s="6"/>
      <c r="JAH41" s="6"/>
      <c r="JAI41" s="6"/>
      <c r="JAJ41" s="6"/>
      <c r="JAK41" s="6"/>
      <c r="JAL41" s="6"/>
      <c r="JAM41" s="6"/>
      <c r="JAN41" s="6"/>
      <c r="JAO41" s="6"/>
      <c r="JAP41" s="6"/>
      <c r="JAQ41" s="6"/>
      <c r="JAR41" s="6"/>
      <c r="JAS41" s="6"/>
      <c r="JAT41" s="6"/>
      <c r="JAU41" s="6"/>
      <c r="JAV41" s="6"/>
      <c r="JAW41" s="6"/>
      <c r="JAX41" s="6"/>
      <c r="JAY41" s="6"/>
      <c r="JAZ41" s="6"/>
      <c r="JBA41" s="6"/>
      <c r="JBB41" s="6"/>
      <c r="JBC41" s="6"/>
      <c r="JBD41" s="6"/>
      <c r="JBE41" s="6"/>
      <c r="JBF41" s="6"/>
      <c r="JBG41" s="6"/>
      <c r="JBH41" s="6"/>
      <c r="JBI41" s="6"/>
      <c r="JBJ41" s="6"/>
      <c r="JBK41" s="6"/>
      <c r="JBL41" s="6"/>
      <c r="JBM41" s="6"/>
      <c r="JBN41" s="6"/>
      <c r="JBO41" s="6"/>
      <c r="JBP41" s="6"/>
      <c r="JBQ41" s="6"/>
      <c r="JBR41" s="6"/>
      <c r="JBS41" s="6"/>
      <c r="JBT41" s="6"/>
      <c r="JBU41" s="6"/>
      <c r="JBV41" s="6"/>
      <c r="JBW41" s="6"/>
      <c r="JBX41" s="6"/>
      <c r="JBY41" s="6"/>
      <c r="JBZ41" s="6"/>
      <c r="JCA41" s="6"/>
      <c r="JCB41" s="6"/>
      <c r="JCC41" s="6"/>
      <c r="JCD41" s="6"/>
      <c r="JCE41" s="6"/>
      <c r="JCF41" s="6"/>
      <c r="JCG41" s="6"/>
      <c r="JCH41" s="6"/>
      <c r="JCI41" s="6"/>
      <c r="JCJ41" s="6"/>
      <c r="JCK41" s="6"/>
      <c r="JCL41" s="6"/>
      <c r="JCM41" s="6"/>
      <c r="JCN41" s="6"/>
      <c r="JCO41" s="6"/>
      <c r="JCP41" s="6"/>
      <c r="JCQ41" s="6"/>
      <c r="JCR41" s="6"/>
      <c r="JCS41" s="6"/>
      <c r="JCT41" s="6"/>
      <c r="JCU41" s="6"/>
      <c r="JCV41" s="6"/>
      <c r="JCW41" s="6"/>
      <c r="JCX41" s="6"/>
      <c r="JCY41" s="6"/>
      <c r="JCZ41" s="6"/>
      <c r="JDA41" s="6"/>
      <c r="JDB41" s="6"/>
      <c r="JDC41" s="6"/>
      <c r="JDD41" s="6"/>
      <c r="JDE41" s="6"/>
      <c r="JDF41" s="6"/>
      <c r="JDG41" s="6"/>
      <c r="JDH41" s="6"/>
      <c r="JDI41" s="6"/>
      <c r="JDJ41" s="6"/>
      <c r="JDK41" s="6"/>
      <c r="JDL41" s="6"/>
      <c r="JDM41" s="6"/>
      <c r="JDN41" s="6"/>
      <c r="JDO41" s="6"/>
      <c r="JDP41" s="6"/>
      <c r="JDQ41" s="6"/>
      <c r="JDR41" s="6"/>
      <c r="JDS41" s="6"/>
      <c r="JDT41" s="6"/>
      <c r="JDU41" s="6"/>
      <c r="JDV41" s="6"/>
      <c r="JDW41" s="6"/>
      <c r="JDX41" s="6"/>
      <c r="JDY41" s="6"/>
      <c r="JDZ41" s="6"/>
      <c r="JEA41" s="6"/>
      <c r="JEB41" s="6"/>
      <c r="JEC41" s="6"/>
      <c r="JED41" s="6"/>
      <c r="JEE41" s="6"/>
      <c r="JEF41" s="6"/>
      <c r="JEG41" s="6"/>
      <c r="JEH41" s="6"/>
      <c r="JEI41" s="6"/>
      <c r="JEJ41" s="6"/>
      <c r="JEK41" s="6"/>
      <c r="JEL41" s="6"/>
      <c r="JEM41" s="6"/>
      <c r="JEN41" s="6"/>
      <c r="JEO41" s="6"/>
      <c r="JEP41" s="6"/>
      <c r="JEQ41" s="6"/>
      <c r="JER41" s="6"/>
      <c r="JES41" s="6"/>
      <c r="JET41" s="6"/>
      <c r="JEU41" s="6"/>
      <c r="JEV41" s="6"/>
      <c r="JEW41" s="6"/>
      <c r="JEX41" s="6"/>
      <c r="JEY41" s="6"/>
      <c r="JEZ41" s="6"/>
      <c r="JFA41" s="6"/>
      <c r="JFB41" s="6"/>
      <c r="JFC41" s="6"/>
      <c r="JFD41" s="6"/>
      <c r="JFE41" s="6"/>
      <c r="JFF41" s="6"/>
      <c r="JFG41" s="6"/>
      <c r="JFH41" s="6"/>
      <c r="JFI41" s="6"/>
      <c r="JFJ41" s="6"/>
      <c r="JFK41" s="6"/>
      <c r="JFL41" s="6"/>
      <c r="JFM41" s="6"/>
      <c r="JFN41" s="6"/>
      <c r="JFO41" s="6"/>
      <c r="JFP41" s="6"/>
      <c r="JFQ41" s="6"/>
      <c r="JFR41" s="6"/>
      <c r="JFS41" s="6"/>
      <c r="JFT41" s="6"/>
      <c r="JFU41" s="6"/>
      <c r="JFV41" s="6"/>
      <c r="JFW41" s="6"/>
      <c r="JFX41" s="6"/>
      <c r="JFY41" s="6"/>
      <c r="JFZ41" s="6"/>
      <c r="JGA41" s="6"/>
      <c r="JGB41" s="6"/>
      <c r="JGC41" s="6"/>
      <c r="JGD41" s="6"/>
      <c r="JGE41" s="6"/>
      <c r="JGF41" s="6"/>
      <c r="JGG41" s="6"/>
      <c r="JGH41" s="6"/>
      <c r="JGI41" s="6"/>
      <c r="JGJ41" s="6"/>
      <c r="JGK41" s="6"/>
      <c r="JGL41" s="6"/>
      <c r="JGM41" s="6"/>
      <c r="JGN41" s="6"/>
      <c r="JGO41" s="6"/>
      <c r="JGP41" s="6"/>
      <c r="JGQ41" s="6"/>
      <c r="JGR41" s="6"/>
      <c r="JGS41" s="6"/>
      <c r="JGT41" s="6"/>
      <c r="JGU41" s="6"/>
      <c r="JGV41" s="6"/>
      <c r="JGW41" s="6"/>
      <c r="JGX41" s="6"/>
      <c r="JGY41" s="6"/>
      <c r="JGZ41" s="6"/>
      <c r="JHA41" s="6"/>
      <c r="JHB41" s="6"/>
      <c r="JHC41" s="6"/>
      <c r="JHD41" s="6"/>
      <c r="JHE41" s="6"/>
      <c r="JHF41" s="6"/>
      <c r="JHG41" s="6"/>
      <c r="JHH41" s="6"/>
      <c r="JHI41" s="6"/>
      <c r="JHJ41" s="6"/>
      <c r="JHK41" s="6"/>
      <c r="JHL41" s="6"/>
      <c r="JHM41" s="6"/>
      <c r="JHN41" s="6"/>
      <c r="JHO41" s="6"/>
      <c r="JHP41" s="6"/>
      <c r="JHQ41" s="6"/>
      <c r="JHR41" s="6"/>
      <c r="JHS41" s="6"/>
      <c r="JHT41" s="6"/>
      <c r="JHU41" s="6"/>
      <c r="JHV41" s="6"/>
      <c r="JHW41" s="6"/>
      <c r="JHX41" s="6"/>
      <c r="JHY41" s="6"/>
      <c r="JHZ41" s="6"/>
      <c r="JIA41" s="6"/>
      <c r="JIB41" s="6"/>
      <c r="JIC41" s="6"/>
      <c r="JID41" s="6"/>
      <c r="JIE41" s="6"/>
      <c r="JIF41" s="6"/>
      <c r="JIG41" s="6"/>
      <c r="JIH41" s="6"/>
      <c r="JII41" s="6"/>
      <c r="JIJ41" s="6"/>
      <c r="JIK41" s="6"/>
      <c r="JIL41" s="6"/>
      <c r="JIM41" s="6"/>
      <c r="JIN41" s="6"/>
      <c r="JIO41" s="6"/>
      <c r="JIP41" s="6"/>
      <c r="JIQ41" s="6"/>
      <c r="JIR41" s="6"/>
      <c r="JIS41" s="6"/>
      <c r="JIT41" s="6"/>
      <c r="JIU41" s="6"/>
      <c r="JIV41" s="6"/>
      <c r="JIW41" s="6"/>
      <c r="JIX41" s="6"/>
      <c r="JIY41" s="6"/>
      <c r="JIZ41" s="6"/>
      <c r="JJA41" s="6"/>
      <c r="JJB41" s="6"/>
      <c r="JJC41" s="6"/>
      <c r="JJD41" s="6"/>
      <c r="JJE41" s="6"/>
      <c r="JJF41" s="6"/>
      <c r="JJG41" s="6"/>
      <c r="JJH41" s="6"/>
      <c r="JJI41" s="6"/>
      <c r="JJJ41" s="6"/>
      <c r="JJK41" s="6"/>
      <c r="JJL41" s="6"/>
      <c r="JJM41" s="6"/>
      <c r="JJN41" s="6"/>
      <c r="JJO41" s="6"/>
      <c r="JJP41" s="6"/>
      <c r="JJQ41" s="6"/>
      <c r="JJR41" s="6"/>
      <c r="JJS41" s="6"/>
      <c r="JJT41" s="6"/>
      <c r="JJU41" s="6"/>
      <c r="JJV41" s="6"/>
      <c r="JJW41" s="6"/>
      <c r="JJX41" s="6"/>
      <c r="JJY41" s="6"/>
      <c r="JJZ41" s="6"/>
      <c r="JKA41" s="6"/>
      <c r="JKB41" s="6"/>
      <c r="JKC41" s="6"/>
      <c r="JKD41" s="6"/>
      <c r="JKE41" s="6"/>
      <c r="JKF41" s="6"/>
      <c r="JKG41" s="6"/>
      <c r="JKH41" s="6"/>
      <c r="JKI41" s="6"/>
      <c r="JKJ41" s="6"/>
      <c r="JKK41" s="6"/>
      <c r="JKL41" s="6"/>
      <c r="JKM41" s="6"/>
      <c r="JKN41" s="6"/>
      <c r="JKO41" s="6"/>
      <c r="JKP41" s="6"/>
      <c r="JKQ41" s="6"/>
      <c r="JKR41" s="6"/>
      <c r="JKS41" s="6"/>
      <c r="JKT41" s="6"/>
      <c r="JKU41" s="6"/>
      <c r="JKV41" s="6"/>
      <c r="JKW41" s="6"/>
      <c r="JKX41" s="6"/>
      <c r="JKY41" s="6"/>
      <c r="JKZ41" s="6"/>
      <c r="JLA41" s="6"/>
      <c r="JLB41" s="6"/>
      <c r="JLC41" s="6"/>
      <c r="JLD41" s="6"/>
      <c r="JLE41" s="6"/>
      <c r="JLF41" s="6"/>
      <c r="JLG41" s="6"/>
      <c r="JLH41" s="6"/>
      <c r="JLI41" s="6"/>
      <c r="JLJ41" s="6"/>
      <c r="JLK41" s="6"/>
      <c r="JLL41" s="6"/>
      <c r="JLM41" s="6"/>
      <c r="JLN41" s="6"/>
      <c r="JLO41" s="6"/>
      <c r="JLP41" s="6"/>
      <c r="JLQ41" s="6"/>
      <c r="JLR41" s="6"/>
      <c r="JLS41" s="6"/>
      <c r="JLT41" s="6"/>
      <c r="JLU41" s="6"/>
      <c r="JLV41" s="6"/>
      <c r="JLW41" s="6"/>
      <c r="JLX41" s="6"/>
      <c r="JLY41" s="6"/>
      <c r="JLZ41" s="6"/>
      <c r="JMA41" s="6"/>
      <c r="JMB41" s="6"/>
      <c r="JMC41" s="6"/>
      <c r="JMD41" s="6"/>
      <c r="JME41" s="6"/>
      <c r="JMF41" s="6"/>
      <c r="JMG41" s="6"/>
      <c r="JMH41" s="6"/>
      <c r="JMI41" s="6"/>
      <c r="JMJ41" s="6"/>
      <c r="JMK41" s="6"/>
      <c r="JML41" s="6"/>
      <c r="JMM41" s="6"/>
      <c r="JMN41" s="6"/>
      <c r="JMO41" s="6"/>
      <c r="JMP41" s="6"/>
      <c r="JMQ41" s="6"/>
      <c r="JMR41" s="6"/>
      <c r="JMS41" s="6"/>
      <c r="JMT41" s="6"/>
      <c r="JMU41" s="6"/>
      <c r="JMV41" s="6"/>
      <c r="JMW41" s="6"/>
      <c r="JMX41" s="6"/>
      <c r="JMY41" s="6"/>
      <c r="JMZ41" s="6"/>
      <c r="JNA41" s="6"/>
      <c r="JNB41" s="6"/>
      <c r="JNC41" s="6"/>
      <c r="JND41" s="6"/>
      <c r="JNE41" s="6"/>
      <c r="JNF41" s="6"/>
      <c r="JNG41" s="6"/>
      <c r="JNH41" s="6"/>
      <c r="JNI41" s="6"/>
      <c r="JNJ41" s="6"/>
      <c r="JNK41" s="6"/>
      <c r="JNL41" s="6"/>
      <c r="JNM41" s="6"/>
      <c r="JNN41" s="6"/>
      <c r="JNO41" s="6"/>
      <c r="JNP41" s="6"/>
      <c r="JNQ41" s="6"/>
      <c r="JNR41" s="6"/>
      <c r="JNS41" s="6"/>
      <c r="JNT41" s="6"/>
      <c r="JNU41" s="6"/>
      <c r="JNV41" s="6"/>
      <c r="JNW41" s="6"/>
      <c r="JNX41" s="6"/>
      <c r="JNY41" s="6"/>
      <c r="JNZ41" s="6"/>
      <c r="JOA41" s="6"/>
      <c r="JOB41" s="6"/>
      <c r="JOC41" s="6"/>
      <c r="JOD41" s="6"/>
      <c r="JOE41" s="6"/>
      <c r="JOF41" s="6"/>
      <c r="JOG41" s="6"/>
      <c r="JOH41" s="6"/>
      <c r="JOI41" s="6"/>
      <c r="JOJ41" s="6"/>
      <c r="JOK41" s="6"/>
      <c r="JOL41" s="6"/>
      <c r="JOM41" s="6"/>
      <c r="JON41" s="6"/>
      <c r="JOO41" s="6"/>
      <c r="JOP41" s="6"/>
      <c r="JOQ41" s="6"/>
      <c r="JOR41" s="6"/>
      <c r="JOS41" s="6"/>
      <c r="JOT41" s="6"/>
      <c r="JOU41" s="6"/>
      <c r="JOV41" s="6"/>
      <c r="JOW41" s="6"/>
      <c r="JOX41" s="6"/>
      <c r="JOY41" s="6"/>
      <c r="JOZ41" s="6"/>
      <c r="JPA41" s="6"/>
      <c r="JPB41" s="6"/>
      <c r="JPC41" s="6"/>
      <c r="JPD41" s="6"/>
      <c r="JPE41" s="6"/>
      <c r="JPF41" s="6"/>
      <c r="JPG41" s="6"/>
      <c r="JPH41" s="6"/>
      <c r="JPI41" s="6"/>
      <c r="JPJ41" s="6"/>
      <c r="JPK41" s="6"/>
      <c r="JPL41" s="6"/>
      <c r="JPM41" s="6"/>
      <c r="JPN41" s="6"/>
      <c r="JPO41" s="6"/>
      <c r="JPP41" s="6"/>
      <c r="JPQ41" s="6"/>
      <c r="JPR41" s="6"/>
      <c r="JPS41" s="6"/>
      <c r="JPT41" s="6"/>
      <c r="JPU41" s="6"/>
      <c r="JPV41" s="6"/>
      <c r="JPW41" s="6"/>
      <c r="JPX41" s="6"/>
      <c r="JPY41" s="6"/>
      <c r="JPZ41" s="6"/>
      <c r="JQA41" s="6"/>
      <c r="JQB41" s="6"/>
      <c r="JQC41" s="6"/>
      <c r="JQD41" s="6"/>
      <c r="JQE41" s="6"/>
      <c r="JQF41" s="6"/>
      <c r="JQG41" s="6"/>
      <c r="JQH41" s="6"/>
      <c r="JQI41" s="6"/>
      <c r="JQJ41" s="6"/>
      <c r="JQK41" s="6"/>
      <c r="JQL41" s="6"/>
      <c r="JQM41" s="6"/>
      <c r="JQN41" s="6"/>
      <c r="JQO41" s="6"/>
      <c r="JQP41" s="6"/>
      <c r="JQQ41" s="6"/>
      <c r="JQR41" s="6"/>
      <c r="JQS41" s="6"/>
      <c r="JQT41" s="6"/>
      <c r="JQU41" s="6"/>
      <c r="JQV41" s="6"/>
      <c r="JQW41" s="6"/>
      <c r="JQX41" s="6"/>
      <c r="JQY41" s="6"/>
      <c r="JQZ41" s="6"/>
      <c r="JRA41" s="6"/>
      <c r="JRB41" s="6"/>
      <c r="JRC41" s="6"/>
      <c r="JRD41" s="6"/>
      <c r="JRE41" s="6"/>
      <c r="JRF41" s="6"/>
      <c r="JRG41" s="6"/>
      <c r="JRH41" s="6"/>
      <c r="JRI41" s="6"/>
      <c r="JRJ41" s="6"/>
      <c r="JRK41" s="6"/>
      <c r="JRL41" s="6"/>
      <c r="JRM41" s="6"/>
      <c r="JRN41" s="6"/>
      <c r="JRO41" s="6"/>
      <c r="JRP41" s="6"/>
      <c r="JRQ41" s="6"/>
      <c r="JRR41" s="6"/>
      <c r="JRS41" s="6"/>
      <c r="JRT41" s="6"/>
      <c r="JRU41" s="6"/>
      <c r="JRV41" s="6"/>
      <c r="JRW41" s="6"/>
      <c r="JRX41" s="6"/>
      <c r="JRY41" s="6"/>
      <c r="JRZ41" s="6"/>
      <c r="JSA41" s="6"/>
      <c r="JSB41" s="6"/>
      <c r="JSC41" s="6"/>
      <c r="JSD41" s="6"/>
      <c r="JSE41" s="6"/>
      <c r="JSF41" s="6"/>
      <c r="JSG41" s="6"/>
      <c r="JSH41" s="6"/>
      <c r="JSI41" s="6"/>
      <c r="JSJ41" s="6"/>
      <c r="JSK41" s="6"/>
      <c r="JSL41" s="6"/>
      <c r="JSM41" s="6"/>
      <c r="JSN41" s="6"/>
      <c r="JSO41" s="6"/>
      <c r="JSP41" s="6"/>
      <c r="JSQ41" s="6"/>
      <c r="JSR41" s="6"/>
      <c r="JSS41" s="6"/>
      <c r="JST41" s="6"/>
      <c r="JSU41" s="6"/>
      <c r="JSV41" s="6"/>
      <c r="JSW41" s="6"/>
      <c r="JSX41" s="6"/>
      <c r="JSY41" s="6"/>
      <c r="JSZ41" s="6"/>
      <c r="JTA41" s="6"/>
      <c r="JTB41" s="6"/>
      <c r="JTC41" s="6"/>
      <c r="JTD41" s="6"/>
      <c r="JTE41" s="6"/>
      <c r="JTF41" s="6"/>
      <c r="JTG41" s="6"/>
      <c r="JTH41" s="6"/>
      <c r="JTI41" s="6"/>
      <c r="JTJ41" s="6"/>
      <c r="JTK41" s="6"/>
      <c r="JTL41" s="6"/>
      <c r="JTM41" s="6"/>
      <c r="JTN41" s="6"/>
      <c r="JTO41" s="6"/>
      <c r="JTP41" s="6"/>
      <c r="JTQ41" s="6"/>
      <c r="JTR41" s="6"/>
      <c r="JTS41" s="6"/>
      <c r="JTT41" s="6"/>
      <c r="JTU41" s="6"/>
      <c r="JTV41" s="6"/>
      <c r="JTW41" s="6"/>
      <c r="JTX41" s="6"/>
      <c r="JTY41" s="6"/>
      <c r="JTZ41" s="6"/>
      <c r="JUA41" s="6"/>
      <c r="JUB41" s="6"/>
      <c r="JUC41" s="6"/>
      <c r="JUD41" s="6"/>
      <c r="JUE41" s="6"/>
      <c r="JUF41" s="6"/>
      <c r="JUG41" s="6"/>
      <c r="JUH41" s="6"/>
      <c r="JUI41" s="6"/>
      <c r="JUJ41" s="6"/>
      <c r="JUK41" s="6"/>
      <c r="JUL41" s="6"/>
      <c r="JUM41" s="6"/>
      <c r="JUN41" s="6"/>
      <c r="JUO41" s="6"/>
      <c r="JUP41" s="6"/>
      <c r="JUQ41" s="6"/>
      <c r="JUR41" s="6"/>
      <c r="JUS41" s="6"/>
      <c r="JUT41" s="6"/>
      <c r="JUU41" s="6"/>
      <c r="JUV41" s="6"/>
      <c r="JUW41" s="6"/>
      <c r="JUX41" s="6"/>
      <c r="JUY41" s="6"/>
      <c r="JUZ41" s="6"/>
      <c r="JVA41" s="6"/>
      <c r="JVB41" s="6"/>
      <c r="JVC41" s="6"/>
      <c r="JVD41" s="6"/>
      <c r="JVE41" s="6"/>
      <c r="JVF41" s="6"/>
      <c r="JVG41" s="6"/>
      <c r="JVH41" s="6"/>
      <c r="JVI41" s="6"/>
      <c r="JVJ41" s="6"/>
      <c r="JVK41" s="6"/>
      <c r="JVL41" s="6"/>
      <c r="JVM41" s="6"/>
      <c r="JVN41" s="6"/>
      <c r="JVO41" s="6"/>
      <c r="JVP41" s="6"/>
      <c r="JVQ41" s="6"/>
      <c r="JVR41" s="6"/>
      <c r="JVS41" s="6"/>
      <c r="JVT41" s="6"/>
      <c r="JVU41" s="6"/>
      <c r="JVV41" s="6"/>
      <c r="JVW41" s="6"/>
      <c r="JVX41" s="6"/>
      <c r="JVY41" s="6"/>
      <c r="JVZ41" s="6"/>
      <c r="JWA41" s="6"/>
      <c r="JWB41" s="6"/>
      <c r="JWC41" s="6"/>
      <c r="JWD41" s="6"/>
      <c r="JWE41" s="6"/>
      <c r="JWF41" s="6"/>
      <c r="JWG41" s="6"/>
      <c r="JWH41" s="6"/>
      <c r="JWI41" s="6"/>
      <c r="JWJ41" s="6"/>
      <c r="JWK41" s="6"/>
      <c r="JWL41" s="6"/>
      <c r="JWM41" s="6"/>
      <c r="JWN41" s="6"/>
      <c r="JWO41" s="6"/>
      <c r="JWP41" s="6"/>
      <c r="JWQ41" s="6"/>
      <c r="JWR41" s="6"/>
      <c r="JWS41" s="6"/>
      <c r="JWT41" s="6"/>
      <c r="JWU41" s="6"/>
      <c r="JWV41" s="6"/>
      <c r="JWW41" s="6"/>
      <c r="JWX41" s="6"/>
      <c r="JWY41" s="6"/>
      <c r="JWZ41" s="6"/>
      <c r="JXA41" s="6"/>
      <c r="JXB41" s="6"/>
      <c r="JXC41" s="6"/>
      <c r="JXD41" s="6"/>
      <c r="JXE41" s="6"/>
      <c r="JXF41" s="6"/>
      <c r="JXG41" s="6"/>
      <c r="JXH41" s="6"/>
      <c r="JXI41" s="6"/>
      <c r="JXJ41" s="6"/>
      <c r="JXK41" s="6"/>
      <c r="JXL41" s="6"/>
      <c r="JXM41" s="6"/>
      <c r="JXN41" s="6"/>
      <c r="JXO41" s="6"/>
      <c r="JXP41" s="6"/>
      <c r="JXQ41" s="6"/>
      <c r="JXR41" s="6"/>
      <c r="JXS41" s="6"/>
      <c r="JXT41" s="6"/>
      <c r="JXU41" s="6"/>
      <c r="JXV41" s="6"/>
      <c r="JXW41" s="6"/>
      <c r="JXX41" s="6"/>
      <c r="JXY41" s="6"/>
      <c r="JXZ41" s="6"/>
      <c r="JYA41" s="6"/>
      <c r="JYB41" s="6"/>
      <c r="JYC41" s="6"/>
      <c r="JYD41" s="6"/>
      <c r="JYE41" s="6"/>
      <c r="JYF41" s="6"/>
      <c r="JYG41" s="6"/>
      <c r="JYH41" s="6"/>
      <c r="JYI41" s="6"/>
      <c r="JYJ41" s="6"/>
      <c r="JYK41" s="6"/>
      <c r="JYL41" s="6"/>
      <c r="JYM41" s="6"/>
      <c r="JYN41" s="6"/>
      <c r="JYO41" s="6"/>
      <c r="JYP41" s="6"/>
      <c r="JYQ41" s="6"/>
      <c r="JYR41" s="6"/>
      <c r="JYS41" s="6"/>
      <c r="JYT41" s="6"/>
      <c r="JYU41" s="6"/>
      <c r="JYV41" s="6"/>
      <c r="JYW41" s="6"/>
      <c r="JYX41" s="6"/>
      <c r="JYY41" s="6"/>
      <c r="JYZ41" s="6"/>
      <c r="JZA41" s="6"/>
      <c r="JZB41" s="6"/>
      <c r="JZC41" s="6"/>
      <c r="JZD41" s="6"/>
      <c r="JZE41" s="6"/>
      <c r="JZF41" s="6"/>
      <c r="JZG41" s="6"/>
      <c r="JZH41" s="6"/>
      <c r="JZI41" s="6"/>
      <c r="JZJ41" s="6"/>
      <c r="JZK41" s="6"/>
      <c r="JZL41" s="6"/>
      <c r="JZM41" s="6"/>
      <c r="JZN41" s="6"/>
      <c r="JZO41" s="6"/>
      <c r="JZP41" s="6"/>
      <c r="JZQ41" s="6"/>
      <c r="JZR41" s="6"/>
      <c r="JZS41" s="6"/>
      <c r="JZT41" s="6"/>
      <c r="JZU41" s="6"/>
      <c r="JZV41" s="6"/>
      <c r="JZW41" s="6"/>
      <c r="JZX41" s="6"/>
      <c r="JZY41" s="6"/>
      <c r="JZZ41" s="6"/>
      <c r="KAA41" s="6"/>
      <c r="KAB41" s="6"/>
      <c r="KAC41" s="6"/>
      <c r="KAD41" s="6"/>
      <c r="KAE41" s="6"/>
      <c r="KAF41" s="6"/>
      <c r="KAG41" s="6"/>
      <c r="KAH41" s="6"/>
      <c r="KAI41" s="6"/>
      <c r="KAJ41" s="6"/>
      <c r="KAK41" s="6"/>
      <c r="KAL41" s="6"/>
      <c r="KAM41" s="6"/>
      <c r="KAN41" s="6"/>
      <c r="KAO41" s="6"/>
      <c r="KAP41" s="6"/>
      <c r="KAQ41" s="6"/>
      <c r="KAR41" s="6"/>
      <c r="KAS41" s="6"/>
      <c r="KAT41" s="6"/>
      <c r="KAU41" s="6"/>
      <c r="KAV41" s="6"/>
      <c r="KAW41" s="6"/>
      <c r="KAX41" s="6"/>
      <c r="KAY41" s="6"/>
      <c r="KAZ41" s="6"/>
      <c r="KBA41" s="6"/>
      <c r="KBB41" s="6"/>
      <c r="KBC41" s="6"/>
      <c r="KBD41" s="6"/>
      <c r="KBE41" s="6"/>
      <c r="KBF41" s="6"/>
      <c r="KBG41" s="6"/>
      <c r="KBH41" s="6"/>
      <c r="KBI41" s="6"/>
      <c r="KBJ41" s="6"/>
      <c r="KBK41" s="6"/>
      <c r="KBL41" s="6"/>
      <c r="KBM41" s="6"/>
      <c r="KBN41" s="6"/>
      <c r="KBO41" s="6"/>
      <c r="KBP41" s="6"/>
      <c r="KBQ41" s="6"/>
      <c r="KBR41" s="6"/>
      <c r="KBS41" s="6"/>
      <c r="KBT41" s="6"/>
      <c r="KBU41" s="6"/>
      <c r="KBV41" s="6"/>
      <c r="KBW41" s="6"/>
      <c r="KBX41" s="6"/>
      <c r="KBY41" s="6"/>
      <c r="KBZ41" s="6"/>
      <c r="KCA41" s="6"/>
      <c r="KCB41" s="6"/>
      <c r="KCC41" s="6"/>
      <c r="KCD41" s="6"/>
      <c r="KCE41" s="6"/>
      <c r="KCF41" s="6"/>
      <c r="KCG41" s="6"/>
      <c r="KCH41" s="6"/>
      <c r="KCI41" s="6"/>
      <c r="KCJ41" s="6"/>
      <c r="KCK41" s="6"/>
      <c r="KCL41" s="6"/>
      <c r="KCM41" s="6"/>
      <c r="KCN41" s="6"/>
      <c r="KCO41" s="6"/>
      <c r="KCP41" s="6"/>
      <c r="KCQ41" s="6"/>
      <c r="KCR41" s="6"/>
      <c r="KCS41" s="6"/>
      <c r="KCT41" s="6"/>
      <c r="KCU41" s="6"/>
      <c r="KCV41" s="6"/>
      <c r="KCW41" s="6"/>
      <c r="KCX41" s="6"/>
      <c r="KCY41" s="6"/>
      <c r="KCZ41" s="6"/>
      <c r="KDA41" s="6"/>
      <c r="KDB41" s="6"/>
      <c r="KDC41" s="6"/>
      <c r="KDD41" s="6"/>
      <c r="KDE41" s="6"/>
      <c r="KDF41" s="6"/>
      <c r="KDG41" s="6"/>
      <c r="KDH41" s="6"/>
      <c r="KDI41" s="6"/>
      <c r="KDJ41" s="6"/>
      <c r="KDK41" s="6"/>
      <c r="KDL41" s="6"/>
      <c r="KDM41" s="6"/>
      <c r="KDN41" s="6"/>
      <c r="KDO41" s="6"/>
      <c r="KDP41" s="6"/>
      <c r="KDQ41" s="6"/>
      <c r="KDR41" s="6"/>
      <c r="KDS41" s="6"/>
      <c r="KDT41" s="6"/>
      <c r="KDU41" s="6"/>
      <c r="KDV41" s="6"/>
      <c r="KDW41" s="6"/>
      <c r="KDX41" s="6"/>
      <c r="KDY41" s="6"/>
      <c r="KDZ41" s="6"/>
      <c r="KEA41" s="6"/>
      <c r="KEB41" s="6"/>
      <c r="KEC41" s="6"/>
      <c r="KED41" s="6"/>
      <c r="KEE41" s="6"/>
      <c r="KEF41" s="6"/>
      <c r="KEG41" s="6"/>
      <c r="KEH41" s="6"/>
      <c r="KEI41" s="6"/>
      <c r="KEJ41" s="6"/>
      <c r="KEK41" s="6"/>
      <c r="KEL41" s="6"/>
      <c r="KEM41" s="6"/>
      <c r="KEN41" s="6"/>
      <c r="KEO41" s="6"/>
      <c r="KEP41" s="6"/>
      <c r="KEQ41" s="6"/>
      <c r="KER41" s="6"/>
      <c r="KES41" s="6"/>
      <c r="KET41" s="6"/>
      <c r="KEU41" s="6"/>
      <c r="KEV41" s="6"/>
      <c r="KEW41" s="6"/>
      <c r="KEX41" s="6"/>
      <c r="KEY41" s="6"/>
      <c r="KEZ41" s="6"/>
      <c r="KFA41" s="6"/>
      <c r="KFB41" s="6"/>
      <c r="KFC41" s="6"/>
      <c r="KFD41" s="6"/>
      <c r="KFE41" s="6"/>
      <c r="KFF41" s="6"/>
      <c r="KFG41" s="6"/>
      <c r="KFH41" s="6"/>
      <c r="KFI41" s="6"/>
      <c r="KFJ41" s="6"/>
      <c r="KFK41" s="6"/>
      <c r="KFL41" s="6"/>
      <c r="KFM41" s="6"/>
      <c r="KFN41" s="6"/>
      <c r="KFO41" s="6"/>
      <c r="KFP41" s="6"/>
      <c r="KFQ41" s="6"/>
      <c r="KFR41" s="6"/>
      <c r="KFS41" s="6"/>
      <c r="KFT41" s="6"/>
      <c r="KFU41" s="6"/>
      <c r="KFV41" s="6"/>
      <c r="KFW41" s="6"/>
      <c r="KFX41" s="6"/>
      <c r="KFY41" s="6"/>
      <c r="KFZ41" s="6"/>
      <c r="KGA41" s="6"/>
      <c r="KGB41" s="6"/>
      <c r="KGC41" s="6"/>
      <c r="KGD41" s="6"/>
      <c r="KGE41" s="6"/>
      <c r="KGF41" s="6"/>
      <c r="KGG41" s="6"/>
      <c r="KGH41" s="6"/>
      <c r="KGI41" s="6"/>
      <c r="KGJ41" s="6"/>
      <c r="KGK41" s="6"/>
      <c r="KGL41" s="6"/>
      <c r="KGM41" s="6"/>
      <c r="KGN41" s="6"/>
      <c r="KGO41" s="6"/>
      <c r="KGP41" s="6"/>
      <c r="KGQ41" s="6"/>
      <c r="KGR41" s="6"/>
      <c r="KGS41" s="6"/>
      <c r="KGT41" s="6"/>
      <c r="KGU41" s="6"/>
      <c r="KGV41" s="6"/>
      <c r="KGW41" s="6"/>
      <c r="KGX41" s="6"/>
      <c r="KGY41" s="6"/>
      <c r="KGZ41" s="6"/>
      <c r="KHA41" s="6"/>
      <c r="KHB41" s="6"/>
      <c r="KHC41" s="6"/>
      <c r="KHD41" s="6"/>
      <c r="KHE41" s="6"/>
      <c r="KHF41" s="6"/>
      <c r="KHG41" s="6"/>
      <c r="KHH41" s="6"/>
      <c r="KHI41" s="6"/>
      <c r="KHJ41" s="6"/>
      <c r="KHK41" s="6"/>
      <c r="KHL41" s="6"/>
      <c r="KHM41" s="6"/>
      <c r="KHN41" s="6"/>
      <c r="KHO41" s="6"/>
      <c r="KHP41" s="6"/>
      <c r="KHQ41" s="6"/>
      <c r="KHR41" s="6"/>
      <c r="KHS41" s="6"/>
      <c r="KHT41" s="6"/>
      <c r="KHU41" s="6"/>
      <c r="KHV41" s="6"/>
      <c r="KHW41" s="6"/>
      <c r="KHX41" s="6"/>
      <c r="KHY41" s="6"/>
      <c r="KHZ41" s="6"/>
      <c r="KIA41" s="6"/>
      <c r="KIB41" s="6"/>
      <c r="KIC41" s="6"/>
      <c r="KID41" s="6"/>
      <c r="KIE41" s="6"/>
      <c r="KIF41" s="6"/>
      <c r="KIG41" s="6"/>
      <c r="KIH41" s="6"/>
      <c r="KII41" s="6"/>
      <c r="KIJ41" s="6"/>
      <c r="KIK41" s="6"/>
      <c r="KIL41" s="6"/>
      <c r="KIM41" s="6"/>
      <c r="KIN41" s="6"/>
      <c r="KIO41" s="6"/>
      <c r="KIP41" s="6"/>
      <c r="KIQ41" s="6"/>
      <c r="KIR41" s="6"/>
      <c r="KIS41" s="6"/>
      <c r="KIT41" s="6"/>
      <c r="KIU41" s="6"/>
      <c r="KIV41" s="6"/>
      <c r="KIW41" s="6"/>
      <c r="KIX41" s="6"/>
      <c r="KIY41" s="6"/>
      <c r="KIZ41" s="6"/>
      <c r="KJA41" s="6"/>
      <c r="KJB41" s="6"/>
      <c r="KJC41" s="6"/>
      <c r="KJD41" s="6"/>
      <c r="KJE41" s="6"/>
      <c r="KJF41" s="6"/>
      <c r="KJG41" s="6"/>
      <c r="KJH41" s="6"/>
      <c r="KJI41" s="6"/>
      <c r="KJJ41" s="6"/>
      <c r="KJK41" s="6"/>
      <c r="KJL41" s="6"/>
      <c r="KJM41" s="6"/>
      <c r="KJN41" s="6"/>
      <c r="KJO41" s="6"/>
      <c r="KJP41" s="6"/>
      <c r="KJQ41" s="6"/>
      <c r="KJR41" s="6"/>
      <c r="KJS41" s="6"/>
      <c r="KJT41" s="6"/>
      <c r="KJU41" s="6"/>
      <c r="KJV41" s="6"/>
      <c r="KJW41" s="6"/>
      <c r="KJX41" s="6"/>
      <c r="KJY41" s="6"/>
      <c r="KJZ41" s="6"/>
      <c r="KKA41" s="6"/>
      <c r="KKB41" s="6"/>
      <c r="KKC41" s="6"/>
      <c r="KKD41" s="6"/>
      <c r="KKE41" s="6"/>
      <c r="KKF41" s="6"/>
      <c r="KKG41" s="6"/>
      <c r="KKH41" s="6"/>
      <c r="KKI41" s="6"/>
      <c r="KKJ41" s="6"/>
      <c r="KKK41" s="6"/>
      <c r="KKL41" s="6"/>
      <c r="KKM41" s="6"/>
      <c r="KKN41" s="6"/>
      <c r="KKO41" s="6"/>
      <c r="KKP41" s="6"/>
      <c r="KKQ41" s="6"/>
      <c r="KKR41" s="6"/>
      <c r="KKS41" s="6"/>
      <c r="KKT41" s="6"/>
      <c r="KKU41" s="6"/>
      <c r="KKV41" s="6"/>
      <c r="KKW41" s="6"/>
      <c r="KKX41" s="6"/>
      <c r="KKY41" s="6"/>
      <c r="KKZ41" s="6"/>
      <c r="KLA41" s="6"/>
      <c r="KLB41" s="6"/>
      <c r="KLC41" s="6"/>
      <c r="KLD41" s="6"/>
      <c r="KLE41" s="6"/>
      <c r="KLF41" s="6"/>
      <c r="KLG41" s="6"/>
      <c r="KLH41" s="6"/>
      <c r="KLI41" s="6"/>
      <c r="KLJ41" s="6"/>
      <c r="KLK41" s="6"/>
      <c r="KLL41" s="6"/>
      <c r="KLM41" s="6"/>
      <c r="KLN41" s="6"/>
      <c r="KLO41" s="6"/>
      <c r="KLP41" s="6"/>
      <c r="KLQ41" s="6"/>
      <c r="KLR41" s="6"/>
      <c r="KLS41" s="6"/>
      <c r="KLT41" s="6"/>
      <c r="KLU41" s="6"/>
      <c r="KLV41" s="6"/>
      <c r="KLW41" s="6"/>
      <c r="KLX41" s="6"/>
      <c r="KLY41" s="6"/>
      <c r="KLZ41" s="6"/>
      <c r="KMA41" s="6"/>
      <c r="KMB41" s="6"/>
      <c r="KMC41" s="6"/>
      <c r="KMD41" s="6"/>
      <c r="KME41" s="6"/>
      <c r="KMF41" s="6"/>
      <c r="KMG41" s="6"/>
      <c r="KMH41" s="6"/>
      <c r="KMI41" s="6"/>
      <c r="KMJ41" s="6"/>
      <c r="KMK41" s="6"/>
      <c r="KML41" s="6"/>
      <c r="KMM41" s="6"/>
      <c r="KMN41" s="6"/>
      <c r="KMO41" s="6"/>
      <c r="KMP41" s="6"/>
      <c r="KMQ41" s="6"/>
      <c r="KMR41" s="6"/>
      <c r="KMS41" s="6"/>
      <c r="KMT41" s="6"/>
      <c r="KMU41" s="6"/>
      <c r="KMV41" s="6"/>
      <c r="KMW41" s="6"/>
      <c r="KMX41" s="6"/>
      <c r="KMY41" s="6"/>
      <c r="KMZ41" s="6"/>
      <c r="KNA41" s="6"/>
      <c r="KNB41" s="6"/>
      <c r="KNC41" s="6"/>
      <c r="KND41" s="6"/>
      <c r="KNE41" s="6"/>
      <c r="KNF41" s="6"/>
      <c r="KNG41" s="6"/>
      <c r="KNH41" s="6"/>
      <c r="KNI41" s="6"/>
      <c r="KNJ41" s="6"/>
      <c r="KNK41" s="6"/>
      <c r="KNL41" s="6"/>
      <c r="KNM41" s="6"/>
      <c r="KNN41" s="6"/>
      <c r="KNO41" s="6"/>
      <c r="KNP41" s="6"/>
      <c r="KNQ41" s="6"/>
      <c r="KNR41" s="6"/>
      <c r="KNS41" s="6"/>
      <c r="KNT41" s="6"/>
      <c r="KNU41" s="6"/>
      <c r="KNV41" s="6"/>
      <c r="KNW41" s="6"/>
      <c r="KNX41" s="6"/>
      <c r="KNY41" s="6"/>
      <c r="KNZ41" s="6"/>
      <c r="KOA41" s="6"/>
      <c r="KOB41" s="6"/>
      <c r="KOC41" s="6"/>
      <c r="KOD41" s="6"/>
      <c r="KOE41" s="6"/>
      <c r="KOF41" s="6"/>
      <c r="KOG41" s="6"/>
      <c r="KOH41" s="6"/>
      <c r="KOI41" s="6"/>
      <c r="KOJ41" s="6"/>
      <c r="KOK41" s="6"/>
      <c r="KOL41" s="6"/>
      <c r="KOM41" s="6"/>
      <c r="KON41" s="6"/>
      <c r="KOO41" s="6"/>
      <c r="KOP41" s="6"/>
      <c r="KOQ41" s="6"/>
      <c r="KOR41" s="6"/>
      <c r="KOS41" s="6"/>
      <c r="KOT41" s="6"/>
      <c r="KOU41" s="6"/>
      <c r="KOV41" s="6"/>
      <c r="KOW41" s="6"/>
      <c r="KOX41" s="6"/>
      <c r="KOY41" s="6"/>
      <c r="KOZ41" s="6"/>
      <c r="KPA41" s="6"/>
      <c r="KPB41" s="6"/>
      <c r="KPC41" s="6"/>
      <c r="KPD41" s="6"/>
      <c r="KPE41" s="6"/>
      <c r="KPF41" s="6"/>
      <c r="KPG41" s="6"/>
      <c r="KPH41" s="6"/>
      <c r="KPI41" s="6"/>
      <c r="KPJ41" s="6"/>
      <c r="KPK41" s="6"/>
      <c r="KPL41" s="6"/>
      <c r="KPM41" s="6"/>
      <c r="KPN41" s="6"/>
      <c r="KPO41" s="6"/>
      <c r="KPP41" s="6"/>
      <c r="KPQ41" s="6"/>
      <c r="KPR41" s="6"/>
      <c r="KPS41" s="6"/>
      <c r="KPT41" s="6"/>
      <c r="KPU41" s="6"/>
      <c r="KPV41" s="6"/>
      <c r="KPW41" s="6"/>
      <c r="KPX41" s="6"/>
      <c r="KPY41" s="6"/>
      <c r="KPZ41" s="6"/>
      <c r="KQA41" s="6"/>
      <c r="KQB41" s="6"/>
      <c r="KQC41" s="6"/>
      <c r="KQD41" s="6"/>
      <c r="KQE41" s="6"/>
      <c r="KQF41" s="6"/>
      <c r="KQG41" s="6"/>
      <c r="KQH41" s="6"/>
      <c r="KQI41" s="6"/>
      <c r="KQJ41" s="6"/>
      <c r="KQK41" s="6"/>
      <c r="KQL41" s="6"/>
      <c r="KQM41" s="6"/>
      <c r="KQN41" s="6"/>
      <c r="KQO41" s="6"/>
      <c r="KQP41" s="6"/>
      <c r="KQQ41" s="6"/>
      <c r="KQR41" s="6"/>
      <c r="KQS41" s="6"/>
      <c r="KQT41" s="6"/>
      <c r="KQU41" s="6"/>
      <c r="KQV41" s="6"/>
      <c r="KQW41" s="6"/>
      <c r="KQX41" s="6"/>
      <c r="KQY41" s="6"/>
      <c r="KQZ41" s="6"/>
      <c r="KRA41" s="6"/>
      <c r="KRB41" s="6"/>
      <c r="KRC41" s="6"/>
      <c r="KRD41" s="6"/>
      <c r="KRE41" s="6"/>
      <c r="KRF41" s="6"/>
      <c r="KRG41" s="6"/>
      <c r="KRH41" s="6"/>
      <c r="KRI41" s="6"/>
      <c r="KRJ41" s="6"/>
      <c r="KRK41" s="6"/>
      <c r="KRL41" s="6"/>
      <c r="KRM41" s="6"/>
      <c r="KRN41" s="6"/>
      <c r="KRO41" s="6"/>
      <c r="KRP41" s="6"/>
      <c r="KRQ41" s="6"/>
      <c r="KRR41" s="6"/>
      <c r="KRS41" s="6"/>
      <c r="KRT41" s="6"/>
      <c r="KRU41" s="6"/>
      <c r="KRV41" s="6"/>
      <c r="KRW41" s="6"/>
      <c r="KRX41" s="6"/>
      <c r="KRY41" s="6"/>
      <c r="KRZ41" s="6"/>
      <c r="KSA41" s="6"/>
      <c r="KSB41" s="6"/>
      <c r="KSC41" s="6"/>
      <c r="KSD41" s="6"/>
      <c r="KSE41" s="6"/>
      <c r="KSF41" s="6"/>
      <c r="KSG41" s="6"/>
      <c r="KSH41" s="6"/>
      <c r="KSI41" s="6"/>
      <c r="KSJ41" s="6"/>
      <c r="KSK41" s="6"/>
      <c r="KSL41" s="6"/>
      <c r="KSM41" s="6"/>
      <c r="KSN41" s="6"/>
      <c r="KSO41" s="6"/>
      <c r="KSP41" s="6"/>
      <c r="KSQ41" s="6"/>
      <c r="KSR41" s="6"/>
      <c r="KSS41" s="6"/>
      <c r="KST41" s="6"/>
      <c r="KSU41" s="6"/>
      <c r="KSV41" s="6"/>
      <c r="KSW41" s="6"/>
      <c r="KSX41" s="6"/>
      <c r="KSY41" s="6"/>
      <c r="KSZ41" s="6"/>
      <c r="KTA41" s="6"/>
      <c r="KTB41" s="6"/>
      <c r="KTC41" s="6"/>
      <c r="KTD41" s="6"/>
      <c r="KTE41" s="6"/>
      <c r="KTF41" s="6"/>
      <c r="KTG41" s="6"/>
      <c r="KTH41" s="6"/>
      <c r="KTI41" s="6"/>
      <c r="KTJ41" s="6"/>
      <c r="KTK41" s="6"/>
      <c r="KTL41" s="6"/>
      <c r="KTM41" s="6"/>
      <c r="KTN41" s="6"/>
      <c r="KTO41" s="6"/>
      <c r="KTP41" s="6"/>
      <c r="KTQ41" s="6"/>
      <c r="KTR41" s="6"/>
      <c r="KTS41" s="6"/>
      <c r="KTT41" s="6"/>
      <c r="KTU41" s="6"/>
      <c r="KTV41" s="6"/>
      <c r="KTW41" s="6"/>
      <c r="KTX41" s="6"/>
      <c r="KTY41" s="6"/>
      <c r="KTZ41" s="6"/>
      <c r="KUA41" s="6"/>
      <c r="KUB41" s="6"/>
      <c r="KUC41" s="6"/>
      <c r="KUD41" s="6"/>
      <c r="KUE41" s="6"/>
      <c r="KUF41" s="6"/>
      <c r="KUG41" s="6"/>
      <c r="KUH41" s="6"/>
      <c r="KUI41" s="6"/>
      <c r="KUJ41" s="6"/>
      <c r="KUK41" s="6"/>
      <c r="KUL41" s="6"/>
      <c r="KUM41" s="6"/>
      <c r="KUN41" s="6"/>
      <c r="KUO41" s="6"/>
      <c r="KUP41" s="6"/>
      <c r="KUQ41" s="6"/>
      <c r="KUR41" s="6"/>
      <c r="KUS41" s="6"/>
      <c r="KUT41" s="6"/>
      <c r="KUU41" s="6"/>
      <c r="KUV41" s="6"/>
      <c r="KUW41" s="6"/>
      <c r="KUX41" s="6"/>
      <c r="KUY41" s="6"/>
      <c r="KUZ41" s="6"/>
      <c r="KVA41" s="6"/>
      <c r="KVB41" s="6"/>
      <c r="KVC41" s="6"/>
      <c r="KVD41" s="6"/>
      <c r="KVE41" s="6"/>
      <c r="KVF41" s="6"/>
      <c r="KVG41" s="6"/>
      <c r="KVH41" s="6"/>
      <c r="KVI41" s="6"/>
      <c r="KVJ41" s="6"/>
      <c r="KVK41" s="6"/>
      <c r="KVL41" s="6"/>
      <c r="KVM41" s="6"/>
      <c r="KVN41" s="6"/>
      <c r="KVO41" s="6"/>
      <c r="KVP41" s="6"/>
      <c r="KVQ41" s="6"/>
      <c r="KVR41" s="6"/>
      <c r="KVS41" s="6"/>
      <c r="KVT41" s="6"/>
      <c r="KVU41" s="6"/>
      <c r="KVV41" s="6"/>
      <c r="KVW41" s="6"/>
      <c r="KVX41" s="6"/>
      <c r="KVY41" s="6"/>
      <c r="KVZ41" s="6"/>
      <c r="KWA41" s="6"/>
      <c r="KWB41" s="6"/>
      <c r="KWC41" s="6"/>
      <c r="KWD41" s="6"/>
      <c r="KWE41" s="6"/>
      <c r="KWF41" s="6"/>
      <c r="KWG41" s="6"/>
      <c r="KWH41" s="6"/>
      <c r="KWI41" s="6"/>
      <c r="KWJ41" s="6"/>
      <c r="KWK41" s="6"/>
      <c r="KWL41" s="6"/>
      <c r="KWM41" s="6"/>
      <c r="KWN41" s="6"/>
      <c r="KWO41" s="6"/>
      <c r="KWP41" s="6"/>
      <c r="KWQ41" s="6"/>
      <c r="KWR41" s="6"/>
      <c r="KWS41" s="6"/>
      <c r="KWT41" s="6"/>
      <c r="KWU41" s="6"/>
      <c r="KWV41" s="6"/>
      <c r="KWW41" s="6"/>
      <c r="KWX41" s="6"/>
      <c r="KWY41" s="6"/>
      <c r="KWZ41" s="6"/>
      <c r="KXA41" s="6"/>
      <c r="KXB41" s="6"/>
      <c r="KXC41" s="6"/>
      <c r="KXD41" s="6"/>
      <c r="KXE41" s="6"/>
      <c r="KXF41" s="6"/>
      <c r="KXG41" s="6"/>
      <c r="KXH41" s="6"/>
      <c r="KXI41" s="6"/>
      <c r="KXJ41" s="6"/>
      <c r="KXK41" s="6"/>
      <c r="KXL41" s="6"/>
      <c r="KXM41" s="6"/>
      <c r="KXN41" s="6"/>
      <c r="KXO41" s="6"/>
      <c r="KXP41" s="6"/>
      <c r="KXQ41" s="6"/>
      <c r="KXR41" s="6"/>
      <c r="KXS41" s="6"/>
      <c r="KXT41" s="6"/>
      <c r="KXU41" s="6"/>
      <c r="KXV41" s="6"/>
      <c r="KXW41" s="6"/>
      <c r="KXX41" s="6"/>
      <c r="KXY41" s="6"/>
      <c r="KXZ41" s="6"/>
      <c r="KYA41" s="6"/>
      <c r="KYB41" s="6"/>
      <c r="KYC41" s="6"/>
      <c r="KYD41" s="6"/>
      <c r="KYE41" s="6"/>
      <c r="KYF41" s="6"/>
      <c r="KYG41" s="6"/>
      <c r="KYH41" s="6"/>
      <c r="KYI41" s="6"/>
      <c r="KYJ41" s="6"/>
      <c r="KYK41" s="6"/>
      <c r="KYL41" s="6"/>
      <c r="KYM41" s="6"/>
      <c r="KYN41" s="6"/>
      <c r="KYO41" s="6"/>
      <c r="KYP41" s="6"/>
      <c r="KYQ41" s="6"/>
      <c r="KYR41" s="6"/>
      <c r="KYS41" s="6"/>
      <c r="KYT41" s="6"/>
      <c r="KYU41" s="6"/>
      <c r="KYV41" s="6"/>
      <c r="KYW41" s="6"/>
      <c r="KYX41" s="6"/>
      <c r="KYY41" s="6"/>
      <c r="KYZ41" s="6"/>
      <c r="KZA41" s="6"/>
      <c r="KZB41" s="6"/>
      <c r="KZC41" s="6"/>
      <c r="KZD41" s="6"/>
      <c r="KZE41" s="6"/>
      <c r="KZF41" s="6"/>
      <c r="KZG41" s="6"/>
      <c r="KZH41" s="6"/>
      <c r="KZI41" s="6"/>
      <c r="KZJ41" s="6"/>
      <c r="KZK41" s="6"/>
      <c r="KZL41" s="6"/>
      <c r="KZM41" s="6"/>
      <c r="KZN41" s="6"/>
      <c r="KZO41" s="6"/>
      <c r="KZP41" s="6"/>
      <c r="KZQ41" s="6"/>
      <c r="KZR41" s="6"/>
      <c r="KZS41" s="6"/>
      <c r="KZT41" s="6"/>
      <c r="KZU41" s="6"/>
      <c r="KZV41" s="6"/>
      <c r="KZW41" s="6"/>
      <c r="KZX41" s="6"/>
      <c r="KZY41" s="6"/>
      <c r="KZZ41" s="6"/>
      <c r="LAA41" s="6"/>
      <c r="LAB41" s="6"/>
      <c r="LAC41" s="6"/>
      <c r="LAD41" s="6"/>
      <c r="LAE41" s="6"/>
      <c r="LAF41" s="6"/>
      <c r="LAG41" s="6"/>
      <c r="LAH41" s="6"/>
      <c r="LAI41" s="6"/>
      <c r="LAJ41" s="6"/>
      <c r="LAK41" s="6"/>
      <c r="LAL41" s="6"/>
      <c r="LAM41" s="6"/>
      <c r="LAN41" s="6"/>
      <c r="LAO41" s="6"/>
      <c r="LAP41" s="6"/>
      <c r="LAQ41" s="6"/>
      <c r="LAR41" s="6"/>
      <c r="LAS41" s="6"/>
      <c r="LAT41" s="6"/>
      <c r="LAU41" s="6"/>
      <c r="LAV41" s="6"/>
      <c r="LAW41" s="6"/>
      <c r="LAX41" s="6"/>
      <c r="LAY41" s="6"/>
      <c r="LAZ41" s="6"/>
      <c r="LBA41" s="6"/>
      <c r="LBB41" s="6"/>
      <c r="LBC41" s="6"/>
      <c r="LBD41" s="6"/>
      <c r="LBE41" s="6"/>
      <c r="LBF41" s="6"/>
      <c r="LBG41" s="6"/>
      <c r="LBH41" s="6"/>
      <c r="LBI41" s="6"/>
      <c r="LBJ41" s="6"/>
      <c r="LBK41" s="6"/>
      <c r="LBL41" s="6"/>
      <c r="LBM41" s="6"/>
      <c r="LBN41" s="6"/>
      <c r="LBO41" s="6"/>
      <c r="LBP41" s="6"/>
      <c r="LBQ41" s="6"/>
      <c r="LBR41" s="6"/>
      <c r="LBS41" s="6"/>
      <c r="LBT41" s="6"/>
      <c r="LBU41" s="6"/>
      <c r="LBV41" s="6"/>
      <c r="LBW41" s="6"/>
      <c r="LBX41" s="6"/>
      <c r="LBY41" s="6"/>
      <c r="LBZ41" s="6"/>
      <c r="LCA41" s="6"/>
      <c r="LCB41" s="6"/>
      <c r="LCC41" s="6"/>
      <c r="LCD41" s="6"/>
      <c r="LCE41" s="6"/>
      <c r="LCF41" s="6"/>
      <c r="LCG41" s="6"/>
      <c r="LCH41" s="6"/>
      <c r="LCI41" s="6"/>
      <c r="LCJ41" s="6"/>
      <c r="LCK41" s="6"/>
      <c r="LCL41" s="6"/>
      <c r="LCM41" s="6"/>
      <c r="LCN41" s="6"/>
      <c r="LCO41" s="6"/>
      <c r="LCP41" s="6"/>
      <c r="LCQ41" s="6"/>
      <c r="LCR41" s="6"/>
      <c r="LCS41" s="6"/>
      <c r="LCT41" s="6"/>
      <c r="LCU41" s="6"/>
      <c r="LCV41" s="6"/>
      <c r="LCW41" s="6"/>
      <c r="LCX41" s="6"/>
      <c r="LCY41" s="6"/>
      <c r="LCZ41" s="6"/>
      <c r="LDA41" s="6"/>
      <c r="LDB41" s="6"/>
      <c r="LDC41" s="6"/>
      <c r="LDD41" s="6"/>
      <c r="LDE41" s="6"/>
      <c r="LDF41" s="6"/>
      <c r="LDG41" s="6"/>
      <c r="LDH41" s="6"/>
      <c r="LDI41" s="6"/>
      <c r="LDJ41" s="6"/>
      <c r="LDK41" s="6"/>
      <c r="LDL41" s="6"/>
      <c r="LDM41" s="6"/>
      <c r="LDN41" s="6"/>
      <c r="LDO41" s="6"/>
      <c r="LDP41" s="6"/>
      <c r="LDQ41" s="6"/>
      <c r="LDR41" s="6"/>
      <c r="LDS41" s="6"/>
      <c r="LDT41" s="6"/>
      <c r="LDU41" s="6"/>
      <c r="LDV41" s="6"/>
      <c r="LDW41" s="6"/>
      <c r="LDX41" s="6"/>
      <c r="LDY41" s="6"/>
      <c r="LDZ41" s="6"/>
      <c r="LEA41" s="6"/>
      <c r="LEB41" s="6"/>
      <c r="LEC41" s="6"/>
      <c r="LED41" s="6"/>
      <c r="LEE41" s="6"/>
      <c r="LEF41" s="6"/>
      <c r="LEG41" s="6"/>
      <c r="LEH41" s="6"/>
      <c r="LEI41" s="6"/>
      <c r="LEJ41" s="6"/>
      <c r="LEK41" s="6"/>
      <c r="LEL41" s="6"/>
      <c r="LEM41" s="6"/>
      <c r="LEN41" s="6"/>
      <c r="LEO41" s="6"/>
      <c r="LEP41" s="6"/>
      <c r="LEQ41" s="6"/>
      <c r="LER41" s="6"/>
      <c r="LES41" s="6"/>
      <c r="LET41" s="6"/>
      <c r="LEU41" s="6"/>
      <c r="LEV41" s="6"/>
      <c r="LEW41" s="6"/>
      <c r="LEX41" s="6"/>
      <c r="LEY41" s="6"/>
      <c r="LEZ41" s="6"/>
      <c r="LFA41" s="6"/>
      <c r="LFB41" s="6"/>
      <c r="LFC41" s="6"/>
      <c r="LFD41" s="6"/>
      <c r="LFE41" s="6"/>
      <c r="LFF41" s="6"/>
      <c r="LFG41" s="6"/>
      <c r="LFH41" s="6"/>
      <c r="LFI41" s="6"/>
      <c r="LFJ41" s="6"/>
      <c r="LFK41" s="6"/>
      <c r="LFL41" s="6"/>
      <c r="LFM41" s="6"/>
      <c r="LFN41" s="6"/>
      <c r="LFO41" s="6"/>
      <c r="LFP41" s="6"/>
      <c r="LFQ41" s="6"/>
      <c r="LFR41" s="6"/>
      <c r="LFS41" s="6"/>
      <c r="LFT41" s="6"/>
      <c r="LFU41" s="6"/>
      <c r="LFV41" s="6"/>
      <c r="LFW41" s="6"/>
      <c r="LFX41" s="6"/>
      <c r="LFY41" s="6"/>
      <c r="LFZ41" s="6"/>
      <c r="LGA41" s="6"/>
      <c r="LGB41" s="6"/>
      <c r="LGC41" s="6"/>
      <c r="LGD41" s="6"/>
      <c r="LGE41" s="6"/>
      <c r="LGF41" s="6"/>
      <c r="LGG41" s="6"/>
      <c r="LGH41" s="6"/>
      <c r="LGI41" s="6"/>
      <c r="LGJ41" s="6"/>
      <c r="LGK41" s="6"/>
      <c r="LGL41" s="6"/>
      <c r="LGM41" s="6"/>
      <c r="LGN41" s="6"/>
      <c r="LGO41" s="6"/>
      <c r="LGP41" s="6"/>
      <c r="LGQ41" s="6"/>
      <c r="LGR41" s="6"/>
      <c r="LGS41" s="6"/>
      <c r="LGT41" s="6"/>
      <c r="LGU41" s="6"/>
      <c r="LGV41" s="6"/>
      <c r="LGW41" s="6"/>
      <c r="LGX41" s="6"/>
      <c r="LGY41" s="6"/>
      <c r="LGZ41" s="6"/>
      <c r="LHA41" s="6"/>
      <c r="LHB41" s="6"/>
      <c r="LHC41" s="6"/>
      <c r="LHD41" s="6"/>
      <c r="LHE41" s="6"/>
      <c r="LHF41" s="6"/>
      <c r="LHG41" s="6"/>
      <c r="LHH41" s="6"/>
      <c r="LHI41" s="6"/>
      <c r="LHJ41" s="6"/>
      <c r="LHK41" s="6"/>
      <c r="LHL41" s="6"/>
      <c r="LHM41" s="6"/>
      <c r="LHN41" s="6"/>
      <c r="LHO41" s="6"/>
      <c r="LHP41" s="6"/>
      <c r="LHQ41" s="6"/>
      <c r="LHR41" s="6"/>
      <c r="LHS41" s="6"/>
      <c r="LHT41" s="6"/>
      <c r="LHU41" s="6"/>
      <c r="LHV41" s="6"/>
      <c r="LHW41" s="6"/>
      <c r="LHX41" s="6"/>
      <c r="LHY41" s="6"/>
      <c r="LHZ41" s="6"/>
      <c r="LIA41" s="6"/>
      <c r="LIB41" s="6"/>
      <c r="LIC41" s="6"/>
      <c r="LID41" s="6"/>
      <c r="LIE41" s="6"/>
      <c r="LIF41" s="6"/>
      <c r="LIG41" s="6"/>
      <c r="LIH41" s="6"/>
      <c r="LII41" s="6"/>
      <c r="LIJ41" s="6"/>
      <c r="LIK41" s="6"/>
      <c r="LIL41" s="6"/>
      <c r="LIM41" s="6"/>
      <c r="LIN41" s="6"/>
      <c r="LIO41" s="6"/>
      <c r="LIP41" s="6"/>
      <c r="LIQ41" s="6"/>
      <c r="LIR41" s="6"/>
      <c r="LIS41" s="6"/>
      <c r="LIT41" s="6"/>
      <c r="LIU41" s="6"/>
      <c r="LIV41" s="6"/>
      <c r="LIW41" s="6"/>
      <c r="LIX41" s="6"/>
      <c r="LIY41" s="6"/>
      <c r="LIZ41" s="6"/>
      <c r="LJA41" s="6"/>
      <c r="LJB41" s="6"/>
      <c r="LJC41" s="6"/>
      <c r="LJD41" s="6"/>
      <c r="LJE41" s="6"/>
      <c r="LJF41" s="6"/>
      <c r="LJG41" s="6"/>
      <c r="LJH41" s="6"/>
      <c r="LJI41" s="6"/>
      <c r="LJJ41" s="6"/>
      <c r="LJK41" s="6"/>
      <c r="LJL41" s="6"/>
      <c r="LJM41" s="6"/>
      <c r="LJN41" s="6"/>
      <c r="LJO41" s="6"/>
      <c r="LJP41" s="6"/>
      <c r="LJQ41" s="6"/>
      <c r="LJR41" s="6"/>
      <c r="LJS41" s="6"/>
      <c r="LJT41" s="6"/>
      <c r="LJU41" s="6"/>
      <c r="LJV41" s="6"/>
      <c r="LJW41" s="6"/>
      <c r="LJX41" s="6"/>
      <c r="LJY41" s="6"/>
      <c r="LJZ41" s="6"/>
      <c r="LKA41" s="6"/>
      <c r="LKB41" s="6"/>
      <c r="LKC41" s="6"/>
      <c r="LKD41" s="6"/>
      <c r="LKE41" s="6"/>
      <c r="LKF41" s="6"/>
      <c r="LKG41" s="6"/>
      <c r="LKH41" s="6"/>
      <c r="LKI41" s="6"/>
      <c r="LKJ41" s="6"/>
      <c r="LKK41" s="6"/>
      <c r="LKL41" s="6"/>
      <c r="LKM41" s="6"/>
      <c r="LKN41" s="6"/>
      <c r="LKO41" s="6"/>
      <c r="LKP41" s="6"/>
      <c r="LKQ41" s="6"/>
      <c r="LKR41" s="6"/>
      <c r="LKS41" s="6"/>
      <c r="LKT41" s="6"/>
      <c r="LKU41" s="6"/>
      <c r="LKV41" s="6"/>
      <c r="LKW41" s="6"/>
      <c r="LKX41" s="6"/>
      <c r="LKY41" s="6"/>
      <c r="LKZ41" s="6"/>
      <c r="LLA41" s="6"/>
      <c r="LLB41" s="6"/>
      <c r="LLC41" s="6"/>
      <c r="LLD41" s="6"/>
      <c r="LLE41" s="6"/>
      <c r="LLF41" s="6"/>
      <c r="LLG41" s="6"/>
      <c r="LLH41" s="6"/>
      <c r="LLI41" s="6"/>
      <c r="LLJ41" s="6"/>
      <c r="LLK41" s="6"/>
      <c r="LLL41" s="6"/>
      <c r="LLM41" s="6"/>
      <c r="LLN41" s="6"/>
      <c r="LLO41" s="6"/>
      <c r="LLP41" s="6"/>
      <c r="LLQ41" s="6"/>
      <c r="LLR41" s="6"/>
      <c r="LLS41" s="6"/>
      <c r="LLT41" s="6"/>
      <c r="LLU41" s="6"/>
      <c r="LLV41" s="6"/>
      <c r="LLW41" s="6"/>
      <c r="LLX41" s="6"/>
      <c r="LLY41" s="6"/>
      <c r="LLZ41" s="6"/>
      <c r="LMA41" s="6"/>
      <c r="LMB41" s="6"/>
      <c r="LMC41" s="6"/>
      <c r="LMD41" s="6"/>
      <c r="LME41" s="6"/>
      <c r="LMF41" s="6"/>
      <c r="LMG41" s="6"/>
      <c r="LMH41" s="6"/>
      <c r="LMI41" s="6"/>
      <c r="LMJ41" s="6"/>
      <c r="LMK41" s="6"/>
      <c r="LML41" s="6"/>
      <c r="LMM41" s="6"/>
      <c r="LMN41" s="6"/>
      <c r="LMO41" s="6"/>
      <c r="LMP41" s="6"/>
      <c r="LMQ41" s="6"/>
      <c r="LMR41" s="6"/>
      <c r="LMS41" s="6"/>
      <c r="LMT41" s="6"/>
      <c r="LMU41" s="6"/>
      <c r="LMV41" s="6"/>
      <c r="LMW41" s="6"/>
      <c r="LMX41" s="6"/>
      <c r="LMY41" s="6"/>
      <c r="LMZ41" s="6"/>
      <c r="LNA41" s="6"/>
      <c r="LNB41" s="6"/>
      <c r="LNC41" s="6"/>
      <c r="LND41" s="6"/>
      <c r="LNE41" s="6"/>
      <c r="LNF41" s="6"/>
      <c r="LNG41" s="6"/>
      <c r="LNH41" s="6"/>
      <c r="LNI41" s="6"/>
      <c r="LNJ41" s="6"/>
      <c r="LNK41" s="6"/>
      <c r="LNL41" s="6"/>
      <c r="LNM41" s="6"/>
      <c r="LNN41" s="6"/>
      <c r="LNO41" s="6"/>
      <c r="LNP41" s="6"/>
      <c r="LNQ41" s="6"/>
      <c r="LNR41" s="6"/>
      <c r="LNS41" s="6"/>
      <c r="LNT41" s="6"/>
      <c r="LNU41" s="6"/>
      <c r="LNV41" s="6"/>
      <c r="LNW41" s="6"/>
      <c r="LNX41" s="6"/>
      <c r="LNY41" s="6"/>
      <c r="LNZ41" s="6"/>
      <c r="LOA41" s="6"/>
      <c r="LOB41" s="6"/>
      <c r="LOC41" s="6"/>
      <c r="LOD41" s="6"/>
      <c r="LOE41" s="6"/>
      <c r="LOF41" s="6"/>
      <c r="LOG41" s="6"/>
      <c r="LOH41" s="6"/>
      <c r="LOI41" s="6"/>
      <c r="LOJ41" s="6"/>
      <c r="LOK41" s="6"/>
      <c r="LOL41" s="6"/>
      <c r="LOM41" s="6"/>
      <c r="LON41" s="6"/>
      <c r="LOO41" s="6"/>
      <c r="LOP41" s="6"/>
      <c r="LOQ41" s="6"/>
      <c r="LOR41" s="6"/>
      <c r="LOS41" s="6"/>
      <c r="LOT41" s="6"/>
      <c r="LOU41" s="6"/>
      <c r="LOV41" s="6"/>
      <c r="LOW41" s="6"/>
      <c r="LOX41" s="6"/>
      <c r="LOY41" s="6"/>
      <c r="LOZ41" s="6"/>
      <c r="LPA41" s="6"/>
      <c r="LPB41" s="6"/>
      <c r="LPC41" s="6"/>
      <c r="LPD41" s="6"/>
      <c r="LPE41" s="6"/>
      <c r="LPF41" s="6"/>
      <c r="LPG41" s="6"/>
      <c r="LPH41" s="6"/>
      <c r="LPI41" s="6"/>
      <c r="LPJ41" s="6"/>
      <c r="LPK41" s="6"/>
      <c r="LPL41" s="6"/>
      <c r="LPM41" s="6"/>
      <c r="LPN41" s="6"/>
      <c r="LPO41" s="6"/>
      <c r="LPP41" s="6"/>
      <c r="LPQ41" s="6"/>
      <c r="LPR41" s="6"/>
      <c r="LPS41" s="6"/>
      <c r="LPT41" s="6"/>
      <c r="LPU41" s="6"/>
      <c r="LPV41" s="6"/>
      <c r="LPW41" s="6"/>
      <c r="LPX41" s="6"/>
      <c r="LPY41" s="6"/>
      <c r="LPZ41" s="6"/>
      <c r="LQA41" s="6"/>
      <c r="LQB41" s="6"/>
      <c r="LQC41" s="6"/>
      <c r="LQD41" s="6"/>
      <c r="LQE41" s="6"/>
      <c r="LQF41" s="6"/>
      <c r="LQG41" s="6"/>
      <c r="LQH41" s="6"/>
      <c r="LQI41" s="6"/>
      <c r="LQJ41" s="6"/>
      <c r="LQK41" s="6"/>
      <c r="LQL41" s="6"/>
      <c r="LQM41" s="6"/>
      <c r="LQN41" s="6"/>
      <c r="LQO41" s="6"/>
      <c r="LQP41" s="6"/>
      <c r="LQQ41" s="6"/>
      <c r="LQR41" s="6"/>
      <c r="LQS41" s="6"/>
      <c r="LQT41" s="6"/>
      <c r="LQU41" s="6"/>
      <c r="LQV41" s="6"/>
      <c r="LQW41" s="6"/>
      <c r="LQX41" s="6"/>
      <c r="LQY41" s="6"/>
      <c r="LQZ41" s="6"/>
      <c r="LRA41" s="6"/>
      <c r="LRB41" s="6"/>
      <c r="LRC41" s="6"/>
      <c r="LRD41" s="6"/>
      <c r="LRE41" s="6"/>
      <c r="LRF41" s="6"/>
      <c r="LRG41" s="6"/>
      <c r="LRH41" s="6"/>
      <c r="LRI41" s="6"/>
      <c r="LRJ41" s="6"/>
      <c r="LRK41" s="6"/>
      <c r="LRL41" s="6"/>
      <c r="LRM41" s="6"/>
      <c r="LRN41" s="6"/>
      <c r="LRO41" s="6"/>
      <c r="LRP41" s="6"/>
      <c r="LRQ41" s="6"/>
      <c r="LRR41" s="6"/>
      <c r="LRS41" s="6"/>
      <c r="LRT41" s="6"/>
      <c r="LRU41" s="6"/>
      <c r="LRV41" s="6"/>
      <c r="LRW41" s="6"/>
      <c r="LRX41" s="6"/>
      <c r="LRY41" s="6"/>
      <c r="LRZ41" s="6"/>
      <c r="LSA41" s="6"/>
      <c r="LSB41" s="6"/>
      <c r="LSC41" s="6"/>
      <c r="LSD41" s="6"/>
      <c r="LSE41" s="6"/>
      <c r="LSF41" s="6"/>
      <c r="LSG41" s="6"/>
      <c r="LSH41" s="6"/>
      <c r="LSI41" s="6"/>
      <c r="LSJ41" s="6"/>
      <c r="LSK41" s="6"/>
      <c r="LSL41" s="6"/>
      <c r="LSM41" s="6"/>
      <c r="LSN41" s="6"/>
      <c r="LSO41" s="6"/>
      <c r="LSP41" s="6"/>
      <c r="LSQ41" s="6"/>
      <c r="LSR41" s="6"/>
      <c r="LSS41" s="6"/>
      <c r="LST41" s="6"/>
      <c r="LSU41" s="6"/>
      <c r="LSV41" s="6"/>
      <c r="LSW41" s="6"/>
      <c r="LSX41" s="6"/>
      <c r="LSY41" s="6"/>
      <c r="LSZ41" s="6"/>
      <c r="LTA41" s="6"/>
      <c r="LTB41" s="6"/>
      <c r="LTC41" s="6"/>
      <c r="LTD41" s="6"/>
      <c r="LTE41" s="6"/>
      <c r="LTF41" s="6"/>
      <c r="LTG41" s="6"/>
      <c r="LTH41" s="6"/>
      <c r="LTI41" s="6"/>
      <c r="LTJ41" s="6"/>
      <c r="LTK41" s="6"/>
      <c r="LTL41" s="6"/>
      <c r="LTM41" s="6"/>
      <c r="LTN41" s="6"/>
      <c r="LTO41" s="6"/>
      <c r="LTP41" s="6"/>
      <c r="LTQ41" s="6"/>
      <c r="LTR41" s="6"/>
      <c r="LTS41" s="6"/>
      <c r="LTT41" s="6"/>
      <c r="LTU41" s="6"/>
      <c r="LTV41" s="6"/>
      <c r="LTW41" s="6"/>
      <c r="LTX41" s="6"/>
      <c r="LTY41" s="6"/>
      <c r="LTZ41" s="6"/>
      <c r="LUA41" s="6"/>
      <c r="LUB41" s="6"/>
      <c r="LUC41" s="6"/>
      <c r="LUD41" s="6"/>
      <c r="LUE41" s="6"/>
      <c r="LUF41" s="6"/>
      <c r="LUG41" s="6"/>
      <c r="LUH41" s="6"/>
      <c r="LUI41" s="6"/>
      <c r="LUJ41" s="6"/>
      <c r="LUK41" s="6"/>
      <c r="LUL41" s="6"/>
      <c r="LUM41" s="6"/>
      <c r="LUN41" s="6"/>
      <c r="LUO41" s="6"/>
      <c r="LUP41" s="6"/>
      <c r="LUQ41" s="6"/>
      <c r="LUR41" s="6"/>
      <c r="LUS41" s="6"/>
      <c r="LUT41" s="6"/>
      <c r="LUU41" s="6"/>
      <c r="LUV41" s="6"/>
      <c r="LUW41" s="6"/>
      <c r="LUX41" s="6"/>
      <c r="LUY41" s="6"/>
      <c r="LUZ41" s="6"/>
      <c r="LVA41" s="6"/>
      <c r="LVB41" s="6"/>
      <c r="LVC41" s="6"/>
      <c r="LVD41" s="6"/>
      <c r="LVE41" s="6"/>
      <c r="LVF41" s="6"/>
      <c r="LVG41" s="6"/>
      <c r="LVH41" s="6"/>
      <c r="LVI41" s="6"/>
      <c r="LVJ41" s="6"/>
      <c r="LVK41" s="6"/>
      <c r="LVL41" s="6"/>
      <c r="LVM41" s="6"/>
      <c r="LVN41" s="6"/>
      <c r="LVO41" s="6"/>
      <c r="LVP41" s="6"/>
      <c r="LVQ41" s="6"/>
      <c r="LVR41" s="6"/>
      <c r="LVS41" s="6"/>
      <c r="LVT41" s="6"/>
      <c r="LVU41" s="6"/>
      <c r="LVV41" s="6"/>
      <c r="LVW41" s="6"/>
      <c r="LVX41" s="6"/>
      <c r="LVY41" s="6"/>
      <c r="LVZ41" s="6"/>
      <c r="LWA41" s="6"/>
      <c r="LWB41" s="6"/>
      <c r="LWC41" s="6"/>
      <c r="LWD41" s="6"/>
      <c r="LWE41" s="6"/>
      <c r="LWF41" s="6"/>
      <c r="LWG41" s="6"/>
      <c r="LWH41" s="6"/>
      <c r="LWI41" s="6"/>
      <c r="LWJ41" s="6"/>
      <c r="LWK41" s="6"/>
      <c r="LWL41" s="6"/>
      <c r="LWM41" s="6"/>
      <c r="LWN41" s="6"/>
      <c r="LWO41" s="6"/>
      <c r="LWP41" s="6"/>
      <c r="LWQ41" s="6"/>
      <c r="LWR41" s="6"/>
      <c r="LWS41" s="6"/>
      <c r="LWT41" s="6"/>
      <c r="LWU41" s="6"/>
      <c r="LWV41" s="6"/>
      <c r="LWW41" s="6"/>
      <c r="LWX41" s="6"/>
      <c r="LWY41" s="6"/>
      <c r="LWZ41" s="6"/>
      <c r="LXA41" s="6"/>
      <c r="LXB41" s="6"/>
      <c r="LXC41" s="6"/>
      <c r="LXD41" s="6"/>
      <c r="LXE41" s="6"/>
      <c r="LXF41" s="6"/>
      <c r="LXG41" s="6"/>
      <c r="LXH41" s="6"/>
      <c r="LXI41" s="6"/>
      <c r="LXJ41" s="6"/>
      <c r="LXK41" s="6"/>
      <c r="LXL41" s="6"/>
      <c r="LXM41" s="6"/>
      <c r="LXN41" s="6"/>
      <c r="LXO41" s="6"/>
      <c r="LXP41" s="6"/>
      <c r="LXQ41" s="6"/>
      <c r="LXR41" s="6"/>
      <c r="LXS41" s="6"/>
      <c r="LXT41" s="6"/>
      <c r="LXU41" s="6"/>
      <c r="LXV41" s="6"/>
      <c r="LXW41" s="6"/>
      <c r="LXX41" s="6"/>
      <c r="LXY41" s="6"/>
      <c r="LXZ41" s="6"/>
      <c r="LYA41" s="6"/>
      <c r="LYB41" s="6"/>
      <c r="LYC41" s="6"/>
      <c r="LYD41" s="6"/>
      <c r="LYE41" s="6"/>
      <c r="LYF41" s="6"/>
      <c r="LYG41" s="6"/>
      <c r="LYH41" s="6"/>
      <c r="LYI41" s="6"/>
      <c r="LYJ41" s="6"/>
      <c r="LYK41" s="6"/>
      <c r="LYL41" s="6"/>
      <c r="LYM41" s="6"/>
      <c r="LYN41" s="6"/>
      <c r="LYO41" s="6"/>
      <c r="LYP41" s="6"/>
      <c r="LYQ41" s="6"/>
      <c r="LYR41" s="6"/>
      <c r="LYS41" s="6"/>
      <c r="LYT41" s="6"/>
      <c r="LYU41" s="6"/>
      <c r="LYV41" s="6"/>
      <c r="LYW41" s="6"/>
      <c r="LYX41" s="6"/>
      <c r="LYY41" s="6"/>
      <c r="LYZ41" s="6"/>
      <c r="LZA41" s="6"/>
      <c r="LZB41" s="6"/>
      <c r="LZC41" s="6"/>
      <c r="LZD41" s="6"/>
      <c r="LZE41" s="6"/>
      <c r="LZF41" s="6"/>
      <c r="LZG41" s="6"/>
      <c r="LZH41" s="6"/>
      <c r="LZI41" s="6"/>
      <c r="LZJ41" s="6"/>
      <c r="LZK41" s="6"/>
      <c r="LZL41" s="6"/>
      <c r="LZM41" s="6"/>
      <c r="LZN41" s="6"/>
      <c r="LZO41" s="6"/>
      <c r="LZP41" s="6"/>
      <c r="LZQ41" s="6"/>
      <c r="LZR41" s="6"/>
      <c r="LZS41" s="6"/>
      <c r="LZT41" s="6"/>
      <c r="LZU41" s="6"/>
      <c r="LZV41" s="6"/>
      <c r="LZW41" s="6"/>
      <c r="LZX41" s="6"/>
      <c r="LZY41" s="6"/>
      <c r="LZZ41" s="6"/>
      <c r="MAA41" s="6"/>
      <c r="MAB41" s="6"/>
      <c r="MAC41" s="6"/>
      <c r="MAD41" s="6"/>
      <c r="MAE41" s="6"/>
      <c r="MAF41" s="6"/>
      <c r="MAG41" s="6"/>
      <c r="MAH41" s="6"/>
      <c r="MAI41" s="6"/>
      <c r="MAJ41" s="6"/>
      <c r="MAK41" s="6"/>
      <c r="MAL41" s="6"/>
      <c r="MAM41" s="6"/>
      <c r="MAN41" s="6"/>
      <c r="MAO41" s="6"/>
      <c r="MAP41" s="6"/>
      <c r="MAQ41" s="6"/>
      <c r="MAR41" s="6"/>
      <c r="MAS41" s="6"/>
      <c r="MAT41" s="6"/>
      <c r="MAU41" s="6"/>
      <c r="MAV41" s="6"/>
      <c r="MAW41" s="6"/>
      <c r="MAX41" s="6"/>
      <c r="MAY41" s="6"/>
      <c r="MAZ41" s="6"/>
      <c r="MBA41" s="6"/>
      <c r="MBB41" s="6"/>
      <c r="MBC41" s="6"/>
      <c r="MBD41" s="6"/>
      <c r="MBE41" s="6"/>
      <c r="MBF41" s="6"/>
      <c r="MBG41" s="6"/>
      <c r="MBH41" s="6"/>
      <c r="MBI41" s="6"/>
      <c r="MBJ41" s="6"/>
      <c r="MBK41" s="6"/>
      <c r="MBL41" s="6"/>
      <c r="MBM41" s="6"/>
      <c r="MBN41" s="6"/>
      <c r="MBO41" s="6"/>
      <c r="MBP41" s="6"/>
      <c r="MBQ41" s="6"/>
      <c r="MBR41" s="6"/>
      <c r="MBS41" s="6"/>
      <c r="MBT41" s="6"/>
      <c r="MBU41" s="6"/>
      <c r="MBV41" s="6"/>
      <c r="MBW41" s="6"/>
      <c r="MBX41" s="6"/>
      <c r="MBY41" s="6"/>
      <c r="MBZ41" s="6"/>
      <c r="MCA41" s="6"/>
      <c r="MCB41" s="6"/>
      <c r="MCC41" s="6"/>
      <c r="MCD41" s="6"/>
      <c r="MCE41" s="6"/>
      <c r="MCF41" s="6"/>
      <c r="MCG41" s="6"/>
      <c r="MCH41" s="6"/>
      <c r="MCI41" s="6"/>
      <c r="MCJ41" s="6"/>
      <c r="MCK41" s="6"/>
      <c r="MCL41" s="6"/>
      <c r="MCM41" s="6"/>
      <c r="MCN41" s="6"/>
      <c r="MCO41" s="6"/>
      <c r="MCP41" s="6"/>
      <c r="MCQ41" s="6"/>
      <c r="MCR41" s="6"/>
      <c r="MCS41" s="6"/>
      <c r="MCT41" s="6"/>
      <c r="MCU41" s="6"/>
      <c r="MCV41" s="6"/>
      <c r="MCW41" s="6"/>
      <c r="MCX41" s="6"/>
      <c r="MCY41" s="6"/>
      <c r="MCZ41" s="6"/>
      <c r="MDA41" s="6"/>
      <c r="MDB41" s="6"/>
      <c r="MDC41" s="6"/>
      <c r="MDD41" s="6"/>
      <c r="MDE41" s="6"/>
      <c r="MDF41" s="6"/>
      <c r="MDG41" s="6"/>
      <c r="MDH41" s="6"/>
      <c r="MDI41" s="6"/>
      <c r="MDJ41" s="6"/>
      <c r="MDK41" s="6"/>
      <c r="MDL41" s="6"/>
      <c r="MDM41" s="6"/>
      <c r="MDN41" s="6"/>
      <c r="MDO41" s="6"/>
      <c r="MDP41" s="6"/>
      <c r="MDQ41" s="6"/>
      <c r="MDR41" s="6"/>
      <c r="MDS41" s="6"/>
      <c r="MDT41" s="6"/>
      <c r="MDU41" s="6"/>
      <c r="MDV41" s="6"/>
      <c r="MDW41" s="6"/>
      <c r="MDX41" s="6"/>
      <c r="MDY41" s="6"/>
      <c r="MDZ41" s="6"/>
      <c r="MEA41" s="6"/>
      <c r="MEB41" s="6"/>
      <c r="MEC41" s="6"/>
      <c r="MED41" s="6"/>
      <c r="MEE41" s="6"/>
      <c r="MEF41" s="6"/>
      <c r="MEG41" s="6"/>
      <c r="MEH41" s="6"/>
      <c r="MEI41" s="6"/>
      <c r="MEJ41" s="6"/>
      <c r="MEK41" s="6"/>
      <c r="MEL41" s="6"/>
      <c r="MEM41" s="6"/>
      <c r="MEN41" s="6"/>
      <c r="MEO41" s="6"/>
      <c r="MEP41" s="6"/>
      <c r="MEQ41" s="6"/>
      <c r="MER41" s="6"/>
      <c r="MES41" s="6"/>
      <c r="MET41" s="6"/>
      <c r="MEU41" s="6"/>
      <c r="MEV41" s="6"/>
      <c r="MEW41" s="6"/>
      <c r="MEX41" s="6"/>
      <c r="MEY41" s="6"/>
      <c r="MEZ41" s="6"/>
      <c r="MFA41" s="6"/>
      <c r="MFB41" s="6"/>
      <c r="MFC41" s="6"/>
      <c r="MFD41" s="6"/>
      <c r="MFE41" s="6"/>
      <c r="MFF41" s="6"/>
      <c r="MFG41" s="6"/>
      <c r="MFH41" s="6"/>
      <c r="MFI41" s="6"/>
      <c r="MFJ41" s="6"/>
      <c r="MFK41" s="6"/>
      <c r="MFL41" s="6"/>
      <c r="MFM41" s="6"/>
      <c r="MFN41" s="6"/>
      <c r="MFO41" s="6"/>
      <c r="MFP41" s="6"/>
      <c r="MFQ41" s="6"/>
      <c r="MFR41" s="6"/>
      <c r="MFS41" s="6"/>
      <c r="MFT41" s="6"/>
      <c r="MFU41" s="6"/>
      <c r="MFV41" s="6"/>
      <c r="MFW41" s="6"/>
      <c r="MFX41" s="6"/>
      <c r="MFY41" s="6"/>
      <c r="MFZ41" s="6"/>
      <c r="MGA41" s="6"/>
      <c r="MGB41" s="6"/>
      <c r="MGC41" s="6"/>
      <c r="MGD41" s="6"/>
      <c r="MGE41" s="6"/>
      <c r="MGF41" s="6"/>
      <c r="MGG41" s="6"/>
      <c r="MGH41" s="6"/>
      <c r="MGI41" s="6"/>
      <c r="MGJ41" s="6"/>
      <c r="MGK41" s="6"/>
      <c r="MGL41" s="6"/>
      <c r="MGM41" s="6"/>
      <c r="MGN41" s="6"/>
      <c r="MGO41" s="6"/>
      <c r="MGP41" s="6"/>
      <c r="MGQ41" s="6"/>
      <c r="MGR41" s="6"/>
      <c r="MGS41" s="6"/>
      <c r="MGT41" s="6"/>
      <c r="MGU41" s="6"/>
      <c r="MGV41" s="6"/>
      <c r="MGW41" s="6"/>
      <c r="MGX41" s="6"/>
      <c r="MGY41" s="6"/>
      <c r="MGZ41" s="6"/>
      <c r="MHA41" s="6"/>
      <c r="MHB41" s="6"/>
      <c r="MHC41" s="6"/>
      <c r="MHD41" s="6"/>
      <c r="MHE41" s="6"/>
      <c r="MHF41" s="6"/>
      <c r="MHG41" s="6"/>
      <c r="MHH41" s="6"/>
      <c r="MHI41" s="6"/>
      <c r="MHJ41" s="6"/>
      <c r="MHK41" s="6"/>
      <c r="MHL41" s="6"/>
      <c r="MHM41" s="6"/>
      <c r="MHN41" s="6"/>
      <c r="MHO41" s="6"/>
      <c r="MHP41" s="6"/>
      <c r="MHQ41" s="6"/>
      <c r="MHR41" s="6"/>
      <c r="MHS41" s="6"/>
      <c r="MHT41" s="6"/>
      <c r="MHU41" s="6"/>
      <c r="MHV41" s="6"/>
      <c r="MHW41" s="6"/>
      <c r="MHX41" s="6"/>
      <c r="MHY41" s="6"/>
      <c r="MHZ41" s="6"/>
      <c r="MIA41" s="6"/>
      <c r="MIB41" s="6"/>
      <c r="MIC41" s="6"/>
      <c r="MID41" s="6"/>
      <c r="MIE41" s="6"/>
      <c r="MIF41" s="6"/>
      <c r="MIG41" s="6"/>
      <c r="MIH41" s="6"/>
      <c r="MII41" s="6"/>
      <c r="MIJ41" s="6"/>
      <c r="MIK41" s="6"/>
      <c r="MIL41" s="6"/>
      <c r="MIM41" s="6"/>
      <c r="MIN41" s="6"/>
      <c r="MIO41" s="6"/>
      <c r="MIP41" s="6"/>
      <c r="MIQ41" s="6"/>
      <c r="MIR41" s="6"/>
      <c r="MIS41" s="6"/>
      <c r="MIT41" s="6"/>
      <c r="MIU41" s="6"/>
      <c r="MIV41" s="6"/>
      <c r="MIW41" s="6"/>
      <c r="MIX41" s="6"/>
      <c r="MIY41" s="6"/>
      <c r="MIZ41" s="6"/>
      <c r="MJA41" s="6"/>
      <c r="MJB41" s="6"/>
      <c r="MJC41" s="6"/>
      <c r="MJD41" s="6"/>
      <c r="MJE41" s="6"/>
      <c r="MJF41" s="6"/>
      <c r="MJG41" s="6"/>
      <c r="MJH41" s="6"/>
      <c r="MJI41" s="6"/>
      <c r="MJJ41" s="6"/>
      <c r="MJK41" s="6"/>
      <c r="MJL41" s="6"/>
      <c r="MJM41" s="6"/>
      <c r="MJN41" s="6"/>
      <c r="MJO41" s="6"/>
      <c r="MJP41" s="6"/>
      <c r="MJQ41" s="6"/>
      <c r="MJR41" s="6"/>
      <c r="MJS41" s="6"/>
      <c r="MJT41" s="6"/>
      <c r="MJU41" s="6"/>
      <c r="MJV41" s="6"/>
      <c r="MJW41" s="6"/>
      <c r="MJX41" s="6"/>
      <c r="MJY41" s="6"/>
      <c r="MJZ41" s="6"/>
      <c r="MKA41" s="6"/>
      <c r="MKB41" s="6"/>
      <c r="MKC41" s="6"/>
      <c r="MKD41" s="6"/>
      <c r="MKE41" s="6"/>
      <c r="MKF41" s="6"/>
      <c r="MKG41" s="6"/>
      <c r="MKH41" s="6"/>
      <c r="MKI41" s="6"/>
      <c r="MKJ41" s="6"/>
      <c r="MKK41" s="6"/>
      <c r="MKL41" s="6"/>
      <c r="MKM41" s="6"/>
      <c r="MKN41" s="6"/>
      <c r="MKO41" s="6"/>
      <c r="MKP41" s="6"/>
      <c r="MKQ41" s="6"/>
      <c r="MKR41" s="6"/>
      <c r="MKS41" s="6"/>
      <c r="MKT41" s="6"/>
      <c r="MKU41" s="6"/>
      <c r="MKV41" s="6"/>
      <c r="MKW41" s="6"/>
      <c r="MKX41" s="6"/>
      <c r="MKY41" s="6"/>
      <c r="MKZ41" s="6"/>
      <c r="MLA41" s="6"/>
      <c r="MLB41" s="6"/>
      <c r="MLC41" s="6"/>
      <c r="MLD41" s="6"/>
      <c r="MLE41" s="6"/>
      <c r="MLF41" s="6"/>
      <c r="MLG41" s="6"/>
      <c r="MLH41" s="6"/>
      <c r="MLI41" s="6"/>
      <c r="MLJ41" s="6"/>
      <c r="MLK41" s="6"/>
      <c r="MLL41" s="6"/>
      <c r="MLM41" s="6"/>
      <c r="MLN41" s="6"/>
      <c r="MLO41" s="6"/>
      <c r="MLP41" s="6"/>
      <c r="MLQ41" s="6"/>
      <c r="MLR41" s="6"/>
      <c r="MLS41" s="6"/>
      <c r="MLT41" s="6"/>
      <c r="MLU41" s="6"/>
      <c r="MLV41" s="6"/>
      <c r="MLW41" s="6"/>
      <c r="MLX41" s="6"/>
      <c r="MLY41" s="6"/>
      <c r="MLZ41" s="6"/>
      <c r="MMA41" s="6"/>
      <c r="MMB41" s="6"/>
      <c r="MMC41" s="6"/>
      <c r="MMD41" s="6"/>
      <c r="MME41" s="6"/>
      <c r="MMF41" s="6"/>
      <c r="MMG41" s="6"/>
      <c r="MMH41" s="6"/>
      <c r="MMI41" s="6"/>
      <c r="MMJ41" s="6"/>
      <c r="MMK41" s="6"/>
      <c r="MML41" s="6"/>
      <c r="MMM41" s="6"/>
      <c r="MMN41" s="6"/>
      <c r="MMO41" s="6"/>
      <c r="MMP41" s="6"/>
      <c r="MMQ41" s="6"/>
      <c r="MMR41" s="6"/>
      <c r="MMS41" s="6"/>
      <c r="MMT41" s="6"/>
      <c r="MMU41" s="6"/>
      <c r="MMV41" s="6"/>
      <c r="MMW41" s="6"/>
      <c r="MMX41" s="6"/>
      <c r="MMY41" s="6"/>
      <c r="MMZ41" s="6"/>
      <c r="MNA41" s="6"/>
      <c r="MNB41" s="6"/>
      <c r="MNC41" s="6"/>
      <c r="MND41" s="6"/>
      <c r="MNE41" s="6"/>
      <c r="MNF41" s="6"/>
      <c r="MNG41" s="6"/>
      <c r="MNH41" s="6"/>
      <c r="MNI41" s="6"/>
      <c r="MNJ41" s="6"/>
      <c r="MNK41" s="6"/>
      <c r="MNL41" s="6"/>
      <c r="MNM41" s="6"/>
      <c r="MNN41" s="6"/>
      <c r="MNO41" s="6"/>
      <c r="MNP41" s="6"/>
      <c r="MNQ41" s="6"/>
      <c r="MNR41" s="6"/>
      <c r="MNS41" s="6"/>
      <c r="MNT41" s="6"/>
      <c r="MNU41" s="6"/>
      <c r="MNV41" s="6"/>
      <c r="MNW41" s="6"/>
      <c r="MNX41" s="6"/>
      <c r="MNY41" s="6"/>
      <c r="MNZ41" s="6"/>
      <c r="MOA41" s="6"/>
      <c r="MOB41" s="6"/>
      <c r="MOC41" s="6"/>
      <c r="MOD41" s="6"/>
      <c r="MOE41" s="6"/>
      <c r="MOF41" s="6"/>
      <c r="MOG41" s="6"/>
      <c r="MOH41" s="6"/>
      <c r="MOI41" s="6"/>
      <c r="MOJ41" s="6"/>
      <c r="MOK41" s="6"/>
      <c r="MOL41" s="6"/>
      <c r="MOM41" s="6"/>
      <c r="MON41" s="6"/>
      <c r="MOO41" s="6"/>
      <c r="MOP41" s="6"/>
      <c r="MOQ41" s="6"/>
      <c r="MOR41" s="6"/>
      <c r="MOS41" s="6"/>
      <c r="MOT41" s="6"/>
      <c r="MOU41" s="6"/>
      <c r="MOV41" s="6"/>
      <c r="MOW41" s="6"/>
      <c r="MOX41" s="6"/>
      <c r="MOY41" s="6"/>
      <c r="MOZ41" s="6"/>
      <c r="MPA41" s="6"/>
      <c r="MPB41" s="6"/>
      <c r="MPC41" s="6"/>
      <c r="MPD41" s="6"/>
      <c r="MPE41" s="6"/>
      <c r="MPF41" s="6"/>
      <c r="MPG41" s="6"/>
      <c r="MPH41" s="6"/>
      <c r="MPI41" s="6"/>
      <c r="MPJ41" s="6"/>
      <c r="MPK41" s="6"/>
      <c r="MPL41" s="6"/>
      <c r="MPM41" s="6"/>
      <c r="MPN41" s="6"/>
      <c r="MPO41" s="6"/>
      <c r="MPP41" s="6"/>
      <c r="MPQ41" s="6"/>
      <c r="MPR41" s="6"/>
      <c r="MPS41" s="6"/>
      <c r="MPT41" s="6"/>
      <c r="MPU41" s="6"/>
      <c r="MPV41" s="6"/>
      <c r="MPW41" s="6"/>
      <c r="MPX41" s="6"/>
      <c r="MPY41" s="6"/>
      <c r="MPZ41" s="6"/>
      <c r="MQA41" s="6"/>
      <c r="MQB41" s="6"/>
      <c r="MQC41" s="6"/>
      <c r="MQD41" s="6"/>
      <c r="MQE41" s="6"/>
      <c r="MQF41" s="6"/>
      <c r="MQG41" s="6"/>
      <c r="MQH41" s="6"/>
      <c r="MQI41" s="6"/>
      <c r="MQJ41" s="6"/>
      <c r="MQK41" s="6"/>
      <c r="MQL41" s="6"/>
      <c r="MQM41" s="6"/>
      <c r="MQN41" s="6"/>
      <c r="MQO41" s="6"/>
      <c r="MQP41" s="6"/>
      <c r="MQQ41" s="6"/>
      <c r="MQR41" s="6"/>
      <c r="MQS41" s="6"/>
      <c r="MQT41" s="6"/>
      <c r="MQU41" s="6"/>
      <c r="MQV41" s="6"/>
      <c r="MQW41" s="6"/>
      <c r="MQX41" s="6"/>
      <c r="MQY41" s="6"/>
      <c r="MQZ41" s="6"/>
      <c r="MRA41" s="6"/>
      <c r="MRB41" s="6"/>
      <c r="MRC41" s="6"/>
      <c r="MRD41" s="6"/>
      <c r="MRE41" s="6"/>
      <c r="MRF41" s="6"/>
      <c r="MRG41" s="6"/>
      <c r="MRH41" s="6"/>
      <c r="MRI41" s="6"/>
      <c r="MRJ41" s="6"/>
      <c r="MRK41" s="6"/>
      <c r="MRL41" s="6"/>
      <c r="MRM41" s="6"/>
      <c r="MRN41" s="6"/>
      <c r="MRO41" s="6"/>
      <c r="MRP41" s="6"/>
      <c r="MRQ41" s="6"/>
      <c r="MRR41" s="6"/>
      <c r="MRS41" s="6"/>
      <c r="MRT41" s="6"/>
      <c r="MRU41" s="6"/>
      <c r="MRV41" s="6"/>
      <c r="MRW41" s="6"/>
      <c r="MRX41" s="6"/>
      <c r="MRY41" s="6"/>
      <c r="MRZ41" s="6"/>
      <c r="MSA41" s="6"/>
      <c r="MSB41" s="6"/>
      <c r="MSC41" s="6"/>
      <c r="MSD41" s="6"/>
      <c r="MSE41" s="6"/>
      <c r="MSF41" s="6"/>
      <c r="MSG41" s="6"/>
      <c r="MSH41" s="6"/>
      <c r="MSI41" s="6"/>
      <c r="MSJ41" s="6"/>
      <c r="MSK41" s="6"/>
      <c r="MSL41" s="6"/>
      <c r="MSM41" s="6"/>
      <c r="MSN41" s="6"/>
      <c r="MSO41" s="6"/>
      <c r="MSP41" s="6"/>
      <c r="MSQ41" s="6"/>
      <c r="MSR41" s="6"/>
      <c r="MSS41" s="6"/>
      <c r="MST41" s="6"/>
      <c r="MSU41" s="6"/>
      <c r="MSV41" s="6"/>
      <c r="MSW41" s="6"/>
      <c r="MSX41" s="6"/>
      <c r="MSY41" s="6"/>
      <c r="MSZ41" s="6"/>
      <c r="MTA41" s="6"/>
      <c r="MTB41" s="6"/>
      <c r="MTC41" s="6"/>
      <c r="MTD41" s="6"/>
      <c r="MTE41" s="6"/>
      <c r="MTF41" s="6"/>
      <c r="MTG41" s="6"/>
      <c r="MTH41" s="6"/>
      <c r="MTI41" s="6"/>
      <c r="MTJ41" s="6"/>
      <c r="MTK41" s="6"/>
      <c r="MTL41" s="6"/>
      <c r="MTM41" s="6"/>
      <c r="MTN41" s="6"/>
      <c r="MTO41" s="6"/>
      <c r="MTP41" s="6"/>
      <c r="MTQ41" s="6"/>
      <c r="MTR41" s="6"/>
      <c r="MTS41" s="6"/>
      <c r="MTT41" s="6"/>
      <c r="MTU41" s="6"/>
      <c r="MTV41" s="6"/>
      <c r="MTW41" s="6"/>
      <c r="MTX41" s="6"/>
      <c r="MTY41" s="6"/>
      <c r="MTZ41" s="6"/>
      <c r="MUA41" s="6"/>
      <c r="MUB41" s="6"/>
      <c r="MUC41" s="6"/>
      <c r="MUD41" s="6"/>
      <c r="MUE41" s="6"/>
      <c r="MUF41" s="6"/>
      <c r="MUG41" s="6"/>
      <c r="MUH41" s="6"/>
      <c r="MUI41" s="6"/>
      <c r="MUJ41" s="6"/>
      <c r="MUK41" s="6"/>
      <c r="MUL41" s="6"/>
      <c r="MUM41" s="6"/>
      <c r="MUN41" s="6"/>
      <c r="MUO41" s="6"/>
      <c r="MUP41" s="6"/>
      <c r="MUQ41" s="6"/>
      <c r="MUR41" s="6"/>
      <c r="MUS41" s="6"/>
      <c r="MUT41" s="6"/>
      <c r="MUU41" s="6"/>
      <c r="MUV41" s="6"/>
      <c r="MUW41" s="6"/>
      <c r="MUX41" s="6"/>
      <c r="MUY41" s="6"/>
      <c r="MUZ41" s="6"/>
      <c r="MVA41" s="6"/>
      <c r="MVB41" s="6"/>
      <c r="MVC41" s="6"/>
      <c r="MVD41" s="6"/>
      <c r="MVE41" s="6"/>
      <c r="MVF41" s="6"/>
      <c r="MVG41" s="6"/>
      <c r="MVH41" s="6"/>
      <c r="MVI41" s="6"/>
      <c r="MVJ41" s="6"/>
      <c r="MVK41" s="6"/>
      <c r="MVL41" s="6"/>
      <c r="MVM41" s="6"/>
      <c r="MVN41" s="6"/>
      <c r="MVO41" s="6"/>
      <c r="MVP41" s="6"/>
      <c r="MVQ41" s="6"/>
      <c r="MVR41" s="6"/>
      <c r="MVS41" s="6"/>
      <c r="MVT41" s="6"/>
      <c r="MVU41" s="6"/>
      <c r="MVV41" s="6"/>
      <c r="MVW41" s="6"/>
      <c r="MVX41" s="6"/>
      <c r="MVY41" s="6"/>
      <c r="MVZ41" s="6"/>
      <c r="MWA41" s="6"/>
      <c r="MWB41" s="6"/>
      <c r="MWC41" s="6"/>
      <c r="MWD41" s="6"/>
      <c r="MWE41" s="6"/>
      <c r="MWF41" s="6"/>
      <c r="MWG41" s="6"/>
      <c r="MWH41" s="6"/>
      <c r="MWI41" s="6"/>
      <c r="MWJ41" s="6"/>
      <c r="MWK41" s="6"/>
      <c r="MWL41" s="6"/>
      <c r="MWM41" s="6"/>
      <c r="MWN41" s="6"/>
      <c r="MWO41" s="6"/>
      <c r="MWP41" s="6"/>
      <c r="MWQ41" s="6"/>
      <c r="MWR41" s="6"/>
      <c r="MWS41" s="6"/>
      <c r="MWT41" s="6"/>
      <c r="MWU41" s="6"/>
      <c r="MWV41" s="6"/>
      <c r="MWW41" s="6"/>
      <c r="MWX41" s="6"/>
      <c r="MWY41" s="6"/>
      <c r="MWZ41" s="6"/>
      <c r="MXA41" s="6"/>
      <c r="MXB41" s="6"/>
      <c r="MXC41" s="6"/>
      <c r="MXD41" s="6"/>
      <c r="MXE41" s="6"/>
      <c r="MXF41" s="6"/>
      <c r="MXG41" s="6"/>
      <c r="MXH41" s="6"/>
      <c r="MXI41" s="6"/>
      <c r="MXJ41" s="6"/>
      <c r="MXK41" s="6"/>
      <c r="MXL41" s="6"/>
      <c r="MXM41" s="6"/>
      <c r="MXN41" s="6"/>
      <c r="MXO41" s="6"/>
      <c r="MXP41" s="6"/>
      <c r="MXQ41" s="6"/>
      <c r="MXR41" s="6"/>
      <c r="MXS41" s="6"/>
      <c r="MXT41" s="6"/>
      <c r="MXU41" s="6"/>
      <c r="MXV41" s="6"/>
      <c r="MXW41" s="6"/>
      <c r="MXX41" s="6"/>
      <c r="MXY41" s="6"/>
      <c r="MXZ41" s="6"/>
      <c r="MYA41" s="6"/>
      <c r="MYB41" s="6"/>
      <c r="MYC41" s="6"/>
      <c r="MYD41" s="6"/>
      <c r="MYE41" s="6"/>
      <c r="MYF41" s="6"/>
      <c r="MYG41" s="6"/>
      <c r="MYH41" s="6"/>
      <c r="MYI41" s="6"/>
      <c r="MYJ41" s="6"/>
      <c r="MYK41" s="6"/>
      <c r="MYL41" s="6"/>
      <c r="MYM41" s="6"/>
      <c r="MYN41" s="6"/>
      <c r="MYO41" s="6"/>
      <c r="MYP41" s="6"/>
      <c r="MYQ41" s="6"/>
      <c r="MYR41" s="6"/>
      <c r="MYS41" s="6"/>
      <c r="MYT41" s="6"/>
      <c r="MYU41" s="6"/>
      <c r="MYV41" s="6"/>
      <c r="MYW41" s="6"/>
      <c r="MYX41" s="6"/>
      <c r="MYY41" s="6"/>
      <c r="MYZ41" s="6"/>
      <c r="MZA41" s="6"/>
      <c r="MZB41" s="6"/>
      <c r="MZC41" s="6"/>
      <c r="MZD41" s="6"/>
      <c r="MZE41" s="6"/>
      <c r="MZF41" s="6"/>
      <c r="MZG41" s="6"/>
      <c r="MZH41" s="6"/>
      <c r="MZI41" s="6"/>
      <c r="MZJ41" s="6"/>
      <c r="MZK41" s="6"/>
      <c r="MZL41" s="6"/>
      <c r="MZM41" s="6"/>
      <c r="MZN41" s="6"/>
      <c r="MZO41" s="6"/>
      <c r="MZP41" s="6"/>
      <c r="MZQ41" s="6"/>
      <c r="MZR41" s="6"/>
      <c r="MZS41" s="6"/>
      <c r="MZT41" s="6"/>
      <c r="MZU41" s="6"/>
      <c r="MZV41" s="6"/>
      <c r="MZW41" s="6"/>
      <c r="MZX41" s="6"/>
      <c r="MZY41" s="6"/>
      <c r="MZZ41" s="6"/>
      <c r="NAA41" s="6"/>
      <c r="NAB41" s="6"/>
      <c r="NAC41" s="6"/>
      <c r="NAD41" s="6"/>
      <c r="NAE41" s="6"/>
      <c r="NAF41" s="6"/>
      <c r="NAG41" s="6"/>
      <c r="NAH41" s="6"/>
      <c r="NAI41" s="6"/>
      <c r="NAJ41" s="6"/>
      <c r="NAK41" s="6"/>
      <c r="NAL41" s="6"/>
      <c r="NAM41" s="6"/>
      <c r="NAN41" s="6"/>
      <c r="NAO41" s="6"/>
      <c r="NAP41" s="6"/>
      <c r="NAQ41" s="6"/>
      <c r="NAR41" s="6"/>
      <c r="NAS41" s="6"/>
      <c r="NAT41" s="6"/>
      <c r="NAU41" s="6"/>
      <c r="NAV41" s="6"/>
      <c r="NAW41" s="6"/>
      <c r="NAX41" s="6"/>
      <c r="NAY41" s="6"/>
      <c r="NAZ41" s="6"/>
      <c r="NBA41" s="6"/>
      <c r="NBB41" s="6"/>
      <c r="NBC41" s="6"/>
      <c r="NBD41" s="6"/>
      <c r="NBE41" s="6"/>
      <c r="NBF41" s="6"/>
      <c r="NBG41" s="6"/>
      <c r="NBH41" s="6"/>
      <c r="NBI41" s="6"/>
      <c r="NBJ41" s="6"/>
      <c r="NBK41" s="6"/>
      <c r="NBL41" s="6"/>
      <c r="NBM41" s="6"/>
      <c r="NBN41" s="6"/>
      <c r="NBO41" s="6"/>
      <c r="NBP41" s="6"/>
      <c r="NBQ41" s="6"/>
      <c r="NBR41" s="6"/>
      <c r="NBS41" s="6"/>
      <c r="NBT41" s="6"/>
      <c r="NBU41" s="6"/>
      <c r="NBV41" s="6"/>
      <c r="NBW41" s="6"/>
      <c r="NBX41" s="6"/>
      <c r="NBY41" s="6"/>
      <c r="NBZ41" s="6"/>
      <c r="NCA41" s="6"/>
      <c r="NCB41" s="6"/>
      <c r="NCC41" s="6"/>
      <c r="NCD41" s="6"/>
      <c r="NCE41" s="6"/>
      <c r="NCF41" s="6"/>
      <c r="NCG41" s="6"/>
      <c r="NCH41" s="6"/>
      <c r="NCI41" s="6"/>
      <c r="NCJ41" s="6"/>
      <c r="NCK41" s="6"/>
      <c r="NCL41" s="6"/>
      <c r="NCM41" s="6"/>
      <c r="NCN41" s="6"/>
      <c r="NCO41" s="6"/>
      <c r="NCP41" s="6"/>
      <c r="NCQ41" s="6"/>
      <c r="NCR41" s="6"/>
      <c r="NCS41" s="6"/>
      <c r="NCT41" s="6"/>
      <c r="NCU41" s="6"/>
      <c r="NCV41" s="6"/>
      <c r="NCW41" s="6"/>
      <c r="NCX41" s="6"/>
      <c r="NCY41" s="6"/>
      <c r="NCZ41" s="6"/>
      <c r="NDA41" s="6"/>
      <c r="NDB41" s="6"/>
      <c r="NDC41" s="6"/>
      <c r="NDD41" s="6"/>
      <c r="NDE41" s="6"/>
      <c r="NDF41" s="6"/>
      <c r="NDG41" s="6"/>
      <c r="NDH41" s="6"/>
      <c r="NDI41" s="6"/>
      <c r="NDJ41" s="6"/>
      <c r="NDK41" s="6"/>
      <c r="NDL41" s="6"/>
      <c r="NDM41" s="6"/>
      <c r="NDN41" s="6"/>
      <c r="NDO41" s="6"/>
      <c r="NDP41" s="6"/>
      <c r="NDQ41" s="6"/>
      <c r="NDR41" s="6"/>
      <c r="NDS41" s="6"/>
      <c r="NDT41" s="6"/>
      <c r="NDU41" s="6"/>
      <c r="NDV41" s="6"/>
      <c r="NDW41" s="6"/>
      <c r="NDX41" s="6"/>
      <c r="NDY41" s="6"/>
      <c r="NDZ41" s="6"/>
      <c r="NEA41" s="6"/>
      <c r="NEB41" s="6"/>
      <c r="NEC41" s="6"/>
      <c r="NED41" s="6"/>
      <c r="NEE41" s="6"/>
      <c r="NEF41" s="6"/>
      <c r="NEG41" s="6"/>
      <c r="NEH41" s="6"/>
      <c r="NEI41" s="6"/>
      <c r="NEJ41" s="6"/>
      <c r="NEK41" s="6"/>
      <c r="NEL41" s="6"/>
      <c r="NEM41" s="6"/>
      <c r="NEN41" s="6"/>
      <c r="NEO41" s="6"/>
      <c r="NEP41" s="6"/>
      <c r="NEQ41" s="6"/>
      <c r="NER41" s="6"/>
      <c r="NES41" s="6"/>
      <c r="NET41" s="6"/>
      <c r="NEU41" s="6"/>
      <c r="NEV41" s="6"/>
      <c r="NEW41" s="6"/>
      <c r="NEX41" s="6"/>
      <c r="NEY41" s="6"/>
      <c r="NEZ41" s="6"/>
      <c r="NFA41" s="6"/>
      <c r="NFB41" s="6"/>
      <c r="NFC41" s="6"/>
      <c r="NFD41" s="6"/>
      <c r="NFE41" s="6"/>
      <c r="NFF41" s="6"/>
      <c r="NFG41" s="6"/>
      <c r="NFH41" s="6"/>
      <c r="NFI41" s="6"/>
      <c r="NFJ41" s="6"/>
      <c r="NFK41" s="6"/>
      <c r="NFL41" s="6"/>
      <c r="NFM41" s="6"/>
      <c r="NFN41" s="6"/>
      <c r="NFO41" s="6"/>
      <c r="NFP41" s="6"/>
      <c r="NFQ41" s="6"/>
      <c r="NFR41" s="6"/>
      <c r="NFS41" s="6"/>
      <c r="NFT41" s="6"/>
      <c r="NFU41" s="6"/>
      <c r="NFV41" s="6"/>
      <c r="NFW41" s="6"/>
      <c r="NFX41" s="6"/>
      <c r="NFY41" s="6"/>
      <c r="NFZ41" s="6"/>
      <c r="NGA41" s="6"/>
      <c r="NGB41" s="6"/>
      <c r="NGC41" s="6"/>
      <c r="NGD41" s="6"/>
      <c r="NGE41" s="6"/>
      <c r="NGF41" s="6"/>
      <c r="NGG41" s="6"/>
      <c r="NGH41" s="6"/>
      <c r="NGI41" s="6"/>
      <c r="NGJ41" s="6"/>
      <c r="NGK41" s="6"/>
      <c r="NGL41" s="6"/>
      <c r="NGM41" s="6"/>
      <c r="NGN41" s="6"/>
      <c r="NGO41" s="6"/>
      <c r="NGP41" s="6"/>
      <c r="NGQ41" s="6"/>
      <c r="NGR41" s="6"/>
      <c r="NGS41" s="6"/>
      <c r="NGT41" s="6"/>
      <c r="NGU41" s="6"/>
      <c r="NGV41" s="6"/>
      <c r="NGW41" s="6"/>
      <c r="NGX41" s="6"/>
      <c r="NGY41" s="6"/>
      <c r="NGZ41" s="6"/>
      <c r="NHA41" s="6"/>
      <c r="NHB41" s="6"/>
      <c r="NHC41" s="6"/>
      <c r="NHD41" s="6"/>
      <c r="NHE41" s="6"/>
      <c r="NHF41" s="6"/>
      <c r="NHG41" s="6"/>
      <c r="NHH41" s="6"/>
      <c r="NHI41" s="6"/>
      <c r="NHJ41" s="6"/>
      <c r="NHK41" s="6"/>
      <c r="NHL41" s="6"/>
      <c r="NHM41" s="6"/>
      <c r="NHN41" s="6"/>
      <c r="NHO41" s="6"/>
      <c r="NHP41" s="6"/>
      <c r="NHQ41" s="6"/>
      <c r="NHR41" s="6"/>
      <c r="NHS41" s="6"/>
      <c r="NHT41" s="6"/>
      <c r="NHU41" s="6"/>
      <c r="NHV41" s="6"/>
      <c r="NHW41" s="6"/>
      <c r="NHX41" s="6"/>
      <c r="NHY41" s="6"/>
      <c r="NHZ41" s="6"/>
      <c r="NIA41" s="6"/>
      <c r="NIB41" s="6"/>
      <c r="NIC41" s="6"/>
      <c r="NID41" s="6"/>
      <c r="NIE41" s="6"/>
      <c r="NIF41" s="6"/>
      <c r="NIG41" s="6"/>
      <c r="NIH41" s="6"/>
      <c r="NII41" s="6"/>
      <c r="NIJ41" s="6"/>
      <c r="NIK41" s="6"/>
      <c r="NIL41" s="6"/>
      <c r="NIM41" s="6"/>
      <c r="NIN41" s="6"/>
      <c r="NIO41" s="6"/>
      <c r="NIP41" s="6"/>
      <c r="NIQ41" s="6"/>
      <c r="NIR41" s="6"/>
      <c r="NIS41" s="6"/>
      <c r="NIT41" s="6"/>
      <c r="NIU41" s="6"/>
      <c r="NIV41" s="6"/>
      <c r="NIW41" s="6"/>
      <c r="NIX41" s="6"/>
      <c r="NIY41" s="6"/>
      <c r="NIZ41" s="6"/>
      <c r="NJA41" s="6"/>
      <c r="NJB41" s="6"/>
      <c r="NJC41" s="6"/>
      <c r="NJD41" s="6"/>
      <c r="NJE41" s="6"/>
      <c r="NJF41" s="6"/>
      <c r="NJG41" s="6"/>
      <c r="NJH41" s="6"/>
      <c r="NJI41" s="6"/>
      <c r="NJJ41" s="6"/>
      <c r="NJK41" s="6"/>
      <c r="NJL41" s="6"/>
      <c r="NJM41" s="6"/>
      <c r="NJN41" s="6"/>
      <c r="NJO41" s="6"/>
      <c r="NJP41" s="6"/>
      <c r="NJQ41" s="6"/>
      <c r="NJR41" s="6"/>
      <c r="NJS41" s="6"/>
      <c r="NJT41" s="6"/>
      <c r="NJU41" s="6"/>
      <c r="NJV41" s="6"/>
      <c r="NJW41" s="6"/>
      <c r="NJX41" s="6"/>
      <c r="NJY41" s="6"/>
      <c r="NJZ41" s="6"/>
      <c r="NKA41" s="6"/>
      <c r="NKB41" s="6"/>
      <c r="NKC41" s="6"/>
      <c r="NKD41" s="6"/>
      <c r="NKE41" s="6"/>
      <c r="NKF41" s="6"/>
      <c r="NKG41" s="6"/>
      <c r="NKH41" s="6"/>
      <c r="NKI41" s="6"/>
      <c r="NKJ41" s="6"/>
      <c r="NKK41" s="6"/>
      <c r="NKL41" s="6"/>
      <c r="NKM41" s="6"/>
      <c r="NKN41" s="6"/>
      <c r="NKO41" s="6"/>
      <c r="NKP41" s="6"/>
      <c r="NKQ41" s="6"/>
      <c r="NKR41" s="6"/>
      <c r="NKS41" s="6"/>
      <c r="NKT41" s="6"/>
      <c r="NKU41" s="6"/>
      <c r="NKV41" s="6"/>
      <c r="NKW41" s="6"/>
      <c r="NKX41" s="6"/>
      <c r="NKY41" s="6"/>
      <c r="NKZ41" s="6"/>
      <c r="NLA41" s="6"/>
      <c r="NLB41" s="6"/>
      <c r="NLC41" s="6"/>
      <c r="NLD41" s="6"/>
      <c r="NLE41" s="6"/>
      <c r="NLF41" s="6"/>
      <c r="NLG41" s="6"/>
      <c r="NLH41" s="6"/>
      <c r="NLI41" s="6"/>
      <c r="NLJ41" s="6"/>
      <c r="NLK41" s="6"/>
      <c r="NLL41" s="6"/>
      <c r="NLM41" s="6"/>
      <c r="NLN41" s="6"/>
      <c r="NLO41" s="6"/>
      <c r="NLP41" s="6"/>
      <c r="NLQ41" s="6"/>
      <c r="NLR41" s="6"/>
      <c r="NLS41" s="6"/>
      <c r="NLT41" s="6"/>
      <c r="NLU41" s="6"/>
      <c r="NLV41" s="6"/>
      <c r="NLW41" s="6"/>
      <c r="NLX41" s="6"/>
      <c r="NLY41" s="6"/>
      <c r="NLZ41" s="6"/>
      <c r="NMA41" s="6"/>
      <c r="NMB41" s="6"/>
      <c r="NMC41" s="6"/>
      <c r="NMD41" s="6"/>
      <c r="NME41" s="6"/>
      <c r="NMF41" s="6"/>
      <c r="NMG41" s="6"/>
      <c r="NMH41" s="6"/>
      <c r="NMI41" s="6"/>
      <c r="NMJ41" s="6"/>
      <c r="NMK41" s="6"/>
      <c r="NML41" s="6"/>
      <c r="NMM41" s="6"/>
      <c r="NMN41" s="6"/>
      <c r="NMO41" s="6"/>
      <c r="NMP41" s="6"/>
      <c r="NMQ41" s="6"/>
      <c r="NMR41" s="6"/>
      <c r="NMS41" s="6"/>
      <c r="NMT41" s="6"/>
      <c r="NMU41" s="6"/>
      <c r="NMV41" s="6"/>
      <c r="NMW41" s="6"/>
      <c r="NMX41" s="6"/>
      <c r="NMY41" s="6"/>
      <c r="NMZ41" s="6"/>
      <c r="NNA41" s="6"/>
      <c r="NNB41" s="6"/>
      <c r="NNC41" s="6"/>
      <c r="NND41" s="6"/>
      <c r="NNE41" s="6"/>
      <c r="NNF41" s="6"/>
      <c r="NNG41" s="6"/>
      <c r="NNH41" s="6"/>
      <c r="NNI41" s="6"/>
      <c r="NNJ41" s="6"/>
      <c r="NNK41" s="6"/>
      <c r="NNL41" s="6"/>
      <c r="NNM41" s="6"/>
      <c r="NNN41" s="6"/>
      <c r="NNO41" s="6"/>
      <c r="NNP41" s="6"/>
      <c r="NNQ41" s="6"/>
      <c r="NNR41" s="6"/>
      <c r="NNS41" s="6"/>
      <c r="NNT41" s="6"/>
      <c r="NNU41" s="6"/>
      <c r="NNV41" s="6"/>
      <c r="NNW41" s="6"/>
      <c r="NNX41" s="6"/>
      <c r="NNY41" s="6"/>
      <c r="NNZ41" s="6"/>
      <c r="NOA41" s="6"/>
      <c r="NOB41" s="6"/>
      <c r="NOC41" s="6"/>
      <c r="NOD41" s="6"/>
      <c r="NOE41" s="6"/>
      <c r="NOF41" s="6"/>
      <c r="NOG41" s="6"/>
      <c r="NOH41" s="6"/>
      <c r="NOI41" s="6"/>
      <c r="NOJ41" s="6"/>
      <c r="NOK41" s="6"/>
      <c r="NOL41" s="6"/>
      <c r="NOM41" s="6"/>
      <c r="NON41" s="6"/>
      <c r="NOO41" s="6"/>
      <c r="NOP41" s="6"/>
      <c r="NOQ41" s="6"/>
      <c r="NOR41" s="6"/>
      <c r="NOS41" s="6"/>
      <c r="NOT41" s="6"/>
      <c r="NOU41" s="6"/>
      <c r="NOV41" s="6"/>
      <c r="NOW41" s="6"/>
      <c r="NOX41" s="6"/>
      <c r="NOY41" s="6"/>
      <c r="NOZ41" s="6"/>
      <c r="NPA41" s="6"/>
      <c r="NPB41" s="6"/>
      <c r="NPC41" s="6"/>
      <c r="NPD41" s="6"/>
      <c r="NPE41" s="6"/>
      <c r="NPF41" s="6"/>
      <c r="NPG41" s="6"/>
      <c r="NPH41" s="6"/>
      <c r="NPI41" s="6"/>
      <c r="NPJ41" s="6"/>
      <c r="NPK41" s="6"/>
      <c r="NPL41" s="6"/>
      <c r="NPM41" s="6"/>
      <c r="NPN41" s="6"/>
      <c r="NPO41" s="6"/>
      <c r="NPP41" s="6"/>
      <c r="NPQ41" s="6"/>
      <c r="NPR41" s="6"/>
      <c r="NPS41" s="6"/>
      <c r="NPT41" s="6"/>
      <c r="NPU41" s="6"/>
      <c r="NPV41" s="6"/>
      <c r="NPW41" s="6"/>
      <c r="NPX41" s="6"/>
      <c r="NPY41" s="6"/>
      <c r="NPZ41" s="6"/>
      <c r="NQA41" s="6"/>
      <c r="NQB41" s="6"/>
      <c r="NQC41" s="6"/>
      <c r="NQD41" s="6"/>
      <c r="NQE41" s="6"/>
      <c r="NQF41" s="6"/>
      <c r="NQG41" s="6"/>
      <c r="NQH41" s="6"/>
      <c r="NQI41" s="6"/>
      <c r="NQJ41" s="6"/>
      <c r="NQK41" s="6"/>
      <c r="NQL41" s="6"/>
      <c r="NQM41" s="6"/>
      <c r="NQN41" s="6"/>
      <c r="NQO41" s="6"/>
      <c r="NQP41" s="6"/>
      <c r="NQQ41" s="6"/>
      <c r="NQR41" s="6"/>
      <c r="NQS41" s="6"/>
      <c r="NQT41" s="6"/>
      <c r="NQU41" s="6"/>
      <c r="NQV41" s="6"/>
      <c r="NQW41" s="6"/>
      <c r="NQX41" s="6"/>
      <c r="NQY41" s="6"/>
      <c r="NQZ41" s="6"/>
      <c r="NRA41" s="6"/>
      <c r="NRB41" s="6"/>
      <c r="NRC41" s="6"/>
      <c r="NRD41" s="6"/>
      <c r="NRE41" s="6"/>
      <c r="NRF41" s="6"/>
      <c r="NRG41" s="6"/>
      <c r="NRH41" s="6"/>
      <c r="NRI41" s="6"/>
      <c r="NRJ41" s="6"/>
      <c r="NRK41" s="6"/>
      <c r="NRL41" s="6"/>
      <c r="NRM41" s="6"/>
      <c r="NRN41" s="6"/>
      <c r="NRO41" s="6"/>
      <c r="NRP41" s="6"/>
      <c r="NRQ41" s="6"/>
      <c r="NRR41" s="6"/>
      <c r="NRS41" s="6"/>
      <c r="NRT41" s="6"/>
      <c r="NRU41" s="6"/>
      <c r="NRV41" s="6"/>
      <c r="NRW41" s="6"/>
      <c r="NRX41" s="6"/>
      <c r="NRY41" s="6"/>
      <c r="NRZ41" s="6"/>
      <c r="NSA41" s="6"/>
      <c r="NSB41" s="6"/>
      <c r="NSC41" s="6"/>
      <c r="NSD41" s="6"/>
      <c r="NSE41" s="6"/>
      <c r="NSF41" s="6"/>
      <c r="NSG41" s="6"/>
      <c r="NSH41" s="6"/>
      <c r="NSI41" s="6"/>
      <c r="NSJ41" s="6"/>
      <c r="NSK41" s="6"/>
      <c r="NSL41" s="6"/>
      <c r="NSM41" s="6"/>
      <c r="NSN41" s="6"/>
      <c r="NSO41" s="6"/>
      <c r="NSP41" s="6"/>
      <c r="NSQ41" s="6"/>
      <c r="NSR41" s="6"/>
      <c r="NSS41" s="6"/>
      <c r="NST41" s="6"/>
      <c r="NSU41" s="6"/>
      <c r="NSV41" s="6"/>
      <c r="NSW41" s="6"/>
      <c r="NSX41" s="6"/>
      <c r="NSY41" s="6"/>
      <c r="NSZ41" s="6"/>
      <c r="NTA41" s="6"/>
      <c r="NTB41" s="6"/>
      <c r="NTC41" s="6"/>
      <c r="NTD41" s="6"/>
      <c r="NTE41" s="6"/>
      <c r="NTF41" s="6"/>
      <c r="NTG41" s="6"/>
      <c r="NTH41" s="6"/>
      <c r="NTI41" s="6"/>
      <c r="NTJ41" s="6"/>
      <c r="NTK41" s="6"/>
      <c r="NTL41" s="6"/>
      <c r="NTM41" s="6"/>
      <c r="NTN41" s="6"/>
      <c r="NTO41" s="6"/>
      <c r="NTP41" s="6"/>
      <c r="NTQ41" s="6"/>
      <c r="NTR41" s="6"/>
      <c r="NTS41" s="6"/>
      <c r="NTT41" s="6"/>
      <c r="NTU41" s="6"/>
      <c r="NTV41" s="6"/>
      <c r="NTW41" s="6"/>
      <c r="NTX41" s="6"/>
      <c r="NTY41" s="6"/>
      <c r="NTZ41" s="6"/>
      <c r="NUA41" s="6"/>
      <c r="NUB41" s="6"/>
      <c r="NUC41" s="6"/>
      <c r="NUD41" s="6"/>
      <c r="NUE41" s="6"/>
      <c r="NUF41" s="6"/>
      <c r="NUG41" s="6"/>
      <c r="NUH41" s="6"/>
      <c r="NUI41" s="6"/>
      <c r="NUJ41" s="6"/>
      <c r="NUK41" s="6"/>
      <c r="NUL41" s="6"/>
      <c r="NUM41" s="6"/>
      <c r="NUN41" s="6"/>
      <c r="NUO41" s="6"/>
      <c r="NUP41" s="6"/>
      <c r="NUQ41" s="6"/>
      <c r="NUR41" s="6"/>
      <c r="NUS41" s="6"/>
      <c r="NUT41" s="6"/>
      <c r="NUU41" s="6"/>
      <c r="NUV41" s="6"/>
      <c r="NUW41" s="6"/>
      <c r="NUX41" s="6"/>
      <c r="NUY41" s="6"/>
      <c r="NUZ41" s="6"/>
      <c r="NVA41" s="6"/>
      <c r="NVB41" s="6"/>
      <c r="NVC41" s="6"/>
      <c r="NVD41" s="6"/>
      <c r="NVE41" s="6"/>
      <c r="NVF41" s="6"/>
      <c r="NVG41" s="6"/>
      <c r="NVH41" s="6"/>
      <c r="NVI41" s="6"/>
      <c r="NVJ41" s="6"/>
      <c r="NVK41" s="6"/>
      <c r="NVL41" s="6"/>
      <c r="NVM41" s="6"/>
      <c r="NVN41" s="6"/>
      <c r="NVO41" s="6"/>
      <c r="NVP41" s="6"/>
      <c r="NVQ41" s="6"/>
      <c r="NVR41" s="6"/>
      <c r="NVS41" s="6"/>
      <c r="NVT41" s="6"/>
      <c r="NVU41" s="6"/>
      <c r="NVV41" s="6"/>
      <c r="NVW41" s="6"/>
      <c r="NVX41" s="6"/>
      <c r="NVY41" s="6"/>
      <c r="NVZ41" s="6"/>
      <c r="NWA41" s="6"/>
      <c r="NWB41" s="6"/>
      <c r="NWC41" s="6"/>
      <c r="NWD41" s="6"/>
      <c r="NWE41" s="6"/>
      <c r="NWF41" s="6"/>
      <c r="NWG41" s="6"/>
      <c r="NWH41" s="6"/>
      <c r="NWI41" s="6"/>
      <c r="NWJ41" s="6"/>
      <c r="NWK41" s="6"/>
      <c r="NWL41" s="6"/>
      <c r="NWM41" s="6"/>
      <c r="NWN41" s="6"/>
      <c r="NWO41" s="6"/>
      <c r="NWP41" s="6"/>
      <c r="NWQ41" s="6"/>
      <c r="NWR41" s="6"/>
      <c r="NWS41" s="6"/>
      <c r="NWT41" s="6"/>
      <c r="NWU41" s="6"/>
      <c r="NWV41" s="6"/>
      <c r="NWW41" s="6"/>
      <c r="NWX41" s="6"/>
      <c r="NWY41" s="6"/>
      <c r="NWZ41" s="6"/>
      <c r="NXA41" s="6"/>
      <c r="NXB41" s="6"/>
      <c r="NXC41" s="6"/>
      <c r="NXD41" s="6"/>
      <c r="NXE41" s="6"/>
      <c r="NXF41" s="6"/>
      <c r="NXG41" s="6"/>
      <c r="NXH41" s="6"/>
      <c r="NXI41" s="6"/>
      <c r="NXJ41" s="6"/>
      <c r="NXK41" s="6"/>
      <c r="NXL41" s="6"/>
      <c r="NXM41" s="6"/>
      <c r="NXN41" s="6"/>
      <c r="NXO41" s="6"/>
      <c r="NXP41" s="6"/>
      <c r="NXQ41" s="6"/>
      <c r="NXR41" s="6"/>
      <c r="NXS41" s="6"/>
      <c r="NXT41" s="6"/>
      <c r="NXU41" s="6"/>
      <c r="NXV41" s="6"/>
      <c r="NXW41" s="6"/>
      <c r="NXX41" s="6"/>
      <c r="NXY41" s="6"/>
      <c r="NXZ41" s="6"/>
      <c r="NYA41" s="6"/>
      <c r="NYB41" s="6"/>
      <c r="NYC41" s="6"/>
      <c r="NYD41" s="6"/>
      <c r="NYE41" s="6"/>
      <c r="NYF41" s="6"/>
      <c r="NYG41" s="6"/>
      <c r="NYH41" s="6"/>
      <c r="NYI41" s="6"/>
      <c r="NYJ41" s="6"/>
      <c r="NYK41" s="6"/>
      <c r="NYL41" s="6"/>
      <c r="NYM41" s="6"/>
      <c r="NYN41" s="6"/>
      <c r="NYO41" s="6"/>
      <c r="NYP41" s="6"/>
      <c r="NYQ41" s="6"/>
      <c r="NYR41" s="6"/>
      <c r="NYS41" s="6"/>
      <c r="NYT41" s="6"/>
      <c r="NYU41" s="6"/>
      <c r="NYV41" s="6"/>
      <c r="NYW41" s="6"/>
      <c r="NYX41" s="6"/>
      <c r="NYY41" s="6"/>
      <c r="NYZ41" s="6"/>
      <c r="NZA41" s="6"/>
      <c r="NZB41" s="6"/>
      <c r="NZC41" s="6"/>
      <c r="NZD41" s="6"/>
      <c r="NZE41" s="6"/>
      <c r="NZF41" s="6"/>
      <c r="NZG41" s="6"/>
      <c r="NZH41" s="6"/>
      <c r="NZI41" s="6"/>
      <c r="NZJ41" s="6"/>
      <c r="NZK41" s="6"/>
      <c r="NZL41" s="6"/>
      <c r="NZM41" s="6"/>
      <c r="NZN41" s="6"/>
      <c r="NZO41" s="6"/>
      <c r="NZP41" s="6"/>
      <c r="NZQ41" s="6"/>
      <c r="NZR41" s="6"/>
      <c r="NZS41" s="6"/>
      <c r="NZT41" s="6"/>
      <c r="NZU41" s="6"/>
      <c r="NZV41" s="6"/>
      <c r="NZW41" s="6"/>
      <c r="NZX41" s="6"/>
      <c r="NZY41" s="6"/>
      <c r="NZZ41" s="6"/>
      <c r="OAA41" s="6"/>
      <c r="OAB41" s="6"/>
      <c r="OAC41" s="6"/>
      <c r="OAD41" s="6"/>
      <c r="OAE41" s="6"/>
      <c r="OAF41" s="6"/>
      <c r="OAG41" s="6"/>
      <c r="OAH41" s="6"/>
      <c r="OAI41" s="6"/>
      <c r="OAJ41" s="6"/>
      <c r="OAK41" s="6"/>
      <c r="OAL41" s="6"/>
      <c r="OAM41" s="6"/>
      <c r="OAN41" s="6"/>
      <c r="OAO41" s="6"/>
      <c r="OAP41" s="6"/>
      <c r="OAQ41" s="6"/>
      <c r="OAR41" s="6"/>
      <c r="OAS41" s="6"/>
      <c r="OAT41" s="6"/>
      <c r="OAU41" s="6"/>
      <c r="OAV41" s="6"/>
      <c r="OAW41" s="6"/>
      <c r="OAX41" s="6"/>
      <c r="OAY41" s="6"/>
      <c r="OAZ41" s="6"/>
      <c r="OBA41" s="6"/>
      <c r="OBB41" s="6"/>
      <c r="OBC41" s="6"/>
      <c r="OBD41" s="6"/>
      <c r="OBE41" s="6"/>
      <c r="OBF41" s="6"/>
      <c r="OBG41" s="6"/>
      <c r="OBH41" s="6"/>
      <c r="OBI41" s="6"/>
      <c r="OBJ41" s="6"/>
      <c r="OBK41" s="6"/>
      <c r="OBL41" s="6"/>
      <c r="OBM41" s="6"/>
      <c r="OBN41" s="6"/>
      <c r="OBO41" s="6"/>
      <c r="OBP41" s="6"/>
      <c r="OBQ41" s="6"/>
      <c r="OBR41" s="6"/>
      <c r="OBS41" s="6"/>
      <c r="OBT41" s="6"/>
      <c r="OBU41" s="6"/>
      <c r="OBV41" s="6"/>
      <c r="OBW41" s="6"/>
      <c r="OBX41" s="6"/>
      <c r="OBY41" s="6"/>
      <c r="OBZ41" s="6"/>
      <c r="OCA41" s="6"/>
      <c r="OCB41" s="6"/>
      <c r="OCC41" s="6"/>
      <c r="OCD41" s="6"/>
      <c r="OCE41" s="6"/>
      <c r="OCF41" s="6"/>
      <c r="OCG41" s="6"/>
      <c r="OCH41" s="6"/>
      <c r="OCI41" s="6"/>
      <c r="OCJ41" s="6"/>
      <c r="OCK41" s="6"/>
      <c r="OCL41" s="6"/>
      <c r="OCM41" s="6"/>
      <c r="OCN41" s="6"/>
      <c r="OCO41" s="6"/>
      <c r="OCP41" s="6"/>
      <c r="OCQ41" s="6"/>
      <c r="OCR41" s="6"/>
      <c r="OCS41" s="6"/>
      <c r="OCT41" s="6"/>
      <c r="OCU41" s="6"/>
      <c r="OCV41" s="6"/>
      <c r="OCW41" s="6"/>
      <c r="OCX41" s="6"/>
      <c r="OCY41" s="6"/>
      <c r="OCZ41" s="6"/>
      <c r="ODA41" s="6"/>
      <c r="ODB41" s="6"/>
      <c r="ODC41" s="6"/>
      <c r="ODD41" s="6"/>
      <c r="ODE41" s="6"/>
      <c r="ODF41" s="6"/>
      <c r="ODG41" s="6"/>
      <c r="ODH41" s="6"/>
      <c r="ODI41" s="6"/>
      <c r="ODJ41" s="6"/>
      <c r="ODK41" s="6"/>
      <c r="ODL41" s="6"/>
      <c r="ODM41" s="6"/>
      <c r="ODN41" s="6"/>
      <c r="ODO41" s="6"/>
      <c r="ODP41" s="6"/>
      <c r="ODQ41" s="6"/>
      <c r="ODR41" s="6"/>
      <c r="ODS41" s="6"/>
      <c r="ODT41" s="6"/>
      <c r="ODU41" s="6"/>
      <c r="ODV41" s="6"/>
      <c r="ODW41" s="6"/>
      <c r="ODX41" s="6"/>
      <c r="ODY41" s="6"/>
      <c r="ODZ41" s="6"/>
      <c r="OEA41" s="6"/>
      <c r="OEB41" s="6"/>
      <c r="OEC41" s="6"/>
      <c r="OED41" s="6"/>
      <c r="OEE41" s="6"/>
      <c r="OEF41" s="6"/>
      <c r="OEG41" s="6"/>
      <c r="OEH41" s="6"/>
      <c r="OEI41" s="6"/>
      <c r="OEJ41" s="6"/>
      <c r="OEK41" s="6"/>
      <c r="OEL41" s="6"/>
      <c r="OEM41" s="6"/>
      <c r="OEN41" s="6"/>
      <c r="OEO41" s="6"/>
      <c r="OEP41" s="6"/>
      <c r="OEQ41" s="6"/>
      <c r="OER41" s="6"/>
      <c r="OES41" s="6"/>
      <c r="OET41" s="6"/>
      <c r="OEU41" s="6"/>
      <c r="OEV41" s="6"/>
      <c r="OEW41" s="6"/>
      <c r="OEX41" s="6"/>
      <c r="OEY41" s="6"/>
      <c r="OEZ41" s="6"/>
      <c r="OFA41" s="6"/>
      <c r="OFB41" s="6"/>
      <c r="OFC41" s="6"/>
      <c r="OFD41" s="6"/>
      <c r="OFE41" s="6"/>
      <c r="OFF41" s="6"/>
      <c r="OFG41" s="6"/>
      <c r="OFH41" s="6"/>
      <c r="OFI41" s="6"/>
      <c r="OFJ41" s="6"/>
      <c r="OFK41" s="6"/>
      <c r="OFL41" s="6"/>
      <c r="OFM41" s="6"/>
      <c r="OFN41" s="6"/>
      <c r="OFO41" s="6"/>
      <c r="OFP41" s="6"/>
      <c r="OFQ41" s="6"/>
      <c r="OFR41" s="6"/>
      <c r="OFS41" s="6"/>
      <c r="OFT41" s="6"/>
      <c r="OFU41" s="6"/>
      <c r="OFV41" s="6"/>
      <c r="OFW41" s="6"/>
      <c r="OFX41" s="6"/>
      <c r="OFY41" s="6"/>
      <c r="OFZ41" s="6"/>
      <c r="OGA41" s="6"/>
      <c r="OGB41" s="6"/>
      <c r="OGC41" s="6"/>
      <c r="OGD41" s="6"/>
      <c r="OGE41" s="6"/>
      <c r="OGF41" s="6"/>
      <c r="OGG41" s="6"/>
      <c r="OGH41" s="6"/>
      <c r="OGI41" s="6"/>
      <c r="OGJ41" s="6"/>
      <c r="OGK41" s="6"/>
      <c r="OGL41" s="6"/>
      <c r="OGM41" s="6"/>
      <c r="OGN41" s="6"/>
      <c r="OGO41" s="6"/>
      <c r="OGP41" s="6"/>
      <c r="OGQ41" s="6"/>
      <c r="OGR41" s="6"/>
      <c r="OGS41" s="6"/>
      <c r="OGT41" s="6"/>
      <c r="OGU41" s="6"/>
      <c r="OGV41" s="6"/>
      <c r="OGW41" s="6"/>
      <c r="OGX41" s="6"/>
      <c r="OGY41" s="6"/>
      <c r="OGZ41" s="6"/>
      <c r="OHA41" s="6"/>
      <c r="OHB41" s="6"/>
      <c r="OHC41" s="6"/>
      <c r="OHD41" s="6"/>
      <c r="OHE41" s="6"/>
      <c r="OHF41" s="6"/>
      <c r="OHG41" s="6"/>
      <c r="OHH41" s="6"/>
      <c r="OHI41" s="6"/>
      <c r="OHJ41" s="6"/>
      <c r="OHK41" s="6"/>
      <c r="OHL41" s="6"/>
      <c r="OHM41" s="6"/>
      <c r="OHN41" s="6"/>
      <c r="OHO41" s="6"/>
      <c r="OHP41" s="6"/>
      <c r="OHQ41" s="6"/>
      <c r="OHR41" s="6"/>
      <c r="OHS41" s="6"/>
      <c r="OHT41" s="6"/>
      <c r="OHU41" s="6"/>
      <c r="OHV41" s="6"/>
      <c r="OHW41" s="6"/>
      <c r="OHX41" s="6"/>
      <c r="OHY41" s="6"/>
      <c r="OHZ41" s="6"/>
      <c r="OIA41" s="6"/>
      <c r="OIB41" s="6"/>
      <c r="OIC41" s="6"/>
      <c r="OID41" s="6"/>
      <c r="OIE41" s="6"/>
      <c r="OIF41" s="6"/>
      <c r="OIG41" s="6"/>
      <c r="OIH41" s="6"/>
      <c r="OII41" s="6"/>
      <c r="OIJ41" s="6"/>
      <c r="OIK41" s="6"/>
      <c r="OIL41" s="6"/>
      <c r="OIM41" s="6"/>
      <c r="OIN41" s="6"/>
      <c r="OIO41" s="6"/>
      <c r="OIP41" s="6"/>
      <c r="OIQ41" s="6"/>
      <c r="OIR41" s="6"/>
      <c r="OIS41" s="6"/>
      <c r="OIT41" s="6"/>
      <c r="OIU41" s="6"/>
      <c r="OIV41" s="6"/>
      <c r="OIW41" s="6"/>
      <c r="OIX41" s="6"/>
      <c r="OIY41" s="6"/>
      <c r="OIZ41" s="6"/>
      <c r="OJA41" s="6"/>
      <c r="OJB41" s="6"/>
      <c r="OJC41" s="6"/>
      <c r="OJD41" s="6"/>
      <c r="OJE41" s="6"/>
      <c r="OJF41" s="6"/>
      <c r="OJG41" s="6"/>
      <c r="OJH41" s="6"/>
      <c r="OJI41" s="6"/>
      <c r="OJJ41" s="6"/>
      <c r="OJK41" s="6"/>
      <c r="OJL41" s="6"/>
      <c r="OJM41" s="6"/>
      <c r="OJN41" s="6"/>
      <c r="OJO41" s="6"/>
      <c r="OJP41" s="6"/>
      <c r="OJQ41" s="6"/>
      <c r="OJR41" s="6"/>
      <c r="OJS41" s="6"/>
      <c r="OJT41" s="6"/>
      <c r="OJU41" s="6"/>
      <c r="OJV41" s="6"/>
      <c r="OJW41" s="6"/>
      <c r="OJX41" s="6"/>
      <c r="OJY41" s="6"/>
      <c r="OJZ41" s="6"/>
      <c r="OKA41" s="6"/>
      <c r="OKB41" s="6"/>
      <c r="OKC41" s="6"/>
      <c r="OKD41" s="6"/>
      <c r="OKE41" s="6"/>
      <c r="OKF41" s="6"/>
      <c r="OKG41" s="6"/>
      <c r="OKH41" s="6"/>
      <c r="OKI41" s="6"/>
      <c r="OKJ41" s="6"/>
      <c r="OKK41" s="6"/>
      <c r="OKL41" s="6"/>
      <c r="OKM41" s="6"/>
      <c r="OKN41" s="6"/>
      <c r="OKO41" s="6"/>
      <c r="OKP41" s="6"/>
      <c r="OKQ41" s="6"/>
      <c r="OKR41" s="6"/>
      <c r="OKS41" s="6"/>
      <c r="OKT41" s="6"/>
      <c r="OKU41" s="6"/>
      <c r="OKV41" s="6"/>
      <c r="OKW41" s="6"/>
      <c r="OKX41" s="6"/>
      <c r="OKY41" s="6"/>
      <c r="OKZ41" s="6"/>
      <c r="OLA41" s="6"/>
      <c r="OLB41" s="6"/>
      <c r="OLC41" s="6"/>
      <c r="OLD41" s="6"/>
      <c r="OLE41" s="6"/>
      <c r="OLF41" s="6"/>
      <c r="OLG41" s="6"/>
      <c r="OLH41" s="6"/>
      <c r="OLI41" s="6"/>
      <c r="OLJ41" s="6"/>
      <c r="OLK41" s="6"/>
      <c r="OLL41" s="6"/>
      <c r="OLM41" s="6"/>
      <c r="OLN41" s="6"/>
      <c r="OLO41" s="6"/>
      <c r="OLP41" s="6"/>
      <c r="OLQ41" s="6"/>
      <c r="OLR41" s="6"/>
      <c r="OLS41" s="6"/>
      <c r="OLT41" s="6"/>
      <c r="OLU41" s="6"/>
      <c r="OLV41" s="6"/>
      <c r="OLW41" s="6"/>
      <c r="OLX41" s="6"/>
      <c r="OLY41" s="6"/>
      <c r="OLZ41" s="6"/>
      <c r="OMA41" s="6"/>
      <c r="OMB41" s="6"/>
      <c r="OMC41" s="6"/>
      <c r="OMD41" s="6"/>
      <c r="OME41" s="6"/>
      <c r="OMF41" s="6"/>
      <c r="OMG41" s="6"/>
      <c r="OMH41" s="6"/>
      <c r="OMI41" s="6"/>
      <c r="OMJ41" s="6"/>
      <c r="OMK41" s="6"/>
      <c r="OML41" s="6"/>
      <c r="OMM41" s="6"/>
      <c r="OMN41" s="6"/>
      <c r="OMO41" s="6"/>
      <c r="OMP41" s="6"/>
      <c r="OMQ41" s="6"/>
      <c r="OMR41" s="6"/>
      <c r="OMS41" s="6"/>
      <c r="OMT41" s="6"/>
      <c r="OMU41" s="6"/>
      <c r="OMV41" s="6"/>
      <c r="OMW41" s="6"/>
      <c r="OMX41" s="6"/>
      <c r="OMY41" s="6"/>
      <c r="OMZ41" s="6"/>
      <c r="ONA41" s="6"/>
      <c r="ONB41" s="6"/>
      <c r="ONC41" s="6"/>
      <c r="OND41" s="6"/>
      <c r="ONE41" s="6"/>
      <c r="ONF41" s="6"/>
      <c r="ONG41" s="6"/>
      <c r="ONH41" s="6"/>
      <c r="ONI41" s="6"/>
      <c r="ONJ41" s="6"/>
      <c r="ONK41" s="6"/>
      <c r="ONL41" s="6"/>
      <c r="ONM41" s="6"/>
      <c r="ONN41" s="6"/>
      <c r="ONO41" s="6"/>
      <c r="ONP41" s="6"/>
      <c r="ONQ41" s="6"/>
      <c r="ONR41" s="6"/>
      <c r="ONS41" s="6"/>
      <c r="ONT41" s="6"/>
      <c r="ONU41" s="6"/>
      <c r="ONV41" s="6"/>
      <c r="ONW41" s="6"/>
      <c r="ONX41" s="6"/>
      <c r="ONY41" s="6"/>
      <c r="ONZ41" s="6"/>
      <c r="OOA41" s="6"/>
      <c r="OOB41" s="6"/>
      <c r="OOC41" s="6"/>
      <c r="OOD41" s="6"/>
      <c r="OOE41" s="6"/>
      <c r="OOF41" s="6"/>
      <c r="OOG41" s="6"/>
      <c r="OOH41" s="6"/>
      <c r="OOI41" s="6"/>
      <c r="OOJ41" s="6"/>
      <c r="OOK41" s="6"/>
      <c r="OOL41" s="6"/>
      <c r="OOM41" s="6"/>
      <c r="OON41" s="6"/>
      <c r="OOO41" s="6"/>
      <c r="OOP41" s="6"/>
      <c r="OOQ41" s="6"/>
      <c r="OOR41" s="6"/>
      <c r="OOS41" s="6"/>
      <c r="OOT41" s="6"/>
      <c r="OOU41" s="6"/>
      <c r="OOV41" s="6"/>
      <c r="OOW41" s="6"/>
      <c r="OOX41" s="6"/>
      <c r="OOY41" s="6"/>
      <c r="OOZ41" s="6"/>
      <c r="OPA41" s="6"/>
      <c r="OPB41" s="6"/>
      <c r="OPC41" s="6"/>
      <c r="OPD41" s="6"/>
      <c r="OPE41" s="6"/>
      <c r="OPF41" s="6"/>
      <c r="OPG41" s="6"/>
      <c r="OPH41" s="6"/>
      <c r="OPI41" s="6"/>
      <c r="OPJ41" s="6"/>
      <c r="OPK41" s="6"/>
      <c r="OPL41" s="6"/>
      <c r="OPM41" s="6"/>
      <c r="OPN41" s="6"/>
      <c r="OPO41" s="6"/>
      <c r="OPP41" s="6"/>
      <c r="OPQ41" s="6"/>
      <c r="OPR41" s="6"/>
      <c r="OPS41" s="6"/>
      <c r="OPT41" s="6"/>
      <c r="OPU41" s="6"/>
      <c r="OPV41" s="6"/>
      <c r="OPW41" s="6"/>
      <c r="OPX41" s="6"/>
      <c r="OPY41" s="6"/>
      <c r="OPZ41" s="6"/>
      <c r="OQA41" s="6"/>
      <c r="OQB41" s="6"/>
      <c r="OQC41" s="6"/>
      <c r="OQD41" s="6"/>
      <c r="OQE41" s="6"/>
      <c r="OQF41" s="6"/>
      <c r="OQG41" s="6"/>
      <c r="OQH41" s="6"/>
      <c r="OQI41" s="6"/>
      <c r="OQJ41" s="6"/>
      <c r="OQK41" s="6"/>
      <c r="OQL41" s="6"/>
      <c r="OQM41" s="6"/>
      <c r="OQN41" s="6"/>
      <c r="OQO41" s="6"/>
      <c r="OQP41" s="6"/>
      <c r="OQQ41" s="6"/>
      <c r="OQR41" s="6"/>
      <c r="OQS41" s="6"/>
      <c r="OQT41" s="6"/>
      <c r="OQU41" s="6"/>
      <c r="OQV41" s="6"/>
      <c r="OQW41" s="6"/>
      <c r="OQX41" s="6"/>
      <c r="OQY41" s="6"/>
      <c r="OQZ41" s="6"/>
      <c r="ORA41" s="6"/>
      <c r="ORB41" s="6"/>
      <c r="ORC41" s="6"/>
      <c r="ORD41" s="6"/>
      <c r="ORE41" s="6"/>
      <c r="ORF41" s="6"/>
      <c r="ORG41" s="6"/>
      <c r="ORH41" s="6"/>
      <c r="ORI41" s="6"/>
      <c r="ORJ41" s="6"/>
      <c r="ORK41" s="6"/>
      <c r="ORL41" s="6"/>
      <c r="ORM41" s="6"/>
      <c r="ORN41" s="6"/>
      <c r="ORO41" s="6"/>
      <c r="ORP41" s="6"/>
      <c r="ORQ41" s="6"/>
      <c r="ORR41" s="6"/>
      <c r="ORS41" s="6"/>
      <c r="ORT41" s="6"/>
      <c r="ORU41" s="6"/>
      <c r="ORV41" s="6"/>
      <c r="ORW41" s="6"/>
      <c r="ORX41" s="6"/>
      <c r="ORY41" s="6"/>
      <c r="ORZ41" s="6"/>
      <c r="OSA41" s="6"/>
      <c r="OSB41" s="6"/>
      <c r="OSC41" s="6"/>
      <c r="OSD41" s="6"/>
      <c r="OSE41" s="6"/>
      <c r="OSF41" s="6"/>
      <c r="OSG41" s="6"/>
      <c r="OSH41" s="6"/>
      <c r="OSI41" s="6"/>
      <c r="OSJ41" s="6"/>
      <c r="OSK41" s="6"/>
      <c r="OSL41" s="6"/>
      <c r="OSM41" s="6"/>
      <c r="OSN41" s="6"/>
      <c r="OSO41" s="6"/>
      <c r="OSP41" s="6"/>
      <c r="OSQ41" s="6"/>
      <c r="OSR41" s="6"/>
      <c r="OSS41" s="6"/>
      <c r="OST41" s="6"/>
      <c r="OSU41" s="6"/>
      <c r="OSV41" s="6"/>
      <c r="OSW41" s="6"/>
      <c r="OSX41" s="6"/>
      <c r="OSY41" s="6"/>
      <c r="OSZ41" s="6"/>
      <c r="OTA41" s="6"/>
      <c r="OTB41" s="6"/>
      <c r="OTC41" s="6"/>
      <c r="OTD41" s="6"/>
      <c r="OTE41" s="6"/>
      <c r="OTF41" s="6"/>
      <c r="OTG41" s="6"/>
      <c r="OTH41" s="6"/>
      <c r="OTI41" s="6"/>
      <c r="OTJ41" s="6"/>
      <c r="OTK41" s="6"/>
      <c r="OTL41" s="6"/>
      <c r="OTM41" s="6"/>
      <c r="OTN41" s="6"/>
      <c r="OTO41" s="6"/>
      <c r="OTP41" s="6"/>
      <c r="OTQ41" s="6"/>
      <c r="OTR41" s="6"/>
      <c r="OTS41" s="6"/>
      <c r="OTT41" s="6"/>
      <c r="OTU41" s="6"/>
      <c r="OTV41" s="6"/>
      <c r="OTW41" s="6"/>
      <c r="OTX41" s="6"/>
      <c r="OTY41" s="6"/>
      <c r="OTZ41" s="6"/>
      <c r="OUA41" s="6"/>
      <c r="OUB41" s="6"/>
      <c r="OUC41" s="6"/>
      <c r="OUD41" s="6"/>
      <c r="OUE41" s="6"/>
      <c r="OUF41" s="6"/>
      <c r="OUG41" s="6"/>
      <c r="OUH41" s="6"/>
      <c r="OUI41" s="6"/>
      <c r="OUJ41" s="6"/>
      <c r="OUK41" s="6"/>
      <c r="OUL41" s="6"/>
      <c r="OUM41" s="6"/>
      <c r="OUN41" s="6"/>
      <c r="OUO41" s="6"/>
      <c r="OUP41" s="6"/>
      <c r="OUQ41" s="6"/>
      <c r="OUR41" s="6"/>
      <c r="OUS41" s="6"/>
      <c r="OUT41" s="6"/>
      <c r="OUU41" s="6"/>
      <c r="OUV41" s="6"/>
      <c r="OUW41" s="6"/>
      <c r="OUX41" s="6"/>
      <c r="OUY41" s="6"/>
      <c r="OUZ41" s="6"/>
      <c r="OVA41" s="6"/>
      <c r="OVB41" s="6"/>
      <c r="OVC41" s="6"/>
      <c r="OVD41" s="6"/>
      <c r="OVE41" s="6"/>
      <c r="OVF41" s="6"/>
      <c r="OVG41" s="6"/>
      <c r="OVH41" s="6"/>
      <c r="OVI41" s="6"/>
      <c r="OVJ41" s="6"/>
      <c r="OVK41" s="6"/>
      <c r="OVL41" s="6"/>
      <c r="OVM41" s="6"/>
      <c r="OVN41" s="6"/>
      <c r="OVO41" s="6"/>
      <c r="OVP41" s="6"/>
      <c r="OVQ41" s="6"/>
      <c r="OVR41" s="6"/>
      <c r="OVS41" s="6"/>
      <c r="OVT41" s="6"/>
      <c r="OVU41" s="6"/>
      <c r="OVV41" s="6"/>
      <c r="OVW41" s="6"/>
      <c r="OVX41" s="6"/>
      <c r="OVY41" s="6"/>
      <c r="OVZ41" s="6"/>
      <c r="OWA41" s="6"/>
      <c r="OWB41" s="6"/>
      <c r="OWC41" s="6"/>
      <c r="OWD41" s="6"/>
      <c r="OWE41" s="6"/>
      <c r="OWF41" s="6"/>
      <c r="OWG41" s="6"/>
      <c r="OWH41" s="6"/>
      <c r="OWI41" s="6"/>
      <c r="OWJ41" s="6"/>
      <c r="OWK41" s="6"/>
      <c r="OWL41" s="6"/>
      <c r="OWM41" s="6"/>
      <c r="OWN41" s="6"/>
      <c r="OWO41" s="6"/>
      <c r="OWP41" s="6"/>
      <c r="OWQ41" s="6"/>
      <c r="OWR41" s="6"/>
      <c r="OWS41" s="6"/>
      <c r="OWT41" s="6"/>
      <c r="OWU41" s="6"/>
      <c r="OWV41" s="6"/>
      <c r="OWW41" s="6"/>
      <c r="OWX41" s="6"/>
      <c r="OWY41" s="6"/>
      <c r="OWZ41" s="6"/>
      <c r="OXA41" s="6"/>
      <c r="OXB41" s="6"/>
      <c r="OXC41" s="6"/>
      <c r="OXD41" s="6"/>
      <c r="OXE41" s="6"/>
      <c r="OXF41" s="6"/>
      <c r="OXG41" s="6"/>
      <c r="OXH41" s="6"/>
      <c r="OXI41" s="6"/>
      <c r="OXJ41" s="6"/>
      <c r="OXK41" s="6"/>
      <c r="OXL41" s="6"/>
      <c r="OXM41" s="6"/>
      <c r="OXN41" s="6"/>
      <c r="OXO41" s="6"/>
      <c r="OXP41" s="6"/>
      <c r="OXQ41" s="6"/>
      <c r="OXR41" s="6"/>
      <c r="OXS41" s="6"/>
      <c r="OXT41" s="6"/>
      <c r="OXU41" s="6"/>
      <c r="OXV41" s="6"/>
      <c r="OXW41" s="6"/>
      <c r="OXX41" s="6"/>
      <c r="OXY41" s="6"/>
      <c r="OXZ41" s="6"/>
      <c r="OYA41" s="6"/>
      <c r="OYB41" s="6"/>
      <c r="OYC41" s="6"/>
      <c r="OYD41" s="6"/>
      <c r="OYE41" s="6"/>
      <c r="OYF41" s="6"/>
      <c r="OYG41" s="6"/>
      <c r="OYH41" s="6"/>
      <c r="OYI41" s="6"/>
      <c r="OYJ41" s="6"/>
      <c r="OYK41" s="6"/>
      <c r="OYL41" s="6"/>
      <c r="OYM41" s="6"/>
      <c r="OYN41" s="6"/>
      <c r="OYO41" s="6"/>
      <c r="OYP41" s="6"/>
      <c r="OYQ41" s="6"/>
      <c r="OYR41" s="6"/>
      <c r="OYS41" s="6"/>
      <c r="OYT41" s="6"/>
      <c r="OYU41" s="6"/>
      <c r="OYV41" s="6"/>
      <c r="OYW41" s="6"/>
      <c r="OYX41" s="6"/>
      <c r="OYY41" s="6"/>
      <c r="OYZ41" s="6"/>
      <c r="OZA41" s="6"/>
      <c r="OZB41" s="6"/>
      <c r="OZC41" s="6"/>
      <c r="OZD41" s="6"/>
      <c r="OZE41" s="6"/>
      <c r="OZF41" s="6"/>
      <c r="OZG41" s="6"/>
      <c r="OZH41" s="6"/>
      <c r="OZI41" s="6"/>
      <c r="OZJ41" s="6"/>
      <c r="OZK41" s="6"/>
      <c r="OZL41" s="6"/>
      <c r="OZM41" s="6"/>
      <c r="OZN41" s="6"/>
      <c r="OZO41" s="6"/>
      <c r="OZP41" s="6"/>
      <c r="OZQ41" s="6"/>
      <c r="OZR41" s="6"/>
      <c r="OZS41" s="6"/>
      <c r="OZT41" s="6"/>
      <c r="OZU41" s="6"/>
      <c r="OZV41" s="6"/>
      <c r="OZW41" s="6"/>
      <c r="OZX41" s="6"/>
      <c r="OZY41" s="6"/>
      <c r="OZZ41" s="6"/>
      <c r="PAA41" s="6"/>
      <c r="PAB41" s="6"/>
      <c r="PAC41" s="6"/>
      <c r="PAD41" s="6"/>
      <c r="PAE41" s="6"/>
      <c r="PAF41" s="6"/>
      <c r="PAG41" s="6"/>
      <c r="PAH41" s="6"/>
      <c r="PAI41" s="6"/>
      <c r="PAJ41" s="6"/>
      <c r="PAK41" s="6"/>
      <c r="PAL41" s="6"/>
      <c r="PAM41" s="6"/>
      <c r="PAN41" s="6"/>
      <c r="PAO41" s="6"/>
      <c r="PAP41" s="6"/>
      <c r="PAQ41" s="6"/>
      <c r="PAR41" s="6"/>
      <c r="PAS41" s="6"/>
      <c r="PAT41" s="6"/>
      <c r="PAU41" s="6"/>
      <c r="PAV41" s="6"/>
      <c r="PAW41" s="6"/>
      <c r="PAX41" s="6"/>
      <c r="PAY41" s="6"/>
      <c r="PAZ41" s="6"/>
      <c r="PBA41" s="6"/>
      <c r="PBB41" s="6"/>
      <c r="PBC41" s="6"/>
      <c r="PBD41" s="6"/>
      <c r="PBE41" s="6"/>
      <c r="PBF41" s="6"/>
      <c r="PBG41" s="6"/>
      <c r="PBH41" s="6"/>
      <c r="PBI41" s="6"/>
      <c r="PBJ41" s="6"/>
      <c r="PBK41" s="6"/>
      <c r="PBL41" s="6"/>
      <c r="PBM41" s="6"/>
      <c r="PBN41" s="6"/>
      <c r="PBO41" s="6"/>
      <c r="PBP41" s="6"/>
      <c r="PBQ41" s="6"/>
      <c r="PBR41" s="6"/>
      <c r="PBS41" s="6"/>
      <c r="PBT41" s="6"/>
      <c r="PBU41" s="6"/>
      <c r="PBV41" s="6"/>
      <c r="PBW41" s="6"/>
      <c r="PBX41" s="6"/>
      <c r="PBY41" s="6"/>
      <c r="PBZ41" s="6"/>
      <c r="PCA41" s="6"/>
      <c r="PCB41" s="6"/>
      <c r="PCC41" s="6"/>
      <c r="PCD41" s="6"/>
      <c r="PCE41" s="6"/>
      <c r="PCF41" s="6"/>
      <c r="PCG41" s="6"/>
      <c r="PCH41" s="6"/>
      <c r="PCI41" s="6"/>
      <c r="PCJ41" s="6"/>
      <c r="PCK41" s="6"/>
      <c r="PCL41" s="6"/>
      <c r="PCM41" s="6"/>
      <c r="PCN41" s="6"/>
      <c r="PCO41" s="6"/>
      <c r="PCP41" s="6"/>
      <c r="PCQ41" s="6"/>
      <c r="PCR41" s="6"/>
      <c r="PCS41" s="6"/>
      <c r="PCT41" s="6"/>
      <c r="PCU41" s="6"/>
      <c r="PCV41" s="6"/>
      <c r="PCW41" s="6"/>
      <c r="PCX41" s="6"/>
      <c r="PCY41" s="6"/>
      <c r="PCZ41" s="6"/>
      <c r="PDA41" s="6"/>
      <c r="PDB41" s="6"/>
      <c r="PDC41" s="6"/>
      <c r="PDD41" s="6"/>
      <c r="PDE41" s="6"/>
      <c r="PDF41" s="6"/>
      <c r="PDG41" s="6"/>
      <c r="PDH41" s="6"/>
      <c r="PDI41" s="6"/>
      <c r="PDJ41" s="6"/>
      <c r="PDK41" s="6"/>
      <c r="PDL41" s="6"/>
      <c r="PDM41" s="6"/>
      <c r="PDN41" s="6"/>
      <c r="PDO41" s="6"/>
      <c r="PDP41" s="6"/>
      <c r="PDQ41" s="6"/>
      <c r="PDR41" s="6"/>
      <c r="PDS41" s="6"/>
      <c r="PDT41" s="6"/>
      <c r="PDU41" s="6"/>
      <c r="PDV41" s="6"/>
      <c r="PDW41" s="6"/>
      <c r="PDX41" s="6"/>
      <c r="PDY41" s="6"/>
      <c r="PDZ41" s="6"/>
      <c r="PEA41" s="6"/>
      <c r="PEB41" s="6"/>
      <c r="PEC41" s="6"/>
      <c r="PED41" s="6"/>
      <c r="PEE41" s="6"/>
      <c r="PEF41" s="6"/>
      <c r="PEG41" s="6"/>
      <c r="PEH41" s="6"/>
      <c r="PEI41" s="6"/>
      <c r="PEJ41" s="6"/>
      <c r="PEK41" s="6"/>
      <c r="PEL41" s="6"/>
      <c r="PEM41" s="6"/>
      <c r="PEN41" s="6"/>
      <c r="PEO41" s="6"/>
      <c r="PEP41" s="6"/>
      <c r="PEQ41" s="6"/>
      <c r="PER41" s="6"/>
      <c r="PES41" s="6"/>
      <c r="PET41" s="6"/>
      <c r="PEU41" s="6"/>
      <c r="PEV41" s="6"/>
      <c r="PEW41" s="6"/>
      <c r="PEX41" s="6"/>
      <c r="PEY41" s="6"/>
      <c r="PEZ41" s="6"/>
      <c r="PFA41" s="6"/>
      <c r="PFB41" s="6"/>
      <c r="PFC41" s="6"/>
      <c r="PFD41" s="6"/>
      <c r="PFE41" s="6"/>
      <c r="PFF41" s="6"/>
      <c r="PFG41" s="6"/>
      <c r="PFH41" s="6"/>
      <c r="PFI41" s="6"/>
      <c r="PFJ41" s="6"/>
      <c r="PFK41" s="6"/>
      <c r="PFL41" s="6"/>
      <c r="PFM41" s="6"/>
      <c r="PFN41" s="6"/>
      <c r="PFO41" s="6"/>
      <c r="PFP41" s="6"/>
      <c r="PFQ41" s="6"/>
      <c r="PFR41" s="6"/>
      <c r="PFS41" s="6"/>
      <c r="PFT41" s="6"/>
      <c r="PFU41" s="6"/>
      <c r="PFV41" s="6"/>
      <c r="PFW41" s="6"/>
      <c r="PFX41" s="6"/>
      <c r="PFY41" s="6"/>
      <c r="PFZ41" s="6"/>
      <c r="PGA41" s="6"/>
      <c r="PGB41" s="6"/>
      <c r="PGC41" s="6"/>
      <c r="PGD41" s="6"/>
      <c r="PGE41" s="6"/>
      <c r="PGF41" s="6"/>
      <c r="PGG41" s="6"/>
      <c r="PGH41" s="6"/>
      <c r="PGI41" s="6"/>
      <c r="PGJ41" s="6"/>
      <c r="PGK41" s="6"/>
      <c r="PGL41" s="6"/>
      <c r="PGM41" s="6"/>
      <c r="PGN41" s="6"/>
      <c r="PGO41" s="6"/>
      <c r="PGP41" s="6"/>
      <c r="PGQ41" s="6"/>
      <c r="PGR41" s="6"/>
      <c r="PGS41" s="6"/>
      <c r="PGT41" s="6"/>
      <c r="PGU41" s="6"/>
      <c r="PGV41" s="6"/>
      <c r="PGW41" s="6"/>
      <c r="PGX41" s="6"/>
      <c r="PGY41" s="6"/>
      <c r="PGZ41" s="6"/>
      <c r="PHA41" s="6"/>
      <c r="PHB41" s="6"/>
      <c r="PHC41" s="6"/>
      <c r="PHD41" s="6"/>
      <c r="PHE41" s="6"/>
      <c r="PHF41" s="6"/>
      <c r="PHG41" s="6"/>
      <c r="PHH41" s="6"/>
      <c r="PHI41" s="6"/>
      <c r="PHJ41" s="6"/>
      <c r="PHK41" s="6"/>
      <c r="PHL41" s="6"/>
      <c r="PHM41" s="6"/>
      <c r="PHN41" s="6"/>
      <c r="PHO41" s="6"/>
      <c r="PHP41" s="6"/>
      <c r="PHQ41" s="6"/>
      <c r="PHR41" s="6"/>
      <c r="PHS41" s="6"/>
      <c r="PHT41" s="6"/>
      <c r="PHU41" s="6"/>
      <c r="PHV41" s="6"/>
      <c r="PHW41" s="6"/>
      <c r="PHX41" s="6"/>
      <c r="PHY41" s="6"/>
      <c r="PHZ41" s="6"/>
      <c r="PIA41" s="6"/>
      <c r="PIB41" s="6"/>
      <c r="PIC41" s="6"/>
      <c r="PID41" s="6"/>
      <c r="PIE41" s="6"/>
      <c r="PIF41" s="6"/>
      <c r="PIG41" s="6"/>
      <c r="PIH41" s="6"/>
      <c r="PII41" s="6"/>
      <c r="PIJ41" s="6"/>
      <c r="PIK41" s="6"/>
      <c r="PIL41" s="6"/>
      <c r="PIM41" s="6"/>
      <c r="PIN41" s="6"/>
      <c r="PIO41" s="6"/>
      <c r="PIP41" s="6"/>
      <c r="PIQ41" s="6"/>
      <c r="PIR41" s="6"/>
      <c r="PIS41" s="6"/>
      <c r="PIT41" s="6"/>
      <c r="PIU41" s="6"/>
      <c r="PIV41" s="6"/>
      <c r="PIW41" s="6"/>
      <c r="PIX41" s="6"/>
      <c r="PIY41" s="6"/>
      <c r="PIZ41" s="6"/>
      <c r="PJA41" s="6"/>
      <c r="PJB41" s="6"/>
      <c r="PJC41" s="6"/>
      <c r="PJD41" s="6"/>
      <c r="PJE41" s="6"/>
      <c r="PJF41" s="6"/>
      <c r="PJG41" s="6"/>
      <c r="PJH41" s="6"/>
      <c r="PJI41" s="6"/>
      <c r="PJJ41" s="6"/>
      <c r="PJK41" s="6"/>
      <c r="PJL41" s="6"/>
      <c r="PJM41" s="6"/>
      <c r="PJN41" s="6"/>
      <c r="PJO41" s="6"/>
      <c r="PJP41" s="6"/>
      <c r="PJQ41" s="6"/>
      <c r="PJR41" s="6"/>
      <c r="PJS41" s="6"/>
      <c r="PJT41" s="6"/>
      <c r="PJU41" s="6"/>
      <c r="PJV41" s="6"/>
      <c r="PJW41" s="6"/>
      <c r="PJX41" s="6"/>
      <c r="PJY41" s="6"/>
      <c r="PJZ41" s="6"/>
      <c r="PKA41" s="6"/>
      <c r="PKB41" s="6"/>
      <c r="PKC41" s="6"/>
      <c r="PKD41" s="6"/>
      <c r="PKE41" s="6"/>
      <c r="PKF41" s="6"/>
      <c r="PKG41" s="6"/>
      <c r="PKH41" s="6"/>
      <c r="PKI41" s="6"/>
      <c r="PKJ41" s="6"/>
      <c r="PKK41" s="6"/>
      <c r="PKL41" s="6"/>
      <c r="PKM41" s="6"/>
      <c r="PKN41" s="6"/>
      <c r="PKO41" s="6"/>
      <c r="PKP41" s="6"/>
      <c r="PKQ41" s="6"/>
      <c r="PKR41" s="6"/>
      <c r="PKS41" s="6"/>
      <c r="PKT41" s="6"/>
      <c r="PKU41" s="6"/>
      <c r="PKV41" s="6"/>
      <c r="PKW41" s="6"/>
      <c r="PKX41" s="6"/>
      <c r="PKY41" s="6"/>
      <c r="PKZ41" s="6"/>
      <c r="PLA41" s="6"/>
      <c r="PLB41" s="6"/>
      <c r="PLC41" s="6"/>
      <c r="PLD41" s="6"/>
      <c r="PLE41" s="6"/>
      <c r="PLF41" s="6"/>
      <c r="PLG41" s="6"/>
      <c r="PLH41" s="6"/>
      <c r="PLI41" s="6"/>
      <c r="PLJ41" s="6"/>
      <c r="PLK41" s="6"/>
      <c r="PLL41" s="6"/>
      <c r="PLM41" s="6"/>
      <c r="PLN41" s="6"/>
      <c r="PLO41" s="6"/>
      <c r="PLP41" s="6"/>
      <c r="PLQ41" s="6"/>
      <c r="PLR41" s="6"/>
      <c r="PLS41" s="6"/>
      <c r="PLT41" s="6"/>
      <c r="PLU41" s="6"/>
      <c r="PLV41" s="6"/>
      <c r="PLW41" s="6"/>
      <c r="PLX41" s="6"/>
      <c r="PLY41" s="6"/>
      <c r="PLZ41" s="6"/>
      <c r="PMA41" s="6"/>
      <c r="PMB41" s="6"/>
      <c r="PMC41" s="6"/>
      <c r="PMD41" s="6"/>
      <c r="PME41" s="6"/>
      <c r="PMF41" s="6"/>
      <c r="PMG41" s="6"/>
      <c r="PMH41" s="6"/>
      <c r="PMI41" s="6"/>
      <c r="PMJ41" s="6"/>
      <c r="PMK41" s="6"/>
      <c r="PML41" s="6"/>
      <c r="PMM41" s="6"/>
      <c r="PMN41" s="6"/>
      <c r="PMO41" s="6"/>
      <c r="PMP41" s="6"/>
      <c r="PMQ41" s="6"/>
      <c r="PMR41" s="6"/>
      <c r="PMS41" s="6"/>
      <c r="PMT41" s="6"/>
      <c r="PMU41" s="6"/>
      <c r="PMV41" s="6"/>
      <c r="PMW41" s="6"/>
      <c r="PMX41" s="6"/>
      <c r="PMY41" s="6"/>
      <c r="PMZ41" s="6"/>
      <c r="PNA41" s="6"/>
      <c r="PNB41" s="6"/>
      <c r="PNC41" s="6"/>
      <c r="PND41" s="6"/>
      <c r="PNE41" s="6"/>
      <c r="PNF41" s="6"/>
      <c r="PNG41" s="6"/>
      <c r="PNH41" s="6"/>
      <c r="PNI41" s="6"/>
      <c r="PNJ41" s="6"/>
      <c r="PNK41" s="6"/>
      <c r="PNL41" s="6"/>
      <c r="PNM41" s="6"/>
      <c r="PNN41" s="6"/>
      <c r="PNO41" s="6"/>
      <c r="PNP41" s="6"/>
      <c r="PNQ41" s="6"/>
      <c r="PNR41" s="6"/>
      <c r="PNS41" s="6"/>
      <c r="PNT41" s="6"/>
      <c r="PNU41" s="6"/>
      <c r="PNV41" s="6"/>
      <c r="PNW41" s="6"/>
      <c r="PNX41" s="6"/>
      <c r="PNY41" s="6"/>
      <c r="PNZ41" s="6"/>
      <c r="POA41" s="6"/>
      <c r="POB41" s="6"/>
      <c r="POC41" s="6"/>
      <c r="POD41" s="6"/>
      <c r="POE41" s="6"/>
      <c r="POF41" s="6"/>
      <c r="POG41" s="6"/>
      <c r="POH41" s="6"/>
      <c r="POI41" s="6"/>
      <c r="POJ41" s="6"/>
      <c r="POK41" s="6"/>
      <c r="POL41" s="6"/>
      <c r="POM41" s="6"/>
      <c r="PON41" s="6"/>
      <c r="POO41" s="6"/>
      <c r="POP41" s="6"/>
      <c r="POQ41" s="6"/>
      <c r="POR41" s="6"/>
      <c r="POS41" s="6"/>
      <c r="POT41" s="6"/>
      <c r="POU41" s="6"/>
      <c r="POV41" s="6"/>
      <c r="POW41" s="6"/>
      <c r="POX41" s="6"/>
      <c r="POY41" s="6"/>
      <c r="POZ41" s="6"/>
      <c r="PPA41" s="6"/>
      <c r="PPB41" s="6"/>
      <c r="PPC41" s="6"/>
      <c r="PPD41" s="6"/>
      <c r="PPE41" s="6"/>
      <c r="PPF41" s="6"/>
      <c r="PPG41" s="6"/>
      <c r="PPH41" s="6"/>
      <c r="PPI41" s="6"/>
      <c r="PPJ41" s="6"/>
      <c r="PPK41" s="6"/>
      <c r="PPL41" s="6"/>
      <c r="PPM41" s="6"/>
      <c r="PPN41" s="6"/>
      <c r="PPO41" s="6"/>
      <c r="PPP41" s="6"/>
      <c r="PPQ41" s="6"/>
      <c r="PPR41" s="6"/>
      <c r="PPS41" s="6"/>
      <c r="PPT41" s="6"/>
      <c r="PPU41" s="6"/>
      <c r="PPV41" s="6"/>
      <c r="PPW41" s="6"/>
      <c r="PPX41" s="6"/>
      <c r="PPY41" s="6"/>
      <c r="PPZ41" s="6"/>
      <c r="PQA41" s="6"/>
      <c r="PQB41" s="6"/>
      <c r="PQC41" s="6"/>
      <c r="PQD41" s="6"/>
      <c r="PQE41" s="6"/>
      <c r="PQF41" s="6"/>
      <c r="PQG41" s="6"/>
      <c r="PQH41" s="6"/>
      <c r="PQI41" s="6"/>
      <c r="PQJ41" s="6"/>
      <c r="PQK41" s="6"/>
      <c r="PQL41" s="6"/>
      <c r="PQM41" s="6"/>
      <c r="PQN41" s="6"/>
      <c r="PQO41" s="6"/>
      <c r="PQP41" s="6"/>
      <c r="PQQ41" s="6"/>
      <c r="PQR41" s="6"/>
      <c r="PQS41" s="6"/>
      <c r="PQT41" s="6"/>
      <c r="PQU41" s="6"/>
      <c r="PQV41" s="6"/>
      <c r="PQW41" s="6"/>
      <c r="PQX41" s="6"/>
      <c r="PQY41" s="6"/>
      <c r="PQZ41" s="6"/>
      <c r="PRA41" s="6"/>
      <c r="PRB41" s="6"/>
      <c r="PRC41" s="6"/>
      <c r="PRD41" s="6"/>
      <c r="PRE41" s="6"/>
      <c r="PRF41" s="6"/>
      <c r="PRG41" s="6"/>
      <c r="PRH41" s="6"/>
      <c r="PRI41" s="6"/>
      <c r="PRJ41" s="6"/>
      <c r="PRK41" s="6"/>
      <c r="PRL41" s="6"/>
      <c r="PRM41" s="6"/>
      <c r="PRN41" s="6"/>
      <c r="PRO41" s="6"/>
      <c r="PRP41" s="6"/>
      <c r="PRQ41" s="6"/>
      <c r="PRR41" s="6"/>
      <c r="PRS41" s="6"/>
      <c r="PRT41" s="6"/>
      <c r="PRU41" s="6"/>
      <c r="PRV41" s="6"/>
      <c r="PRW41" s="6"/>
      <c r="PRX41" s="6"/>
      <c r="PRY41" s="6"/>
      <c r="PRZ41" s="6"/>
      <c r="PSA41" s="6"/>
      <c r="PSB41" s="6"/>
      <c r="PSC41" s="6"/>
      <c r="PSD41" s="6"/>
      <c r="PSE41" s="6"/>
      <c r="PSF41" s="6"/>
      <c r="PSG41" s="6"/>
      <c r="PSH41" s="6"/>
      <c r="PSI41" s="6"/>
      <c r="PSJ41" s="6"/>
      <c r="PSK41" s="6"/>
      <c r="PSL41" s="6"/>
      <c r="PSM41" s="6"/>
      <c r="PSN41" s="6"/>
      <c r="PSO41" s="6"/>
      <c r="PSP41" s="6"/>
      <c r="PSQ41" s="6"/>
      <c r="PSR41" s="6"/>
      <c r="PSS41" s="6"/>
      <c r="PST41" s="6"/>
      <c r="PSU41" s="6"/>
      <c r="PSV41" s="6"/>
      <c r="PSW41" s="6"/>
      <c r="PSX41" s="6"/>
      <c r="PSY41" s="6"/>
      <c r="PSZ41" s="6"/>
      <c r="PTA41" s="6"/>
      <c r="PTB41" s="6"/>
      <c r="PTC41" s="6"/>
      <c r="PTD41" s="6"/>
      <c r="PTE41" s="6"/>
      <c r="PTF41" s="6"/>
      <c r="PTG41" s="6"/>
      <c r="PTH41" s="6"/>
      <c r="PTI41" s="6"/>
      <c r="PTJ41" s="6"/>
      <c r="PTK41" s="6"/>
      <c r="PTL41" s="6"/>
      <c r="PTM41" s="6"/>
      <c r="PTN41" s="6"/>
      <c r="PTO41" s="6"/>
      <c r="PTP41" s="6"/>
      <c r="PTQ41" s="6"/>
      <c r="PTR41" s="6"/>
      <c r="PTS41" s="6"/>
      <c r="PTT41" s="6"/>
      <c r="PTU41" s="6"/>
      <c r="PTV41" s="6"/>
      <c r="PTW41" s="6"/>
      <c r="PTX41" s="6"/>
      <c r="PTY41" s="6"/>
      <c r="PTZ41" s="6"/>
      <c r="PUA41" s="6"/>
      <c r="PUB41" s="6"/>
      <c r="PUC41" s="6"/>
      <c r="PUD41" s="6"/>
      <c r="PUE41" s="6"/>
      <c r="PUF41" s="6"/>
      <c r="PUG41" s="6"/>
      <c r="PUH41" s="6"/>
      <c r="PUI41" s="6"/>
      <c r="PUJ41" s="6"/>
      <c r="PUK41" s="6"/>
      <c r="PUL41" s="6"/>
      <c r="PUM41" s="6"/>
      <c r="PUN41" s="6"/>
      <c r="PUO41" s="6"/>
      <c r="PUP41" s="6"/>
      <c r="PUQ41" s="6"/>
      <c r="PUR41" s="6"/>
      <c r="PUS41" s="6"/>
      <c r="PUT41" s="6"/>
      <c r="PUU41" s="6"/>
      <c r="PUV41" s="6"/>
      <c r="PUW41" s="6"/>
      <c r="PUX41" s="6"/>
      <c r="PUY41" s="6"/>
      <c r="PUZ41" s="6"/>
      <c r="PVA41" s="6"/>
      <c r="PVB41" s="6"/>
      <c r="PVC41" s="6"/>
      <c r="PVD41" s="6"/>
      <c r="PVE41" s="6"/>
      <c r="PVF41" s="6"/>
      <c r="PVG41" s="6"/>
      <c r="PVH41" s="6"/>
      <c r="PVI41" s="6"/>
      <c r="PVJ41" s="6"/>
      <c r="PVK41" s="6"/>
      <c r="PVL41" s="6"/>
      <c r="PVM41" s="6"/>
      <c r="PVN41" s="6"/>
      <c r="PVO41" s="6"/>
      <c r="PVP41" s="6"/>
      <c r="PVQ41" s="6"/>
      <c r="PVR41" s="6"/>
      <c r="PVS41" s="6"/>
      <c r="PVT41" s="6"/>
      <c r="PVU41" s="6"/>
      <c r="PVV41" s="6"/>
      <c r="PVW41" s="6"/>
      <c r="PVX41" s="6"/>
      <c r="PVY41" s="6"/>
      <c r="PVZ41" s="6"/>
      <c r="PWA41" s="6"/>
      <c r="PWB41" s="6"/>
      <c r="PWC41" s="6"/>
      <c r="PWD41" s="6"/>
      <c r="PWE41" s="6"/>
      <c r="PWF41" s="6"/>
      <c r="PWG41" s="6"/>
      <c r="PWH41" s="6"/>
      <c r="PWI41" s="6"/>
      <c r="PWJ41" s="6"/>
      <c r="PWK41" s="6"/>
      <c r="PWL41" s="6"/>
      <c r="PWM41" s="6"/>
      <c r="PWN41" s="6"/>
      <c r="PWO41" s="6"/>
      <c r="PWP41" s="6"/>
      <c r="PWQ41" s="6"/>
      <c r="PWR41" s="6"/>
      <c r="PWS41" s="6"/>
      <c r="PWT41" s="6"/>
      <c r="PWU41" s="6"/>
      <c r="PWV41" s="6"/>
      <c r="PWW41" s="6"/>
      <c r="PWX41" s="6"/>
      <c r="PWY41" s="6"/>
      <c r="PWZ41" s="6"/>
      <c r="PXA41" s="6"/>
      <c r="PXB41" s="6"/>
      <c r="PXC41" s="6"/>
      <c r="PXD41" s="6"/>
      <c r="PXE41" s="6"/>
      <c r="PXF41" s="6"/>
      <c r="PXG41" s="6"/>
      <c r="PXH41" s="6"/>
      <c r="PXI41" s="6"/>
      <c r="PXJ41" s="6"/>
      <c r="PXK41" s="6"/>
      <c r="PXL41" s="6"/>
      <c r="PXM41" s="6"/>
      <c r="PXN41" s="6"/>
      <c r="PXO41" s="6"/>
      <c r="PXP41" s="6"/>
      <c r="PXQ41" s="6"/>
      <c r="PXR41" s="6"/>
      <c r="PXS41" s="6"/>
      <c r="PXT41" s="6"/>
      <c r="PXU41" s="6"/>
      <c r="PXV41" s="6"/>
      <c r="PXW41" s="6"/>
      <c r="PXX41" s="6"/>
      <c r="PXY41" s="6"/>
      <c r="PXZ41" s="6"/>
      <c r="PYA41" s="6"/>
      <c r="PYB41" s="6"/>
      <c r="PYC41" s="6"/>
      <c r="PYD41" s="6"/>
      <c r="PYE41" s="6"/>
      <c r="PYF41" s="6"/>
      <c r="PYG41" s="6"/>
      <c r="PYH41" s="6"/>
      <c r="PYI41" s="6"/>
      <c r="PYJ41" s="6"/>
      <c r="PYK41" s="6"/>
      <c r="PYL41" s="6"/>
      <c r="PYM41" s="6"/>
      <c r="PYN41" s="6"/>
      <c r="PYO41" s="6"/>
      <c r="PYP41" s="6"/>
      <c r="PYQ41" s="6"/>
      <c r="PYR41" s="6"/>
      <c r="PYS41" s="6"/>
      <c r="PYT41" s="6"/>
      <c r="PYU41" s="6"/>
      <c r="PYV41" s="6"/>
      <c r="PYW41" s="6"/>
      <c r="PYX41" s="6"/>
      <c r="PYY41" s="6"/>
      <c r="PYZ41" s="6"/>
      <c r="PZA41" s="6"/>
      <c r="PZB41" s="6"/>
      <c r="PZC41" s="6"/>
      <c r="PZD41" s="6"/>
      <c r="PZE41" s="6"/>
      <c r="PZF41" s="6"/>
      <c r="PZG41" s="6"/>
      <c r="PZH41" s="6"/>
      <c r="PZI41" s="6"/>
      <c r="PZJ41" s="6"/>
      <c r="PZK41" s="6"/>
      <c r="PZL41" s="6"/>
      <c r="PZM41" s="6"/>
      <c r="PZN41" s="6"/>
      <c r="PZO41" s="6"/>
      <c r="PZP41" s="6"/>
      <c r="PZQ41" s="6"/>
      <c r="PZR41" s="6"/>
      <c r="PZS41" s="6"/>
      <c r="PZT41" s="6"/>
      <c r="PZU41" s="6"/>
      <c r="PZV41" s="6"/>
      <c r="PZW41" s="6"/>
      <c r="PZX41" s="6"/>
      <c r="PZY41" s="6"/>
      <c r="PZZ41" s="6"/>
      <c r="QAA41" s="6"/>
      <c r="QAB41" s="6"/>
      <c r="QAC41" s="6"/>
      <c r="QAD41" s="6"/>
      <c r="QAE41" s="6"/>
      <c r="QAF41" s="6"/>
      <c r="QAG41" s="6"/>
      <c r="QAH41" s="6"/>
      <c r="QAI41" s="6"/>
      <c r="QAJ41" s="6"/>
      <c r="QAK41" s="6"/>
      <c r="QAL41" s="6"/>
      <c r="QAM41" s="6"/>
      <c r="QAN41" s="6"/>
      <c r="QAO41" s="6"/>
      <c r="QAP41" s="6"/>
      <c r="QAQ41" s="6"/>
      <c r="QAR41" s="6"/>
      <c r="QAS41" s="6"/>
      <c r="QAT41" s="6"/>
      <c r="QAU41" s="6"/>
      <c r="QAV41" s="6"/>
      <c r="QAW41" s="6"/>
      <c r="QAX41" s="6"/>
      <c r="QAY41" s="6"/>
      <c r="QAZ41" s="6"/>
      <c r="QBA41" s="6"/>
      <c r="QBB41" s="6"/>
      <c r="QBC41" s="6"/>
      <c r="QBD41" s="6"/>
      <c r="QBE41" s="6"/>
      <c r="QBF41" s="6"/>
      <c r="QBG41" s="6"/>
      <c r="QBH41" s="6"/>
      <c r="QBI41" s="6"/>
      <c r="QBJ41" s="6"/>
      <c r="QBK41" s="6"/>
      <c r="QBL41" s="6"/>
      <c r="QBM41" s="6"/>
      <c r="QBN41" s="6"/>
      <c r="QBO41" s="6"/>
      <c r="QBP41" s="6"/>
      <c r="QBQ41" s="6"/>
      <c r="QBR41" s="6"/>
      <c r="QBS41" s="6"/>
      <c r="QBT41" s="6"/>
      <c r="QBU41" s="6"/>
      <c r="QBV41" s="6"/>
      <c r="QBW41" s="6"/>
      <c r="QBX41" s="6"/>
      <c r="QBY41" s="6"/>
      <c r="QBZ41" s="6"/>
      <c r="QCA41" s="6"/>
      <c r="QCB41" s="6"/>
      <c r="QCC41" s="6"/>
      <c r="QCD41" s="6"/>
      <c r="QCE41" s="6"/>
      <c r="QCF41" s="6"/>
      <c r="QCG41" s="6"/>
      <c r="QCH41" s="6"/>
      <c r="QCI41" s="6"/>
      <c r="QCJ41" s="6"/>
      <c r="QCK41" s="6"/>
      <c r="QCL41" s="6"/>
      <c r="QCM41" s="6"/>
      <c r="QCN41" s="6"/>
      <c r="QCO41" s="6"/>
      <c r="QCP41" s="6"/>
      <c r="QCQ41" s="6"/>
      <c r="QCR41" s="6"/>
      <c r="QCS41" s="6"/>
      <c r="QCT41" s="6"/>
      <c r="QCU41" s="6"/>
      <c r="QCV41" s="6"/>
      <c r="QCW41" s="6"/>
      <c r="QCX41" s="6"/>
      <c r="QCY41" s="6"/>
      <c r="QCZ41" s="6"/>
      <c r="QDA41" s="6"/>
      <c r="QDB41" s="6"/>
      <c r="QDC41" s="6"/>
      <c r="QDD41" s="6"/>
      <c r="QDE41" s="6"/>
      <c r="QDF41" s="6"/>
      <c r="QDG41" s="6"/>
      <c r="QDH41" s="6"/>
      <c r="QDI41" s="6"/>
      <c r="QDJ41" s="6"/>
      <c r="QDK41" s="6"/>
      <c r="QDL41" s="6"/>
      <c r="QDM41" s="6"/>
      <c r="QDN41" s="6"/>
      <c r="QDO41" s="6"/>
      <c r="QDP41" s="6"/>
      <c r="QDQ41" s="6"/>
      <c r="QDR41" s="6"/>
      <c r="QDS41" s="6"/>
      <c r="QDT41" s="6"/>
      <c r="QDU41" s="6"/>
      <c r="QDV41" s="6"/>
      <c r="QDW41" s="6"/>
      <c r="QDX41" s="6"/>
      <c r="QDY41" s="6"/>
      <c r="QDZ41" s="6"/>
      <c r="QEA41" s="6"/>
      <c r="QEB41" s="6"/>
      <c r="QEC41" s="6"/>
      <c r="QED41" s="6"/>
      <c r="QEE41" s="6"/>
      <c r="QEF41" s="6"/>
      <c r="QEG41" s="6"/>
      <c r="QEH41" s="6"/>
      <c r="QEI41" s="6"/>
      <c r="QEJ41" s="6"/>
      <c r="QEK41" s="6"/>
      <c r="QEL41" s="6"/>
      <c r="QEM41" s="6"/>
      <c r="QEN41" s="6"/>
      <c r="QEO41" s="6"/>
      <c r="QEP41" s="6"/>
      <c r="QEQ41" s="6"/>
      <c r="QER41" s="6"/>
      <c r="QES41" s="6"/>
      <c r="QET41" s="6"/>
      <c r="QEU41" s="6"/>
      <c r="QEV41" s="6"/>
      <c r="QEW41" s="6"/>
      <c r="QEX41" s="6"/>
      <c r="QEY41" s="6"/>
      <c r="QEZ41" s="6"/>
      <c r="QFA41" s="6"/>
      <c r="QFB41" s="6"/>
      <c r="QFC41" s="6"/>
      <c r="QFD41" s="6"/>
      <c r="QFE41" s="6"/>
      <c r="QFF41" s="6"/>
      <c r="QFG41" s="6"/>
      <c r="QFH41" s="6"/>
      <c r="QFI41" s="6"/>
      <c r="QFJ41" s="6"/>
      <c r="QFK41" s="6"/>
      <c r="QFL41" s="6"/>
      <c r="QFM41" s="6"/>
      <c r="QFN41" s="6"/>
      <c r="QFO41" s="6"/>
      <c r="QFP41" s="6"/>
      <c r="QFQ41" s="6"/>
      <c r="QFR41" s="6"/>
      <c r="QFS41" s="6"/>
      <c r="QFT41" s="6"/>
      <c r="QFU41" s="6"/>
      <c r="QFV41" s="6"/>
      <c r="QFW41" s="6"/>
      <c r="QFX41" s="6"/>
      <c r="QFY41" s="6"/>
      <c r="QFZ41" s="6"/>
      <c r="QGA41" s="6"/>
      <c r="QGB41" s="6"/>
      <c r="QGC41" s="6"/>
      <c r="QGD41" s="6"/>
      <c r="QGE41" s="6"/>
      <c r="QGF41" s="6"/>
      <c r="QGG41" s="6"/>
      <c r="QGH41" s="6"/>
      <c r="QGI41" s="6"/>
      <c r="QGJ41" s="6"/>
      <c r="QGK41" s="6"/>
      <c r="QGL41" s="6"/>
      <c r="QGM41" s="6"/>
      <c r="QGN41" s="6"/>
      <c r="QGO41" s="6"/>
      <c r="QGP41" s="6"/>
      <c r="QGQ41" s="6"/>
      <c r="QGR41" s="6"/>
      <c r="QGS41" s="6"/>
      <c r="QGT41" s="6"/>
      <c r="QGU41" s="6"/>
      <c r="QGV41" s="6"/>
      <c r="QGW41" s="6"/>
      <c r="QGX41" s="6"/>
      <c r="QGY41" s="6"/>
      <c r="QGZ41" s="6"/>
      <c r="QHA41" s="6"/>
      <c r="QHB41" s="6"/>
      <c r="QHC41" s="6"/>
      <c r="QHD41" s="6"/>
      <c r="QHE41" s="6"/>
      <c r="QHF41" s="6"/>
      <c r="QHG41" s="6"/>
      <c r="QHH41" s="6"/>
      <c r="QHI41" s="6"/>
      <c r="QHJ41" s="6"/>
      <c r="QHK41" s="6"/>
      <c r="QHL41" s="6"/>
      <c r="QHM41" s="6"/>
      <c r="QHN41" s="6"/>
      <c r="QHO41" s="6"/>
      <c r="QHP41" s="6"/>
      <c r="QHQ41" s="6"/>
      <c r="QHR41" s="6"/>
      <c r="QHS41" s="6"/>
      <c r="QHT41" s="6"/>
      <c r="QHU41" s="6"/>
      <c r="QHV41" s="6"/>
      <c r="QHW41" s="6"/>
      <c r="QHX41" s="6"/>
      <c r="QHY41" s="6"/>
      <c r="QHZ41" s="6"/>
      <c r="QIA41" s="6"/>
      <c r="QIB41" s="6"/>
      <c r="QIC41" s="6"/>
      <c r="QID41" s="6"/>
      <c r="QIE41" s="6"/>
      <c r="QIF41" s="6"/>
      <c r="QIG41" s="6"/>
      <c r="QIH41" s="6"/>
      <c r="QII41" s="6"/>
      <c r="QIJ41" s="6"/>
      <c r="QIK41" s="6"/>
      <c r="QIL41" s="6"/>
      <c r="QIM41" s="6"/>
      <c r="QIN41" s="6"/>
      <c r="QIO41" s="6"/>
      <c r="QIP41" s="6"/>
      <c r="QIQ41" s="6"/>
      <c r="QIR41" s="6"/>
      <c r="QIS41" s="6"/>
      <c r="QIT41" s="6"/>
      <c r="QIU41" s="6"/>
      <c r="QIV41" s="6"/>
      <c r="QIW41" s="6"/>
      <c r="QIX41" s="6"/>
      <c r="QIY41" s="6"/>
      <c r="QIZ41" s="6"/>
      <c r="QJA41" s="6"/>
      <c r="QJB41" s="6"/>
      <c r="QJC41" s="6"/>
      <c r="QJD41" s="6"/>
      <c r="QJE41" s="6"/>
      <c r="QJF41" s="6"/>
      <c r="QJG41" s="6"/>
      <c r="QJH41" s="6"/>
      <c r="QJI41" s="6"/>
      <c r="QJJ41" s="6"/>
      <c r="QJK41" s="6"/>
      <c r="QJL41" s="6"/>
      <c r="QJM41" s="6"/>
      <c r="QJN41" s="6"/>
      <c r="QJO41" s="6"/>
      <c r="QJP41" s="6"/>
      <c r="QJQ41" s="6"/>
      <c r="QJR41" s="6"/>
      <c r="QJS41" s="6"/>
      <c r="QJT41" s="6"/>
      <c r="QJU41" s="6"/>
      <c r="QJV41" s="6"/>
      <c r="QJW41" s="6"/>
      <c r="QJX41" s="6"/>
      <c r="QJY41" s="6"/>
      <c r="QJZ41" s="6"/>
      <c r="QKA41" s="6"/>
      <c r="QKB41" s="6"/>
      <c r="QKC41" s="6"/>
      <c r="QKD41" s="6"/>
      <c r="QKE41" s="6"/>
      <c r="QKF41" s="6"/>
      <c r="QKG41" s="6"/>
      <c r="QKH41" s="6"/>
      <c r="QKI41" s="6"/>
      <c r="QKJ41" s="6"/>
      <c r="QKK41" s="6"/>
      <c r="QKL41" s="6"/>
      <c r="QKM41" s="6"/>
      <c r="QKN41" s="6"/>
      <c r="QKO41" s="6"/>
      <c r="QKP41" s="6"/>
      <c r="QKQ41" s="6"/>
      <c r="QKR41" s="6"/>
      <c r="QKS41" s="6"/>
      <c r="QKT41" s="6"/>
      <c r="QKU41" s="6"/>
      <c r="QKV41" s="6"/>
      <c r="QKW41" s="6"/>
      <c r="QKX41" s="6"/>
      <c r="QKY41" s="6"/>
      <c r="QKZ41" s="6"/>
      <c r="QLA41" s="6"/>
      <c r="QLB41" s="6"/>
      <c r="QLC41" s="6"/>
      <c r="QLD41" s="6"/>
      <c r="QLE41" s="6"/>
      <c r="QLF41" s="6"/>
      <c r="QLG41" s="6"/>
      <c r="QLH41" s="6"/>
      <c r="QLI41" s="6"/>
      <c r="QLJ41" s="6"/>
      <c r="QLK41" s="6"/>
      <c r="QLL41" s="6"/>
      <c r="QLM41" s="6"/>
      <c r="QLN41" s="6"/>
      <c r="QLO41" s="6"/>
      <c r="QLP41" s="6"/>
      <c r="QLQ41" s="6"/>
      <c r="QLR41" s="6"/>
      <c r="QLS41" s="6"/>
      <c r="QLT41" s="6"/>
      <c r="QLU41" s="6"/>
      <c r="QLV41" s="6"/>
      <c r="QLW41" s="6"/>
      <c r="QLX41" s="6"/>
      <c r="QLY41" s="6"/>
      <c r="QLZ41" s="6"/>
      <c r="QMA41" s="6"/>
      <c r="QMB41" s="6"/>
      <c r="QMC41" s="6"/>
      <c r="QMD41" s="6"/>
      <c r="QME41" s="6"/>
      <c r="QMF41" s="6"/>
      <c r="QMG41" s="6"/>
      <c r="QMH41" s="6"/>
      <c r="QMI41" s="6"/>
      <c r="QMJ41" s="6"/>
      <c r="QMK41" s="6"/>
      <c r="QML41" s="6"/>
      <c r="QMM41" s="6"/>
      <c r="QMN41" s="6"/>
      <c r="QMO41" s="6"/>
      <c r="QMP41" s="6"/>
      <c r="QMQ41" s="6"/>
      <c r="QMR41" s="6"/>
      <c r="QMS41" s="6"/>
      <c r="QMT41" s="6"/>
      <c r="QMU41" s="6"/>
      <c r="QMV41" s="6"/>
      <c r="QMW41" s="6"/>
      <c r="QMX41" s="6"/>
      <c r="QMY41" s="6"/>
      <c r="QMZ41" s="6"/>
      <c r="QNA41" s="6"/>
      <c r="QNB41" s="6"/>
      <c r="QNC41" s="6"/>
      <c r="QND41" s="6"/>
      <c r="QNE41" s="6"/>
      <c r="QNF41" s="6"/>
      <c r="QNG41" s="6"/>
      <c r="QNH41" s="6"/>
      <c r="QNI41" s="6"/>
      <c r="QNJ41" s="6"/>
      <c r="QNK41" s="6"/>
      <c r="QNL41" s="6"/>
      <c r="QNM41" s="6"/>
      <c r="QNN41" s="6"/>
      <c r="QNO41" s="6"/>
      <c r="QNP41" s="6"/>
      <c r="QNQ41" s="6"/>
      <c r="QNR41" s="6"/>
      <c r="QNS41" s="6"/>
      <c r="QNT41" s="6"/>
      <c r="QNU41" s="6"/>
      <c r="QNV41" s="6"/>
      <c r="QNW41" s="6"/>
      <c r="QNX41" s="6"/>
      <c r="QNY41" s="6"/>
      <c r="QNZ41" s="6"/>
      <c r="QOA41" s="6"/>
      <c r="QOB41" s="6"/>
      <c r="QOC41" s="6"/>
      <c r="QOD41" s="6"/>
      <c r="QOE41" s="6"/>
      <c r="QOF41" s="6"/>
      <c r="QOG41" s="6"/>
      <c r="QOH41" s="6"/>
      <c r="QOI41" s="6"/>
      <c r="QOJ41" s="6"/>
      <c r="QOK41" s="6"/>
      <c r="QOL41" s="6"/>
      <c r="QOM41" s="6"/>
      <c r="QON41" s="6"/>
      <c r="QOO41" s="6"/>
      <c r="QOP41" s="6"/>
      <c r="QOQ41" s="6"/>
      <c r="QOR41" s="6"/>
      <c r="QOS41" s="6"/>
      <c r="QOT41" s="6"/>
      <c r="QOU41" s="6"/>
      <c r="QOV41" s="6"/>
      <c r="QOW41" s="6"/>
      <c r="QOX41" s="6"/>
      <c r="QOY41" s="6"/>
      <c r="QOZ41" s="6"/>
      <c r="QPA41" s="6"/>
      <c r="QPB41" s="6"/>
      <c r="QPC41" s="6"/>
      <c r="QPD41" s="6"/>
      <c r="QPE41" s="6"/>
      <c r="QPF41" s="6"/>
      <c r="QPG41" s="6"/>
      <c r="QPH41" s="6"/>
      <c r="QPI41" s="6"/>
      <c r="QPJ41" s="6"/>
      <c r="QPK41" s="6"/>
      <c r="QPL41" s="6"/>
      <c r="QPM41" s="6"/>
      <c r="QPN41" s="6"/>
      <c r="QPO41" s="6"/>
      <c r="QPP41" s="6"/>
      <c r="QPQ41" s="6"/>
      <c r="QPR41" s="6"/>
      <c r="QPS41" s="6"/>
      <c r="QPT41" s="6"/>
      <c r="QPU41" s="6"/>
      <c r="QPV41" s="6"/>
      <c r="QPW41" s="6"/>
      <c r="QPX41" s="6"/>
      <c r="QPY41" s="6"/>
      <c r="QPZ41" s="6"/>
      <c r="QQA41" s="6"/>
      <c r="QQB41" s="6"/>
      <c r="QQC41" s="6"/>
      <c r="QQD41" s="6"/>
      <c r="QQE41" s="6"/>
      <c r="QQF41" s="6"/>
      <c r="QQG41" s="6"/>
      <c r="QQH41" s="6"/>
      <c r="QQI41" s="6"/>
      <c r="QQJ41" s="6"/>
      <c r="QQK41" s="6"/>
      <c r="QQL41" s="6"/>
      <c r="QQM41" s="6"/>
      <c r="QQN41" s="6"/>
      <c r="QQO41" s="6"/>
      <c r="QQP41" s="6"/>
      <c r="QQQ41" s="6"/>
      <c r="QQR41" s="6"/>
      <c r="QQS41" s="6"/>
      <c r="QQT41" s="6"/>
      <c r="QQU41" s="6"/>
      <c r="QQV41" s="6"/>
      <c r="QQW41" s="6"/>
      <c r="QQX41" s="6"/>
      <c r="QQY41" s="6"/>
      <c r="QQZ41" s="6"/>
      <c r="QRA41" s="6"/>
      <c r="QRB41" s="6"/>
      <c r="QRC41" s="6"/>
      <c r="QRD41" s="6"/>
      <c r="QRE41" s="6"/>
      <c r="QRF41" s="6"/>
      <c r="QRG41" s="6"/>
      <c r="QRH41" s="6"/>
      <c r="QRI41" s="6"/>
      <c r="QRJ41" s="6"/>
      <c r="QRK41" s="6"/>
      <c r="QRL41" s="6"/>
      <c r="QRM41" s="6"/>
      <c r="QRN41" s="6"/>
      <c r="QRO41" s="6"/>
      <c r="QRP41" s="6"/>
      <c r="QRQ41" s="6"/>
      <c r="QRR41" s="6"/>
      <c r="QRS41" s="6"/>
      <c r="QRT41" s="6"/>
      <c r="QRU41" s="6"/>
      <c r="QRV41" s="6"/>
      <c r="QRW41" s="6"/>
      <c r="QRX41" s="6"/>
      <c r="QRY41" s="6"/>
      <c r="QRZ41" s="6"/>
      <c r="QSA41" s="6"/>
      <c r="QSB41" s="6"/>
      <c r="QSC41" s="6"/>
      <c r="QSD41" s="6"/>
      <c r="QSE41" s="6"/>
      <c r="QSF41" s="6"/>
      <c r="QSG41" s="6"/>
      <c r="QSH41" s="6"/>
      <c r="QSI41" s="6"/>
      <c r="QSJ41" s="6"/>
      <c r="QSK41" s="6"/>
      <c r="QSL41" s="6"/>
      <c r="QSM41" s="6"/>
      <c r="QSN41" s="6"/>
      <c r="QSO41" s="6"/>
      <c r="QSP41" s="6"/>
      <c r="QSQ41" s="6"/>
      <c r="QSR41" s="6"/>
      <c r="QSS41" s="6"/>
      <c r="QST41" s="6"/>
      <c r="QSU41" s="6"/>
      <c r="QSV41" s="6"/>
      <c r="QSW41" s="6"/>
      <c r="QSX41" s="6"/>
      <c r="QSY41" s="6"/>
      <c r="QSZ41" s="6"/>
      <c r="QTA41" s="6"/>
      <c r="QTB41" s="6"/>
      <c r="QTC41" s="6"/>
      <c r="QTD41" s="6"/>
      <c r="QTE41" s="6"/>
      <c r="QTF41" s="6"/>
      <c r="QTG41" s="6"/>
      <c r="QTH41" s="6"/>
      <c r="QTI41" s="6"/>
      <c r="QTJ41" s="6"/>
      <c r="QTK41" s="6"/>
      <c r="QTL41" s="6"/>
      <c r="QTM41" s="6"/>
      <c r="QTN41" s="6"/>
      <c r="QTO41" s="6"/>
      <c r="QTP41" s="6"/>
      <c r="QTQ41" s="6"/>
      <c r="QTR41" s="6"/>
      <c r="QTS41" s="6"/>
      <c r="QTT41" s="6"/>
      <c r="QTU41" s="6"/>
      <c r="QTV41" s="6"/>
      <c r="QTW41" s="6"/>
      <c r="QTX41" s="6"/>
      <c r="QTY41" s="6"/>
      <c r="QTZ41" s="6"/>
      <c r="QUA41" s="6"/>
      <c r="QUB41" s="6"/>
      <c r="QUC41" s="6"/>
      <c r="QUD41" s="6"/>
      <c r="QUE41" s="6"/>
      <c r="QUF41" s="6"/>
      <c r="QUG41" s="6"/>
      <c r="QUH41" s="6"/>
      <c r="QUI41" s="6"/>
      <c r="QUJ41" s="6"/>
      <c r="QUK41" s="6"/>
      <c r="QUL41" s="6"/>
      <c r="QUM41" s="6"/>
      <c r="QUN41" s="6"/>
      <c r="QUO41" s="6"/>
      <c r="QUP41" s="6"/>
      <c r="QUQ41" s="6"/>
      <c r="QUR41" s="6"/>
      <c r="QUS41" s="6"/>
      <c r="QUT41" s="6"/>
      <c r="QUU41" s="6"/>
      <c r="QUV41" s="6"/>
      <c r="QUW41" s="6"/>
      <c r="QUX41" s="6"/>
      <c r="QUY41" s="6"/>
      <c r="QUZ41" s="6"/>
      <c r="QVA41" s="6"/>
      <c r="QVB41" s="6"/>
      <c r="QVC41" s="6"/>
      <c r="QVD41" s="6"/>
      <c r="QVE41" s="6"/>
      <c r="QVF41" s="6"/>
      <c r="QVG41" s="6"/>
      <c r="QVH41" s="6"/>
      <c r="QVI41" s="6"/>
      <c r="QVJ41" s="6"/>
      <c r="QVK41" s="6"/>
      <c r="QVL41" s="6"/>
      <c r="QVM41" s="6"/>
      <c r="QVN41" s="6"/>
      <c r="QVO41" s="6"/>
      <c r="QVP41" s="6"/>
      <c r="QVQ41" s="6"/>
      <c r="QVR41" s="6"/>
      <c r="QVS41" s="6"/>
      <c r="QVT41" s="6"/>
      <c r="QVU41" s="6"/>
      <c r="QVV41" s="6"/>
      <c r="QVW41" s="6"/>
      <c r="QVX41" s="6"/>
      <c r="QVY41" s="6"/>
      <c r="QVZ41" s="6"/>
      <c r="QWA41" s="6"/>
      <c r="QWB41" s="6"/>
      <c r="QWC41" s="6"/>
      <c r="QWD41" s="6"/>
      <c r="QWE41" s="6"/>
      <c r="QWF41" s="6"/>
      <c r="QWG41" s="6"/>
      <c r="QWH41" s="6"/>
      <c r="QWI41" s="6"/>
      <c r="QWJ41" s="6"/>
      <c r="QWK41" s="6"/>
      <c r="QWL41" s="6"/>
      <c r="QWM41" s="6"/>
      <c r="QWN41" s="6"/>
      <c r="QWO41" s="6"/>
      <c r="QWP41" s="6"/>
      <c r="QWQ41" s="6"/>
      <c r="QWR41" s="6"/>
      <c r="QWS41" s="6"/>
      <c r="QWT41" s="6"/>
      <c r="QWU41" s="6"/>
      <c r="QWV41" s="6"/>
      <c r="QWW41" s="6"/>
      <c r="QWX41" s="6"/>
      <c r="QWY41" s="6"/>
      <c r="QWZ41" s="6"/>
      <c r="QXA41" s="6"/>
      <c r="QXB41" s="6"/>
      <c r="QXC41" s="6"/>
      <c r="QXD41" s="6"/>
      <c r="QXE41" s="6"/>
      <c r="QXF41" s="6"/>
      <c r="QXG41" s="6"/>
      <c r="QXH41" s="6"/>
      <c r="QXI41" s="6"/>
      <c r="QXJ41" s="6"/>
      <c r="QXK41" s="6"/>
      <c r="QXL41" s="6"/>
      <c r="QXM41" s="6"/>
      <c r="QXN41" s="6"/>
      <c r="QXO41" s="6"/>
      <c r="QXP41" s="6"/>
      <c r="QXQ41" s="6"/>
      <c r="QXR41" s="6"/>
      <c r="QXS41" s="6"/>
      <c r="QXT41" s="6"/>
      <c r="QXU41" s="6"/>
      <c r="QXV41" s="6"/>
      <c r="QXW41" s="6"/>
      <c r="QXX41" s="6"/>
      <c r="QXY41" s="6"/>
      <c r="QXZ41" s="6"/>
      <c r="QYA41" s="6"/>
      <c r="QYB41" s="6"/>
      <c r="QYC41" s="6"/>
      <c r="QYD41" s="6"/>
      <c r="QYE41" s="6"/>
      <c r="QYF41" s="6"/>
      <c r="QYG41" s="6"/>
      <c r="QYH41" s="6"/>
      <c r="QYI41" s="6"/>
      <c r="QYJ41" s="6"/>
      <c r="QYK41" s="6"/>
      <c r="QYL41" s="6"/>
      <c r="QYM41" s="6"/>
      <c r="QYN41" s="6"/>
      <c r="QYO41" s="6"/>
      <c r="QYP41" s="6"/>
      <c r="QYQ41" s="6"/>
      <c r="QYR41" s="6"/>
      <c r="QYS41" s="6"/>
      <c r="QYT41" s="6"/>
      <c r="QYU41" s="6"/>
      <c r="QYV41" s="6"/>
      <c r="QYW41" s="6"/>
      <c r="QYX41" s="6"/>
      <c r="QYY41" s="6"/>
      <c r="QYZ41" s="6"/>
      <c r="QZA41" s="6"/>
      <c r="QZB41" s="6"/>
      <c r="QZC41" s="6"/>
      <c r="QZD41" s="6"/>
      <c r="QZE41" s="6"/>
      <c r="QZF41" s="6"/>
      <c r="QZG41" s="6"/>
      <c r="QZH41" s="6"/>
      <c r="QZI41" s="6"/>
      <c r="QZJ41" s="6"/>
      <c r="QZK41" s="6"/>
      <c r="QZL41" s="6"/>
      <c r="QZM41" s="6"/>
      <c r="QZN41" s="6"/>
      <c r="QZO41" s="6"/>
      <c r="QZP41" s="6"/>
      <c r="QZQ41" s="6"/>
      <c r="QZR41" s="6"/>
      <c r="QZS41" s="6"/>
      <c r="QZT41" s="6"/>
      <c r="QZU41" s="6"/>
      <c r="QZV41" s="6"/>
      <c r="QZW41" s="6"/>
      <c r="QZX41" s="6"/>
      <c r="QZY41" s="6"/>
      <c r="QZZ41" s="6"/>
      <c r="RAA41" s="6"/>
      <c r="RAB41" s="6"/>
      <c r="RAC41" s="6"/>
      <c r="RAD41" s="6"/>
      <c r="RAE41" s="6"/>
      <c r="RAF41" s="6"/>
      <c r="RAG41" s="6"/>
      <c r="RAH41" s="6"/>
      <c r="RAI41" s="6"/>
      <c r="RAJ41" s="6"/>
      <c r="RAK41" s="6"/>
      <c r="RAL41" s="6"/>
      <c r="RAM41" s="6"/>
      <c r="RAN41" s="6"/>
      <c r="RAO41" s="6"/>
      <c r="RAP41" s="6"/>
      <c r="RAQ41" s="6"/>
      <c r="RAR41" s="6"/>
      <c r="RAS41" s="6"/>
      <c r="RAT41" s="6"/>
      <c r="RAU41" s="6"/>
      <c r="RAV41" s="6"/>
      <c r="RAW41" s="6"/>
      <c r="RAX41" s="6"/>
      <c r="RAY41" s="6"/>
      <c r="RAZ41" s="6"/>
      <c r="RBA41" s="6"/>
      <c r="RBB41" s="6"/>
      <c r="RBC41" s="6"/>
      <c r="RBD41" s="6"/>
      <c r="RBE41" s="6"/>
      <c r="RBF41" s="6"/>
      <c r="RBG41" s="6"/>
      <c r="RBH41" s="6"/>
      <c r="RBI41" s="6"/>
      <c r="RBJ41" s="6"/>
      <c r="RBK41" s="6"/>
      <c r="RBL41" s="6"/>
      <c r="RBM41" s="6"/>
      <c r="RBN41" s="6"/>
      <c r="RBO41" s="6"/>
      <c r="RBP41" s="6"/>
      <c r="RBQ41" s="6"/>
      <c r="RBR41" s="6"/>
      <c r="RBS41" s="6"/>
      <c r="RBT41" s="6"/>
      <c r="RBU41" s="6"/>
      <c r="RBV41" s="6"/>
      <c r="RBW41" s="6"/>
      <c r="RBX41" s="6"/>
      <c r="RBY41" s="6"/>
      <c r="RBZ41" s="6"/>
      <c r="RCA41" s="6"/>
      <c r="RCB41" s="6"/>
      <c r="RCC41" s="6"/>
      <c r="RCD41" s="6"/>
      <c r="RCE41" s="6"/>
      <c r="RCF41" s="6"/>
      <c r="RCG41" s="6"/>
      <c r="RCH41" s="6"/>
      <c r="RCI41" s="6"/>
      <c r="RCJ41" s="6"/>
      <c r="RCK41" s="6"/>
      <c r="RCL41" s="6"/>
      <c r="RCM41" s="6"/>
      <c r="RCN41" s="6"/>
      <c r="RCO41" s="6"/>
      <c r="RCP41" s="6"/>
      <c r="RCQ41" s="6"/>
      <c r="RCR41" s="6"/>
      <c r="RCS41" s="6"/>
      <c r="RCT41" s="6"/>
      <c r="RCU41" s="6"/>
      <c r="RCV41" s="6"/>
      <c r="RCW41" s="6"/>
      <c r="RCX41" s="6"/>
      <c r="RCY41" s="6"/>
      <c r="RCZ41" s="6"/>
      <c r="RDA41" s="6"/>
      <c r="RDB41" s="6"/>
      <c r="RDC41" s="6"/>
      <c r="RDD41" s="6"/>
      <c r="RDE41" s="6"/>
      <c r="RDF41" s="6"/>
      <c r="RDG41" s="6"/>
      <c r="RDH41" s="6"/>
      <c r="RDI41" s="6"/>
      <c r="RDJ41" s="6"/>
      <c r="RDK41" s="6"/>
      <c r="RDL41" s="6"/>
      <c r="RDM41" s="6"/>
      <c r="RDN41" s="6"/>
      <c r="RDO41" s="6"/>
      <c r="RDP41" s="6"/>
      <c r="RDQ41" s="6"/>
      <c r="RDR41" s="6"/>
      <c r="RDS41" s="6"/>
      <c r="RDT41" s="6"/>
      <c r="RDU41" s="6"/>
      <c r="RDV41" s="6"/>
      <c r="RDW41" s="6"/>
      <c r="RDX41" s="6"/>
      <c r="RDY41" s="6"/>
      <c r="RDZ41" s="6"/>
      <c r="REA41" s="6"/>
      <c r="REB41" s="6"/>
      <c r="REC41" s="6"/>
      <c r="RED41" s="6"/>
      <c r="REE41" s="6"/>
      <c r="REF41" s="6"/>
      <c r="REG41" s="6"/>
      <c r="REH41" s="6"/>
      <c r="REI41" s="6"/>
      <c r="REJ41" s="6"/>
      <c r="REK41" s="6"/>
      <c r="REL41" s="6"/>
      <c r="REM41" s="6"/>
      <c r="REN41" s="6"/>
      <c r="REO41" s="6"/>
      <c r="REP41" s="6"/>
      <c r="REQ41" s="6"/>
      <c r="RER41" s="6"/>
      <c r="RES41" s="6"/>
      <c r="RET41" s="6"/>
      <c r="REU41" s="6"/>
      <c r="REV41" s="6"/>
      <c r="REW41" s="6"/>
      <c r="REX41" s="6"/>
      <c r="REY41" s="6"/>
      <c r="REZ41" s="6"/>
      <c r="RFA41" s="6"/>
      <c r="RFB41" s="6"/>
      <c r="RFC41" s="6"/>
      <c r="RFD41" s="6"/>
      <c r="RFE41" s="6"/>
      <c r="RFF41" s="6"/>
      <c r="RFG41" s="6"/>
      <c r="RFH41" s="6"/>
      <c r="RFI41" s="6"/>
      <c r="RFJ41" s="6"/>
      <c r="RFK41" s="6"/>
      <c r="RFL41" s="6"/>
      <c r="RFM41" s="6"/>
      <c r="RFN41" s="6"/>
      <c r="RFO41" s="6"/>
      <c r="RFP41" s="6"/>
      <c r="RFQ41" s="6"/>
      <c r="RFR41" s="6"/>
      <c r="RFS41" s="6"/>
      <c r="RFT41" s="6"/>
      <c r="RFU41" s="6"/>
      <c r="RFV41" s="6"/>
      <c r="RFW41" s="6"/>
      <c r="RFX41" s="6"/>
      <c r="RFY41" s="6"/>
      <c r="RFZ41" s="6"/>
      <c r="RGA41" s="6"/>
      <c r="RGB41" s="6"/>
      <c r="RGC41" s="6"/>
      <c r="RGD41" s="6"/>
      <c r="RGE41" s="6"/>
      <c r="RGF41" s="6"/>
      <c r="RGG41" s="6"/>
      <c r="RGH41" s="6"/>
      <c r="RGI41" s="6"/>
      <c r="RGJ41" s="6"/>
      <c r="RGK41" s="6"/>
      <c r="RGL41" s="6"/>
      <c r="RGM41" s="6"/>
      <c r="RGN41" s="6"/>
      <c r="RGO41" s="6"/>
      <c r="RGP41" s="6"/>
      <c r="RGQ41" s="6"/>
      <c r="RGR41" s="6"/>
      <c r="RGS41" s="6"/>
      <c r="RGT41" s="6"/>
      <c r="RGU41" s="6"/>
      <c r="RGV41" s="6"/>
      <c r="RGW41" s="6"/>
      <c r="RGX41" s="6"/>
      <c r="RGY41" s="6"/>
      <c r="RGZ41" s="6"/>
      <c r="RHA41" s="6"/>
      <c r="RHB41" s="6"/>
      <c r="RHC41" s="6"/>
      <c r="RHD41" s="6"/>
      <c r="RHE41" s="6"/>
      <c r="RHF41" s="6"/>
      <c r="RHG41" s="6"/>
      <c r="RHH41" s="6"/>
      <c r="RHI41" s="6"/>
      <c r="RHJ41" s="6"/>
      <c r="RHK41" s="6"/>
      <c r="RHL41" s="6"/>
      <c r="RHM41" s="6"/>
      <c r="RHN41" s="6"/>
      <c r="RHO41" s="6"/>
      <c r="RHP41" s="6"/>
      <c r="RHQ41" s="6"/>
      <c r="RHR41" s="6"/>
      <c r="RHS41" s="6"/>
      <c r="RHT41" s="6"/>
      <c r="RHU41" s="6"/>
      <c r="RHV41" s="6"/>
      <c r="RHW41" s="6"/>
      <c r="RHX41" s="6"/>
      <c r="RHY41" s="6"/>
      <c r="RHZ41" s="6"/>
      <c r="RIA41" s="6"/>
      <c r="RIB41" s="6"/>
      <c r="RIC41" s="6"/>
      <c r="RID41" s="6"/>
      <c r="RIE41" s="6"/>
      <c r="RIF41" s="6"/>
      <c r="RIG41" s="6"/>
      <c r="RIH41" s="6"/>
      <c r="RII41" s="6"/>
      <c r="RIJ41" s="6"/>
      <c r="RIK41" s="6"/>
      <c r="RIL41" s="6"/>
      <c r="RIM41" s="6"/>
      <c r="RIN41" s="6"/>
      <c r="RIO41" s="6"/>
      <c r="RIP41" s="6"/>
      <c r="RIQ41" s="6"/>
      <c r="RIR41" s="6"/>
      <c r="RIS41" s="6"/>
      <c r="RIT41" s="6"/>
      <c r="RIU41" s="6"/>
      <c r="RIV41" s="6"/>
      <c r="RIW41" s="6"/>
      <c r="RIX41" s="6"/>
      <c r="RIY41" s="6"/>
      <c r="RIZ41" s="6"/>
      <c r="RJA41" s="6"/>
      <c r="RJB41" s="6"/>
      <c r="RJC41" s="6"/>
      <c r="RJD41" s="6"/>
      <c r="RJE41" s="6"/>
      <c r="RJF41" s="6"/>
      <c r="RJG41" s="6"/>
      <c r="RJH41" s="6"/>
      <c r="RJI41" s="6"/>
      <c r="RJJ41" s="6"/>
      <c r="RJK41" s="6"/>
      <c r="RJL41" s="6"/>
      <c r="RJM41" s="6"/>
      <c r="RJN41" s="6"/>
      <c r="RJO41" s="6"/>
      <c r="RJP41" s="6"/>
      <c r="RJQ41" s="6"/>
      <c r="RJR41" s="6"/>
      <c r="RJS41" s="6"/>
      <c r="RJT41" s="6"/>
      <c r="RJU41" s="6"/>
      <c r="RJV41" s="6"/>
      <c r="RJW41" s="6"/>
      <c r="RJX41" s="6"/>
      <c r="RJY41" s="6"/>
      <c r="RJZ41" s="6"/>
      <c r="RKA41" s="6"/>
      <c r="RKB41" s="6"/>
      <c r="RKC41" s="6"/>
      <c r="RKD41" s="6"/>
      <c r="RKE41" s="6"/>
      <c r="RKF41" s="6"/>
      <c r="RKG41" s="6"/>
      <c r="RKH41" s="6"/>
      <c r="RKI41" s="6"/>
      <c r="RKJ41" s="6"/>
      <c r="RKK41" s="6"/>
      <c r="RKL41" s="6"/>
      <c r="RKM41" s="6"/>
      <c r="RKN41" s="6"/>
      <c r="RKO41" s="6"/>
      <c r="RKP41" s="6"/>
      <c r="RKQ41" s="6"/>
      <c r="RKR41" s="6"/>
      <c r="RKS41" s="6"/>
      <c r="RKT41" s="6"/>
      <c r="RKU41" s="6"/>
      <c r="RKV41" s="6"/>
      <c r="RKW41" s="6"/>
      <c r="RKX41" s="6"/>
      <c r="RKY41" s="6"/>
      <c r="RKZ41" s="6"/>
      <c r="RLA41" s="6"/>
      <c r="RLB41" s="6"/>
      <c r="RLC41" s="6"/>
      <c r="RLD41" s="6"/>
      <c r="RLE41" s="6"/>
      <c r="RLF41" s="6"/>
      <c r="RLG41" s="6"/>
      <c r="RLH41" s="6"/>
      <c r="RLI41" s="6"/>
      <c r="RLJ41" s="6"/>
      <c r="RLK41" s="6"/>
      <c r="RLL41" s="6"/>
      <c r="RLM41" s="6"/>
      <c r="RLN41" s="6"/>
      <c r="RLO41" s="6"/>
      <c r="RLP41" s="6"/>
      <c r="RLQ41" s="6"/>
      <c r="RLR41" s="6"/>
      <c r="RLS41" s="6"/>
      <c r="RLT41" s="6"/>
      <c r="RLU41" s="6"/>
      <c r="RLV41" s="6"/>
      <c r="RLW41" s="6"/>
      <c r="RLX41" s="6"/>
      <c r="RLY41" s="6"/>
      <c r="RLZ41" s="6"/>
      <c r="RMA41" s="6"/>
      <c r="RMB41" s="6"/>
      <c r="RMC41" s="6"/>
      <c r="RMD41" s="6"/>
      <c r="RME41" s="6"/>
      <c r="RMF41" s="6"/>
      <c r="RMG41" s="6"/>
      <c r="RMH41" s="6"/>
      <c r="RMI41" s="6"/>
      <c r="RMJ41" s="6"/>
      <c r="RMK41" s="6"/>
      <c r="RML41" s="6"/>
      <c r="RMM41" s="6"/>
      <c r="RMN41" s="6"/>
      <c r="RMO41" s="6"/>
      <c r="RMP41" s="6"/>
      <c r="RMQ41" s="6"/>
      <c r="RMR41" s="6"/>
      <c r="RMS41" s="6"/>
      <c r="RMT41" s="6"/>
      <c r="RMU41" s="6"/>
      <c r="RMV41" s="6"/>
      <c r="RMW41" s="6"/>
      <c r="RMX41" s="6"/>
      <c r="RMY41" s="6"/>
      <c r="RMZ41" s="6"/>
      <c r="RNA41" s="6"/>
      <c r="RNB41" s="6"/>
      <c r="RNC41" s="6"/>
      <c r="RND41" s="6"/>
      <c r="RNE41" s="6"/>
      <c r="RNF41" s="6"/>
      <c r="RNG41" s="6"/>
      <c r="RNH41" s="6"/>
      <c r="RNI41" s="6"/>
      <c r="RNJ41" s="6"/>
      <c r="RNK41" s="6"/>
      <c r="RNL41" s="6"/>
      <c r="RNM41" s="6"/>
      <c r="RNN41" s="6"/>
      <c r="RNO41" s="6"/>
      <c r="RNP41" s="6"/>
      <c r="RNQ41" s="6"/>
      <c r="RNR41" s="6"/>
      <c r="RNS41" s="6"/>
      <c r="RNT41" s="6"/>
      <c r="RNU41" s="6"/>
      <c r="RNV41" s="6"/>
      <c r="RNW41" s="6"/>
      <c r="RNX41" s="6"/>
      <c r="RNY41" s="6"/>
      <c r="RNZ41" s="6"/>
      <c r="ROA41" s="6"/>
      <c r="ROB41" s="6"/>
      <c r="ROC41" s="6"/>
      <c r="ROD41" s="6"/>
      <c r="ROE41" s="6"/>
      <c r="ROF41" s="6"/>
      <c r="ROG41" s="6"/>
      <c r="ROH41" s="6"/>
      <c r="ROI41" s="6"/>
      <c r="ROJ41" s="6"/>
      <c r="ROK41" s="6"/>
      <c r="ROL41" s="6"/>
      <c r="ROM41" s="6"/>
      <c r="RON41" s="6"/>
      <c r="ROO41" s="6"/>
      <c r="ROP41" s="6"/>
      <c r="ROQ41" s="6"/>
      <c r="ROR41" s="6"/>
      <c r="ROS41" s="6"/>
      <c r="ROT41" s="6"/>
      <c r="ROU41" s="6"/>
      <c r="ROV41" s="6"/>
      <c r="ROW41" s="6"/>
      <c r="ROX41" s="6"/>
      <c r="ROY41" s="6"/>
      <c r="ROZ41" s="6"/>
      <c r="RPA41" s="6"/>
      <c r="RPB41" s="6"/>
      <c r="RPC41" s="6"/>
      <c r="RPD41" s="6"/>
      <c r="RPE41" s="6"/>
      <c r="RPF41" s="6"/>
      <c r="RPG41" s="6"/>
      <c r="RPH41" s="6"/>
      <c r="RPI41" s="6"/>
      <c r="RPJ41" s="6"/>
      <c r="RPK41" s="6"/>
      <c r="RPL41" s="6"/>
      <c r="RPM41" s="6"/>
      <c r="RPN41" s="6"/>
      <c r="RPO41" s="6"/>
      <c r="RPP41" s="6"/>
      <c r="RPQ41" s="6"/>
      <c r="RPR41" s="6"/>
      <c r="RPS41" s="6"/>
      <c r="RPT41" s="6"/>
      <c r="RPU41" s="6"/>
      <c r="RPV41" s="6"/>
      <c r="RPW41" s="6"/>
      <c r="RPX41" s="6"/>
      <c r="RPY41" s="6"/>
      <c r="RPZ41" s="6"/>
      <c r="RQA41" s="6"/>
      <c r="RQB41" s="6"/>
      <c r="RQC41" s="6"/>
      <c r="RQD41" s="6"/>
      <c r="RQE41" s="6"/>
      <c r="RQF41" s="6"/>
      <c r="RQG41" s="6"/>
      <c r="RQH41" s="6"/>
      <c r="RQI41" s="6"/>
      <c r="RQJ41" s="6"/>
      <c r="RQK41" s="6"/>
      <c r="RQL41" s="6"/>
      <c r="RQM41" s="6"/>
      <c r="RQN41" s="6"/>
      <c r="RQO41" s="6"/>
      <c r="RQP41" s="6"/>
      <c r="RQQ41" s="6"/>
      <c r="RQR41" s="6"/>
      <c r="RQS41" s="6"/>
      <c r="RQT41" s="6"/>
      <c r="RQU41" s="6"/>
      <c r="RQV41" s="6"/>
      <c r="RQW41" s="6"/>
      <c r="RQX41" s="6"/>
      <c r="RQY41" s="6"/>
      <c r="RQZ41" s="6"/>
      <c r="RRA41" s="6"/>
      <c r="RRB41" s="6"/>
      <c r="RRC41" s="6"/>
      <c r="RRD41" s="6"/>
      <c r="RRE41" s="6"/>
      <c r="RRF41" s="6"/>
      <c r="RRG41" s="6"/>
      <c r="RRH41" s="6"/>
      <c r="RRI41" s="6"/>
      <c r="RRJ41" s="6"/>
      <c r="RRK41" s="6"/>
      <c r="RRL41" s="6"/>
      <c r="RRM41" s="6"/>
      <c r="RRN41" s="6"/>
      <c r="RRO41" s="6"/>
      <c r="RRP41" s="6"/>
      <c r="RRQ41" s="6"/>
      <c r="RRR41" s="6"/>
      <c r="RRS41" s="6"/>
      <c r="RRT41" s="6"/>
      <c r="RRU41" s="6"/>
      <c r="RRV41" s="6"/>
      <c r="RRW41" s="6"/>
      <c r="RRX41" s="6"/>
      <c r="RRY41" s="6"/>
      <c r="RRZ41" s="6"/>
      <c r="RSA41" s="6"/>
      <c r="RSB41" s="6"/>
      <c r="RSC41" s="6"/>
      <c r="RSD41" s="6"/>
      <c r="RSE41" s="6"/>
      <c r="RSF41" s="6"/>
      <c r="RSG41" s="6"/>
      <c r="RSH41" s="6"/>
      <c r="RSI41" s="6"/>
      <c r="RSJ41" s="6"/>
      <c r="RSK41" s="6"/>
      <c r="RSL41" s="6"/>
      <c r="RSM41" s="6"/>
      <c r="RSN41" s="6"/>
      <c r="RSO41" s="6"/>
      <c r="RSP41" s="6"/>
      <c r="RSQ41" s="6"/>
      <c r="RSR41" s="6"/>
      <c r="RSS41" s="6"/>
      <c r="RST41" s="6"/>
      <c r="RSU41" s="6"/>
      <c r="RSV41" s="6"/>
      <c r="RSW41" s="6"/>
      <c r="RSX41" s="6"/>
      <c r="RSY41" s="6"/>
      <c r="RSZ41" s="6"/>
      <c r="RTA41" s="6"/>
      <c r="RTB41" s="6"/>
      <c r="RTC41" s="6"/>
      <c r="RTD41" s="6"/>
      <c r="RTE41" s="6"/>
      <c r="RTF41" s="6"/>
      <c r="RTG41" s="6"/>
      <c r="RTH41" s="6"/>
      <c r="RTI41" s="6"/>
      <c r="RTJ41" s="6"/>
      <c r="RTK41" s="6"/>
      <c r="RTL41" s="6"/>
      <c r="RTM41" s="6"/>
      <c r="RTN41" s="6"/>
      <c r="RTO41" s="6"/>
      <c r="RTP41" s="6"/>
      <c r="RTQ41" s="6"/>
      <c r="RTR41" s="6"/>
      <c r="RTS41" s="6"/>
      <c r="RTT41" s="6"/>
      <c r="RTU41" s="6"/>
      <c r="RTV41" s="6"/>
      <c r="RTW41" s="6"/>
      <c r="RTX41" s="6"/>
      <c r="RTY41" s="6"/>
      <c r="RTZ41" s="6"/>
      <c r="RUA41" s="6"/>
      <c r="RUB41" s="6"/>
      <c r="RUC41" s="6"/>
      <c r="RUD41" s="6"/>
      <c r="RUE41" s="6"/>
      <c r="RUF41" s="6"/>
      <c r="RUG41" s="6"/>
      <c r="RUH41" s="6"/>
      <c r="RUI41" s="6"/>
      <c r="RUJ41" s="6"/>
      <c r="RUK41" s="6"/>
      <c r="RUL41" s="6"/>
      <c r="RUM41" s="6"/>
      <c r="RUN41" s="6"/>
      <c r="RUO41" s="6"/>
      <c r="RUP41" s="6"/>
      <c r="RUQ41" s="6"/>
      <c r="RUR41" s="6"/>
      <c r="RUS41" s="6"/>
      <c r="RUT41" s="6"/>
      <c r="RUU41" s="6"/>
      <c r="RUV41" s="6"/>
      <c r="RUW41" s="6"/>
      <c r="RUX41" s="6"/>
      <c r="RUY41" s="6"/>
      <c r="RUZ41" s="6"/>
      <c r="RVA41" s="6"/>
      <c r="RVB41" s="6"/>
      <c r="RVC41" s="6"/>
      <c r="RVD41" s="6"/>
      <c r="RVE41" s="6"/>
      <c r="RVF41" s="6"/>
      <c r="RVG41" s="6"/>
      <c r="RVH41" s="6"/>
      <c r="RVI41" s="6"/>
      <c r="RVJ41" s="6"/>
      <c r="RVK41" s="6"/>
      <c r="RVL41" s="6"/>
      <c r="RVM41" s="6"/>
      <c r="RVN41" s="6"/>
      <c r="RVO41" s="6"/>
      <c r="RVP41" s="6"/>
      <c r="RVQ41" s="6"/>
      <c r="RVR41" s="6"/>
      <c r="RVS41" s="6"/>
      <c r="RVT41" s="6"/>
      <c r="RVU41" s="6"/>
      <c r="RVV41" s="6"/>
      <c r="RVW41" s="6"/>
      <c r="RVX41" s="6"/>
      <c r="RVY41" s="6"/>
      <c r="RVZ41" s="6"/>
      <c r="RWA41" s="6"/>
      <c r="RWB41" s="6"/>
      <c r="RWC41" s="6"/>
      <c r="RWD41" s="6"/>
      <c r="RWE41" s="6"/>
      <c r="RWF41" s="6"/>
      <c r="RWG41" s="6"/>
      <c r="RWH41" s="6"/>
      <c r="RWI41" s="6"/>
      <c r="RWJ41" s="6"/>
      <c r="RWK41" s="6"/>
      <c r="RWL41" s="6"/>
      <c r="RWM41" s="6"/>
      <c r="RWN41" s="6"/>
      <c r="RWO41" s="6"/>
      <c r="RWP41" s="6"/>
      <c r="RWQ41" s="6"/>
      <c r="RWR41" s="6"/>
      <c r="RWS41" s="6"/>
      <c r="RWT41" s="6"/>
      <c r="RWU41" s="6"/>
      <c r="RWV41" s="6"/>
      <c r="RWW41" s="6"/>
      <c r="RWX41" s="6"/>
      <c r="RWY41" s="6"/>
      <c r="RWZ41" s="6"/>
      <c r="RXA41" s="6"/>
      <c r="RXB41" s="6"/>
      <c r="RXC41" s="6"/>
      <c r="RXD41" s="6"/>
      <c r="RXE41" s="6"/>
      <c r="RXF41" s="6"/>
      <c r="RXG41" s="6"/>
      <c r="RXH41" s="6"/>
      <c r="RXI41" s="6"/>
      <c r="RXJ41" s="6"/>
      <c r="RXK41" s="6"/>
      <c r="RXL41" s="6"/>
      <c r="RXM41" s="6"/>
      <c r="RXN41" s="6"/>
      <c r="RXO41" s="6"/>
      <c r="RXP41" s="6"/>
      <c r="RXQ41" s="6"/>
      <c r="RXR41" s="6"/>
      <c r="RXS41" s="6"/>
      <c r="RXT41" s="6"/>
      <c r="RXU41" s="6"/>
      <c r="RXV41" s="6"/>
      <c r="RXW41" s="6"/>
      <c r="RXX41" s="6"/>
      <c r="RXY41" s="6"/>
      <c r="RXZ41" s="6"/>
      <c r="RYA41" s="6"/>
      <c r="RYB41" s="6"/>
      <c r="RYC41" s="6"/>
      <c r="RYD41" s="6"/>
      <c r="RYE41" s="6"/>
      <c r="RYF41" s="6"/>
      <c r="RYG41" s="6"/>
      <c r="RYH41" s="6"/>
      <c r="RYI41" s="6"/>
      <c r="RYJ41" s="6"/>
      <c r="RYK41" s="6"/>
      <c r="RYL41" s="6"/>
      <c r="RYM41" s="6"/>
      <c r="RYN41" s="6"/>
      <c r="RYO41" s="6"/>
      <c r="RYP41" s="6"/>
      <c r="RYQ41" s="6"/>
      <c r="RYR41" s="6"/>
      <c r="RYS41" s="6"/>
      <c r="RYT41" s="6"/>
      <c r="RYU41" s="6"/>
      <c r="RYV41" s="6"/>
      <c r="RYW41" s="6"/>
      <c r="RYX41" s="6"/>
      <c r="RYY41" s="6"/>
      <c r="RYZ41" s="6"/>
      <c r="RZA41" s="6"/>
      <c r="RZB41" s="6"/>
      <c r="RZC41" s="6"/>
      <c r="RZD41" s="6"/>
      <c r="RZE41" s="6"/>
      <c r="RZF41" s="6"/>
      <c r="RZG41" s="6"/>
      <c r="RZH41" s="6"/>
      <c r="RZI41" s="6"/>
      <c r="RZJ41" s="6"/>
      <c r="RZK41" s="6"/>
      <c r="RZL41" s="6"/>
      <c r="RZM41" s="6"/>
      <c r="RZN41" s="6"/>
      <c r="RZO41" s="6"/>
      <c r="RZP41" s="6"/>
      <c r="RZQ41" s="6"/>
      <c r="RZR41" s="6"/>
      <c r="RZS41" s="6"/>
      <c r="RZT41" s="6"/>
      <c r="RZU41" s="6"/>
      <c r="RZV41" s="6"/>
      <c r="RZW41" s="6"/>
      <c r="RZX41" s="6"/>
      <c r="RZY41" s="6"/>
      <c r="RZZ41" s="6"/>
      <c r="SAA41" s="6"/>
      <c r="SAB41" s="6"/>
      <c r="SAC41" s="6"/>
      <c r="SAD41" s="6"/>
      <c r="SAE41" s="6"/>
      <c r="SAF41" s="6"/>
      <c r="SAG41" s="6"/>
      <c r="SAH41" s="6"/>
      <c r="SAI41" s="6"/>
      <c r="SAJ41" s="6"/>
      <c r="SAK41" s="6"/>
      <c r="SAL41" s="6"/>
      <c r="SAM41" s="6"/>
      <c r="SAN41" s="6"/>
      <c r="SAO41" s="6"/>
      <c r="SAP41" s="6"/>
      <c r="SAQ41" s="6"/>
      <c r="SAR41" s="6"/>
      <c r="SAS41" s="6"/>
      <c r="SAT41" s="6"/>
      <c r="SAU41" s="6"/>
      <c r="SAV41" s="6"/>
      <c r="SAW41" s="6"/>
      <c r="SAX41" s="6"/>
      <c r="SAY41" s="6"/>
      <c r="SAZ41" s="6"/>
      <c r="SBA41" s="6"/>
      <c r="SBB41" s="6"/>
      <c r="SBC41" s="6"/>
      <c r="SBD41" s="6"/>
      <c r="SBE41" s="6"/>
      <c r="SBF41" s="6"/>
      <c r="SBG41" s="6"/>
      <c r="SBH41" s="6"/>
      <c r="SBI41" s="6"/>
      <c r="SBJ41" s="6"/>
      <c r="SBK41" s="6"/>
      <c r="SBL41" s="6"/>
      <c r="SBM41" s="6"/>
      <c r="SBN41" s="6"/>
      <c r="SBO41" s="6"/>
      <c r="SBP41" s="6"/>
      <c r="SBQ41" s="6"/>
      <c r="SBR41" s="6"/>
      <c r="SBS41" s="6"/>
      <c r="SBT41" s="6"/>
      <c r="SBU41" s="6"/>
      <c r="SBV41" s="6"/>
      <c r="SBW41" s="6"/>
      <c r="SBX41" s="6"/>
      <c r="SBY41" s="6"/>
      <c r="SBZ41" s="6"/>
      <c r="SCA41" s="6"/>
      <c r="SCB41" s="6"/>
      <c r="SCC41" s="6"/>
      <c r="SCD41" s="6"/>
      <c r="SCE41" s="6"/>
      <c r="SCF41" s="6"/>
      <c r="SCG41" s="6"/>
      <c r="SCH41" s="6"/>
      <c r="SCI41" s="6"/>
      <c r="SCJ41" s="6"/>
      <c r="SCK41" s="6"/>
      <c r="SCL41" s="6"/>
      <c r="SCM41" s="6"/>
      <c r="SCN41" s="6"/>
      <c r="SCO41" s="6"/>
      <c r="SCP41" s="6"/>
      <c r="SCQ41" s="6"/>
      <c r="SCR41" s="6"/>
      <c r="SCS41" s="6"/>
      <c r="SCT41" s="6"/>
      <c r="SCU41" s="6"/>
      <c r="SCV41" s="6"/>
      <c r="SCW41" s="6"/>
      <c r="SCX41" s="6"/>
      <c r="SCY41" s="6"/>
      <c r="SCZ41" s="6"/>
      <c r="SDA41" s="6"/>
      <c r="SDB41" s="6"/>
      <c r="SDC41" s="6"/>
      <c r="SDD41" s="6"/>
      <c r="SDE41" s="6"/>
      <c r="SDF41" s="6"/>
      <c r="SDG41" s="6"/>
      <c r="SDH41" s="6"/>
      <c r="SDI41" s="6"/>
      <c r="SDJ41" s="6"/>
      <c r="SDK41" s="6"/>
      <c r="SDL41" s="6"/>
      <c r="SDM41" s="6"/>
      <c r="SDN41" s="6"/>
      <c r="SDO41" s="6"/>
      <c r="SDP41" s="6"/>
      <c r="SDQ41" s="6"/>
      <c r="SDR41" s="6"/>
      <c r="SDS41" s="6"/>
      <c r="SDT41" s="6"/>
      <c r="SDU41" s="6"/>
      <c r="SDV41" s="6"/>
      <c r="SDW41" s="6"/>
      <c r="SDX41" s="6"/>
      <c r="SDY41" s="6"/>
      <c r="SDZ41" s="6"/>
      <c r="SEA41" s="6"/>
      <c r="SEB41" s="6"/>
      <c r="SEC41" s="6"/>
      <c r="SED41" s="6"/>
      <c r="SEE41" s="6"/>
      <c r="SEF41" s="6"/>
      <c r="SEG41" s="6"/>
      <c r="SEH41" s="6"/>
      <c r="SEI41" s="6"/>
      <c r="SEJ41" s="6"/>
      <c r="SEK41" s="6"/>
      <c r="SEL41" s="6"/>
      <c r="SEM41" s="6"/>
      <c r="SEN41" s="6"/>
      <c r="SEO41" s="6"/>
      <c r="SEP41" s="6"/>
      <c r="SEQ41" s="6"/>
      <c r="SER41" s="6"/>
      <c r="SES41" s="6"/>
      <c r="SET41" s="6"/>
      <c r="SEU41" s="6"/>
      <c r="SEV41" s="6"/>
      <c r="SEW41" s="6"/>
      <c r="SEX41" s="6"/>
      <c r="SEY41" s="6"/>
      <c r="SEZ41" s="6"/>
      <c r="SFA41" s="6"/>
      <c r="SFB41" s="6"/>
      <c r="SFC41" s="6"/>
      <c r="SFD41" s="6"/>
      <c r="SFE41" s="6"/>
      <c r="SFF41" s="6"/>
      <c r="SFG41" s="6"/>
      <c r="SFH41" s="6"/>
      <c r="SFI41" s="6"/>
      <c r="SFJ41" s="6"/>
      <c r="SFK41" s="6"/>
      <c r="SFL41" s="6"/>
      <c r="SFM41" s="6"/>
      <c r="SFN41" s="6"/>
      <c r="SFO41" s="6"/>
      <c r="SFP41" s="6"/>
      <c r="SFQ41" s="6"/>
      <c r="SFR41" s="6"/>
      <c r="SFS41" s="6"/>
      <c r="SFT41" s="6"/>
      <c r="SFU41" s="6"/>
      <c r="SFV41" s="6"/>
      <c r="SFW41" s="6"/>
      <c r="SFX41" s="6"/>
      <c r="SFY41" s="6"/>
      <c r="SFZ41" s="6"/>
      <c r="SGA41" s="6"/>
      <c r="SGB41" s="6"/>
      <c r="SGC41" s="6"/>
      <c r="SGD41" s="6"/>
      <c r="SGE41" s="6"/>
      <c r="SGF41" s="6"/>
      <c r="SGG41" s="6"/>
      <c r="SGH41" s="6"/>
      <c r="SGI41" s="6"/>
      <c r="SGJ41" s="6"/>
      <c r="SGK41" s="6"/>
      <c r="SGL41" s="6"/>
      <c r="SGM41" s="6"/>
      <c r="SGN41" s="6"/>
      <c r="SGO41" s="6"/>
      <c r="SGP41" s="6"/>
      <c r="SGQ41" s="6"/>
      <c r="SGR41" s="6"/>
      <c r="SGS41" s="6"/>
      <c r="SGT41" s="6"/>
      <c r="SGU41" s="6"/>
      <c r="SGV41" s="6"/>
      <c r="SGW41" s="6"/>
      <c r="SGX41" s="6"/>
      <c r="SGY41" s="6"/>
      <c r="SGZ41" s="6"/>
      <c r="SHA41" s="6"/>
      <c r="SHB41" s="6"/>
      <c r="SHC41" s="6"/>
      <c r="SHD41" s="6"/>
      <c r="SHE41" s="6"/>
      <c r="SHF41" s="6"/>
      <c r="SHG41" s="6"/>
      <c r="SHH41" s="6"/>
      <c r="SHI41" s="6"/>
      <c r="SHJ41" s="6"/>
      <c r="SHK41" s="6"/>
      <c r="SHL41" s="6"/>
      <c r="SHM41" s="6"/>
      <c r="SHN41" s="6"/>
      <c r="SHO41" s="6"/>
      <c r="SHP41" s="6"/>
      <c r="SHQ41" s="6"/>
      <c r="SHR41" s="6"/>
      <c r="SHS41" s="6"/>
      <c r="SHT41" s="6"/>
      <c r="SHU41" s="6"/>
      <c r="SHV41" s="6"/>
      <c r="SHW41" s="6"/>
      <c r="SHX41" s="6"/>
      <c r="SHY41" s="6"/>
      <c r="SHZ41" s="6"/>
      <c r="SIA41" s="6"/>
      <c r="SIB41" s="6"/>
      <c r="SIC41" s="6"/>
      <c r="SID41" s="6"/>
      <c r="SIE41" s="6"/>
      <c r="SIF41" s="6"/>
      <c r="SIG41" s="6"/>
      <c r="SIH41" s="6"/>
      <c r="SII41" s="6"/>
      <c r="SIJ41" s="6"/>
      <c r="SIK41" s="6"/>
      <c r="SIL41" s="6"/>
      <c r="SIM41" s="6"/>
      <c r="SIN41" s="6"/>
      <c r="SIO41" s="6"/>
      <c r="SIP41" s="6"/>
      <c r="SIQ41" s="6"/>
      <c r="SIR41" s="6"/>
      <c r="SIS41" s="6"/>
      <c r="SIT41" s="6"/>
      <c r="SIU41" s="6"/>
      <c r="SIV41" s="6"/>
      <c r="SIW41" s="6"/>
      <c r="SIX41" s="6"/>
      <c r="SIY41" s="6"/>
      <c r="SIZ41" s="6"/>
      <c r="SJA41" s="6"/>
      <c r="SJB41" s="6"/>
      <c r="SJC41" s="6"/>
      <c r="SJD41" s="6"/>
      <c r="SJE41" s="6"/>
      <c r="SJF41" s="6"/>
      <c r="SJG41" s="6"/>
      <c r="SJH41" s="6"/>
      <c r="SJI41" s="6"/>
      <c r="SJJ41" s="6"/>
      <c r="SJK41" s="6"/>
      <c r="SJL41" s="6"/>
      <c r="SJM41" s="6"/>
      <c r="SJN41" s="6"/>
      <c r="SJO41" s="6"/>
      <c r="SJP41" s="6"/>
      <c r="SJQ41" s="6"/>
      <c r="SJR41" s="6"/>
      <c r="SJS41" s="6"/>
      <c r="SJT41" s="6"/>
      <c r="SJU41" s="6"/>
      <c r="SJV41" s="6"/>
      <c r="SJW41" s="6"/>
      <c r="SJX41" s="6"/>
      <c r="SJY41" s="6"/>
      <c r="SJZ41" s="6"/>
      <c r="SKA41" s="6"/>
      <c r="SKB41" s="6"/>
      <c r="SKC41" s="6"/>
      <c r="SKD41" s="6"/>
      <c r="SKE41" s="6"/>
      <c r="SKF41" s="6"/>
      <c r="SKG41" s="6"/>
      <c r="SKH41" s="6"/>
      <c r="SKI41" s="6"/>
      <c r="SKJ41" s="6"/>
      <c r="SKK41" s="6"/>
      <c r="SKL41" s="6"/>
      <c r="SKM41" s="6"/>
      <c r="SKN41" s="6"/>
      <c r="SKO41" s="6"/>
      <c r="SKP41" s="6"/>
      <c r="SKQ41" s="6"/>
      <c r="SKR41" s="6"/>
      <c r="SKS41" s="6"/>
      <c r="SKT41" s="6"/>
      <c r="SKU41" s="6"/>
      <c r="SKV41" s="6"/>
      <c r="SKW41" s="6"/>
      <c r="SKX41" s="6"/>
      <c r="SKY41" s="6"/>
      <c r="SKZ41" s="6"/>
      <c r="SLA41" s="6"/>
      <c r="SLB41" s="6"/>
      <c r="SLC41" s="6"/>
      <c r="SLD41" s="6"/>
      <c r="SLE41" s="6"/>
      <c r="SLF41" s="6"/>
      <c r="SLG41" s="6"/>
      <c r="SLH41" s="6"/>
      <c r="SLI41" s="6"/>
      <c r="SLJ41" s="6"/>
      <c r="SLK41" s="6"/>
      <c r="SLL41" s="6"/>
      <c r="SLM41" s="6"/>
      <c r="SLN41" s="6"/>
      <c r="SLO41" s="6"/>
      <c r="SLP41" s="6"/>
      <c r="SLQ41" s="6"/>
      <c r="SLR41" s="6"/>
      <c r="SLS41" s="6"/>
      <c r="SLT41" s="6"/>
      <c r="SLU41" s="6"/>
      <c r="SLV41" s="6"/>
      <c r="SLW41" s="6"/>
      <c r="SLX41" s="6"/>
      <c r="SLY41" s="6"/>
      <c r="SLZ41" s="6"/>
      <c r="SMA41" s="6"/>
      <c r="SMB41" s="6"/>
      <c r="SMC41" s="6"/>
      <c r="SMD41" s="6"/>
      <c r="SME41" s="6"/>
      <c r="SMF41" s="6"/>
      <c r="SMG41" s="6"/>
      <c r="SMH41" s="6"/>
      <c r="SMI41" s="6"/>
      <c r="SMJ41" s="6"/>
      <c r="SMK41" s="6"/>
      <c r="SML41" s="6"/>
      <c r="SMM41" s="6"/>
      <c r="SMN41" s="6"/>
      <c r="SMO41" s="6"/>
      <c r="SMP41" s="6"/>
      <c r="SMQ41" s="6"/>
      <c r="SMR41" s="6"/>
      <c r="SMS41" s="6"/>
      <c r="SMT41" s="6"/>
      <c r="SMU41" s="6"/>
      <c r="SMV41" s="6"/>
      <c r="SMW41" s="6"/>
      <c r="SMX41" s="6"/>
      <c r="SMY41" s="6"/>
      <c r="SMZ41" s="6"/>
      <c r="SNA41" s="6"/>
      <c r="SNB41" s="6"/>
      <c r="SNC41" s="6"/>
      <c r="SND41" s="6"/>
      <c r="SNE41" s="6"/>
      <c r="SNF41" s="6"/>
      <c r="SNG41" s="6"/>
      <c r="SNH41" s="6"/>
      <c r="SNI41" s="6"/>
      <c r="SNJ41" s="6"/>
      <c r="SNK41" s="6"/>
      <c r="SNL41" s="6"/>
      <c r="SNM41" s="6"/>
      <c r="SNN41" s="6"/>
      <c r="SNO41" s="6"/>
      <c r="SNP41" s="6"/>
      <c r="SNQ41" s="6"/>
      <c r="SNR41" s="6"/>
      <c r="SNS41" s="6"/>
      <c r="SNT41" s="6"/>
      <c r="SNU41" s="6"/>
      <c r="SNV41" s="6"/>
      <c r="SNW41" s="6"/>
      <c r="SNX41" s="6"/>
      <c r="SNY41" s="6"/>
      <c r="SNZ41" s="6"/>
      <c r="SOA41" s="6"/>
      <c r="SOB41" s="6"/>
      <c r="SOC41" s="6"/>
      <c r="SOD41" s="6"/>
      <c r="SOE41" s="6"/>
      <c r="SOF41" s="6"/>
      <c r="SOG41" s="6"/>
      <c r="SOH41" s="6"/>
      <c r="SOI41" s="6"/>
      <c r="SOJ41" s="6"/>
      <c r="SOK41" s="6"/>
      <c r="SOL41" s="6"/>
      <c r="SOM41" s="6"/>
      <c r="SON41" s="6"/>
      <c r="SOO41" s="6"/>
      <c r="SOP41" s="6"/>
      <c r="SOQ41" s="6"/>
      <c r="SOR41" s="6"/>
      <c r="SOS41" s="6"/>
      <c r="SOT41" s="6"/>
      <c r="SOU41" s="6"/>
      <c r="SOV41" s="6"/>
      <c r="SOW41" s="6"/>
      <c r="SOX41" s="6"/>
      <c r="SOY41" s="6"/>
      <c r="SOZ41" s="6"/>
      <c r="SPA41" s="6"/>
      <c r="SPB41" s="6"/>
      <c r="SPC41" s="6"/>
      <c r="SPD41" s="6"/>
      <c r="SPE41" s="6"/>
      <c r="SPF41" s="6"/>
      <c r="SPG41" s="6"/>
      <c r="SPH41" s="6"/>
      <c r="SPI41" s="6"/>
      <c r="SPJ41" s="6"/>
      <c r="SPK41" s="6"/>
      <c r="SPL41" s="6"/>
      <c r="SPM41" s="6"/>
      <c r="SPN41" s="6"/>
      <c r="SPO41" s="6"/>
      <c r="SPP41" s="6"/>
      <c r="SPQ41" s="6"/>
      <c r="SPR41" s="6"/>
      <c r="SPS41" s="6"/>
      <c r="SPT41" s="6"/>
      <c r="SPU41" s="6"/>
      <c r="SPV41" s="6"/>
      <c r="SPW41" s="6"/>
      <c r="SPX41" s="6"/>
      <c r="SPY41" s="6"/>
      <c r="SPZ41" s="6"/>
      <c r="SQA41" s="6"/>
      <c r="SQB41" s="6"/>
      <c r="SQC41" s="6"/>
      <c r="SQD41" s="6"/>
      <c r="SQE41" s="6"/>
      <c r="SQF41" s="6"/>
      <c r="SQG41" s="6"/>
      <c r="SQH41" s="6"/>
      <c r="SQI41" s="6"/>
      <c r="SQJ41" s="6"/>
      <c r="SQK41" s="6"/>
      <c r="SQL41" s="6"/>
      <c r="SQM41" s="6"/>
      <c r="SQN41" s="6"/>
      <c r="SQO41" s="6"/>
      <c r="SQP41" s="6"/>
      <c r="SQQ41" s="6"/>
      <c r="SQR41" s="6"/>
      <c r="SQS41" s="6"/>
      <c r="SQT41" s="6"/>
      <c r="SQU41" s="6"/>
      <c r="SQV41" s="6"/>
      <c r="SQW41" s="6"/>
      <c r="SQX41" s="6"/>
      <c r="SQY41" s="6"/>
      <c r="SQZ41" s="6"/>
      <c r="SRA41" s="6"/>
      <c r="SRB41" s="6"/>
      <c r="SRC41" s="6"/>
      <c r="SRD41" s="6"/>
      <c r="SRE41" s="6"/>
      <c r="SRF41" s="6"/>
      <c r="SRG41" s="6"/>
      <c r="SRH41" s="6"/>
      <c r="SRI41" s="6"/>
      <c r="SRJ41" s="6"/>
      <c r="SRK41" s="6"/>
      <c r="SRL41" s="6"/>
      <c r="SRM41" s="6"/>
      <c r="SRN41" s="6"/>
      <c r="SRO41" s="6"/>
      <c r="SRP41" s="6"/>
      <c r="SRQ41" s="6"/>
      <c r="SRR41" s="6"/>
      <c r="SRS41" s="6"/>
      <c r="SRT41" s="6"/>
      <c r="SRU41" s="6"/>
      <c r="SRV41" s="6"/>
      <c r="SRW41" s="6"/>
      <c r="SRX41" s="6"/>
      <c r="SRY41" s="6"/>
      <c r="SRZ41" s="6"/>
      <c r="SSA41" s="6"/>
      <c r="SSB41" s="6"/>
      <c r="SSC41" s="6"/>
      <c r="SSD41" s="6"/>
      <c r="SSE41" s="6"/>
      <c r="SSF41" s="6"/>
      <c r="SSG41" s="6"/>
      <c r="SSH41" s="6"/>
      <c r="SSI41" s="6"/>
      <c r="SSJ41" s="6"/>
      <c r="SSK41" s="6"/>
      <c r="SSL41" s="6"/>
      <c r="SSM41" s="6"/>
      <c r="SSN41" s="6"/>
      <c r="SSO41" s="6"/>
      <c r="SSP41" s="6"/>
      <c r="SSQ41" s="6"/>
      <c r="SSR41" s="6"/>
      <c r="SSS41" s="6"/>
      <c r="SST41" s="6"/>
      <c r="SSU41" s="6"/>
      <c r="SSV41" s="6"/>
      <c r="SSW41" s="6"/>
      <c r="SSX41" s="6"/>
      <c r="SSY41" s="6"/>
      <c r="SSZ41" s="6"/>
      <c r="STA41" s="6"/>
      <c r="STB41" s="6"/>
      <c r="STC41" s="6"/>
      <c r="STD41" s="6"/>
      <c r="STE41" s="6"/>
      <c r="STF41" s="6"/>
      <c r="STG41" s="6"/>
      <c r="STH41" s="6"/>
      <c r="STI41" s="6"/>
      <c r="STJ41" s="6"/>
      <c r="STK41" s="6"/>
      <c r="STL41" s="6"/>
      <c r="STM41" s="6"/>
      <c r="STN41" s="6"/>
      <c r="STO41" s="6"/>
      <c r="STP41" s="6"/>
      <c r="STQ41" s="6"/>
      <c r="STR41" s="6"/>
      <c r="STS41" s="6"/>
      <c r="STT41" s="6"/>
      <c r="STU41" s="6"/>
      <c r="STV41" s="6"/>
      <c r="STW41" s="6"/>
      <c r="STX41" s="6"/>
      <c r="STY41" s="6"/>
      <c r="STZ41" s="6"/>
      <c r="SUA41" s="6"/>
      <c r="SUB41" s="6"/>
      <c r="SUC41" s="6"/>
      <c r="SUD41" s="6"/>
      <c r="SUE41" s="6"/>
      <c r="SUF41" s="6"/>
      <c r="SUG41" s="6"/>
      <c r="SUH41" s="6"/>
      <c r="SUI41" s="6"/>
      <c r="SUJ41" s="6"/>
      <c r="SUK41" s="6"/>
      <c r="SUL41" s="6"/>
      <c r="SUM41" s="6"/>
      <c r="SUN41" s="6"/>
      <c r="SUO41" s="6"/>
      <c r="SUP41" s="6"/>
      <c r="SUQ41" s="6"/>
      <c r="SUR41" s="6"/>
      <c r="SUS41" s="6"/>
      <c r="SUT41" s="6"/>
      <c r="SUU41" s="6"/>
      <c r="SUV41" s="6"/>
      <c r="SUW41" s="6"/>
      <c r="SUX41" s="6"/>
      <c r="SUY41" s="6"/>
      <c r="SUZ41" s="6"/>
      <c r="SVA41" s="6"/>
      <c r="SVB41" s="6"/>
      <c r="SVC41" s="6"/>
      <c r="SVD41" s="6"/>
      <c r="SVE41" s="6"/>
      <c r="SVF41" s="6"/>
      <c r="SVG41" s="6"/>
      <c r="SVH41" s="6"/>
      <c r="SVI41" s="6"/>
      <c r="SVJ41" s="6"/>
      <c r="SVK41" s="6"/>
      <c r="SVL41" s="6"/>
      <c r="SVM41" s="6"/>
      <c r="SVN41" s="6"/>
      <c r="SVO41" s="6"/>
      <c r="SVP41" s="6"/>
      <c r="SVQ41" s="6"/>
      <c r="SVR41" s="6"/>
      <c r="SVS41" s="6"/>
      <c r="SVT41" s="6"/>
      <c r="SVU41" s="6"/>
      <c r="SVV41" s="6"/>
      <c r="SVW41" s="6"/>
      <c r="SVX41" s="6"/>
      <c r="SVY41" s="6"/>
      <c r="SVZ41" s="6"/>
      <c r="SWA41" s="6"/>
      <c r="SWB41" s="6"/>
      <c r="SWC41" s="6"/>
      <c r="SWD41" s="6"/>
      <c r="SWE41" s="6"/>
      <c r="SWF41" s="6"/>
      <c r="SWG41" s="6"/>
      <c r="SWH41" s="6"/>
      <c r="SWI41" s="6"/>
      <c r="SWJ41" s="6"/>
      <c r="SWK41" s="6"/>
      <c r="SWL41" s="6"/>
      <c r="SWM41" s="6"/>
      <c r="SWN41" s="6"/>
      <c r="SWO41" s="6"/>
      <c r="SWP41" s="6"/>
      <c r="SWQ41" s="6"/>
      <c r="SWR41" s="6"/>
      <c r="SWS41" s="6"/>
      <c r="SWT41" s="6"/>
      <c r="SWU41" s="6"/>
      <c r="SWV41" s="6"/>
      <c r="SWW41" s="6"/>
      <c r="SWX41" s="6"/>
      <c r="SWY41" s="6"/>
      <c r="SWZ41" s="6"/>
      <c r="SXA41" s="6"/>
      <c r="SXB41" s="6"/>
      <c r="SXC41" s="6"/>
      <c r="SXD41" s="6"/>
      <c r="SXE41" s="6"/>
      <c r="SXF41" s="6"/>
      <c r="SXG41" s="6"/>
      <c r="SXH41" s="6"/>
      <c r="SXI41" s="6"/>
      <c r="SXJ41" s="6"/>
      <c r="SXK41" s="6"/>
      <c r="SXL41" s="6"/>
      <c r="SXM41" s="6"/>
      <c r="SXN41" s="6"/>
      <c r="SXO41" s="6"/>
      <c r="SXP41" s="6"/>
      <c r="SXQ41" s="6"/>
      <c r="SXR41" s="6"/>
      <c r="SXS41" s="6"/>
      <c r="SXT41" s="6"/>
      <c r="SXU41" s="6"/>
      <c r="SXV41" s="6"/>
      <c r="SXW41" s="6"/>
      <c r="SXX41" s="6"/>
      <c r="SXY41" s="6"/>
      <c r="SXZ41" s="6"/>
      <c r="SYA41" s="6"/>
      <c r="SYB41" s="6"/>
      <c r="SYC41" s="6"/>
      <c r="SYD41" s="6"/>
      <c r="SYE41" s="6"/>
      <c r="SYF41" s="6"/>
      <c r="SYG41" s="6"/>
      <c r="SYH41" s="6"/>
      <c r="SYI41" s="6"/>
      <c r="SYJ41" s="6"/>
      <c r="SYK41" s="6"/>
      <c r="SYL41" s="6"/>
      <c r="SYM41" s="6"/>
      <c r="SYN41" s="6"/>
      <c r="SYO41" s="6"/>
      <c r="SYP41" s="6"/>
      <c r="SYQ41" s="6"/>
      <c r="SYR41" s="6"/>
      <c r="SYS41" s="6"/>
      <c r="SYT41" s="6"/>
      <c r="SYU41" s="6"/>
      <c r="SYV41" s="6"/>
      <c r="SYW41" s="6"/>
      <c r="SYX41" s="6"/>
      <c r="SYY41" s="6"/>
      <c r="SYZ41" s="6"/>
      <c r="SZA41" s="6"/>
      <c r="SZB41" s="6"/>
      <c r="SZC41" s="6"/>
      <c r="SZD41" s="6"/>
      <c r="SZE41" s="6"/>
      <c r="SZF41" s="6"/>
      <c r="SZG41" s="6"/>
      <c r="SZH41" s="6"/>
      <c r="SZI41" s="6"/>
      <c r="SZJ41" s="6"/>
      <c r="SZK41" s="6"/>
      <c r="SZL41" s="6"/>
      <c r="SZM41" s="6"/>
      <c r="SZN41" s="6"/>
      <c r="SZO41" s="6"/>
      <c r="SZP41" s="6"/>
      <c r="SZQ41" s="6"/>
      <c r="SZR41" s="6"/>
      <c r="SZS41" s="6"/>
      <c r="SZT41" s="6"/>
      <c r="SZU41" s="6"/>
      <c r="SZV41" s="6"/>
      <c r="SZW41" s="6"/>
      <c r="SZX41" s="6"/>
      <c r="SZY41" s="6"/>
      <c r="SZZ41" s="6"/>
      <c r="TAA41" s="6"/>
      <c r="TAB41" s="6"/>
      <c r="TAC41" s="6"/>
      <c r="TAD41" s="6"/>
      <c r="TAE41" s="6"/>
      <c r="TAF41" s="6"/>
      <c r="TAG41" s="6"/>
      <c r="TAH41" s="6"/>
      <c r="TAI41" s="6"/>
      <c r="TAJ41" s="6"/>
      <c r="TAK41" s="6"/>
      <c r="TAL41" s="6"/>
      <c r="TAM41" s="6"/>
      <c r="TAN41" s="6"/>
      <c r="TAO41" s="6"/>
      <c r="TAP41" s="6"/>
      <c r="TAQ41" s="6"/>
      <c r="TAR41" s="6"/>
      <c r="TAS41" s="6"/>
      <c r="TAT41" s="6"/>
      <c r="TAU41" s="6"/>
      <c r="TAV41" s="6"/>
      <c r="TAW41" s="6"/>
      <c r="TAX41" s="6"/>
      <c r="TAY41" s="6"/>
      <c r="TAZ41" s="6"/>
      <c r="TBA41" s="6"/>
      <c r="TBB41" s="6"/>
      <c r="TBC41" s="6"/>
      <c r="TBD41" s="6"/>
      <c r="TBE41" s="6"/>
      <c r="TBF41" s="6"/>
      <c r="TBG41" s="6"/>
      <c r="TBH41" s="6"/>
      <c r="TBI41" s="6"/>
      <c r="TBJ41" s="6"/>
      <c r="TBK41" s="6"/>
      <c r="TBL41" s="6"/>
      <c r="TBM41" s="6"/>
      <c r="TBN41" s="6"/>
      <c r="TBO41" s="6"/>
      <c r="TBP41" s="6"/>
      <c r="TBQ41" s="6"/>
      <c r="TBR41" s="6"/>
      <c r="TBS41" s="6"/>
      <c r="TBT41" s="6"/>
      <c r="TBU41" s="6"/>
      <c r="TBV41" s="6"/>
      <c r="TBW41" s="6"/>
      <c r="TBX41" s="6"/>
      <c r="TBY41" s="6"/>
      <c r="TBZ41" s="6"/>
      <c r="TCA41" s="6"/>
      <c r="TCB41" s="6"/>
      <c r="TCC41" s="6"/>
      <c r="TCD41" s="6"/>
      <c r="TCE41" s="6"/>
      <c r="TCF41" s="6"/>
      <c r="TCG41" s="6"/>
      <c r="TCH41" s="6"/>
      <c r="TCI41" s="6"/>
      <c r="TCJ41" s="6"/>
      <c r="TCK41" s="6"/>
      <c r="TCL41" s="6"/>
      <c r="TCM41" s="6"/>
      <c r="TCN41" s="6"/>
      <c r="TCO41" s="6"/>
      <c r="TCP41" s="6"/>
      <c r="TCQ41" s="6"/>
      <c r="TCR41" s="6"/>
      <c r="TCS41" s="6"/>
      <c r="TCT41" s="6"/>
      <c r="TCU41" s="6"/>
      <c r="TCV41" s="6"/>
      <c r="TCW41" s="6"/>
      <c r="TCX41" s="6"/>
      <c r="TCY41" s="6"/>
      <c r="TCZ41" s="6"/>
      <c r="TDA41" s="6"/>
      <c r="TDB41" s="6"/>
      <c r="TDC41" s="6"/>
      <c r="TDD41" s="6"/>
      <c r="TDE41" s="6"/>
      <c r="TDF41" s="6"/>
      <c r="TDG41" s="6"/>
      <c r="TDH41" s="6"/>
      <c r="TDI41" s="6"/>
      <c r="TDJ41" s="6"/>
      <c r="TDK41" s="6"/>
      <c r="TDL41" s="6"/>
      <c r="TDM41" s="6"/>
      <c r="TDN41" s="6"/>
      <c r="TDO41" s="6"/>
      <c r="TDP41" s="6"/>
      <c r="TDQ41" s="6"/>
      <c r="TDR41" s="6"/>
      <c r="TDS41" s="6"/>
      <c r="TDT41" s="6"/>
      <c r="TDU41" s="6"/>
      <c r="TDV41" s="6"/>
      <c r="TDW41" s="6"/>
      <c r="TDX41" s="6"/>
      <c r="TDY41" s="6"/>
      <c r="TDZ41" s="6"/>
      <c r="TEA41" s="6"/>
      <c r="TEB41" s="6"/>
      <c r="TEC41" s="6"/>
      <c r="TED41" s="6"/>
      <c r="TEE41" s="6"/>
      <c r="TEF41" s="6"/>
      <c r="TEG41" s="6"/>
      <c r="TEH41" s="6"/>
      <c r="TEI41" s="6"/>
      <c r="TEJ41" s="6"/>
      <c r="TEK41" s="6"/>
      <c r="TEL41" s="6"/>
      <c r="TEM41" s="6"/>
      <c r="TEN41" s="6"/>
      <c r="TEO41" s="6"/>
      <c r="TEP41" s="6"/>
      <c r="TEQ41" s="6"/>
      <c r="TER41" s="6"/>
      <c r="TES41" s="6"/>
      <c r="TET41" s="6"/>
      <c r="TEU41" s="6"/>
      <c r="TEV41" s="6"/>
      <c r="TEW41" s="6"/>
      <c r="TEX41" s="6"/>
      <c r="TEY41" s="6"/>
      <c r="TEZ41" s="6"/>
      <c r="TFA41" s="6"/>
      <c r="TFB41" s="6"/>
      <c r="TFC41" s="6"/>
      <c r="TFD41" s="6"/>
      <c r="TFE41" s="6"/>
      <c r="TFF41" s="6"/>
      <c r="TFG41" s="6"/>
      <c r="TFH41" s="6"/>
      <c r="TFI41" s="6"/>
      <c r="TFJ41" s="6"/>
      <c r="TFK41" s="6"/>
      <c r="TFL41" s="6"/>
      <c r="TFM41" s="6"/>
      <c r="TFN41" s="6"/>
      <c r="TFO41" s="6"/>
      <c r="TFP41" s="6"/>
      <c r="TFQ41" s="6"/>
      <c r="TFR41" s="6"/>
      <c r="TFS41" s="6"/>
      <c r="TFT41" s="6"/>
      <c r="TFU41" s="6"/>
      <c r="TFV41" s="6"/>
      <c r="TFW41" s="6"/>
      <c r="TFX41" s="6"/>
      <c r="TFY41" s="6"/>
      <c r="TFZ41" s="6"/>
      <c r="TGA41" s="6"/>
      <c r="TGB41" s="6"/>
      <c r="TGC41" s="6"/>
      <c r="TGD41" s="6"/>
      <c r="TGE41" s="6"/>
      <c r="TGF41" s="6"/>
      <c r="TGG41" s="6"/>
      <c r="TGH41" s="6"/>
      <c r="TGI41" s="6"/>
      <c r="TGJ41" s="6"/>
      <c r="TGK41" s="6"/>
      <c r="TGL41" s="6"/>
      <c r="TGM41" s="6"/>
      <c r="TGN41" s="6"/>
      <c r="TGO41" s="6"/>
      <c r="TGP41" s="6"/>
      <c r="TGQ41" s="6"/>
      <c r="TGR41" s="6"/>
      <c r="TGS41" s="6"/>
      <c r="TGT41" s="6"/>
      <c r="TGU41" s="6"/>
      <c r="TGV41" s="6"/>
      <c r="TGW41" s="6"/>
      <c r="TGX41" s="6"/>
      <c r="TGY41" s="6"/>
      <c r="TGZ41" s="6"/>
      <c r="THA41" s="6"/>
      <c r="THB41" s="6"/>
      <c r="THC41" s="6"/>
      <c r="THD41" s="6"/>
      <c r="THE41" s="6"/>
      <c r="THF41" s="6"/>
      <c r="THG41" s="6"/>
      <c r="THH41" s="6"/>
      <c r="THI41" s="6"/>
      <c r="THJ41" s="6"/>
      <c r="THK41" s="6"/>
      <c r="THL41" s="6"/>
      <c r="THM41" s="6"/>
      <c r="THN41" s="6"/>
      <c r="THO41" s="6"/>
      <c r="THP41" s="6"/>
      <c r="THQ41" s="6"/>
      <c r="THR41" s="6"/>
      <c r="THS41" s="6"/>
      <c r="THT41" s="6"/>
      <c r="THU41" s="6"/>
      <c r="THV41" s="6"/>
      <c r="THW41" s="6"/>
      <c r="THX41" s="6"/>
      <c r="THY41" s="6"/>
      <c r="THZ41" s="6"/>
      <c r="TIA41" s="6"/>
      <c r="TIB41" s="6"/>
      <c r="TIC41" s="6"/>
      <c r="TID41" s="6"/>
      <c r="TIE41" s="6"/>
      <c r="TIF41" s="6"/>
      <c r="TIG41" s="6"/>
      <c r="TIH41" s="6"/>
      <c r="TII41" s="6"/>
      <c r="TIJ41" s="6"/>
      <c r="TIK41" s="6"/>
      <c r="TIL41" s="6"/>
      <c r="TIM41" s="6"/>
      <c r="TIN41" s="6"/>
      <c r="TIO41" s="6"/>
      <c r="TIP41" s="6"/>
      <c r="TIQ41" s="6"/>
      <c r="TIR41" s="6"/>
      <c r="TIS41" s="6"/>
      <c r="TIT41" s="6"/>
      <c r="TIU41" s="6"/>
      <c r="TIV41" s="6"/>
      <c r="TIW41" s="6"/>
      <c r="TIX41" s="6"/>
      <c r="TIY41" s="6"/>
      <c r="TIZ41" s="6"/>
      <c r="TJA41" s="6"/>
      <c r="TJB41" s="6"/>
      <c r="TJC41" s="6"/>
      <c r="TJD41" s="6"/>
      <c r="TJE41" s="6"/>
      <c r="TJF41" s="6"/>
      <c r="TJG41" s="6"/>
      <c r="TJH41" s="6"/>
      <c r="TJI41" s="6"/>
      <c r="TJJ41" s="6"/>
      <c r="TJK41" s="6"/>
      <c r="TJL41" s="6"/>
      <c r="TJM41" s="6"/>
      <c r="TJN41" s="6"/>
      <c r="TJO41" s="6"/>
      <c r="TJP41" s="6"/>
      <c r="TJQ41" s="6"/>
      <c r="TJR41" s="6"/>
      <c r="TJS41" s="6"/>
      <c r="TJT41" s="6"/>
      <c r="TJU41" s="6"/>
      <c r="TJV41" s="6"/>
      <c r="TJW41" s="6"/>
      <c r="TJX41" s="6"/>
      <c r="TJY41" s="6"/>
      <c r="TJZ41" s="6"/>
      <c r="TKA41" s="6"/>
      <c r="TKB41" s="6"/>
      <c r="TKC41" s="6"/>
      <c r="TKD41" s="6"/>
      <c r="TKE41" s="6"/>
      <c r="TKF41" s="6"/>
      <c r="TKG41" s="6"/>
      <c r="TKH41" s="6"/>
      <c r="TKI41" s="6"/>
      <c r="TKJ41" s="6"/>
      <c r="TKK41" s="6"/>
      <c r="TKL41" s="6"/>
      <c r="TKM41" s="6"/>
      <c r="TKN41" s="6"/>
      <c r="TKO41" s="6"/>
      <c r="TKP41" s="6"/>
      <c r="TKQ41" s="6"/>
      <c r="TKR41" s="6"/>
      <c r="TKS41" s="6"/>
      <c r="TKT41" s="6"/>
      <c r="TKU41" s="6"/>
      <c r="TKV41" s="6"/>
      <c r="TKW41" s="6"/>
      <c r="TKX41" s="6"/>
      <c r="TKY41" s="6"/>
      <c r="TKZ41" s="6"/>
      <c r="TLA41" s="6"/>
      <c r="TLB41" s="6"/>
      <c r="TLC41" s="6"/>
      <c r="TLD41" s="6"/>
      <c r="TLE41" s="6"/>
      <c r="TLF41" s="6"/>
      <c r="TLG41" s="6"/>
      <c r="TLH41" s="6"/>
      <c r="TLI41" s="6"/>
      <c r="TLJ41" s="6"/>
      <c r="TLK41" s="6"/>
      <c r="TLL41" s="6"/>
      <c r="TLM41" s="6"/>
      <c r="TLN41" s="6"/>
      <c r="TLO41" s="6"/>
      <c r="TLP41" s="6"/>
      <c r="TLQ41" s="6"/>
      <c r="TLR41" s="6"/>
      <c r="TLS41" s="6"/>
      <c r="TLT41" s="6"/>
      <c r="TLU41" s="6"/>
      <c r="TLV41" s="6"/>
      <c r="TLW41" s="6"/>
      <c r="TLX41" s="6"/>
      <c r="TLY41" s="6"/>
      <c r="TLZ41" s="6"/>
      <c r="TMA41" s="6"/>
      <c r="TMB41" s="6"/>
      <c r="TMC41" s="6"/>
      <c r="TMD41" s="6"/>
      <c r="TME41" s="6"/>
      <c r="TMF41" s="6"/>
      <c r="TMG41" s="6"/>
      <c r="TMH41" s="6"/>
      <c r="TMI41" s="6"/>
      <c r="TMJ41" s="6"/>
      <c r="TMK41" s="6"/>
      <c r="TML41" s="6"/>
      <c r="TMM41" s="6"/>
      <c r="TMN41" s="6"/>
      <c r="TMO41" s="6"/>
      <c r="TMP41" s="6"/>
      <c r="TMQ41" s="6"/>
      <c r="TMR41" s="6"/>
      <c r="TMS41" s="6"/>
      <c r="TMT41" s="6"/>
      <c r="TMU41" s="6"/>
      <c r="TMV41" s="6"/>
      <c r="TMW41" s="6"/>
      <c r="TMX41" s="6"/>
      <c r="TMY41" s="6"/>
      <c r="TMZ41" s="6"/>
      <c r="TNA41" s="6"/>
      <c r="TNB41" s="6"/>
      <c r="TNC41" s="6"/>
      <c r="TND41" s="6"/>
      <c r="TNE41" s="6"/>
      <c r="TNF41" s="6"/>
      <c r="TNG41" s="6"/>
      <c r="TNH41" s="6"/>
      <c r="TNI41" s="6"/>
      <c r="TNJ41" s="6"/>
      <c r="TNK41" s="6"/>
      <c r="TNL41" s="6"/>
      <c r="TNM41" s="6"/>
      <c r="TNN41" s="6"/>
      <c r="TNO41" s="6"/>
      <c r="TNP41" s="6"/>
      <c r="TNQ41" s="6"/>
      <c r="TNR41" s="6"/>
      <c r="TNS41" s="6"/>
      <c r="TNT41" s="6"/>
      <c r="TNU41" s="6"/>
      <c r="TNV41" s="6"/>
      <c r="TNW41" s="6"/>
      <c r="TNX41" s="6"/>
      <c r="TNY41" s="6"/>
      <c r="TNZ41" s="6"/>
      <c r="TOA41" s="6"/>
      <c r="TOB41" s="6"/>
      <c r="TOC41" s="6"/>
      <c r="TOD41" s="6"/>
      <c r="TOE41" s="6"/>
      <c r="TOF41" s="6"/>
      <c r="TOG41" s="6"/>
      <c r="TOH41" s="6"/>
      <c r="TOI41" s="6"/>
      <c r="TOJ41" s="6"/>
      <c r="TOK41" s="6"/>
      <c r="TOL41" s="6"/>
      <c r="TOM41" s="6"/>
      <c r="TON41" s="6"/>
      <c r="TOO41" s="6"/>
      <c r="TOP41" s="6"/>
      <c r="TOQ41" s="6"/>
      <c r="TOR41" s="6"/>
      <c r="TOS41" s="6"/>
      <c r="TOT41" s="6"/>
      <c r="TOU41" s="6"/>
      <c r="TOV41" s="6"/>
      <c r="TOW41" s="6"/>
      <c r="TOX41" s="6"/>
      <c r="TOY41" s="6"/>
      <c r="TOZ41" s="6"/>
      <c r="TPA41" s="6"/>
      <c r="TPB41" s="6"/>
      <c r="TPC41" s="6"/>
      <c r="TPD41" s="6"/>
      <c r="TPE41" s="6"/>
      <c r="TPF41" s="6"/>
      <c r="TPG41" s="6"/>
      <c r="TPH41" s="6"/>
      <c r="TPI41" s="6"/>
      <c r="TPJ41" s="6"/>
      <c r="TPK41" s="6"/>
      <c r="TPL41" s="6"/>
      <c r="TPM41" s="6"/>
      <c r="TPN41" s="6"/>
      <c r="TPO41" s="6"/>
      <c r="TPP41" s="6"/>
      <c r="TPQ41" s="6"/>
      <c r="TPR41" s="6"/>
      <c r="TPS41" s="6"/>
      <c r="TPT41" s="6"/>
      <c r="TPU41" s="6"/>
      <c r="TPV41" s="6"/>
      <c r="TPW41" s="6"/>
      <c r="TPX41" s="6"/>
      <c r="TPY41" s="6"/>
      <c r="TPZ41" s="6"/>
      <c r="TQA41" s="6"/>
      <c r="TQB41" s="6"/>
      <c r="TQC41" s="6"/>
      <c r="TQD41" s="6"/>
      <c r="TQE41" s="6"/>
      <c r="TQF41" s="6"/>
      <c r="TQG41" s="6"/>
      <c r="TQH41" s="6"/>
      <c r="TQI41" s="6"/>
      <c r="TQJ41" s="6"/>
      <c r="TQK41" s="6"/>
      <c r="TQL41" s="6"/>
      <c r="TQM41" s="6"/>
      <c r="TQN41" s="6"/>
      <c r="TQO41" s="6"/>
      <c r="TQP41" s="6"/>
      <c r="TQQ41" s="6"/>
      <c r="TQR41" s="6"/>
      <c r="TQS41" s="6"/>
      <c r="TQT41" s="6"/>
      <c r="TQU41" s="6"/>
      <c r="TQV41" s="6"/>
      <c r="TQW41" s="6"/>
      <c r="TQX41" s="6"/>
      <c r="TQY41" s="6"/>
      <c r="TQZ41" s="6"/>
      <c r="TRA41" s="6"/>
      <c r="TRB41" s="6"/>
      <c r="TRC41" s="6"/>
      <c r="TRD41" s="6"/>
      <c r="TRE41" s="6"/>
      <c r="TRF41" s="6"/>
      <c r="TRG41" s="6"/>
      <c r="TRH41" s="6"/>
      <c r="TRI41" s="6"/>
      <c r="TRJ41" s="6"/>
      <c r="TRK41" s="6"/>
      <c r="TRL41" s="6"/>
      <c r="TRM41" s="6"/>
      <c r="TRN41" s="6"/>
      <c r="TRO41" s="6"/>
      <c r="TRP41" s="6"/>
      <c r="TRQ41" s="6"/>
      <c r="TRR41" s="6"/>
      <c r="TRS41" s="6"/>
      <c r="TRT41" s="6"/>
      <c r="TRU41" s="6"/>
      <c r="TRV41" s="6"/>
      <c r="TRW41" s="6"/>
      <c r="TRX41" s="6"/>
      <c r="TRY41" s="6"/>
      <c r="TRZ41" s="6"/>
      <c r="TSA41" s="6"/>
      <c r="TSB41" s="6"/>
      <c r="TSC41" s="6"/>
      <c r="TSD41" s="6"/>
      <c r="TSE41" s="6"/>
      <c r="TSF41" s="6"/>
      <c r="TSG41" s="6"/>
      <c r="TSH41" s="6"/>
      <c r="TSI41" s="6"/>
      <c r="TSJ41" s="6"/>
      <c r="TSK41" s="6"/>
      <c r="TSL41" s="6"/>
      <c r="TSM41" s="6"/>
      <c r="TSN41" s="6"/>
      <c r="TSO41" s="6"/>
      <c r="TSP41" s="6"/>
      <c r="TSQ41" s="6"/>
      <c r="TSR41" s="6"/>
      <c r="TSS41" s="6"/>
      <c r="TST41" s="6"/>
      <c r="TSU41" s="6"/>
      <c r="TSV41" s="6"/>
      <c r="TSW41" s="6"/>
      <c r="TSX41" s="6"/>
      <c r="TSY41" s="6"/>
      <c r="TSZ41" s="6"/>
      <c r="TTA41" s="6"/>
      <c r="TTB41" s="6"/>
      <c r="TTC41" s="6"/>
      <c r="TTD41" s="6"/>
      <c r="TTE41" s="6"/>
      <c r="TTF41" s="6"/>
      <c r="TTG41" s="6"/>
      <c r="TTH41" s="6"/>
      <c r="TTI41" s="6"/>
      <c r="TTJ41" s="6"/>
      <c r="TTK41" s="6"/>
      <c r="TTL41" s="6"/>
      <c r="TTM41" s="6"/>
      <c r="TTN41" s="6"/>
      <c r="TTO41" s="6"/>
      <c r="TTP41" s="6"/>
      <c r="TTQ41" s="6"/>
      <c r="TTR41" s="6"/>
      <c r="TTS41" s="6"/>
      <c r="TTT41" s="6"/>
      <c r="TTU41" s="6"/>
      <c r="TTV41" s="6"/>
      <c r="TTW41" s="6"/>
      <c r="TTX41" s="6"/>
      <c r="TTY41" s="6"/>
      <c r="TTZ41" s="6"/>
      <c r="TUA41" s="6"/>
      <c r="TUB41" s="6"/>
      <c r="TUC41" s="6"/>
      <c r="TUD41" s="6"/>
      <c r="TUE41" s="6"/>
      <c r="TUF41" s="6"/>
      <c r="TUG41" s="6"/>
      <c r="TUH41" s="6"/>
      <c r="TUI41" s="6"/>
      <c r="TUJ41" s="6"/>
      <c r="TUK41" s="6"/>
      <c r="TUL41" s="6"/>
      <c r="TUM41" s="6"/>
      <c r="TUN41" s="6"/>
      <c r="TUO41" s="6"/>
      <c r="TUP41" s="6"/>
      <c r="TUQ41" s="6"/>
      <c r="TUR41" s="6"/>
      <c r="TUS41" s="6"/>
      <c r="TUT41" s="6"/>
      <c r="TUU41" s="6"/>
      <c r="TUV41" s="6"/>
      <c r="TUW41" s="6"/>
      <c r="TUX41" s="6"/>
      <c r="TUY41" s="6"/>
      <c r="TUZ41" s="6"/>
      <c r="TVA41" s="6"/>
      <c r="TVB41" s="6"/>
      <c r="TVC41" s="6"/>
      <c r="TVD41" s="6"/>
      <c r="TVE41" s="6"/>
      <c r="TVF41" s="6"/>
      <c r="TVG41" s="6"/>
      <c r="TVH41" s="6"/>
      <c r="TVI41" s="6"/>
      <c r="TVJ41" s="6"/>
      <c r="TVK41" s="6"/>
      <c r="TVL41" s="6"/>
      <c r="TVM41" s="6"/>
      <c r="TVN41" s="6"/>
      <c r="TVO41" s="6"/>
      <c r="TVP41" s="6"/>
      <c r="TVQ41" s="6"/>
      <c r="TVR41" s="6"/>
      <c r="TVS41" s="6"/>
      <c r="TVT41" s="6"/>
      <c r="TVU41" s="6"/>
      <c r="TVV41" s="6"/>
      <c r="TVW41" s="6"/>
      <c r="TVX41" s="6"/>
      <c r="TVY41" s="6"/>
      <c r="TVZ41" s="6"/>
      <c r="TWA41" s="6"/>
      <c r="TWB41" s="6"/>
      <c r="TWC41" s="6"/>
      <c r="TWD41" s="6"/>
      <c r="TWE41" s="6"/>
      <c r="TWF41" s="6"/>
      <c r="TWG41" s="6"/>
      <c r="TWH41" s="6"/>
      <c r="TWI41" s="6"/>
      <c r="TWJ41" s="6"/>
      <c r="TWK41" s="6"/>
      <c r="TWL41" s="6"/>
      <c r="TWM41" s="6"/>
      <c r="TWN41" s="6"/>
      <c r="TWO41" s="6"/>
      <c r="TWP41" s="6"/>
      <c r="TWQ41" s="6"/>
      <c r="TWR41" s="6"/>
      <c r="TWS41" s="6"/>
      <c r="TWT41" s="6"/>
      <c r="TWU41" s="6"/>
      <c r="TWV41" s="6"/>
      <c r="TWW41" s="6"/>
      <c r="TWX41" s="6"/>
      <c r="TWY41" s="6"/>
      <c r="TWZ41" s="6"/>
      <c r="TXA41" s="6"/>
      <c r="TXB41" s="6"/>
      <c r="TXC41" s="6"/>
      <c r="TXD41" s="6"/>
      <c r="TXE41" s="6"/>
      <c r="TXF41" s="6"/>
      <c r="TXG41" s="6"/>
      <c r="TXH41" s="6"/>
      <c r="TXI41" s="6"/>
      <c r="TXJ41" s="6"/>
      <c r="TXK41" s="6"/>
      <c r="TXL41" s="6"/>
      <c r="TXM41" s="6"/>
      <c r="TXN41" s="6"/>
      <c r="TXO41" s="6"/>
      <c r="TXP41" s="6"/>
      <c r="TXQ41" s="6"/>
      <c r="TXR41" s="6"/>
      <c r="TXS41" s="6"/>
      <c r="TXT41" s="6"/>
      <c r="TXU41" s="6"/>
      <c r="TXV41" s="6"/>
      <c r="TXW41" s="6"/>
      <c r="TXX41" s="6"/>
      <c r="TXY41" s="6"/>
      <c r="TXZ41" s="6"/>
      <c r="TYA41" s="6"/>
      <c r="TYB41" s="6"/>
      <c r="TYC41" s="6"/>
      <c r="TYD41" s="6"/>
      <c r="TYE41" s="6"/>
      <c r="TYF41" s="6"/>
      <c r="TYG41" s="6"/>
      <c r="TYH41" s="6"/>
      <c r="TYI41" s="6"/>
      <c r="TYJ41" s="6"/>
      <c r="TYK41" s="6"/>
      <c r="TYL41" s="6"/>
      <c r="TYM41" s="6"/>
      <c r="TYN41" s="6"/>
      <c r="TYO41" s="6"/>
      <c r="TYP41" s="6"/>
      <c r="TYQ41" s="6"/>
      <c r="TYR41" s="6"/>
      <c r="TYS41" s="6"/>
      <c r="TYT41" s="6"/>
      <c r="TYU41" s="6"/>
      <c r="TYV41" s="6"/>
      <c r="TYW41" s="6"/>
      <c r="TYX41" s="6"/>
      <c r="TYY41" s="6"/>
      <c r="TYZ41" s="6"/>
      <c r="TZA41" s="6"/>
      <c r="TZB41" s="6"/>
      <c r="TZC41" s="6"/>
      <c r="TZD41" s="6"/>
      <c r="TZE41" s="6"/>
      <c r="TZF41" s="6"/>
      <c r="TZG41" s="6"/>
      <c r="TZH41" s="6"/>
      <c r="TZI41" s="6"/>
      <c r="TZJ41" s="6"/>
      <c r="TZK41" s="6"/>
      <c r="TZL41" s="6"/>
      <c r="TZM41" s="6"/>
      <c r="TZN41" s="6"/>
      <c r="TZO41" s="6"/>
      <c r="TZP41" s="6"/>
      <c r="TZQ41" s="6"/>
      <c r="TZR41" s="6"/>
      <c r="TZS41" s="6"/>
      <c r="TZT41" s="6"/>
      <c r="TZU41" s="6"/>
      <c r="TZV41" s="6"/>
      <c r="TZW41" s="6"/>
      <c r="TZX41" s="6"/>
      <c r="TZY41" s="6"/>
      <c r="TZZ41" s="6"/>
      <c r="UAA41" s="6"/>
      <c r="UAB41" s="6"/>
      <c r="UAC41" s="6"/>
      <c r="UAD41" s="6"/>
      <c r="UAE41" s="6"/>
      <c r="UAF41" s="6"/>
      <c r="UAG41" s="6"/>
      <c r="UAH41" s="6"/>
      <c r="UAI41" s="6"/>
      <c r="UAJ41" s="6"/>
      <c r="UAK41" s="6"/>
      <c r="UAL41" s="6"/>
      <c r="UAM41" s="6"/>
      <c r="UAN41" s="6"/>
      <c r="UAO41" s="6"/>
      <c r="UAP41" s="6"/>
      <c r="UAQ41" s="6"/>
      <c r="UAR41" s="6"/>
      <c r="UAS41" s="6"/>
      <c r="UAT41" s="6"/>
      <c r="UAU41" s="6"/>
      <c r="UAV41" s="6"/>
      <c r="UAW41" s="6"/>
      <c r="UAX41" s="6"/>
      <c r="UAY41" s="6"/>
      <c r="UAZ41" s="6"/>
      <c r="UBA41" s="6"/>
      <c r="UBB41" s="6"/>
      <c r="UBC41" s="6"/>
      <c r="UBD41" s="6"/>
      <c r="UBE41" s="6"/>
      <c r="UBF41" s="6"/>
      <c r="UBG41" s="6"/>
      <c r="UBH41" s="6"/>
      <c r="UBI41" s="6"/>
      <c r="UBJ41" s="6"/>
      <c r="UBK41" s="6"/>
      <c r="UBL41" s="6"/>
      <c r="UBM41" s="6"/>
      <c r="UBN41" s="6"/>
      <c r="UBO41" s="6"/>
      <c r="UBP41" s="6"/>
      <c r="UBQ41" s="6"/>
      <c r="UBR41" s="6"/>
      <c r="UBS41" s="6"/>
      <c r="UBT41" s="6"/>
      <c r="UBU41" s="6"/>
      <c r="UBV41" s="6"/>
      <c r="UBW41" s="6"/>
      <c r="UBX41" s="6"/>
      <c r="UBY41" s="6"/>
      <c r="UBZ41" s="6"/>
      <c r="UCA41" s="6"/>
      <c r="UCB41" s="6"/>
      <c r="UCC41" s="6"/>
      <c r="UCD41" s="6"/>
      <c r="UCE41" s="6"/>
      <c r="UCF41" s="6"/>
      <c r="UCG41" s="6"/>
      <c r="UCH41" s="6"/>
      <c r="UCI41" s="6"/>
      <c r="UCJ41" s="6"/>
      <c r="UCK41" s="6"/>
      <c r="UCL41" s="6"/>
      <c r="UCM41" s="6"/>
      <c r="UCN41" s="6"/>
      <c r="UCO41" s="6"/>
      <c r="UCP41" s="6"/>
      <c r="UCQ41" s="6"/>
      <c r="UCR41" s="6"/>
      <c r="UCS41" s="6"/>
      <c r="UCT41" s="6"/>
      <c r="UCU41" s="6"/>
      <c r="UCV41" s="6"/>
      <c r="UCW41" s="6"/>
      <c r="UCX41" s="6"/>
      <c r="UCY41" s="6"/>
      <c r="UCZ41" s="6"/>
      <c r="UDA41" s="6"/>
      <c r="UDB41" s="6"/>
      <c r="UDC41" s="6"/>
      <c r="UDD41" s="6"/>
      <c r="UDE41" s="6"/>
      <c r="UDF41" s="6"/>
      <c r="UDG41" s="6"/>
      <c r="UDH41" s="6"/>
      <c r="UDI41" s="6"/>
      <c r="UDJ41" s="6"/>
      <c r="UDK41" s="6"/>
      <c r="UDL41" s="6"/>
      <c r="UDM41" s="6"/>
      <c r="UDN41" s="6"/>
      <c r="UDO41" s="6"/>
      <c r="UDP41" s="6"/>
      <c r="UDQ41" s="6"/>
      <c r="UDR41" s="6"/>
      <c r="UDS41" s="6"/>
      <c r="UDT41" s="6"/>
      <c r="UDU41" s="6"/>
      <c r="UDV41" s="6"/>
      <c r="UDW41" s="6"/>
      <c r="UDX41" s="6"/>
      <c r="UDY41" s="6"/>
      <c r="UDZ41" s="6"/>
      <c r="UEA41" s="6"/>
      <c r="UEB41" s="6"/>
      <c r="UEC41" s="6"/>
      <c r="UED41" s="6"/>
      <c r="UEE41" s="6"/>
      <c r="UEF41" s="6"/>
      <c r="UEG41" s="6"/>
      <c r="UEH41" s="6"/>
      <c r="UEI41" s="6"/>
      <c r="UEJ41" s="6"/>
      <c r="UEK41" s="6"/>
      <c r="UEL41" s="6"/>
      <c r="UEM41" s="6"/>
      <c r="UEN41" s="6"/>
      <c r="UEO41" s="6"/>
      <c r="UEP41" s="6"/>
      <c r="UEQ41" s="6"/>
      <c r="UER41" s="6"/>
      <c r="UES41" s="6"/>
      <c r="UET41" s="6"/>
      <c r="UEU41" s="6"/>
      <c r="UEV41" s="6"/>
      <c r="UEW41" s="6"/>
      <c r="UEX41" s="6"/>
      <c r="UEY41" s="6"/>
      <c r="UEZ41" s="6"/>
      <c r="UFA41" s="6"/>
      <c r="UFB41" s="6"/>
      <c r="UFC41" s="6"/>
      <c r="UFD41" s="6"/>
      <c r="UFE41" s="6"/>
      <c r="UFF41" s="6"/>
      <c r="UFG41" s="6"/>
      <c r="UFH41" s="6"/>
      <c r="UFI41" s="6"/>
      <c r="UFJ41" s="6"/>
      <c r="UFK41" s="6"/>
      <c r="UFL41" s="6"/>
      <c r="UFM41" s="6"/>
      <c r="UFN41" s="6"/>
      <c r="UFO41" s="6"/>
      <c r="UFP41" s="6"/>
      <c r="UFQ41" s="6"/>
      <c r="UFR41" s="6"/>
      <c r="UFS41" s="6"/>
      <c r="UFT41" s="6"/>
      <c r="UFU41" s="6"/>
      <c r="UFV41" s="6"/>
      <c r="UFW41" s="6"/>
      <c r="UFX41" s="6"/>
      <c r="UFY41" s="6"/>
      <c r="UFZ41" s="6"/>
      <c r="UGA41" s="6"/>
      <c r="UGB41" s="6"/>
      <c r="UGC41" s="6"/>
      <c r="UGD41" s="6"/>
      <c r="UGE41" s="6"/>
      <c r="UGF41" s="6"/>
      <c r="UGG41" s="6"/>
      <c r="UGH41" s="6"/>
      <c r="UGI41" s="6"/>
      <c r="UGJ41" s="6"/>
      <c r="UGK41" s="6"/>
      <c r="UGL41" s="6"/>
      <c r="UGM41" s="6"/>
      <c r="UGN41" s="6"/>
      <c r="UGO41" s="6"/>
      <c r="UGP41" s="6"/>
      <c r="UGQ41" s="6"/>
      <c r="UGR41" s="6"/>
      <c r="UGS41" s="6"/>
      <c r="UGT41" s="6"/>
      <c r="UGU41" s="6"/>
      <c r="UGV41" s="6"/>
      <c r="UGW41" s="6"/>
      <c r="UGX41" s="6"/>
      <c r="UGY41" s="6"/>
      <c r="UGZ41" s="6"/>
      <c r="UHA41" s="6"/>
      <c r="UHB41" s="6"/>
      <c r="UHC41" s="6"/>
      <c r="UHD41" s="6"/>
      <c r="UHE41" s="6"/>
      <c r="UHF41" s="6"/>
      <c r="UHG41" s="6"/>
      <c r="UHH41" s="6"/>
      <c r="UHI41" s="6"/>
      <c r="UHJ41" s="6"/>
      <c r="UHK41" s="6"/>
      <c r="UHL41" s="6"/>
      <c r="UHM41" s="6"/>
      <c r="UHN41" s="6"/>
      <c r="UHO41" s="6"/>
      <c r="UHP41" s="6"/>
      <c r="UHQ41" s="6"/>
      <c r="UHR41" s="6"/>
      <c r="UHS41" s="6"/>
      <c r="UHT41" s="6"/>
      <c r="UHU41" s="6"/>
      <c r="UHV41" s="6"/>
      <c r="UHW41" s="6"/>
      <c r="UHX41" s="6"/>
      <c r="UHY41" s="6"/>
      <c r="UHZ41" s="6"/>
      <c r="UIA41" s="6"/>
      <c r="UIB41" s="6"/>
      <c r="UIC41" s="6"/>
      <c r="UID41" s="6"/>
      <c r="UIE41" s="6"/>
      <c r="UIF41" s="6"/>
      <c r="UIG41" s="6"/>
      <c r="UIH41" s="6"/>
      <c r="UII41" s="6"/>
      <c r="UIJ41" s="6"/>
      <c r="UIK41" s="6"/>
      <c r="UIL41" s="6"/>
      <c r="UIM41" s="6"/>
      <c r="UIN41" s="6"/>
      <c r="UIO41" s="6"/>
      <c r="UIP41" s="6"/>
      <c r="UIQ41" s="6"/>
      <c r="UIR41" s="6"/>
      <c r="UIS41" s="6"/>
      <c r="UIT41" s="6"/>
      <c r="UIU41" s="6"/>
      <c r="UIV41" s="6"/>
      <c r="UIW41" s="6"/>
      <c r="UIX41" s="6"/>
      <c r="UIY41" s="6"/>
      <c r="UIZ41" s="6"/>
      <c r="UJA41" s="6"/>
      <c r="UJB41" s="6"/>
      <c r="UJC41" s="6"/>
      <c r="UJD41" s="6"/>
      <c r="UJE41" s="6"/>
      <c r="UJF41" s="6"/>
      <c r="UJG41" s="6"/>
      <c r="UJH41" s="6"/>
      <c r="UJI41" s="6"/>
      <c r="UJJ41" s="6"/>
      <c r="UJK41" s="6"/>
      <c r="UJL41" s="6"/>
      <c r="UJM41" s="6"/>
      <c r="UJN41" s="6"/>
      <c r="UJO41" s="6"/>
      <c r="UJP41" s="6"/>
      <c r="UJQ41" s="6"/>
      <c r="UJR41" s="6"/>
      <c r="UJS41" s="6"/>
      <c r="UJT41" s="6"/>
      <c r="UJU41" s="6"/>
      <c r="UJV41" s="6"/>
      <c r="UJW41" s="6"/>
      <c r="UJX41" s="6"/>
      <c r="UJY41" s="6"/>
      <c r="UJZ41" s="6"/>
      <c r="UKA41" s="6"/>
      <c r="UKB41" s="6"/>
      <c r="UKC41" s="6"/>
      <c r="UKD41" s="6"/>
      <c r="UKE41" s="6"/>
      <c r="UKF41" s="6"/>
      <c r="UKG41" s="6"/>
      <c r="UKH41" s="6"/>
      <c r="UKI41" s="6"/>
      <c r="UKJ41" s="6"/>
      <c r="UKK41" s="6"/>
      <c r="UKL41" s="6"/>
      <c r="UKM41" s="6"/>
      <c r="UKN41" s="6"/>
      <c r="UKO41" s="6"/>
      <c r="UKP41" s="6"/>
      <c r="UKQ41" s="6"/>
      <c r="UKR41" s="6"/>
      <c r="UKS41" s="6"/>
      <c r="UKT41" s="6"/>
      <c r="UKU41" s="6"/>
      <c r="UKV41" s="6"/>
      <c r="UKW41" s="6"/>
      <c r="UKX41" s="6"/>
      <c r="UKY41" s="6"/>
      <c r="UKZ41" s="6"/>
      <c r="ULA41" s="6"/>
      <c r="ULB41" s="6"/>
      <c r="ULC41" s="6"/>
      <c r="ULD41" s="6"/>
      <c r="ULE41" s="6"/>
      <c r="ULF41" s="6"/>
      <c r="ULG41" s="6"/>
      <c r="ULH41" s="6"/>
      <c r="ULI41" s="6"/>
      <c r="ULJ41" s="6"/>
      <c r="ULK41" s="6"/>
      <c r="ULL41" s="6"/>
      <c r="ULM41" s="6"/>
      <c r="ULN41" s="6"/>
      <c r="ULO41" s="6"/>
      <c r="ULP41" s="6"/>
      <c r="ULQ41" s="6"/>
      <c r="ULR41" s="6"/>
      <c r="ULS41" s="6"/>
      <c r="ULT41" s="6"/>
      <c r="ULU41" s="6"/>
      <c r="ULV41" s="6"/>
      <c r="ULW41" s="6"/>
      <c r="ULX41" s="6"/>
      <c r="ULY41" s="6"/>
      <c r="ULZ41" s="6"/>
      <c r="UMA41" s="6"/>
      <c r="UMB41" s="6"/>
      <c r="UMC41" s="6"/>
      <c r="UMD41" s="6"/>
      <c r="UME41" s="6"/>
      <c r="UMF41" s="6"/>
      <c r="UMG41" s="6"/>
      <c r="UMH41" s="6"/>
      <c r="UMI41" s="6"/>
      <c r="UMJ41" s="6"/>
      <c r="UMK41" s="6"/>
      <c r="UML41" s="6"/>
      <c r="UMM41" s="6"/>
      <c r="UMN41" s="6"/>
      <c r="UMO41" s="6"/>
      <c r="UMP41" s="6"/>
      <c r="UMQ41" s="6"/>
      <c r="UMR41" s="6"/>
      <c r="UMS41" s="6"/>
      <c r="UMT41" s="6"/>
      <c r="UMU41" s="6"/>
      <c r="UMV41" s="6"/>
      <c r="UMW41" s="6"/>
      <c r="UMX41" s="6"/>
      <c r="UMY41" s="6"/>
      <c r="UMZ41" s="6"/>
      <c r="UNA41" s="6"/>
      <c r="UNB41" s="6"/>
      <c r="UNC41" s="6"/>
      <c r="UND41" s="6"/>
      <c r="UNE41" s="6"/>
      <c r="UNF41" s="6"/>
      <c r="UNG41" s="6"/>
      <c r="UNH41" s="6"/>
      <c r="UNI41" s="6"/>
      <c r="UNJ41" s="6"/>
      <c r="UNK41" s="6"/>
      <c r="UNL41" s="6"/>
      <c r="UNM41" s="6"/>
      <c r="UNN41" s="6"/>
      <c r="UNO41" s="6"/>
      <c r="UNP41" s="6"/>
      <c r="UNQ41" s="6"/>
      <c r="UNR41" s="6"/>
      <c r="UNS41" s="6"/>
      <c r="UNT41" s="6"/>
      <c r="UNU41" s="6"/>
      <c r="UNV41" s="6"/>
      <c r="UNW41" s="6"/>
      <c r="UNX41" s="6"/>
      <c r="UNY41" s="6"/>
      <c r="UNZ41" s="6"/>
      <c r="UOA41" s="6"/>
      <c r="UOB41" s="6"/>
      <c r="UOC41" s="6"/>
      <c r="UOD41" s="6"/>
      <c r="UOE41" s="6"/>
      <c r="UOF41" s="6"/>
      <c r="UOG41" s="6"/>
      <c r="UOH41" s="6"/>
      <c r="UOI41" s="6"/>
      <c r="UOJ41" s="6"/>
      <c r="UOK41" s="6"/>
      <c r="UOL41" s="6"/>
      <c r="UOM41" s="6"/>
      <c r="UON41" s="6"/>
      <c r="UOO41" s="6"/>
      <c r="UOP41" s="6"/>
      <c r="UOQ41" s="6"/>
      <c r="UOR41" s="6"/>
      <c r="UOS41" s="6"/>
      <c r="UOT41" s="6"/>
      <c r="UOU41" s="6"/>
      <c r="UOV41" s="6"/>
      <c r="UOW41" s="6"/>
      <c r="UOX41" s="6"/>
      <c r="UOY41" s="6"/>
      <c r="UOZ41" s="6"/>
      <c r="UPA41" s="6"/>
      <c r="UPB41" s="6"/>
      <c r="UPC41" s="6"/>
      <c r="UPD41" s="6"/>
      <c r="UPE41" s="6"/>
      <c r="UPF41" s="6"/>
      <c r="UPG41" s="6"/>
      <c r="UPH41" s="6"/>
      <c r="UPI41" s="6"/>
      <c r="UPJ41" s="6"/>
      <c r="UPK41" s="6"/>
      <c r="UPL41" s="6"/>
      <c r="UPM41" s="6"/>
      <c r="UPN41" s="6"/>
      <c r="UPO41" s="6"/>
      <c r="UPP41" s="6"/>
      <c r="UPQ41" s="6"/>
      <c r="UPR41" s="6"/>
      <c r="UPS41" s="6"/>
      <c r="UPT41" s="6"/>
      <c r="UPU41" s="6"/>
      <c r="UPV41" s="6"/>
      <c r="UPW41" s="6"/>
      <c r="UPX41" s="6"/>
      <c r="UPY41" s="6"/>
      <c r="UPZ41" s="6"/>
      <c r="UQA41" s="6"/>
      <c r="UQB41" s="6"/>
      <c r="UQC41" s="6"/>
      <c r="UQD41" s="6"/>
      <c r="UQE41" s="6"/>
      <c r="UQF41" s="6"/>
      <c r="UQG41" s="6"/>
      <c r="UQH41" s="6"/>
      <c r="UQI41" s="6"/>
      <c r="UQJ41" s="6"/>
      <c r="UQK41" s="6"/>
      <c r="UQL41" s="6"/>
      <c r="UQM41" s="6"/>
      <c r="UQN41" s="6"/>
      <c r="UQO41" s="6"/>
      <c r="UQP41" s="6"/>
      <c r="UQQ41" s="6"/>
      <c r="UQR41" s="6"/>
      <c r="UQS41" s="6"/>
      <c r="UQT41" s="6"/>
      <c r="UQU41" s="6"/>
      <c r="UQV41" s="6"/>
      <c r="UQW41" s="6"/>
      <c r="UQX41" s="6"/>
      <c r="UQY41" s="6"/>
      <c r="UQZ41" s="6"/>
      <c r="URA41" s="6"/>
      <c r="URB41" s="6"/>
      <c r="URC41" s="6"/>
      <c r="URD41" s="6"/>
      <c r="URE41" s="6"/>
      <c r="URF41" s="6"/>
      <c r="URG41" s="6"/>
      <c r="URH41" s="6"/>
      <c r="URI41" s="6"/>
      <c r="URJ41" s="6"/>
      <c r="URK41" s="6"/>
      <c r="URL41" s="6"/>
      <c r="URM41" s="6"/>
      <c r="URN41" s="6"/>
      <c r="URO41" s="6"/>
      <c r="URP41" s="6"/>
      <c r="URQ41" s="6"/>
      <c r="URR41" s="6"/>
      <c r="URS41" s="6"/>
      <c r="URT41" s="6"/>
      <c r="URU41" s="6"/>
      <c r="URV41" s="6"/>
      <c r="URW41" s="6"/>
      <c r="URX41" s="6"/>
      <c r="URY41" s="6"/>
      <c r="URZ41" s="6"/>
      <c r="USA41" s="6"/>
      <c r="USB41" s="6"/>
      <c r="USC41" s="6"/>
      <c r="USD41" s="6"/>
      <c r="USE41" s="6"/>
      <c r="USF41" s="6"/>
      <c r="USG41" s="6"/>
      <c r="USH41" s="6"/>
      <c r="USI41" s="6"/>
      <c r="USJ41" s="6"/>
      <c r="USK41" s="6"/>
      <c r="USL41" s="6"/>
      <c r="USM41" s="6"/>
      <c r="USN41" s="6"/>
      <c r="USO41" s="6"/>
      <c r="USP41" s="6"/>
      <c r="USQ41" s="6"/>
      <c r="USR41" s="6"/>
      <c r="USS41" s="6"/>
      <c r="UST41" s="6"/>
      <c r="USU41" s="6"/>
      <c r="USV41" s="6"/>
      <c r="USW41" s="6"/>
      <c r="USX41" s="6"/>
      <c r="USY41" s="6"/>
      <c r="USZ41" s="6"/>
      <c r="UTA41" s="6"/>
      <c r="UTB41" s="6"/>
      <c r="UTC41" s="6"/>
      <c r="UTD41" s="6"/>
      <c r="UTE41" s="6"/>
      <c r="UTF41" s="6"/>
      <c r="UTG41" s="6"/>
      <c r="UTH41" s="6"/>
      <c r="UTI41" s="6"/>
      <c r="UTJ41" s="6"/>
      <c r="UTK41" s="6"/>
      <c r="UTL41" s="6"/>
      <c r="UTM41" s="6"/>
      <c r="UTN41" s="6"/>
      <c r="UTO41" s="6"/>
      <c r="UTP41" s="6"/>
      <c r="UTQ41" s="6"/>
      <c r="UTR41" s="6"/>
      <c r="UTS41" s="6"/>
      <c r="UTT41" s="6"/>
      <c r="UTU41" s="6"/>
      <c r="UTV41" s="6"/>
      <c r="UTW41" s="6"/>
      <c r="UTX41" s="6"/>
      <c r="UTY41" s="6"/>
      <c r="UTZ41" s="6"/>
      <c r="UUA41" s="6"/>
      <c r="UUB41" s="6"/>
      <c r="UUC41" s="6"/>
      <c r="UUD41" s="6"/>
      <c r="UUE41" s="6"/>
      <c r="UUF41" s="6"/>
      <c r="UUG41" s="6"/>
      <c r="UUH41" s="6"/>
      <c r="UUI41" s="6"/>
      <c r="UUJ41" s="6"/>
      <c r="UUK41" s="6"/>
      <c r="UUL41" s="6"/>
      <c r="UUM41" s="6"/>
      <c r="UUN41" s="6"/>
      <c r="UUO41" s="6"/>
      <c r="UUP41" s="6"/>
      <c r="UUQ41" s="6"/>
      <c r="UUR41" s="6"/>
      <c r="UUS41" s="6"/>
      <c r="UUT41" s="6"/>
      <c r="UUU41" s="6"/>
      <c r="UUV41" s="6"/>
      <c r="UUW41" s="6"/>
      <c r="UUX41" s="6"/>
      <c r="UUY41" s="6"/>
      <c r="UUZ41" s="6"/>
      <c r="UVA41" s="6"/>
      <c r="UVB41" s="6"/>
      <c r="UVC41" s="6"/>
      <c r="UVD41" s="6"/>
      <c r="UVE41" s="6"/>
      <c r="UVF41" s="6"/>
      <c r="UVG41" s="6"/>
      <c r="UVH41" s="6"/>
      <c r="UVI41" s="6"/>
      <c r="UVJ41" s="6"/>
      <c r="UVK41" s="6"/>
      <c r="UVL41" s="6"/>
      <c r="UVM41" s="6"/>
      <c r="UVN41" s="6"/>
      <c r="UVO41" s="6"/>
      <c r="UVP41" s="6"/>
      <c r="UVQ41" s="6"/>
      <c r="UVR41" s="6"/>
      <c r="UVS41" s="6"/>
      <c r="UVT41" s="6"/>
      <c r="UVU41" s="6"/>
      <c r="UVV41" s="6"/>
      <c r="UVW41" s="6"/>
      <c r="UVX41" s="6"/>
      <c r="UVY41" s="6"/>
      <c r="UVZ41" s="6"/>
      <c r="UWA41" s="6"/>
      <c r="UWB41" s="6"/>
      <c r="UWC41" s="6"/>
      <c r="UWD41" s="6"/>
      <c r="UWE41" s="6"/>
      <c r="UWF41" s="6"/>
      <c r="UWG41" s="6"/>
      <c r="UWH41" s="6"/>
      <c r="UWI41" s="6"/>
      <c r="UWJ41" s="6"/>
      <c r="UWK41" s="6"/>
      <c r="UWL41" s="6"/>
      <c r="UWM41" s="6"/>
      <c r="UWN41" s="6"/>
      <c r="UWO41" s="6"/>
      <c r="UWP41" s="6"/>
      <c r="UWQ41" s="6"/>
      <c r="UWR41" s="6"/>
      <c r="UWS41" s="6"/>
      <c r="UWT41" s="6"/>
      <c r="UWU41" s="6"/>
      <c r="UWV41" s="6"/>
      <c r="UWW41" s="6"/>
      <c r="UWX41" s="6"/>
      <c r="UWY41" s="6"/>
      <c r="UWZ41" s="6"/>
      <c r="UXA41" s="6"/>
      <c r="UXB41" s="6"/>
      <c r="UXC41" s="6"/>
      <c r="UXD41" s="6"/>
      <c r="UXE41" s="6"/>
      <c r="UXF41" s="6"/>
      <c r="UXG41" s="6"/>
      <c r="UXH41" s="6"/>
      <c r="UXI41" s="6"/>
      <c r="UXJ41" s="6"/>
      <c r="UXK41" s="6"/>
      <c r="UXL41" s="6"/>
      <c r="UXM41" s="6"/>
      <c r="UXN41" s="6"/>
      <c r="UXO41" s="6"/>
      <c r="UXP41" s="6"/>
      <c r="UXQ41" s="6"/>
      <c r="UXR41" s="6"/>
      <c r="UXS41" s="6"/>
      <c r="UXT41" s="6"/>
      <c r="UXU41" s="6"/>
      <c r="UXV41" s="6"/>
      <c r="UXW41" s="6"/>
      <c r="UXX41" s="6"/>
      <c r="UXY41" s="6"/>
      <c r="UXZ41" s="6"/>
      <c r="UYA41" s="6"/>
      <c r="UYB41" s="6"/>
      <c r="UYC41" s="6"/>
      <c r="UYD41" s="6"/>
      <c r="UYE41" s="6"/>
      <c r="UYF41" s="6"/>
      <c r="UYG41" s="6"/>
      <c r="UYH41" s="6"/>
      <c r="UYI41" s="6"/>
      <c r="UYJ41" s="6"/>
      <c r="UYK41" s="6"/>
      <c r="UYL41" s="6"/>
      <c r="UYM41" s="6"/>
      <c r="UYN41" s="6"/>
      <c r="UYO41" s="6"/>
      <c r="UYP41" s="6"/>
      <c r="UYQ41" s="6"/>
      <c r="UYR41" s="6"/>
      <c r="UYS41" s="6"/>
      <c r="UYT41" s="6"/>
      <c r="UYU41" s="6"/>
      <c r="UYV41" s="6"/>
      <c r="UYW41" s="6"/>
      <c r="UYX41" s="6"/>
      <c r="UYY41" s="6"/>
      <c r="UYZ41" s="6"/>
      <c r="UZA41" s="6"/>
      <c r="UZB41" s="6"/>
      <c r="UZC41" s="6"/>
      <c r="UZD41" s="6"/>
      <c r="UZE41" s="6"/>
      <c r="UZF41" s="6"/>
      <c r="UZG41" s="6"/>
      <c r="UZH41" s="6"/>
      <c r="UZI41" s="6"/>
      <c r="UZJ41" s="6"/>
      <c r="UZK41" s="6"/>
      <c r="UZL41" s="6"/>
      <c r="UZM41" s="6"/>
      <c r="UZN41" s="6"/>
      <c r="UZO41" s="6"/>
      <c r="UZP41" s="6"/>
      <c r="UZQ41" s="6"/>
      <c r="UZR41" s="6"/>
      <c r="UZS41" s="6"/>
      <c r="UZT41" s="6"/>
      <c r="UZU41" s="6"/>
      <c r="UZV41" s="6"/>
      <c r="UZW41" s="6"/>
      <c r="UZX41" s="6"/>
      <c r="UZY41" s="6"/>
      <c r="UZZ41" s="6"/>
      <c r="VAA41" s="6"/>
      <c r="VAB41" s="6"/>
      <c r="VAC41" s="6"/>
      <c r="VAD41" s="6"/>
      <c r="VAE41" s="6"/>
      <c r="VAF41" s="6"/>
      <c r="VAG41" s="6"/>
      <c r="VAH41" s="6"/>
      <c r="VAI41" s="6"/>
      <c r="VAJ41" s="6"/>
      <c r="VAK41" s="6"/>
      <c r="VAL41" s="6"/>
      <c r="VAM41" s="6"/>
      <c r="VAN41" s="6"/>
      <c r="VAO41" s="6"/>
      <c r="VAP41" s="6"/>
      <c r="VAQ41" s="6"/>
      <c r="VAR41" s="6"/>
      <c r="VAS41" s="6"/>
      <c r="VAT41" s="6"/>
      <c r="VAU41" s="6"/>
      <c r="VAV41" s="6"/>
      <c r="VAW41" s="6"/>
      <c r="VAX41" s="6"/>
      <c r="VAY41" s="6"/>
      <c r="VAZ41" s="6"/>
      <c r="VBA41" s="6"/>
      <c r="VBB41" s="6"/>
      <c r="VBC41" s="6"/>
      <c r="VBD41" s="6"/>
      <c r="VBE41" s="6"/>
      <c r="VBF41" s="6"/>
      <c r="VBG41" s="6"/>
      <c r="VBH41" s="6"/>
      <c r="VBI41" s="6"/>
      <c r="VBJ41" s="6"/>
      <c r="VBK41" s="6"/>
      <c r="VBL41" s="6"/>
      <c r="VBM41" s="6"/>
      <c r="VBN41" s="6"/>
      <c r="VBO41" s="6"/>
      <c r="VBP41" s="6"/>
      <c r="VBQ41" s="6"/>
      <c r="VBR41" s="6"/>
      <c r="VBS41" s="6"/>
      <c r="VBT41" s="6"/>
      <c r="VBU41" s="6"/>
      <c r="VBV41" s="6"/>
      <c r="VBW41" s="6"/>
      <c r="VBX41" s="6"/>
      <c r="VBY41" s="6"/>
      <c r="VBZ41" s="6"/>
      <c r="VCA41" s="6"/>
      <c r="VCB41" s="6"/>
      <c r="VCC41" s="6"/>
      <c r="VCD41" s="6"/>
      <c r="VCE41" s="6"/>
      <c r="VCF41" s="6"/>
      <c r="VCG41" s="6"/>
      <c r="VCH41" s="6"/>
      <c r="VCI41" s="6"/>
      <c r="VCJ41" s="6"/>
      <c r="VCK41" s="6"/>
      <c r="VCL41" s="6"/>
      <c r="VCM41" s="6"/>
      <c r="VCN41" s="6"/>
      <c r="VCO41" s="6"/>
      <c r="VCP41" s="6"/>
      <c r="VCQ41" s="6"/>
      <c r="VCR41" s="6"/>
      <c r="VCS41" s="6"/>
      <c r="VCT41" s="6"/>
      <c r="VCU41" s="6"/>
      <c r="VCV41" s="6"/>
      <c r="VCW41" s="6"/>
      <c r="VCX41" s="6"/>
      <c r="VCY41" s="6"/>
      <c r="VCZ41" s="6"/>
      <c r="VDA41" s="6"/>
      <c r="VDB41" s="6"/>
      <c r="VDC41" s="6"/>
      <c r="VDD41" s="6"/>
      <c r="VDE41" s="6"/>
      <c r="VDF41" s="6"/>
      <c r="VDG41" s="6"/>
      <c r="VDH41" s="6"/>
      <c r="VDI41" s="6"/>
      <c r="VDJ41" s="6"/>
      <c r="VDK41" s="6"/>
      <c r="VDL41" s="6"/>
      <c r="VDM41" s="6"/>
      <c r="VDN41" s="6"/>
      <c r="VDO41" s="6"/>
      <c r="VDP41" s="6"/>
      <c r="VDQ41" s="6"/>
      <c r="VDR41" s="6"/>
      <c r="VDS41" s="6"/>
      <c r="VDT41" s="6"/>
      <c r="VDU41" s="6"/>
      <c r="VDV41" s="6"/>
      <c r="VDW41" s="6"/>
      <c r="VDX41" s="6"/>
      <c r="VDY41" s="6"/>
      <c r="VDZ41" s="6"/>
      <c r="VEA41" s="6"/>
      <c r="VEB41" s="6"/>
      <c r="VEC41" s="6"/>
      <c r="VED41" s="6"/>
      <c r="VEE41" s="6"/>
      <c r="VEF41" s="6"/>
      <c r="VEG41" s="6"/>
      <c r="VEH41" s="6"/>
      <c r="VEI41" s="6"/>
      <c r="VEJ41" s="6"/>
      <c r="VEK41" s="6"/>
      <c r="VEL41" s="6"/>
      <c r="VEM41" s="6"/>
      <c r="VEN41" s="6"/>
      <c r="VEO41" s="6"/>
      <c r="VEP41" s="6"/>
      <c r="VEQ41" s="6"/>
      <c r="VER41" s="6"/>
      <c r="VES41" s="6"/>
      <c r="VET41" s="6"/>
      <c r="VEU41" s="6"/>
      <c r="VEV41" s="6"/>
      <c r="VEW41" s="6"/>
      <c r="VEX41" s="6"/>
      <c r="VEY41" s="6"/>
      <c r="VEZ41" s="6"/>
      <c r="VFA41" s="6"/>
      <c r="VFB41" s="6"/>
      <c r="VFC41" s="6"/>
      <c r="VFD41" s="6"/>
      <c r="VFE41" s="6"/>
      <c r="VFF41" s="6"/>
      <c r="VFG41" s="6"/>
      <c r="VFH41" s="6"/>
      <c r="VFI41" s="6"/>
      <c r="VFJ41" s="6"/>
      <c r="VFK41" s="6"/>
      <c r="VFL41" s="6"/>
      <c r="VFM41" s="6"/>
      <c r="VFN41" s="6"/>
      <c r="VFO41" s="6"/>
      <c r="VFP41" s="6"/>
      <c r="VFQ41" s="6"/>
      <c r="VFR41" s="6"/>
      <c r="VFS41" s="6"/>
      <c r="VFT41" s="6"/>
      <c r="VFU41" s="6"/>
      <c r="VFV41" s="6"/>
      <c r="VFW41" s="6"/>
      <c r="VFX41" s="6"/>
      <c r="VFY41" s="6"/>
      <c r="VFZ41" s="6"/>
      <c r="VGA41" s="6"/>
      <c r="VGB41" s="6"/>
      <c r="VGC41" s="6"/>
      <c r="VGD41" s="6"/>
      <c r="VGE41" s="6"/>
      <c r="VGF41" s="6"/>
      <c r="VGG41" s="6"/>
      <c r="VGH41" s="6"/>
      <c r="VGI41" s="6"/>
      <c r="VGJ41" s="6"/>
      <c r="VGK41" s="6"/>
      <c r="VGL41" s="6"/>
      <c r="VGM41" s="6"/>
      <c r="VGN41" s="6"/>
      <c r="VGO41" s="6"/>
      <c r="VGP41" s="6"/>
      <c r="VGQ41" s="6"/>
      <c r="VGR41" s="6"/>
      <c r="VGS41" s="6"/>
      <c r="VGT41" s="6"/>
      <c r="VGU41" s="6"/>
      <c r="VGV41" s="6"/>
      <c r="VGW41" s="6"/>
      <c r="VGX41" s="6"/>
      <c r="VGY41" s="6"/>
      <c r="VGZ41" s="6"/>
      <c r="VHA41" s="6"/>
      <c r="VHB41" s="6"/>
      <c r="VHC41" s="6"/>
      <c r="VHD41" s="6"/>
      <c r="VHE41" s="6"/>
      <c r="VHF41" s="6"/>
      <c r="VHG41" s="6"/>
      <c r="VHH41" s="6"/>
      <c r="VHI41" s="6"/>
      <c r="VHJ41" s="6"/>
      <c r="VHK41" s="6"/>
      <c r="VHL41" s="6"/>
    </row>
    <row r="42" spans="1:15092" s="1" customFormat="1" ht="13.8">
      <c r="B42" s="70"/>
      <c r="C42" s="200" t="s">
        <v>41</v>
      </c>
      <c r="D42" s="264">
        <f>SUM(D44:D45)</f>
        <v>3689522.0999999996</v>
      </c>
      <c r="E42" s="201" t="s">
        <v>9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f>SUM(V44:V45)</f>
        <v>737500</v>
      </c>
      <c r="W42" s="64">
        <f>SUM(W44:W45)</f>
        <v>883699.99999995297</v>
      </c>
      <c r="X42" s="64">
        <f>SUM(X44:X45)</f>
        <v>456000.00000008714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f>SUM(AH44:AH45)</f>
        <v>492599.99999994697</v>
      </c>
      <c r="AI42" s="64">
        <f>SUM(AI44:AI45)</f>
        <v>867000</v>
      </c>
      <c r="AJ42" s="64">
        <f>SUM(AJ44:AJ45)</f>
        <v>900500</v>
      </c>
      <c r="AK42" s="117"/>
      <c r="AL42" s="116">
        <f>SUM(F42:AJ42)</f>
        <v>4337299.999999987</v>
      </c>
      <c r="AN42" s="118"/>
      <c r="BK42" s="227"/>
      <c r="BL42" s="236"/>
      <c r="CP42" s="230"/>
    </row>
    <row r="43" spans="1:15092" s="1" customFormat="1" ht="13.8" hidden="1">
      <c r="B43" s="70"/>
      <c r="C43" s="200" t="s">
        <v>45</v>
      </c>
      <c r="D43" s="264"/>
      <c r="E43" s="201" t="s">
        <v>9</v>
      </c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>
        <v>0</v>
      </c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117"/>
      <c r="AL43" s="116">
        <f>SUM(F43:AJ43)</f>
        <v>0</v>
      </c>
      <c r="AN43" s="118"/>
      <c r="BK43" s="227"/>
      <c r="BL43" s="227"/>
    </row>
    <row r="44" spans="1:15092" s="1" customFormat="1" ht="13.8">
      <c r="B44" s="70"/>
      <c r="C44" s="200" t="s">
        <v>46</v>
      </c>
      <c r="D44" s="264">
        <f>2213.71326*1000</f>
        <v>2213713.2599999998</v>
      </c>
      <c r="E44" s="201" t="s">
        <v>9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456000</v>
      </c>
      <c r="W44" s="64">
        <f>518.79999999993*1000</f>
        <v>518799.99999993003</v>
      </c>
      <c r="X44" s="64">
        <v>279600.00000009313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f>293.29999999993*1000</f>
        <v>293299.99999992998</v>
      </c>
      <c r="AI44" s="64">
        <v>527000</v>
      </c>
      <c r="AJ44" s="64">
        <f>574.900000000023*1000</f>
        <v>574900.00000002305</v>
      </c>
      <c r="AK44" s="117"/>
      <c r="AL44" s="116">
        <f>SUM(F44:AJ44)</f>
        <v>2649599.9999999763</v>
      </c>
      <c r="AN44" s="118"/>
      <c r="BK44" s="227"/>
      <c r="BL44" s="239"/>
      <c r="CP44" s="227"/>
    </row>
    <row r="45" spans="1:15092" s="1" customFormat="1" ht="13.8">
      <c r="B45" s="70"/>
      <c r="C45" s="200" t="s">
        <v>47</v>
      </c>
      <c r="D45" s="264">
        <f>1475.80884*1000</f>
        <v>1475808.8399999999</v>
      </c>
      <c r="E45" s="201" t="s">
        <v>9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281500</v>
      </c>
      <c r="W45" s="64">
        <f>364.900000000023*1000</f>
        <v>364900.00000002299</v>
      </c>
      <c r="X45" s="64">
        <f>176.399999999994*1000</f>
        <v>176399.999999994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f>199.300000000017*1000</f>
        <v>199300.000000017</v>
      </c>
      <c r="AI45" s="64">
        <v>340000</v>
      </c>
      <c r="AJ45" s="64">
        <f>325.599999999977*1000</f>
        <v>325599.99999997701</v>
      </c>
      <c r="AK45" s="117"/>
      <c r="AL45" s="116">
        <f>SUM(F45:AJ45)</f>
        <v>1687700.0000000109</v>
      </c>
      <c r="AN45" s="118"/>
    </row>
    <row r="46" spans="1:15092">
      <c r="B46" s="57"/>
      <c r="C46" s="202" t="s">
        <v>48</v>
      </c>
      <c r="D46" s="82"/>
      <c r="E46" s="82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117"/>
      <c r="AL46" s="203" t="s">
        <v>49</v>
      </c>
    </row>
    <row r="47" spans="1:15092">
      <c r="B47" s="70"/>
      <c r="C47" s="204" t="s">
        <v>50</v>
      </c>
      <c r="D47" s="69">
        <v>94.2</v>
      </c>
      <c r="E47" s="205" t="s">
        <v>12</v>
      </c>
      <c r="F47" s="84" t="e">
        <f t="shared" ref="F47:AJ47" si="14">(F29/(F23+F24))*100</f>
        <v>#DIV/0!</v>
      </c>
      <c r="G47" s="84" t="e">
        <f t="shared" si="14"/>
        <v>#DIV/0!</v>
      </c>
      <c r="H47" s="84" t="e">
        <f t="shared" si="14"/>
        <v>#DIV/0!</v>
      </c>
      <c r="I47" s="84">
        <f t="shared" si="14"/>
        <v>93.032183088037456</v>
      </c>
      <c r="J47" s="84">
        <f t="shared" si="14"/>
        <v>95.299643510935539</v>
      </c>
      <c r="K47" s="84">
        <f t="shared" si="14"/>
        <v>94.766393684086495</v>
      </c>
      <c r="L47" s="84">
        <f t="shared" si="14"/>
        <v>94.779601990050239</v>
      </c>
      <c r="M47" s="84">
        <f t="shared" si="14"/>
        <v>95.000000000000497</v>
      </c>
      <c r="N47" s="84">
        <f t="shared" si="14"/>
        <v>95.099311308513819</v>
      </c>
      <c r="O47" s="84">
        <f t="shared" si="14"/>
        <v>95.017590567652348</v>
      </c>
      <c r="P47" s="84">
        <f t="shared" si="14"/>
        <v>94.654756841060077</v>
      </c>
      <c r="Q47" s="84">
        <f t="shared" si="14"/>
        <v>94.684236698160618</v>
      </c>
      <c r="R47" s="84">
        <f t="shared" si="14"/>
        <v>95.117345562449415</v>
      </c>
      <c r="S47" s="84">
        <f t="shared" si="14"/>
        <v>95.766310642130364</v>
      </c>
      <c r="T47" s="84">
        <f t="shared" si="14"/>
        <v>95.099022311355014</v>
      </c>
      <c r="U47" s="84">
        <f t="shared" si="14"/>
        <v>94.609825631506297</v>
      </c>
      <c r="V47" s="84">
        <f t="shared" si="14"/>
        <v>94.870956784782706</v>
      </c>
      <c r="W47" s="84">
        <f t="shared" si="14"/>
        <v>94.870969673382632</v>
      </c>
      <c r="X47" s="84">
        <f t="shared" si="14"/>
        <v>94.991267370339401</v>
      </c>
      <c r="Y47" s="84">
        <f t="shared" si="14"/>
        <v>95.335357967446228</v>
      </c>
      <c r="Z47" s="84">
        <f t="shared" si="14"/>
        <v>95.066795428940083</v>
      </c>
      <c r="AA47" s="84">
        <f t="shared" si="14"/>
        <v>93.688603434042008</v>
      </c>
      <c r="AB47" s="84">
        <f t="shared" si="14"/>
        <v>92.958902638301851</v>
      </c>
      <c r="AC47" s="84">
        <f t="shared" si="14"/>
        <v>93.230888488633795</v>
      </c>
      <c r="AD47" s="84">
        <f t="shared" si="14"/>
        <v>94.979762567520041</v>
      </c>
      <c r="AE47" s="84">
        <f t="shared" si="14"/>
        <v>94.876514266119628</v>
      </c>
      <c r="AF47" s="84">
        <f t="shared" si="14"/>
        <v>95.327266097419397</v>
      </c>
      <c r="AG47" s="84">
        <f t="shared" si="14"/>
        <v>95.29821394029338</v>
      </c>
      <c r="AH47" s="84">
        <f t="shared" si="14"/>
        <v>95.089129555071736</v>
      </c>
      <c r="AI47" s="84">
        <f t="shared" ref="AI47" si="15">(AI29/(AI23+AI24))*100</f>
        <v>95.191160450277508</v>
      </c>
      <c r="AJ47" s="84">
        <f t="shared" si="14"/>
        <v>95.29108908027348</v>
      </c>
      <c r="AK47" s="121"/>
      <c r="AL47" s="129">
        <f>AL29/(SUM(AL23:AL24))*100</f>
        <v>94.823813496582986</v>
      </c>
      <c r="AM47" s="240"/>
    </row>
    <row r="48" spans="1:15092">
      <c r="B48" s="70"/>
      <c r="C48" s="204" t="s">
        <v>33</v>
      </c>
      <c r="D48" s="69">
        <v>5</v>
      </c>
      <c r="E48" s="205" t="s">
        <v>12</v>
      </c>
      <c r="F48" s="84" t="e">
        <f t="shared" ref="F48:AJ48" si="16">(F30/(F23+F24))*100</f>
        <v>#DIV/0!</v>
      </c>
      <c r="G48" s="84" t="e">
        <f t="shared" si="16"/>
        <v>#DIV/0!</v>
      </c>
      <c r="H48" s="84" t="e">
        <f t="shared" si="16"/>
        <v>#DIV/0!</v>
      </c>
      <c r="I48" s="84">
        <f t="shared" si="16"/>
        <v>5.3899945924769694</v>
      </c>
      <c r="J48" s="84">
        <f t="shared" si="16"/>
        <v>4.0803545620965318</v>
      </c>
      <c r="K48" s="84">
        <f t="shared" si="16"/>
        <v>4.5601838213633474</v>
      </c>
      <c r="L48" s="84">
        <f t="shared" si="16"/>
        <v>4.5621890547263586</v>
      </c>
      <c r="M48" s="84">
        <f t="shared" si="16"/>
        <v>4.1995420006245716</v>
      </c>
      <c r="N48" s="84">
        <f t="shared" si="16"/>
        <v>4.1471204711048957</v>
      </c>
      <c r="O48" s="84">
        <f t="shared" si="16"/>
        <v>4.2930493486735966</v>
      </c>
      <c r="P48" s="84">
        <f t="shared" si="16"/>
        <v>4.6552294531877463</v>
      </c>
      <c r="Q48" s="84">
        <f t="shared" si="16"/>
        <v>4.669318746892098</v>
      </c>
      <c r="R48" s="84">
        <f t="shared" si="16"/>
        <v>4.1575397895872621</v>
      </c>
      <c r="S48" s="84">
        <f t="shared" si="16"/>
        <v>3.5227126495946468</v>
      </c>
      <c r="T48" s="84">
        <f t="shared" si="16"/>
        <v>4.2115818500877023</v>
      </c>
      <c r="U48" s="84">
        <f t="shared" si="16"/>
        <v>4.7072863488696193</v>
      </c>
      <c r="V48" s="84">
        <f t="shared" si="16"/>
        <v>4.4663628847744068</v>
      </c>
      <c r="W48" s="84">
        <f t="shared" si="16"/>
        <v>4.4876208723767324</v>
      </c>
      <c r="X48" s="84">
        <f t="shared" si="16"/>
        <v>4.3868175260080449</v>
      </c>
      <c r="Y48" s="84">
        <f t="shared" si="16"/>
        <v>4.0265948783782779</v>
      </c>
      <c r="Z48" s="84">
        <f t="shared" si="16"/>
        <v>4.2475454691775409</v>
      </c>
      <c r="AA48" s="84">
        <f t="shared" si="16"/>
        <v>5.5509690905923605</v>
      </c>
      <c r="AB48" s="84">
        <f t="shared" si="16"/>
        <v>6.2677887824225103</v>
      </c>
      <c r="AC48" s="84">
        <f t="shared" si="16"/>
        <v>5.991655457011932</v>
      </c>
      <c r="AD48" s="84">
        <f t="shared" si="16"/>
        <v>4.2754397315718915</v>
      </c>
      <c r="AE48" s="84">
        <f t="shared" si="16"/>
        <v>4.3578671854770699</v>
      </c>
      <c r="AF48" s="84">
        <f t="shared" si="16"/>
        <v>4.0718344525813226</v>
      </c>
      <c r="AG48" s="84">
        <f t="shared" si="16"/>
        <v>4.0982655232445939</v>
      </c>
      <c r="AH48" s="84">
        <f t="shared" si="16"/>
        <v>4.3072997757186107</v>
      </c>
      <c r="AI48" s="84">
        <f t="shared" ref="AI48" si="17">(AI30/(AI23+AI24))*100</f>
        <v>4.2031955179747964</v>
      </c>
      <c r="AJ48" s="84">
        <f t="shared" si="16"/>
        <v>4.1058347976368452</v>
      </c>
      <c r="AK48" s="121"/>
      <c r="AL48" s="129">
        <f>AL30/(AL23+AL24)*100</f>
        <v>4.483112859650471</v>
      </c>
    </row>
    <row r="49" spans="2:64 15093:15106">
      <c r="B49" s="70"/>
      <c r="C49" s="204" t="s">
        <v>35</v>
      </c>
      <c r="D49" s="69">
        <v>82</v>
      </c>
      <c r="E49" s="205" t="s">
        <v>12</v>
      </c>
      <c r="F49" s="84" t="e">
        <f t="shared" ref="F49:AJ49" si="18">(F33/F32)*100</f>
        <v>#DIV/0!</v>
      </c>
      <c r="G49" s="84" t="e">
        <f t="shared" si="18"/>
        <v>#DIV/0!</v>
      </c>
      <c r="H49" s="84">
        <f t="shared" si="18"/>
        <v>91.438763376934787</v>
      </c>
      <c r="I49" s="84">
        <f t="shared" si="18"/>
        <v>83.761817880244308</v>
      </c>
      <c r="J49" s="84">
        <f t="shared" si="18"/>
        <v>83.932557587272441</v>
      </c>
      <c r="K49" s="84">
        <f t="shared" si="18"/>
        <v>83.708672735984052</v>
      </c>
      <c r="L49" s="84">
        <f t="shared" si="18"/>
        <v>84.287069238065342</v>
      </c>
      <c r="M49" s="84">
        <f t="shared" si="18"/>
        <v>84.518805611659147</v>
      </c>
      <c r="N49" s="84">
        <f t="shared" si="18"/>
        <v>82.603511096391031</v>
      </c>
      <c r="O49" s="84">
        <f t="shared" si="18"/>
        <v>83.386515697375316</v>
      </c>
      <c r="P49" s="84">
        <f t="shared" si="18"/>
        <v>83.201722900215358</v>
      </c>
      <c r="Q49" s="84">
        <f t="shared" si="18"/>
        <v>83.10600622158411</v>
      </c>
      <c r="R49" s="84">
        <f t="shared" si="18"/>
        <v>83.036439439060402</v>
      </c>
      <c r="S49" s="84">
        <f t="shared" si="18"/>
        <v>82.661532908193351</v>
      </c>
      <c r="T49" s="84">
        <f t="shared" si="18"/>
        <v>82.824292868731902</v>
      </c>
      <c r="U49" s="84">
        <f t="shared" si="18"/>
        <v>82.152208801419533</v>
      </c>
      <c r="V49" s="84" t="e">
        <f t="shared" si="18"/>
        <v>#DIV/0!</v>
      </c>
      <c r="W49" s="84" t="e">
        <f t="shared" si="18"/>
        <v>#DIV/0!</v>
      </c>
      <c r="X49" s="84">
        <f t="shared" si="18"/>
        <v>85.276532137516526</v>
      </c>
      <c r="Y49" s="84">
        <f t="shared" si="18"/>
        <v>82.538341564856424</v>
      </c>
      <c r="Z49" s="84">
        <f t="shared" si="18"/>
        <v>83.817264573989831</v>
      </c>
      <c r="AA49" s="84">
        <f t="shared" si="18"/>
        <v>83.095374071958886</v>
      </c>
      <c r="AB49" s="84">
        <f t="shared" si="18"/>
        <v>85.020976353928816</v>
      </c>
      <c r="AC49" s="84">
        <f t="shared" si="18"/>
        <v>78.418426103646794</v>
      </c>
      <c r="AD49" s="84">
        <f t="shared" si="18"/>
        <v>80.941176470588204</v>
      </c>
      <c r="AE49" s="84">
        <f t="shared" si="18"/>
        <v>81.249549094581525</v>
      </c>
      <c r="AF49" s="84">
        <f t="shared" si="18"/>
        <v>83.106306306306422</v>
      </c>
      <c r="AG49" s="84">
        <f t="shared" si="18"/>
        <v>82.970153877931324</v>
      </c>
      <c r="AH49" s="84">
        <f t="shared" si="18"/>
        <v>84.189459639762688</v>
      </c>
      <c r="AI49" s="84" t="e">
        <f t="shared" ref="AI49" si="19">(AI33/AI32)*100</f>
        <v>#DIV/0!</v>
      </c>
      <c r="AJ49" s="84" t="e">
        <f t="shared" si="18"/>
        <v>#DIV/0!</v>
      </c>
      <c r="AK49" s="121"/>
      <c r="AL49" s="129">
        <f>AL33/AL32*100</f>
        <v>83.129302125564848</v>
      </c>
    </row>
    <row r="50" spans="2:64 15093:15106">
      <c r="B50" s="70"/>
      <c r="C50" s="204" t="s">
        <v>51</v>
      </c>
      <c r="D50" s="69">
        <v>18</v>
      </c>
      <c r="E50" s="205" t="s">
        <v>12</v>
      </c>
      <c r="F50" s="84" t="e">
        <f t="shared" ref="F50:AJ50" si="20">(F34/F32)*100</f>
        <v>#DIV/0!</v>
      </c>
      <c r="G50" s="84" t="e">
        <f t="shared" si="20"/>
        <v>#DIV/0!</v>
      </c>
      <c r="H50" s="84">
        <f t="shared" si="20"/>
        <v>8.5612366230652093</v>
      </c>
      <c r="I50" s="84">
        <f t="shared" si="20"/>
        <v>16.238182119755702</v>
      </c>
      <c r="J50" s="84">
        <f t="shared" si="20"/>
        <v>16.067442412727555</v>
      </c>
      <c r="K50" s="84">
        <f t="shared" si="20"/>
        <v>16.291327264015941</v>
      </c>
      <c r="L50" s="84">
        <f t="shared" si="20"/>
        <v>15.712930761934659</v>
      </c>
      <c r="M50" s="84">
        <f t="shared" si="20"/>
        <v>15.481194388340844</v>
      </c>
      <c r="N50" s="84">
        <f t="shared" si="20"/>
        <v>17.396488903608979</v>
      </c>
      <c r="O50" s="84">
        <f t="shared" si="20"/>
        <v>16.613484302624688</v>
      </c>
      <c r="P50" s="84">
        <f t="shared" si="20"/>
        <v>16.798277099784638</v>
      </c>
      <c r="Q50" s="84">
        <f t="shared" si="20"/>
        <v>16.89399377841589</v>
      </c>
      <c r="R50" s="84">
        <f t="shared" si="20"/>
        <v>16.963560560939602</v>
      </c>
      <c r="S50" s="84">
        <f t="shared" si="20"/>
        <v>17.338467091806635</v>
      </c>
      <c r="T50" s="84">
        <f t="shared" si="20"/>
        <v>17.175707131268108</v>
      </c>
      <c r="U50" s="84">
        <f t="shared" si="20"/>
        <v>17.847791198580477</v>
      </c>
      <c r="V50" s="84" t="e">
        <f t="shared" si="20"/>
        <v>#DIV/0!</v>
      </c>
      <c r="W50" s="84" t="e">
        <f t="shared" si="20"/>
        <v>#DIV/0!</v>
      </c>
      <c r="X50" s="84">
        <f t="shared" si="20"/>
        <v>14.723467862483473</v>
      </c>
      <c r="Y50" s="84">
        <f t="shared" si="20"/>
        <v>17.461658435143583</v>
      </c>
      <c r="Z50" s="84">
        <f t="shared" si="20"/>
        <v>16.182735426010169</v>
      </c>
      <c r="AA50" s="84">
        <f t="shared" si="20"/>
        <v>16.904625928041121</v>
      </c>
      <c r="AB50" s="84">
        <f t="shared" si="20"/>
        <v>14.979023646071187</v>
      </c>
      <c r="AC50" s="84">
        <f t="shared" si="20"/>
        <v>21.581573896353195</v>
      </c>
      <c r="AD50" s="84">
        <f t="shared" si="20"/>
        <v>19.058823529411796</v>
      </c>
      <c r="AE50" s="84">
        <f t="shared" si="20"/>
        <v>18.750450905418479</v>
      </c>
      <c r="AF50" s="84">
        <f t="shared" si="20"/>
        <v>16.893693693693578</v>
      </c>
      <c r="AG50" s="84">
        <f t="shared" si="20"/>
        <v>17.02984612206869</v>
      </c>
      <c r="AH50" s="84">
        <f t="shared" si="20"/>
        <v>15.81054036023732</v>
      </c>
      <c r="AI50" s="84" t="e">
        <f t="shared" ref="AI50" si="21">(AI34/AI32)*100</f>
        <v>#DIV/0!</v>
      </c>
      <c r="AJ50" s="84" t="e">
        <f t="shared" si="20"/>
        <v>#DIV/0!</v>
      </c>
      <c r="AK50" s="121"/>
      <c r="AL50" s="129">
        <f>AL34/AL32*100</f>
        <v>16.870697874435152</v>
      </c>
    </row>
    <row r="51" spans="2:64 15093:15106">
      <c r="B51" s="70"/>
      <c r="C51" s="204" t="s">
        <v>40</v>
      </c>
      <c r="D51" s="69">
        <v>70</v>
      </c>
      <c r="E51" s="205" t="s">
        <v>12</v>
      </c>
      <c r="F51" s="84" t="e">
        <f t="shared" ref="F51:AC51" si="22">F38/F37*100</f>
        <v>#DIV/0!</v>
      </c>
      <c r="G51" s="84" t="e">
        <f t="shared" si="22"/>
        <v>#DIV/0!</v>
      </c>
      <c r="H51" s="84" t="e">
        <f t="shared" si="22"/>
        <v>#DIV/0!</v>
      </c>
      <c r="I51" s="84" t="e">
        <f t="shared" si="22"/>
        <v>#DIV/0!</v>
      </c>
      <c r="J51" s="84" t="e">
        <f t="shared" si="22"/>
        <v>#DIV/0!</v>
      </c>
      <c r="K51" s="84" t="e">
        <f t="shared" si="22"/>
        <v>#DIV/0!</v>
      </c>
      <c r="L51" s="84" t="e">
        <f t="shared" si="22"/>
        <v>#DIV/0!</v>
      </c>
      <c r="M51" s="84" t="e">
        <f t="shared" si="22"/>
        <v>#DIV/0!</v>
      </c>
      <c r="N51" s="84" t="e">
        <f t="shared" si="22"/>
        <v>#DIV/0!</v>
      </c>
      <c r="O51" s="84">
        <f t="shared" si="22"/>
        <v>79.866071428571502</v>
      </c>
      <c r="P51" s="84" t="e">
        <f t="shared" si="22"/>
        <v>#DIV/0!</v>
      </c>
      <c r="Q51" s="84" t="e">
        <f t="shared" si="22"/>
        <v>#DIV/0!</v>
      </c>
      <c r="R51" s="84" t="e">
        <f t="shared" si="22"/>
        <v>#DIV/0!</v>
      </c>
      <c r="S51" s="84" t="e">
        <f t="shared" si="22"/>
        <v>#DIV/0!</v>
      </c>
      <c r="T51" s="84" t="e">
        <f t="shared" si="22"/>
        <v>#DIV/0!</v>
      </c>
      <c r="U51" s="84" t="e">
        <f t="shared" si="22"/>
        <v>#DIV/0!</v>
      </c>
      <c r="V51" s="84" t="e">
        <f t="shared" si="22"/>
        <v>#DIV/0!</v>
      </c>
      <c r="W51" s="84" t="e">
        <f t="shared" si="22"/>
        <v>#DIV/0!</v>
      </c>
      <c r="X51" s="84">
        <f t="shared" si="22"/>
        <v>76.397881106531656</v>
      </c>
      <c r="Y51" s="84" t="e">
        <f t="shared" si="22"/>
        <v>#DIV/0!</v>
      </c>
      <c r="Z51" s="84" t="e">
        <f t="shared" si="22"/>
        <v>#DIV/0!</v>
      </c>
      <c r="AA51" s="84" t="e">
        <f t="shared" si="22"/>
        <v>#DIV/0!</v>
      </c>
      <c r="AB51" s="84" t="e">
        <f t="shared" si="22"/>
        <v>#DIV/0!</v>
      </c>
      <c r="AC51" s="84" t="e">
        <f t="shared" si="22"/>
        <v>#DIV/0!</v>
      </c>
      <c r="AD51" s="84" t="e">
        <f t="shared" ref="AD51:AJ51" si="23">AD41/AD40*100</f>
        <v>#DIV/0!</v>
      </c>
      <c r="AE51" s="84" t="e">
        <f t="shared" si="23"/>
        <v>#DIV/0!</v>
      </c>
      <c r="AF51" s="84" t="e">
        <f t="shared" si="23"/>
        <v>#DIV/0!</v>
      </c>
      <c r="AG51" s="84" t="e">
        <f t="shared" si="23"/>
        <v>#DIV/0!</v>
      </c>
      <c r="AH51" s="84" t="e">
        <f t="shared" si="23"/>
        <v>#DIV/0!</v>
      </c>
      <c r="AI51" s="84" t="e">
        <f t="shared" ref="AI51" si="24">AI41/AI40*100</f>
        <v>#DIV/0!</v>
      </c>
      <c r="AJ51" s="84" t="e">
        <f t="shared" si="23"/>
        <v>#DIV/0!</v>
      </c>
      <c r="AK51" s="121"/>
      <c r="AL51" s="129">
        <f>AL38/AL37*100</f>
        <v>78.701324372405281</v>
      </c>
    </row>
    <row r="52" spans="2:64 15093:15106">
      <c r="B52" s="70"/>
      <c r="C52" s="204" t="s">
        <v>51</v>
      </c>
      <c r="D52" s="69">
        <v>30</v>
      </c>
      <c r="E52" s="205" t="s">
        <v>12</v>
      </c>
      <c r="F52" s="84" t="e">
        <f t="shared" ref="F52:AC52" si="25">F39/F37*100</f>
        <v>#DIV/0!</v>
      </c>
      <c r="G52" s="84" t="e">
        <f t="shared" si="25"/>
        <v>#DIV/0!</v>
      </c>
      <c r="H52" s="84" t="e">
        <f t="shared" si="25"/>
        <v>#DIV/0!</v>
      </c>
      <c r="I52" s="84" t="e">
        <f t="shared" si="25"/>
        <v>#DIV/0!</v>
      </c>
      <c r="J52" s="84" t="e">
        <f t="shared" si="25"/>
        <v>#DIV/0!</v>
      </c>
      <c r="K52" s="84" t="e">
        <f t="shared" si="25"/>
        <v>#DIV/0!</v>
      </c>
      <c r="L52" s="84" t="e">
        <f t="shared" si="25"/>
        <v>#DIV/0!</v>
      </c>
      <c r="M52" s="84" t="e">
        <f t="shared" si="25"/>
        <v>#DIV/0!</v>
      </c>
      <c r="N52" s="84" t="e">
        <f t="shared" si="25"/>
        <v>#DIV/0!</v>
      </c>
      <c r="O52" s="84">
        <f t="shared" si="25"/>
        <v>20.133928571428495</v>
      </c>
      <c r="P52" s="84" t="e">
        <f t="shared" si="25"/>
        <v>#DIV/0!</v>
      </c>
      <c r="Q52" s="84" t="e">
        <f t="shared" si="25"/>
        <v>#DIV/0!</v>
      </c>
      <c r="R52" s="84" t="e">
        <f t="shared" si="25"/>
        <v>#DIV/0!</v>
      </c>
      <c r="S52" s="84" t="e">
        <f t="shared" si="25"/>
        <v>#DIV/0!</v>
      </c>
      <c r="T52" s="84" t="e">
        <f t="shared" si="25"/>
        <v>#DIV/0!</v>
      </c>
      <c r="U52" s="84" t="e">
        <f t="shared" si="25"/>
        <v>#DIV/0!</v>
      </c>
      <c r="V52" s="84" t="e">
        <f t="shared" si="25"/>
        <v>#DIV/0!</v>
      </c>
      <c r="W52" s="84" t="e">
        <f t="shared" si="25"/>
        <v>#DIV/0!</v>
      </c>
      <c r="X52" s="84">
        <f t="shared" si="25"/>
        <v>23.602118893468344</v>
      </c>
      <c r="Y52" s="84" t="e">
        <f t="shared" si="25"/>
        <v>#DIV/0!</v>
      </c>
      <c r="Z52" s="84" t="e">
        <f t="shared" si="25"/>
        <v>#DIV/0!</v>
      </c>
      <c r="AA52" s="84" t="e">
        <f t="shared" si="25"/>
        <v>#DIV/0!</v>
      </c>
      <c r="AB52" s="84" t="e">
        <f t="shared" si="25"/>
        <v>#DIV/0!</v>
      </c>
      <c r="AC52" s="84" t="e">
        <f t="shared" si="25"/>
        <v>#DIV/0!</v>
      </c>
      <c r="AD52" s="84" t="e">
        <f t="shared" ref="AD52:AJ52" si="26">AD42/AD40*100</f>
        <v>#DIV/0!</v>
      </c>
      <c r="AE52" s="84" t="e">
        <f t="shared" si="26"/>
        <v>#DIV/0!</v>
      </c>
      <c r="AF52" s="84" t="e">
        <f t="shared" si="26"/>
        <v>#DIV/0!</v>
      </c>
      <c r="AG52" s="84" t="e">
        <f t="shared" si="26"/>
        <v>#DIV/0!</v>
      </c>
      <c r="AH52" s="84" t="e">
        <f t="shared" si="26"/>
        <v>#DIV/0!</v>
      </c>
      <c r="AI52" s="84" t="e">
        <f t="shared" ref="AI52" si="27">AI42/AI40*100</f>
        <v>#DIV/0!</v>
      </c>
      <c r="AJ52" s="84" t="e">
        <f t="shared" si="26"/>
        <v>#DIV/0!</v>
      </c>
      <c r="AK52" s="130"/>
      <c r="AL52" s="129">
        <f>AL39/AL37*100</f>
        <v>21.298675627594719</v>
      </c>
    </row>
    <row r="53" spans="2:64 15093:15106">
      <c r="B53" s="70"/>
      <c r="C53" s="204" t="s">
        <v>44</v>
      </c>
      <c r="D53" s="69">
        <v>60</v>
      </c>
      <c r="E53" s="205" t="s">
        <v>12</v>
      </c>
      <c r="F53" s="84" t="e">
        <f t="shared" ref="F53:AJ53" si="28">F44/F42*100</f>
        <v>#DIV/0!</v>
      </c>
      <c r="G53" s="84" t="e">
        <f t="shared" si="28"/>
        <v>#DIV/0!</v>
      </c>
      <c r="H53" s="84" t="e">
        <f t="shared" si="28"/>
        <v>#DIV/0!</v>
      </c>
      <c r="I53" s="84" t="e">
        <f>I44/I42*100</f>
        <v>#DIV/0!</v>
      </c>
      <c r="J53" s="84" t="e">
        <f>J44/J42*100</f>
        <v>#DIV/0!</v>
      </c>
      <c r="K53" s="84" t="e">
        <f>K44/K42*100</f>
        <v>#DIV/0!</v>
      </c>
      <c r="L53" s="84" t="e">
        <f t="shared" si="28"/>
        <v>#DIV/0!</v>
      </c>
      <c r="M53" s="84" t="e">
        <f t="shared" si="28"/>
        <v>#DIV/0!</v>
      </c>
      <c r="N53" s="84" t="e">
        <f t="shared" si="28"/>
        <v>#DIV/0!</v>
      </c>
      <c r="O53" s="84" t="e">
        <f t="shared" si="28"/>
        <v>#DIV/0!</v>
      </c>
      <c r="P53" s="84" t="e">
        <f t="shared" si="28"/>
        <v>#DIV/0!</v>
      </c>
      <c r="Q53" s="84" t="e">
        <f t="shared" si="28"/>
        <v>#DIV/0!</v>
      </c>
      <c r="R53" s="84" t="e">
        <f t="shared" si="28"/>
        <v>#DIV/0!</v>
      </c>
      <c r="S53" s="84" t="e">
        <f t="shared" si="28"/>
        <v>#DIV/0!</v>
      </c>
      <c r="T53" s="84" t="e">
        <f t="shared" ref="T53:W53" si="29">(T44+T43)/T42*100</f>
        <v>#DIV/0!</v>
      </c>
      <c r="U53" s="84" t="e">
        <f t="shared" si="29"/>
        <v>#DIV/0!</v>
      </c>
      <c r="V53" s="84">
        <f>(V44+V43)/V42*100</f>
        <v>61.830508474576277</v>
      </c>
      <c r="W53" s="84">
        <f t="shared" si="29"/>
        <v>58.707706235142886</v>
      </c>
      <c r="X53" s="84">
        <f t="shared" si="28"/>
        <v>61.315789473692917</v>
      </c>
      <c r="Y53" s="84" t="e">
        <f t="shared" si="28"/>
        <v>#DIV/0!</v>
      </c>
      <c r="Z53" s="84" t="e">
        <f t="shared" si="28"/>
        <v>#DIV/0!</v>
      </c>
      <c r="AA53" s="84" t="e">
        <f t="shared" si="28"/>
        <v>#DIV/0!</v>
      </c>
      <c r="AB53" s="84" t="e">
        <f t="shared" si="28"/>
        <v>#DIV/0!</v>
      </c>
      <c r="AC53" s="84" t="e">
        <f t="shared" si="28"/>
        <v>#DIV/0!</v>
      </c>
      <c r="AD53" s="84" t="e">
        <f t="shared" si="28"/>
        <v>#DIV/0!</v>
      </c>
      <c r="AE53" s="84" t="e">
        <f t="shared" si="28"/>
        <v>#DIV/0!</v>
      </c>
      <c r="AF53" s="84" t="e">
        <f t="shared" si="28"/>
        <v>#DIV/0!</v>
      </c>
      <c r="AG53" s="84" t="e">
        <f t="shared" si="28"/>
        <v>#DIV/0!</v>
      </c>
      <c r="AH53" s="84">
        <f t="shared" si="28"/>
        <v>59.541209906610135</v>
      </c>
      <c r="AI53" s="84">
        <f t="shared" ref="AI53" si="30">AI44/AI42*100</f>
        <v>60.784313725490193</v>
      </c>
      <c r="AJ53" s="84">
        <f t="shared" si="28"/>
        <v>63.842309827875965</v>
      </c>
      <c r="AK53" s="121"/>
      <c r="AL53" s="129">
        <f>(AL44+AL43)/AL42*100</f>
        <v>61.088695732367704</v>
      </c>
    </row>
    <row r="54" spans="2:64 15093:15106">
      <c r="B54" s="70"/>
      <c r="C54" s="204" t="s">
        <v>52</v>
      </c>
      <c r="D54" s="69">
        <v>40</v>
      </c>
      <c r="E54" s="205" t="s">
        <v>12</v>
      </c>
      <c r="F54" s="84" t="e">
        <f t="shared" ref="F54:AJ54" si="31">F45/F42*100</f>
        <v>#DIV/0!</v>
      </c>
      <c r="G54" s="84" t="e">
        <f t="shared" si="31"/>
        <v>#DIV/0!</v>
      </c>
      <c r="H54" s="84" t="e">
        <f t="shared" si="31"/>
        <v>#DIV/0!</v>
      </c>
      <c r="I54" s="84" t="e">
        <f>I45/I42*100</f>
        <v>#DIV/0!</v>
      </c>
      <c r="J54" s="84" t="e">
        <f>J45/J42*100</f>
        <v>#DIV/0!</v>
      </c>
      <c r="K54" s="84" t="e">
        <f>K45/K42*100</f>
        <v>#DIV/0!</v>
      </c>
      <c r="L54" s="84" t="e">
        <f t="shared" si="31"/>
        <v>#DIV/0!</v>
      </c>
      <c r="M54" s="84" t="e">
        <f t="shared" si="31"/>
        <v>#DIV/0!</v>
      </c>
      <c r="N54" s="84" t="e">
        <f t="shared" si="31"/>
        <v>#DIV/0!</v>
      </c>
      <c r="O54" s="84" t="e">
        <f t="shared" si="31"/>
        <v>#DIV/0!</v>
      </c>
      <c r="P54" s="84" t="e">
        <f t="shared" si="31"/>
        <v>#DIV/0!</v>
      </c>
      <c r="Q54" s="84" t="e">
        <f t="shared" si="31"/>
        <v>#DIV/0!</v>
      </c>
      <c r="R54" s="84" t="e">
        <f t="shared" si="31"/>
        <v>#DIV/0!</v>
      </c>
      <c r="S54" s="84" t="e">
        <f t="shared" si="31"/>
        <v>#DIV/0!</v>
      </c>
      <c r="T54" s="84" t="e">
        <f t="shared" si="31"/>
        <v>#DIV/0!</v>
      </c>
      <c r="U54" s="84" t="e">
        <f t="shared" si="31"/>
        <v>#DIV/0!</v>
      </c>
      <c r="V54" s="84">
        <f t="shared" si="31"/>
        <v>38.169491525423723</v>
      </c>
      <c r="W54" s="84">
        <f t="shared" si="31"/>
        <v>41.292293764857121</v>
      </c>
      <c r="X54" s="84">
        <f t="shared" si="31"/>
        <v>38.684210526307083</v>
      </c>
      <c r="Y54" s="84" t="e">
        <f t="shared" si="31"/>
        <v>#DIV/0!</v>
      </c>
      <c r="Z54" s="84" t="e">
        <f t="shared" si="31"/>
        <v>#DIV/0!</v>
      </c>
      <c r="AA54" s="84" t="e">
        <f t="shared" si="31"/>
        <v>#DIV/0!</v>
      </c>
      <c r="AB54" s="84" t="e">
        <f t="shared" si="31"/>
        <v>#DIV/0!</v>
      </c>
      <c r="AC54" s="84" t="e">
        <f t="shared" si="31"/>
        <v>#DIV/0!</v>
      </c>
      <c r="AD54" s="84" t="e">
        <f t="shared" si="31"/>
        <v>#DIV/0!</v>
      </c>
      <c r="AE54" s="84" t="e">
        <f t="shared" si="31"/>
        <v>#DIV/0!</v>
      </c>
      <c r="AF54" s="84" t="e">
        <f t="shared" si="31"/>
        <v>#DIV/0!</v>
      </c>
      <c r="AG54" s="84" t="e">
        <f t="shared" si="31"/>
        <v>#DIV/0!</v>
      </c>
      <c r="AH54" s="84">
        <f t="shared" si="31"/>
        <v>40.458790093389865</v>
      </c>
      <c r="AI54" s="84">
        <f t="shared" ref="AI54" si="32">AI45/AI42*100</f>
        <v>39.215686274509807</v>
      </c>
      <c r="AJ54" s="84">
        <f t="shared" si="31"/>
        <v>36.157690172124042</v>
      </c>
      <c r="AK54" s="130"/>
      <c r="AL54" s="129">
        <f>AL45/AL42*100</f>
        <v>38.91130426763231</v>
      </c>
    </row>
    <row r="55" spans="2:64 15093:15106">
      <c r="B55" s="54">
        <v>3</v>
      </c>
      <c r="C55" s="81" t="s">
        <v>53</v>
      </c>
      <c r="D55" s="82"/>
      <c r="E55" s="8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117"/>
      <c r="AL55" s="128" t="s">
        <v>54</v>
      </c>
    </row>
    <row r="56" spans="2:64 15093:15106">
      <c r="B56" s="57"/>
      <c r="C56" s="199" t="s">
        <v>55</v>
      </c>
      <c r="D56" s="69">
        <v>9</v>
      </c>
      <c r="E56" s="206" t="s">
        <v>56</v>
      </c>
      <c r="F56" s="60"/>
      <c r="G56" s="60">
        <v>0</v>
      </c>
      <c r="H56" s="60">
        <v>2460</v>
      </c>
      <c r="I56" s="60">
        <v>15048</v>
      </c>
      <c r="J56" s="60">
        <v>16445</v>
      </c>
      <c r="K56" s="60">
        <v>12844</v>
      </c>
      <c r="L56" s="60">
        <v>14782</v>
      </c>
      <c r="M56" s="60">
        <v>13956</v>
      </c>
      <c r="N56" s="60">
        <f>20852-N58</f>
        <v>10073</v>
      </c>
      <c r="O56" s="60">
        <v>17689</v>
      </c>
      <c r="P56" s="60">
        <v>16287</v>
      </c>
      <c r="Q56" s="60">
        <v>16388</v>
      </c>
      <c r="R56" s="60">
        <v>12420</v>
      </c>
      <c r="S56" s="60">
        <v>12604</v>
      </c>
      <c r="T56" s="60">
        <v>11943</v>
      </c>
      <c r="U56" s="60">
        <v>2570</v>
      </c>
      <c r="V56" s="60">
        <v>0</v>
      </c>
      <c r="W56" s="60">
        <v>10752</v>
      </c>
      <c r="X56" s="60">
        <v>10208</v>
      </c>
      <c r="Y56" s="60">
        <v>7506</v>
      </c>
      <c r="Z56" s="60">
        <v>9664</v>
      </c>
      <c r="AA56" s="60">
        <v>15810</v>
      </c>
      <c r="AB56" s="60">
        <v>15980</v>
      </c>
      <c r="AC56" s="60">
        <v>12343</v>
      </c>
      <c r="AD56" s="60">
        <v>8755</v>
      </c>
      <c r="AE56" s="60">
        <v>9469</v>
      </c>
      <c r="AF56" s="60">
        <v>7972</v>
      </c>
      <c r="AG56" s="60">
        <v>6732</v>
      </c>
      <c r="AH56" s="60">
        <v>0</v>
      </c>
      <c r="AI56" s="60">
        <v>0</v>
      </c>
      <c r="AJ56" s="60">
        <v>0</v>
      </c>
      <c r="AK56" s="117"/>
      <c r="AL56" s="109">
        <f>SUM(F56:AJ56)</f>
        <v>290700</v>
      </c>
      <c r="AM56" s="107"/>
      <c r="BL56" s="107"/>
    </row>
    <row r="57" spans="2:64 15093:15106">
      <c r="B57" s="70"/>
      <c r="C57" s="85"/>
      <c r="D57" s="74"/>
      <c r="E57" s="206" t="s">
        <v>12</v>
      </c>
      <c r="F57" s="84" t="e">
        <f>F56/F23*100</f>
        <v>#DIV/0!</v>
      </c>
      <c r="G57" s="84" t="e">
        <f>G56/(G23-G41)*100</f>
        <v>#DIV/0!</v>
      </c>
      <c r="H57" s="84" t="e">
        <f t="shared" ref="H57" si="33">H56/((H23+H24)-H41)*100</f>
        <v>#DIV/0!</v>
      </c>
      <c r="I57" s="84">
        <f t="shared" ref="I57:M57" si="34">I56/((I23+I24)-I41)*100</f>
        <v>1.3188396524811943</v>
      </c>
      <c r="J57" s="84">
        <f t="shared" si="34"/>
        <v>0.79222468445900374</v>
      </c>
      <c r="K57" s="84">
        <f>K56/((K23+K24)-K41)*100</f>
        <v>0.7567312790903199</v>
      </c>
      <c r="L57" s="84">
        <f t="shared" si="34"/>
        <v>0.73542288557213931</v>
      </c>
      <c r="M57" s="84">
        <f t="shared" si="34"/>
        <v>0.72634537316540404</v>
      </c>
      <c r="N57" s="84">
        <f>N56/((N23+N24)-(N41+N36))*100</f>
        <v>0.7765186555658341</v>
      </c>
      <c r="O57" s="84">
        <f t="shared" ref="O57:AJ57" si="35">O56/((O23+O24)-(O41+O36))*100</f>
        <v>0.84097176000761054</v>
      </c>
      <c r="P57" s="84">
        <f t="shared" si="35"/>
        <v>0.76974337161491191</v>
      </c>
      <c r="Q57" s="84">
        <f t="shared" si="35"/>
        <v>0.81491795126802591</v>
      </c>
      <c r="R57" s="84">
        <f t="shared" si="35"/>
        <v>0.67008362557323975</v>
      </c>
      <c r="S57" s="84">
        <f t="shared" si="35"/>
        <v>0.81096383991764254</v>
      </c>
      <c r="T57" s="84">
        <f t="shared" si="35"/>
        <v>0.74849586362496401</v>
      </c>
      <c r="U57" s="84">
        <f t="shared" si="35"/>
        <v>0.79076923076923078</v>
      </c>
      <c r="V57" s="84" t="e">
        <f t="shared" si="35"/>
        <v>#DIV/0!</v>
      </c>
      <c r="W57" s="84">
        <f t="shared" si="35"/>
        <v>0.80471813908930334</v>
      </c>
      <c r="X57" s="84">
        <f t="shared" si="35"/>
        <v>0.77515377021794196</v>
      </c>
      <c r="Y57" s="84">
        <f t="shared" si="35"/>
        <v>0.71909638727353919</v>
      </c>
      <c r="Z57" s="84">
        <f t="shared" si="35"/>
        <v>0.7777241268308448</v>
      </c>
      <c r="AA57" s="261">
        <f t="shared" si="35"/>
        <v>1.1974460543357242</v>
      </c>
      <c r="AB57" s="261">
        <f t="shared" si="35"/>
        <v>1.2259395929389467</v>
      </c>
      <c r="AC57" s="261">
        <f t="shared" si="35"/>
        <v>0.93803910839546145</v>
      </c>
      <c r="AD57" s="84">
        <f t="shared" si="35"/>
        <v>0.65865695671145486</v>
      </c>
      <c r="AE57" s="84">
        <f t="shared" si="35"/>
        <v>0.66267294651167674</v>
      </c>
      <c r="AF57" s="84">
        <f t="shared" si="35"/>
        <v>0.60560940776079497</v>
      </c>
      <c r="AG57" s="84">
        <f t="shared" si="35"/>
        <v>0.60665044606650442</v>
      </c>
      <c r="AH57" s="84" t="e">
        <f t="shared" si="35"/>
        <v>#DIV/0!</v>
      </c>
      <c r="AI57" s="84" t="e">
        <f t="shared" si="35"/>
        <v>#DIV/0!</v>
      </c>
      <c r="AJ57" s="84" t="e">
        <f t="shared" si="35"/>
        <v>#DIV/0!</v>
      </c>
      <c r="AK57" s="117"/>
      <c r="AL57" s="129">
        <f>AL56/(((AL23)+265025+191172)-(AL36+AL41))*100</f>
        <v>0.80257863241374083</v>
      </c>
      <c r="AM57" s="16"/>
      <c r="AN57" s="15">
        <f>AL57*10</f>
        <v>8.0257863241374086</v>
      </c>
      <c r="AT57" s="16">
        <f>AVERAGE(AA57:AC57)</f>
        <v>1.1204749185567107</v>
      </c>
    </row>
    <row r="58" spans="2:64 15093:15106" s="1" customFormat="1">
      <c r="B58" s="57"/>
      <c r="C58" s="207" t="s">
        <v>57</v>
      </c>
      <c r="D58" s="86">
        <v>14</v>
      </c>
      <c r="E58" s="208" t="s">
        <v>56</v>
      </c>
      <c r="F58" s="87"/>
      <c r="G58" s="87">
        <v>0</v>
      </c>
      <c r="H58" s="87">
        <v>0</v>
      </c>
      <c r="I58" s="87"/>
      <c r="J58" s="87">
        <v>0</v>
      </c>
      <c r="K58" s="87"/>
      <c r="L58" s="87"/>
      <c r="M58" s="87"/>
      <c r="N58" s="87">
        <v>10779</v>
      </c>
      <c r="O58" s="87">
        <v>0</v>
      </c>
      <c r="P58" s="87">
        <v>0</v>
      </c>
      <c r="Q58" s="87">
        <v>0</v>
      </c>
      <c r="R58" s="87">
        <v>0</v>
      </c>
      <c r="S58" s="87">
        <v>0</v>
      </c>
      <c r="T58" s="87">
        <v>0</v>
      </c>
      <c r="U58" s="87">
        <v>17744</v>
      </c>
      <c r="V58" s="102">
        <v>17630</v>
      </c>
      <c r="W58" s="102">
        <v>0</v>
      </c>
      <c r="X58" s="102">
        <v>0</v>
      </c>
      <c r="Y58" s="102">
        <v>0</v>
      </c>
      <c r="Z58" s="102">
        <v>0</v>
      </c>
      <c r="AA58" s="87">
        <v>0</v>
      </c>
      <c r="AB58" s="87">
        <v>0</v>
      </c>
      <c r="AC58" s="87">
        <v>0</v>
      </c>
      <c r="AD58" s="87">
        <v>0</v>
      </c>
      <c r="AE58" s="87">
        <v>0</v>
      </c>
      <c r="AF58" s="87">
        <v>0</v>
      </c>
      <c r="AG58" s="87">
        <v>5950</v>
      </c>
      <c r="AH58" s="87">
        <v>18735</v>
      </c>
      <c r="AI58" s="87">
        <v>19252</v>
      </c>
      <c r="AJ58" s="87">
        <v>18020</v>
      </c>
      <c r="AK58" s="117"/>
      <c r="AL58" s="131">
        <f>SUM(F58:AJ58)</f>
        <v>108110</v>
      </c>
      <c r="AM58" s="240"/>
      <c r="AN58" s="15"/>
      <c r="VHM58"/>
      <c r="VHN58"/>
      <c r="VHO58"/>
      <c r="VHP58"/>
      <c r="VHQ58"/>
      <c r="VHR58"/>
      <c r="VHS58"/>
      <c r="VHT58"/>
      <c r="VHU58"/>
      <c r="VHV58"/>
      <c r="VHW58"/>
      <c r="VHX58"/>
      <c r="VHY58"/>
      <c r="VHZ58"/>
    </row>
    <row r="59" spans="2:64 15093:15106" s="1" customFormat="1">
      <c r="B59" s="70"/>
      <c r="C59" s="88"/>
      <c r="D59" s="89"/>
      <c r="E59" s="209" t="s">
        <v>12</v>
      </c>
      <c r="F59" s="90" t="e">
        <f>F58/F41*100</f>
        <v>#DIV/0!</v>
      </c>
      <c r="G59" s="90" t="e">
        <f>G58/G41*100</f>
        <v>#DIV/0!</v>
      </c>
      <c r="H59" s="90" t="e">
        <f t="shared" ref="H59:S59" si="36">H58/H41*100</f>
        <v>#DIV/0!</v>
      </c>
      <c r="I59" s="90" t="e">
        <f t="shared" si="36"/>
        <v>#DIV/0!</v>
      </c>
      <c r="J59" s="90" t="e">
        <f t="shared" si="36"/>
        <v>#DIV/0!</v>
      </c>
      <c r="K59" s="90" t="e">
        <f t="shared" si="36"/>
        <v>#DIV/0!</v>
      </c>
      <c r="L59" s="90" t="e">
        <f t="shared" si="36"/>
        <v>#DIV/0!</v>
      </c>
      <c r="M59" s="90" t="e">
        <f t="shared" si="36"/>
        <v>#DIV/0!</v>
      </c>
      <c r="N59" s="90">
        <f>N58/(N36+N41)*100</f>
        <v>1.5254741013303141</v>
      </c>
      <c r="O59" s="90" t="e">
        <f t="shared" si="36"/>
        <v>#DIV/0!</v>
      </c>
      <c r="P59" s="90" t="e">
        <f>P58/(P41+P36)*100</f>
        <v>#DIV/0!</v>
      </c>
      <c r="Q59" s="90" t="e">
        <f>Q58/Q41*100</f>
        <v>#DIV/0!</v>
      </c>
      <c r="R59" s="90" t="e">
        <f>R58/R41*100</f>
        <v>#DIV/0!</v>
      </c>
      <c r="S59" s="90" t="e">
        <f t="shared" si="36"/>
        <v>#DIV/0!</v>
      </c>
      <c r="T59" s="90" t="e">
        <f>T58/(T41+T36)*100</f>
        <v>#DIV/0!</v>
      </c>
      <c r="U59" s="90">
        <f>U58/U41*100</f>
        <v>1.499535198174609</v>
      </c>
      <c r="V59" s="90">
        <f t="shared" ref="V59:AB59" si="37">V58/V41*100</f>
        <v>1.1298891901072208</v>
      </c>
      <c r="W59" s="90" t="e">
        <f t="shared" si="37"/>
        <v>#DIV/0!</v>
      </c>
      <c r="X59" s="90" t="e">
        <f t="shared" si="37"/>
        <v>#DIV/0!</v>
      </c>
      <c r="Y59" s="90" t="e">
        <f t="shared" si="37"/>
        <v>#DIV/0!</v>
      </c>
      <c r="Z59" s="90" t="e">
        <f t="shared" si="37"/>
        <v>#DIV/0!</v>
      </c>
      <c r="AA59" s="90" t="e">
        <f t="shared" si="37"/>
        <v>#DIV/0!</v>
      </c>
      <c r="AB59" s="90" t="e">
        <f t="shared" si="37"/>
        <v>#DIV/0!</v>
      </c>
      <c r="AC59" s="90" t="e">
        <f>AC58/(AC41)*100</f>
        <v>#DIV/0!</v>
      </c>
      <c r="AD59" s="90" t="e">
        <f t="shared" ref="AD59:AJ59" si="38">AD58/AD41*100</f>
        <v>#DIV/0!</v>
      </c>
      <c r="AE59" s="90" t="e">
        <f t="shared" si="38"/>
        <v>#DIV/0!</v>
      </c>
      <c r="AF59" s="90" t="e">
        <f t="shared" si="38"/>
        <v>#DIV/0!</v>
      </c>
      <c r="AG59" s="90">
        <f t="shared" si="38"/>
        <v>1.3485947416137807</v>
      </c>
      <c r="AH59" s="90">
        <f t="shared" si="38"/>
        <v>1.2849882372306993</v>
      </c>
      <c r="AI59" s="90">
        <f t="shared" ref="AI59" si="39">AI58/AI41*100</f>
        <v>1.2483788971313046</v>
      </c>
      <c r="AJ59" s="90">
        <f t="shared" si="38"/>
        <v>1.3030493669146943</v>
      </c>
      <c r="AK59" s="117"/>
      <c r="AL59" s="132">
        <f>AL58/(AL41+AL36)*100</f>
        <v>1.306545781069288</v>
      </c>
      <c r="AM59" s="16"/>
      <c r="AN59" s="15">
        <f>AL59*10</f>
        <v>13.06545781069288</v>
      </c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</row>
    <row r="60" spans="2:64 15093:15106">
      <c r="B60" s="70"/>
      <c r="C60" s="199" t="s">
        <v>58</v>
      </c>
      <c r="D60" s="69">
        <v>0.55000000000000004</v>
      </c>
      <c r="E60" s="206" t="s">
        <v>9</v>
      </c>
      <c r="F60" s="60"/>
      <c r="G60" s="60">
        <v>0</v>
      </c>
      <c r="H60" s="60">
        <v>106.5</v>
      </c>
      <c r="I60" s="60">
        <v>741.6</v>
      </c>
      <c r="J60" s="60">
        <v>915.4</v>
      </c>
      <c r="K60" s="60">
        <v>839.5</v>
      </c>
      <c r="L60" s="60">
        <v>1006.2</v>
      </c>
      <c r="M60" s="60">
        <v>951.5</v>
      </c>
      <c r="N60" s="60">
        <v>983</v>
      </c>
      <c r="O60" s="60">
        <v>1055.2</v>
      </c>
      <c r="P60" s="60">
        <v>1080.8</v>
      </c>
      <c r="Q60" s="60">
        <v>1062.2</v>
      </c>
      <c r="R60" s="60">
        <v>829.1</v>
      </c>
      <c r="S60" s="60">
        <v>790.5</v>
      </c>
      <c r="T60" s="60">
        <v>726.4</v>
      </c>
      <c r="U60" s="60">
        <v>760.2</v>
      </c>
      <c r="V60" s="60">
        <v>781.2</v>
      </c>
      <c r="W60" s="60">
        <v>643.70000000000005</v>
      </c>
      <c r="X60" s="60">
        <v>622.61</v>
      </c>
      <c r="Y60" s="60">
        <v>516</v>
      </c>
      <c r="Z60" s="60">
        <v>641.29999999999995</v>
      </c>
      <c r="AA60" s="60">
        <v>696.1</v>
      </c>
      <c r="AB60" s="60">
        <v>712.4</v>
      </c>
      <c r="AC60" s="60">
        <v>683.4</v>
      </c>
      <c r="AD60" s="60">
        <v>629.70000000000005</v>
      </c>
      <c r="AE60" s="60">
        <v>691.5</v>
      </c>
      <c r="AF60" s="60">
        <v>646</v>
      </c>
      <c r="AG60" s="60">
        <v>742.8</v>
      </c>
      <c r="AH60" s="60">
        <v>704.30000000000007</v>
      </c>
      <c r="AI60" s="60">
        <v>760.2</v>
      </c>
      <c r="AJ60" s="60">
        <v>658.8</v>
      </c>
      <c r="AK60" s="117"/>
      <c r="AL60" s="131">
        <f>SUM(F60:AJ60)</f>
        <v>21978.110000000004</v>
      </c>
    </row>
    <row r="61" spans="2:64 15093:15106">
      <c r="B61" s="91"/>
      <c r="C61" s="92"/>
      <c r="D61" s="74"/>
      <c r="E61" s="210" t="s">
        <v>12</v>
      </c>
      <c r="F61" s="93" t="e">
        <f t="shared" ref="F61:AJ61" si="40">F60/(F23+F24)*100</f>
        <v>#DIV/0!</v>
      </c>
      <c r="G61" s="93" t="e">
        <f t="shared" si="40"/>
        <v>#DIV/0!</v>
      </c>
      <c r="H61" s="93" t="e">
        <f t="shared" si="40"/>
        <v>#DIV/0!</v>
      </c>
      <c r="I61" s="106">
        <f t="shared" si="40"/>
        <v>6.4995446988307656E-2</v>
      </c>
      <c r="J61" s="93">
        <f t="shared" si="40"/>
        <v>4.4098660757298389E-2</v>
      </c>
      <c r="K61" s="93">
        <f t="shared" si="40"/>
        <v>4.9460908501738052E-2</v>
      </c>
      <c r="L61" s="93">
        <f t="shared" si="40"/>
        <v>5.0059701492537322E-2</v>
      </c>
      <c r="M61" s="93">
        <f t="shared" si="40"/>
        <v>4.9521182471115067E-2</v>
      </c>
      <c r="N61" s="93">
        <f t="shared" si="40"/>
        <v>4.9056792095019459E-2</v>
      </c>
      <c r="O61" s="93">
        <f t="shared" si="40"/>
        <v>5.0166397261576727E-2</v>
      </c>
      <c r="P61" s="93">
        <f t="shared" si="40"/>
        <v>5.1079918710713865E-2</v>
      </c>
      <c r="Q61" s="93">
        <f t="shared" si="40"/>
        <v>5.2819492789656891E-2</v>
      </c>
      <c r="R61" s="93">
        <f t="shared" si="40"/>
        <v>4.4731588885891557E-2</v>
      </c>
      <c r="S61" s="93">
        <f t="shared" si="40"/>
        <v>5.0862179899626811E-2</v>
      </c>
      <c r="T61" s="93">
        <f t="shared" si="40"/>
        <v>4.5525194284281485E-2</v>
      </c>
      <c r="U61" s="93">
        <f t="shared" si="40"/>
        <v>5.0401113836770213E-2</v>
      </c>
      <c r="V61" s="93">
        <f t="shared" si="40"/>
        <v>5.0066332122051103E-2</v>
      </c>
      <c r="W61" s="93">
        <f t="shared" si="40"/>
        <v>4.8176810466125798E-2</v>
      </c>
      <c r="X61" s="93">
        <f t="shared" si="40"/>
        <v>4.7278456982307294E-2</v>
      </c>
      <c r="Y61" s="93">
        <f t="shared" si="40"/>
        <v>4.9434284017205732E-2</v>
      </c>
      <c r="Z61" s="93">
        <f t="shared" si="40"/>
        <v>5.1609528408176814E-2</v>
      </c>
      <c r="AA61" s="93">
        <f t="shared" si="40"/>
        <v>5.2722466693428054E-2</v>
      </c>
      <c r="AB61" s="93">
        <f t="shared" si="40"/>
        <v>5.4653276971821381E-2</v>
      </c>
      <c r="AC61" s="93">
        <f t="shared" si="40"/>
        <v>5.1936800346549329E-2</v>
      </c>
      <c r="AD61" s="106">
        <f t="shared" si="40"/>
        <v>4.7373647703164261E-2</v>
      </c>
      <c r="AE61" s="106">
        <f t="shared" si="40"/>
        <v>4.8393530733216228E-2</v>
      </c>
      <c r="AF61" s="93">
        <f t="shared" si="40"/>
        <v>4.9074721200887295E-2</v>
      </c>
      <c r="AG61" s="93">
        <f t="shared" si="40"/>
        <v>4.7894770778257788E-2</v>
      </c>
      <c r="AH61" s="106">
        <f t="shared" si="40"/>
        <v>4.8306229809531975E-2</v>
      </c>
      <c r="AI61" s="93">
        <f t="shared" ref="AI61" si="41">AI60/(AI23+AI24)*100</f>
        <v>4.9294496031540506E-2</v>
      </c>
      <c r="AJ61" s="93">
        <f t="shared" si="40"/>
        <v>4.7638674968002254E-2</v>
      </c>
      <c r="AK61" s="2"/>
      <c r="AL61" s="133">
        <f>AL60/(AL23)*100</f>
        <v>4.9905966394410535E-2</v>
      </c>
      <c r="AN61" s="15">
        <f>AL61*10</f>
        <v>0.49905966394410534</v>
      </c>
    </row>
    <row r="62" spans="2:64 15093:15106" s="4" customFormat="1" ht="13.8">
      <c r="B62" s="94">
        <v>4</v>
      </c>
      <c r="C62" s="211" t="s">
        <v>59</v>
      </c>
      <c r="D62" s="95">
        <v>0.8</v>
      </c>
      <c r="E62" s="212" t="s">
        <v>12</v>
      </c>
      <c r="F62" s="96" t="e">
        <f t="shared" ref="F62:AJ62" si="42">((SUM(F29:F30))-(SUM(F23:F24)))/(SUM(F23:F24))*100</f>
        <v>#DIV/0!</v>
      </c>
      <c r="G62" s="96" t="e">
        <f t="shared" si="42"/>
        <v>#DIV/0!</v>
      </c>
      <c r="H62" s="96" t="e">
        <f t="shared" si="42"/>
        <v>#DIV/0!</v>
      </c>
      <c r="I62" s="96">
        <f t="shared" si="42"/>
        <v>-1.5778223194855754</v>
      </c>
      <c r="J62" s="96">
        <f t="shared" si="42"/>
        <v>-0.62000192696792722</v>
      </c>
      <c r="K62" s="96">
        <f>((SUM(K29:K30))-(SUM(K23:K24)))/(SUM(K23:K24))*100</f>
        <v>-0.67342249455016789</v>
      </c>
      <c r="L62" s="96">
        <f t="shared" si="42"/>
        <v>-0.65820895522339407</v>
      </c>
      <c r="M62" s="96">
        <f t="shared" si="42"/>
        <v>-0.80045799937493844</v>
      </c>
      <c r="N62" s="96">
        <f t="shared" si="42"/>
        <v>-0.75356822038127558</v>
      </c>
      <c r="O62" s="96">
        <f t="shared" si="42"/>
        <v>-0.68936008367406587</v>
      </c>
      <c r="P62" s="96">
        <f t="shared" si="42"/>
        <v>-0.69001370575217047</v>
      </c>
      <c r="Q62" s="96">
        <f t="shared" si="42"/>
        <v>-0.64644455494728936</v>
      </c>
      <c r="R62" s="96">
        <f t="shared" si="42"/>
        <v>-0.72511464796331271</v>
      </c>
      <c r="S62" s="96">
        <f t="shared" si="42"/>
        <v>-0.71097670827499759</v>
      </c>
      <c r="T62" s="96">
        <f t="shared" si="42"/>
        <v>-0.68939583855729425</v>
      </c>
      <c r="U62" s="96">
        <f t="shared" si="42"/>
        <v>-0.68288801962408385</v>
      </c>
      <c r="V62" s="96">
        <f t="shared" si="42"/>
        <v>-0.66268033044288932</v>
      </c>
      <c r="W62" s="96">
        <f t="shared" si="42"/>
        <v>-0.64140945424063711</v>
      </c>
      <c r="X62" s="96">
        <f t="shared" si="42"/>
        <v>-0.62191510365255731</v>
      </c>
      <c r="Y62" s="96">
        <f t="shared" si="42"/>
        <v>-0.63804715417548419</v>
      </c>
      <c r="Z62" s="96">
        <f t="shared" si="42"/>
        <v>-0.68565910188236678</v>
      </c>
      <c r="AA62" s="96">
        <f t="shared" si="42"/>
        <v>-0.76042747536563382</v>
      </c>
      <c r="AB62" s="96">
        <f t="shared" si="42"/>
        <v>-0.77330857927564889</v>
      </c>
      <c r="AC62" s="96">
        <f t="shared" si="42"/>
        <v>-0.77745605435428677</v>
      </c>
      <c r="AD62" s="96">
        <f>((SUM(AD29:AD30))-(SUM(AD23:AD24)))/(SUM(AD23:AD24))*100</f>
        <v>-0.7447977009080522</v>
      </c>
      <c r="AE62" s="96">
        <f t="shared" si="42"/>
        <v>-0.76561854840329502</v>
      </c>
      <c r="AF62" s="96">
        <f t="shared" si="42"/>
        <v>-0.60089944999927658</v>
      </c>
      <c r="AG62" s="96">
        <f t="shared" si="42"/>
        <v>-0.60352053646202353</v>
      </c>
      <c r="AH62" s="96">
        <f>((SUM(AH29:AH30))-(SUM(AH23:AH24)))/(SUM(AH23:AH24))*100</f>
        <v>-0.60357066920964608</v>
      </c>
      <c r="AI62" s="96">
        <f t="shared" ref="AI62" si="43">((SUM(AI29:AI30))-(SUM(AI23:AI24)))/(SUM(AI23:AI24))*100</f>
        <v>-0.60564403174769754</v>
      </c>
      <c r="AJ62" s="96">
        <f t="shared" si="42"/>
        <v>-0.60307612208966754</v>
      </c>
      <c r="AK62" s="134"/>
      <c r="AL62" s="135">
        <f>((SUM(AL29:AL30))-(SUM(AL23:AL24)))/(SUM(AL23:AL24))*100</f>
        <v>-0.69307364376654357</v>
      </c>
      <c r="AN62" s="136"/>
    </row>
    <row r="63" spans="2:64 15093:15106" s="4" customFormat="1" ht="13.8">
      <c r="B63" s="75"/>
      <c r="C63" s="204" t="s">
        <v>60</v>
      </c>
      <c r="D63" s="97">
        <v>22</v>
      </c>
      <c r="E63" s="205" t="s">
        <v>12</v>
      </c>
      <c r="F63" s="84">
        <v>0</v>
      </c>
      <c r="G63" s="84">
        <v>0</v>
      </c>
      <c r="H63" s="84">
        <v>0</v>
      </c>
      <c r="I63" s="84">
        <v>21.33</v>
      </c>
      <c r="J63" s="84">
        <v>21.36</v>
      </c>
      <c r="K63" s="84">
        <v>21.35</v>
      </c>
      <c r="L63" s="84">
        <v>21.37</v>
      </c>
      <c r="M63" s="84">
        <v>21.36</v>
      </c>
      <c r="N63" s="84">
        <v>21.34</v>
      </c>
      <c r="O63" s="84">
        <v>21.28</v>
      </c>
      <c r="P63" s="84">
        <v>21.3</v>
      </c>
      <c r="Q63" s="84">
        <v>21.29</v>
      </c>
      <c r="R63" s="84">
        <v>21.28</v>
      </c>
      <c r="S63" s="84">
        <v>21.31</v>
      </c>
      <c r="T63" s="84">
        <v>21.28</v>
      </c>
      <c r="U63" s="84">
        <v>21.31</v>
      </c>
      <c r="V63" s="84">
        <v>21.32</v>
      </c>
      <c r="W63" s="84">
        <v>21.31</v>
      </c>
      <c r="X63" s="84">
        <v>21.33</v>
      </c>
      <c r="Y63" s="84">
        <v>21.34</v>
      </c>
      <c r="Z63" s="84">
        <v>21.31</v>
      </c>
      <c r="AA63" s="84">
        <v>21.33</v>
      </c>
      <c r="AB63" s="84">
        <v>21.33</v>
      </c>
      <c r="AC63" s="84">
        <v>21.36</v>
      </c>
      <c r="AD63" s="84">
        <v>21.34</v>
      </c>
      <c r="AE63" s="84">
        <v>21.36</v>
      </c>
      <c r="AF63" s="84">
        <v>21.35</v>
      </c>
      <c r="AG63" s="84">
        <v>21.36</v>
      </c>
      <c r="AH63" s="84">
        <v>21.34</v>
      </c>
      <c r="AI63" s="84">
        <v>21.36</v>
      </c>
      <c r="AJ63" s="84">
        <v>21.37</v>
      </c>
      <c r="AK63" s="121"/>
      <c r="AL63" s="137">
        <f>AVERAGE(I63:AJ63)</f>
        <v>21.331071428571427</v>
      </c>
      <c r="AN63" s="136"/>
    </row>
    <row r="64" spans="2:64 15093:15106" s="4" customFormat="1" ht="13.8">
      <c r="B64" s="98"/>
      <c r="C64" s="213" t="s">
        <v>61</v>
      </c>
      <c r="D64" s="74"/>
      <c r="E64" s="214" t="s">
        <v>9</v>
      </c>
      <c r="F64" s="84">
        <f t="shared" ref="F64:AJ64" si="44">SUM(F56,F58)+(F63%*SUM(F56,F58))</f>
        <v>0</v>
      </c>
      <c r="G64" s="84">
        <f t="shared" si="44"/>
        <v>0</v>
      </c>
      <c r="H64" s="84">
        <f t="shared" si="44"/>
        <v>2460</v>
      </c>
      <c r="I64" s="84">
        <f t="shared" si="44"/>
        <v>18257.738399999998</v>
      </c>
      <c r="J64" s="84">
        <f>SUM(J56,J58)+(J63%*SUM(J56,J58))</f>
        <v>19957.651999999998</v>
      </c>
      <c r="K64" s="84">
        <f t="shared" si="44"/>
        <v>15586.194</v>
      </c>
      <c r="L64" s="84">
        <f t="shared" si="44"/>
        <v>17940.913400000001</v>
      </c>
      <c r="M64" s="84">
        <f t="shared" si="44"/>
        <v>16937.0016</v>
      </c>
      <c r="N64" s="84">
        <f t="shared" si="44"/>
        <v>25301.816800000001</v>
      </c>
      <c r="O64" s="84">
        <f t="shared" si="44"/>
        <v>21453.2192</v>
      </c>
      <c r="P64" s="84">
        <f t="shared" si="44"/>
        <v>19756.131000000001</v>
      </c>
      <c r="Q64" s="84">
        <f t="shared" si="44"/>
        <v>19877.0052</v>
      </c>
      <c r="R64" s="84">
        <f t="shared" si="44"/>
        <v>15062.976000000001</v>
      </c>
      <c r="S64" s="84">
        <f t="shared" si="44"/>
        <v>15289.912399999999</v>
      </c>
      <c r="T64" s="84">
        <f t="shared" si="44"/>
        <v>14484.4704</v>
      </c>
      <c r="U64" s="84">
        <f t="shared" si="44"/>
        <v>24642.913399999998</v>
      </c>
      <c r="V64" s="84">
        <f t="shared" si="44"/>
        <v>21388.716</v>
      </c>
      <c r="W64" s="84">
        <f t="shared" si="44"/>
        <v>13043.251199999999</v>
      </c>
      <c r="X64" s="84">
        <f t="shared" si="44"/>
        <v>12385.366399999999</v>
      </c>
      <c r="Y64" s="84">
        <f>SUM(Y56,Y58)+(Y63%*SUM(Y56,Y58))</f>
        <v>9107.7803999999996</v>
      </c>
      <c r="Z64" s="84">
        <f t="shared" si="44"/>
        <v>11723.3984</v>
      </c>
      <c r="AA64" s="84">
        <f t="shared" si="44"/>
        <v>19182.273000000001</v>
      </c>
      <c r="AB64" s="84">
        <f t="shared" si="44"/>
        <v>19388.534</v>
      </c>
      <c r="AC64" s="84">
        <f t="shared" si="44"/>
        <v>14979.4648</v>
      </c>
      <c r="AD64" s="84">
        <f t="shared" si="44"/>
        <v>10623.316999999999</v>
      </c>
      <c r="AE64" s="84">
        <f t="shared" si="44"/>
        <v>11491.5784</v>
      </c>
      <c r="AF64" s="84">
        <f t="shared" si="44"/>
        <v>9674.0220000000008</v>
      </c>
      <c r="AG64" s="84">
        <f t="shared" si="44"/>
        <v>15390.8752</v>
      </c>
      <c r="AH64" s="84">
        <f t="shared" si="44"/>
        <v>22733.048999999999</v>
      </c>
      <c r="AI64" s="84">
        <f t="shared" ref="AI64" si="45">SUM(AI56,AI58)+(AI63%*SUM(AI56,AI58))</f>
        <v>23364.227200000001</v>
      </c>
      <c r="AJ64" s="84">
        <f t="shared" si="44"/>
        <v>21870.874</v>
      </c>
      <c r="AK64" s="121"/>
      <c r="AL64" s="137">
        <f>SUM(AL56,AL58)+(AL63%*SUM(AL56,AL58))</f>
        <v>483880.4459642857</v>
      </c>
      <c r="AM64" s="243"/>
      <c r="AN64" s="136"/>
    </row>
    <row r="65" spans="2:81">
      <c r="B65" s="54">
        <v>5</v>
      </c>
      <c r="C65" s="36" t="s">
        <v>62</v>
      </c>
      <c r="D65" s="55"/>
      <c r="E65" s="55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103"/>
      <c r="AD65" s="56"/>
      <c r="AE65" s="56"/>
      <c r="AF65" s="56"/>
      <c r="AG65" s="56"/>
      <c r="AH65" s="103"/>
      <c r="AI65" s="103"/>
      <c r="AJ65" s="103"/>
      <c r="AK65" s="107"/>
      <c r="AL65" s="203" t="s">
        <v>63</v>
      </c>
    </row>
    <row r="66" spans="2:81" s="5" customFormat="1" ht="13.8">
      <c r="B66" s="57"/>
      <c r="C66" s="139" t="s">
        <v>64</v>
      </c>
      <c r="D66" s="140"/>
      <c r="E66" s="141" t="s">
        <v>9</v>
      </c>
      <c r="F66" s="142">
        <v>0</v>
      </c>
      <c r="G66" s="142">
        <v>0</v>
      </c>
      <c r="H66" s="142">
        <v>98005</v>
      </c>
      <c r="I66" s="142">
        <v>115062</v>
      </c>
      <c r="J66" s="142">
        <v>113938</v>
      </c>
      <c r="K66" s="142">
        <v>118467</v>
      </c>
      <c r="L66" s="142">
        <v>98715</v>
      </c>
      <c r="M66" s="142">
        <v>135626</v>
      </c>
      <c r="N66" s="142">
        <v>76047</v>
      </c>
      <c r="O66" s="142"/>
      <c r="P66" s="142">
        <v>114028</v>
      </c>
      <c r="Q66" s="142">
        <v>87114</v>
      </c>
      <c r="R66" s="142">
        <v>130666</v>
      </c>
      <c r="S66" s="142">
        <v>103605</v>
      </c>
      <c r="T66" s="142">
        <v>52746</v>
      </c>
      <c r="U66" s="142">
        <v>45335</v>
      </c>
      <c r="V66" s="142">
        <v>95256</v>
      </c>
      <c r="W66" s="142">
        <v>123360</v>
      </c>
      <c r="X66" s="142">
        <v>102834</v>
      </c>
      <c r="Y66" s="142">
        <v>122993</v>
      </c>
      <c r="Z66" s="142">
        <v>102734</v>
      </c>
      <c r="AA66" s="142">
        <v>101901</v>
      </c>
      <c r="AB66" s="142">
        <v>88060</v>
      </c>
      <c r="AC66" s="142">
        <v>74744</v>
      </c>
      <c r="AD66" s="142">
        <v>108463</v>
      </c>
      <c r="AE66" s="142">
        <v>119968</v>
      </c>
      <c r="AF66" s="142">
        <v>128579</v>
      </c>
      <c r="AG66" s="142">
        <v>99584</v>
      </c>
      <c r="AH66" s="142">
        <v>96573</v>
      </c>
      <c r="AI66" s="142">
        <v>95373</v>
      </c>
      <c r="AJ66" s="142">
        <v>84391</v>
      </c>
      <c r="AK66" s="155"/>
      <c r="AL66" s="156">
        <f>SUM(F66:AJ66)</f>
        <v>2834167</v>
      </c>
      <c r="AN66" s="157"/>
      <c r="CC66" s="155"/>
    </row>
    <row r="67" spans="2:81" s="1" customFormat="1" ht="13.8">
      <c r="B67" s="70"/>
      <c r="C67" s="215" t="s">
        <v>65</v>
      </c>
      <c r="D67" s="143"/>
      <c r="E67" s="216" t="s">
        <v>9</v>
      </c>
      <c r="F67" s="251">
        <v>0</v>
      </c>
      <c r="G67" s="233">
        <v>0</v>
      </c>
      <c r="H67" s="235">
        <v>91763.385000000009</v>
      </c>
      <c r="I67" s="68">
        <v>115667.155</v>
      </c>
      <c r="J67" s="235">
        <v>115678.015</v>
      </c>
      <c r="K67" s="68">
        <v>112810.97500000001</v>
      </c>
      <c r="L67" s="68">
        <v>0</v>
      </c>
      <c r="M67" s="68">
        <v>76829.974999999991</v>
      </c>
      <c r="N67" s="234">
        <v>51056.479999999996</v>
      </c>
      <c r="O67" s="234">
        <v>77123.194999999992</v>
      </c>
      <c r="P67" s="68">
        <v>115687.965</v>
      </c>
      <c r="Q67" s="68">
        <v>115699.735</v>
      </c>
      <c r="R67" s="68">
        <v>115080.715</v>
      </c>
      <c r="S67" s="235">
        <v>0</v>
      </c>
      <c r="T67" s="68">
        <v>77111.429999999993</v>
      </c>
      <c r="U67" s="233">
        <v>0</v>
      </c>
      <c r="V67" s="68">
        <v>115710.595</v>
      </c>
      <c r="W67" s="68">
        <v>115667.155</v>
      </c>
      <c r="X67" s="68">
        <v>114982.97500000001</v>
      </c>
      <c r="Y67" s="68">
        <v>115353.125</v>
      </c>
      <c r="Z67" s="68">
        <v>111616.375</v>
      </c>
      <c r="AA67" s="68">
        <v>77122.289999999994</v>
      </c>
      <c r="AB67" s="233">
        <v>76590.154999999999</v>
      </c>
      <c r="AC67" s="68">
        <v>102731.985</v>
      </c>
      <c r="AD67" s="68">
        <v>115678.015</v>
      </c>
      <c r="AE67" s="68">
        <v>115688.875</v>
      </c>
      <c r="AF67" s="68">
        <v>113495.155</v>
      </c>
      <c r="AG67" s="68">
        <v>0</v>
      </c>
      <c r="AH67" s="68">
        <v>77122.289999999994</v>
      </c>
      <c r="AI67" s="233">
        <v>48870</v>
      </c>
      <c r="AJ67" s="233">
        <v>115373.92499999999</v>
      </c>
      <c r="AK67" s="158"/>
      <c r="AL67" s="156">
        <f>SUM(F67:AJ67)</f>
        <v>2480511.94</v>
      </c>
      <c r="AM67" s="240"/>
      <c r="AN67" s="118"/>
    </row>
    <row r="68" spans="2:81" s="1" customFormat="1">
      <c r="B68" s="70"/>
      <c r="C68" s="217" t="s">
        <v>66</v>
      </c>
      <c r="D68" s="74"/>
      <c r="E68" s="206" t="s">
        <v>9</v>
      </c>
      <c r="F68" s="84">
        <f t="shared" ref="F68:AJ68" si="46">SUM(F72:F73)*10.86</f>
        <v>0</v>
      </c>
      <c r="G68" s="84">
        <f t="shared" si="46"/>
        <v>0</v>
      </c>
      <c r="H68" s="84">
        <f t="shared" si="46"/>
        <v>91756.14</v>
      </c>
      <c r="I68" s="84">
        <f t="shared" si="46"/>
        <v>115659</v>
      </c>
      <c r="J68" s="84">
        <f t="shared" si="46"/>
        <v>115669.86</v>
      </c>
      <c r="K68" s="84">
        <f t="shared" si="46"/>
        <v>112802.81999999999</v>
      </c>
      <c r="L68" s="84">
        <f t="shared" si="46"/>
        <v>0</v>
      </c>
      <c r="M68" s="84">
        <f t="shared" si="46"/>
        <v>76823.64</v>
      </c>
      <c r="N68" s="84">
        <f t="shared" si="46"/>
        <v>51052.86</v>
      </c>
      <c r="O68" s="84">
        <f t="shared" si="46"/>
        <v>77116.86</v>
      </c>
      <c r="P68" s="84">
        <f t="shared" si="46"/>
        <v>115680.72</v>
      </c>
      <c r="Q68" s="84">
        <f t="shared" si="46"/>
        <v>115691.57999999999</v>
      </c>
      <c r="R68" s="84">
        <f t="shared" si="46"/>
        <v>115072.56</v>
      </c>
      <c r="S68" s="84">
        <f t="shared" si="46"/>
        <v>0</v>
      </c>
      <c r="T68" s="84">
        <f t="shared" si="46"/>
        <v>77106</v>
      </c>
      <c r="U68" s="84">
        <f t="shared" si="46"/>
        <v>0</v>
      </c>
      <c r="V68" s="84">
        <f t="shared" si="46"/>
        <v>115702.43999999999</v>
      </c>
      <c r="W68" s="84">
        <f t="shared" si="46"/>
        <v>115659</v>
      </c>
      <c r="X68" s="84">
        <f t="shared" si="46"/>
        <v>114974.81999999999</v>
      </c>
      <c r="Y68" s="84">
        <f t="shared" si="46"/>
        <v>115344.06</v>
      </c>
      <c r="Z68" s="84">
        <f t="shared" si="46"/>
        <v>111608.22</v>
      </c>
      <c r="AA68" s="84">
        <f t="shared" si="46"/>
        <v>77116.86</v>
      </c>
      <c r="AB68" s="84">
        <f t="shared" si="46"/>
        <v>76584.72</v>
      </c>
      <c r="AC68" s="84">
        <f t="shared" si="46"/>
        <v>102724.73999999999</v>
      </c>
      <c r="AD68" s="84">
        <f t="shared" si="46"/>
        <v>115669.86</v>
      </c>
      <c r="AE68" s="84">
        <f t="shared" si="46"/>
        <v>115680.72</v>
      </c>
      <c r="AF68" s="245">
        <f t="shared" si="46"/>
        <v>113487</v>
      </c>
      <c r="AG68" s="84">
        <f t="shared" si="46"/>
        <v>0</v>
      </c>
      <c r="AH68" s="84">
        <f t="shared" si="46"/>
        <v>77116.86</v>
      </c>
      <c r="AI68" s="84">
        <f>SUM(AI72:AI73)*10.86</f>
        <v>48870</v>
      </c>
      <c r="AJ68" s="84">
        <f t="shared" si="46"/>
        <v>115365.78</v>
      </c>
      <c r="AK68" s="117"/>
      <c r="AL68" s="119">
        <f>SUM(F68:AJ68)</f>
        <v>2480337.12</v>
      </c>
      <c r="AM68" s="16"/>
      <c r="AN68" s="118"/>
    </row>
    <row r="69" spans="2:81" s="1" customFormat="1">
      <c r="B69" s="70"/>
      <c r="C69" s="217" t="s">
        <v>67</v>
      </c>
      <c r="D69" s="74"/>
      <c r="E69" s="206" t="s">
        <v>9</v>
      </c>
      <c r="F69" s="84">
        <f>F67-F68</f>
        <v>0</v>
      </c>
      <c r="G69" s="84">
        <f t="shared" ref="G69:AJ69" si="47">G67-G68</f>
        <v>0</v>
      </c>
      <c r="H69" s="84">
        <f t="shared" si="47"/>
        <v>7.2450000000098953</v>
      </c>
      <c r="I69" s="84">
        <f t="shared" si="47"/>
        <v>8.1549999999988358</v>
      </c>
      <c r="J69" s="84">
        <f t="shared" si="47"/>
        <v>8.1549999999988358</v>
      </c>
      <c r="K69" s="84">
        <f t="shared" si="47"/>
        <v>8.1550000000133878</v>
      </c>
      <c r="L69" s="84">
        <f t="shared" si="47"/>
        <v>0</v>
      </c>
      <c r="M69" s="84">
        <f t="shared" si="47"/>
        <v>6.3349999999918509</v>
      </c>
      <c r="N69" s="84">
        <f t="shared" si="47"/>
        <v>3.6199999999953434</v>
      </c>
      <c r="O69" s="84">
        <f t="shared" si="47"/>
        <v>6.3349999999918509</v>
      </c>
      <c r="P69" s="84">
        <f t="shared" si="47"/>
        <v>7.2449999999953434</v>
      </c>
      <c r="Q69" s="84">
        <f t="shared" si="47"/>
        <v>8.1550000000133878</v>
      </c>
      <c r="R69" s="84">
        <f t="shared" si="47"/>
        <v>8.1549999999988358</v>
      </c>
      <c r="S69" s="84">
        <f t="shared" si="47"/>
        <v>0</v>
      </c>
      <c r="T69" s="84">
        <f t="shared" si="47"/>
        <v>5.4299999999930151</v>
      </c>
      <c r="U69" s="84">
        <f t="shared" si="47"/>
        <v>0</v>
      </c>
      <c r="V69" s="84">
        <f t="shared" si="47"/>
        <v>8.1550000000133878</v>
      </c>
      <c r="W69" s="84">
        <f t="shared" si="47"/>
        <v>8.1549999999988358</v>
      </c>
      <c r="X69" s="84">
        <f t="shared" si="47"/>
        <v>8.1550000000133878</v>
      </c>
      <c r="Y69" s="84">
        <f t="shared" si="47"/>
        <v>9.0650000000023283</v>
      </c>
      <c r="Z69" s="84">
        <f t="shared" si="47"/>
        <v>8.1549999999988358</v>
      </c>
      <c r="AA69" s="84">
        <f t="shared" si="47"/>
        <v>5.4299999999930151</v>
      </c>
      <c r="AB69" s="84">
        <f t="shared" si="47"/>
        <v>5.4349999999976717</v>
      </c>
      <c r="AC69" s="84">
        <f t="shared" si="47"/>
        <v>7.2450000000098953</v>
      </c>
      <c r="AD69" s="84">
        <f t="shared" si="47"/>
        <v>8.1549999999988358</v>
      </c>
      <c r="AE69" s="84">
        <f t="shared" si="47"/>
        <v>8.1549999999988358</v>
      </c>
      <c r="AF69" s="84">
        <f t="shared" si="47"/>
        <v>8.1549999999988358</v>
      </c>
      <c r="AG69" s="84">
        <f t="shared" si="47"/>
        <v>0</v>
      </c>
      <c r="AH69" s="84">
        <f t="shared" si="47"/>
        <v>5.4299999999930151</v>
      </c>
      <c r="AI69" s="84">
        <f t="shared" ref="AI69" si="48">AI67-AI68</f>
        <v>0</v>
      </c>
      <c r="AJ69" s="84">
        <f t="shared" si="47"/>
        <v>8.1449999999895226</v>
      </c>
      <c r="AK69" s="117"/>
      <c r="AL69" s="119">
        <f>SUM(F69:AJ69)</f>
        <v>174.82000000000698</v>
      </c>
      <c r="AN69" s="118"/>
    </row>
    <row r="70" spans="2:81" s="1" customFormat="1" hidden="1">
      <c r="B70" s="70"/>
      <c r="C70" s="217" t="s">
        <v>139</v>
      </c>
      <c r="D70" s="74"/>
      <c r="E70" s="70" t="s">
        <v>9</v>
      </c>
      <c r="F70" s="84">
        <v>0</v>
      </c>
      <c r="G70" s="84">
        <v>102.26</v>
      </c>
      <c r="H70" s="84">
        <v>0</v>
      </c>
      <c r="I70" s="84">
        <v>0</v>
      </c>
      <c r="J70" s="84">
        <v>0</v>
      </c>
      <c r="K70" s="84">
        <v>0</v>
      </c>
      <c r="L70" s="84">
        <v>0</v>
      </c>
      <c r="M70" s="84">
        <v>0</v>
      </c>
      <c r="N70" s="84">
        <v>0</v>
      </c>
      <c r="O70" s="84">
        <v>0</v>
      </c>
      <c r="P70" s="84">
        <v>0</v>
      </c>
      <c r="Q70" s="84">
        <v>0</v>
      </c>
      <c r="R70" s="84">
        <v>0</v>
      </c>
      <c r="S70" s="84">
        <v>6.56</v>
      </c>
      <c r="T70" s="84">
        <v>0</v>
      </c>
      <c r="U70" s="84">
        <v>0</v>
      </c>
      <c r="V70" s="84">
        <v>0</v>
      </c>
      <c r="W70" s="84">
        <v>0</v>
      </c>
      <c r="X70" s="84">
        <v>0</v>
      </c>
      <c r="Y70" s="84">
        <v>0</v>
      </c>
      <c r="Z70" s="84">
        <v>0</v>
      </c>
      <c r="AA70" s="84">
        <v>0</v>
      </c>
      <c r="AB70" s="84">
        <v>0</v>
      </c>
      <c r="AC70" s="84">
        <v>0</v>
      </c>
      <c r="AD70" s="84">
        <v>0</v>
      </c>
      <c r="AE70" s="84">
        <v>460</v>
      </c>
      <c r="AF70" s="84">
        <v>0</v>
      </c>
      <c r="AG70" s="84">
        <v>0</v>
      </c>
      <c r="AH70" s="84">
        <v>0</v>
      </c>
      <c r="AI70" s="84">
        <v>0</v>
      </c>
      <c r="AJ70" s="84">
        <v>0</v>
      </c>
      <c r="AK70" s="117"/>
      <c r="AL70" s="119">
        <f>SUM(F70:AJ70)</f>
        <v>568.82000000000005</v>
      </c>
      <c r="AN70" s="118"/>
    </row>
    <row r="71" spans="2:81" s="1" customFormat="1">
      <c r="B71" s="70"/>
      <c r="C71" s="217" t="s">
        <v>68</v>
      </c>
      <c r="D71" s="74"/>
      <c r="E71" s="7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117"/>
      <c r="AL71" s="122" t="s">
        <v>68</v>
      </c>
      <c r="AN71" s="118"/>
    </row>
    <row r="72" spans="2:81" s="6" customFormat="1" ht="13.8">
      <c r="B72" s="42"/>
      <c r="C72" s="218" t="s">
        <v>69</v>
      </c>
      <c r="D72" s="41"/>
      <c r="E72" s="219" t="s">
        <v>70</v>
      </c>
      <c r="F72" s="145">
        <v>0</v>
      </c>
      <c r="G72" s="145">
        <v>0</v>
      </c>
      <c r="H72" s="145">
        <v>2816</v>
      </c>
      <c r="I72" s="145">
        <v>3550</v>
      </c>
      <c r="J72" s="145">
        <v>3551</v>
      </c>
      <c r="K72" s="145">
        <v>3552</v>
      </c>
      <c r="L72" s="145">
        <v>0</v>
      </c>
      <c r="M72" s="145">
        <v>7074</v>
      </c>
      <c r="N72" s="145">
        <v>4701</v>
      </c>
      <c r="O72" s="145">
        <v>7101</v>
      </c>
      <c r="P72" s="145">
        <v>3550</v>
      </c>
      <c r="Q72" s="145">
        <v>3550</v>
      </c>
      <c r="R72" s="145">
        <v>3491</v>
      </c>
      <c r="S72" s="145">
        <v>0</v>
      </c>
      <c r="T72" s="145">
        <v>7100</v>
      </c>
      <c r="U72" s="145">
        <v>0</v>
      </c>
      <c r="V72" s="145">
        <v>3550</v>
      </c>
      <c r="W72" s="145">
        <v>3550</v>
      </c>
      <c r="X72" s="145">
        <v>3487</v>
      </c>
      <c r="Y72" s="145">
        <v>3521</v>
      </c>
      <c r="Z72" s="145">
        <v>3426</v>
      </c>
      <c r="AA72" s="145">
        <v>7101</v>
      </c>
      <c r="AB72" s="145">
        <v>2350</v>
      </c>
      <c r="AC72" s="145">
        <v>3550</v>
      </c>
      <c r="AD72" s="145">
        <v>3550</v>
      </c>
      <c r="AE72" s="145">
        <v>3550</v>
      </c>
      <c r="AF72" s="145">
        <v>3550</v>
      </c>
      <c r="AG72" s="145">
        <v>0</v>
      </c>
      <c r="AH72" s="145">
        <v>7101</v>
      </c>
      <c r="AI72" s="145">
        <v>0</v>
      </c>
      <c r="AJ72" s="145">
        <v>3521</v>
      </c>
      <c r="AK72" s="124"/>
      <c r="AL72" s="116">
        <f>SUM(F72:AJ72)</f>
        <v>101843</v>
      </c>
      <c r="AN72" s="159"/>
    </row>
    <row r="73" spans="2:81" s="6" customFormat="1" ht="13.8">
      <c r="B73" s="42"/>
      <c r="C73" s="218" t="s">
        <v>71</v>
      </c>
      <c r="D73" s="41"/>
      <c r="E73" s="219" t="s">
        <v>70</v>
      </c>
      <c r="F73" s="145">
        <v>0</v>
      </c>
      <c r="G73" s="145">
        <v>0</v>
      </c>
      <c r="H73" s="145">
        <v>5633</v>
      </c>
      <c r="I73" s="145">
        <v>7100</v>
      </c>
      <c r="J73" s="145">
        <v>7100</v>
      </c>
      <c r="K73" s="145">
        <v>6835</v>
      </c>
      <c r="L73" s="145">
        <v>0</v>
      </c>
      <c r="M73" s="145">
        <v>0</v>
      </c>
      <c r="N73" s="145">
        <v>0</v>
      </c>
      <c r="O73" s="145">
        <v>0</v>
      </c>
      <c r="P73" s="145">
        <v>7102</v>
      </c>
      <c r="Q73" s="145">
        <v>7103</v>
      </c>
      <c r="R73" s="145">
        <v>7105</v>
      </c>
      <c r="S73" s="145">
        <v>0</v>
      </c>
      <c r="T73" s="145">
        <v>0</v>
      </c>
      <c r="U73" s="145">
        <v>0</v>
      </c>
      <c r="V73" s="145">
        <v>7104</v>
      </c>
      <c r="W73" s="145">
        <v>7100</v>
      </c>
      <c r="X73" s="145">
        <v>7100</v>
      </c>
      <c r="Y73" s="145">
        <v>7100</v>
      </c>
      <c r="Z73" s="145">
        <v>6851</v>
      </c>
      <c r="AA73" s="145">
        <v>0</v>
      </c>
      <c r="AB73" s="145">
        <v>4702</v>
      </c>
      <c r="AC73" s="145">
        <v>5909</v>
      </c>
      <c r="AD73" s="145">
        <v>7101</v>
      </c>
      <c r="AE73" s="145">
        <v>7102</v>
      </c>
      <c r="AF73" s="145">
        <v>6900</v>
      </c>
      <c r="AG73" s="145">
        <v>0</v>
      </c>
      <c r="AH73" s="145">
        <v>0</v>
      </c>
      <c r="AI73" s="145">
        <v>4500</v>
      </c>
      <c r="AJ73" s="145">
        <v>7102</v>
      </c>
      <c r="AK73" s="124"/>
      <c r="AL73" s="116">
        <f>SUM(F73:AJ73)</f>
        <v>126549</v>
      </c>
      <c r="AN73" s="159"/>
    </row>
    <row r="74" spans="2:81" s="1" customFormat="1">
      <c r="B74" s="70"/>
      <c r="C74" s="217" t="s">
        <v>72</v>
      </c>
      <c r="D74" s="74"/>
      <c r="E74" s="7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117"/>
      <c r="AL74" s="122" t="s">
        <v>72</v>
      </c>
      <c r="AN74" s="118"/>
    </row>
    <row r="75" spans="2:81" s="1" customFormat="1" ht="13.8">
      <c r="B75" s="70"/>
      <c r="C75" s="199" t="s">
        <v>69</v>
      </c>
      <c r="D75" s="74"/>
      <c r="E75" s="206" t="s">
        <v>72</v>
      </c>
      <c r="F75" s="60">
        <f t="shared" ref="F75:AJ75" si="49">F72*12</f>
        <v>0</v>
      </c>
      <c r="G75" s="60">
        <f t="shared" si="49"/>
        <v>0</v>
      </c>
      <c r="H75" s="60">
        <f t="shared" si="49"/>
        <v>33792</v>
      </c>
      <c r="I75" s="60">
        <f t="shared" si="49"/>
        <v>42600</v>
      </c>
      <c r="J75" s="60">
        <f t="shared" si="49"/>
        <v>42612</v>
      </c>
      <c r="K75" s="60">
        <f t="shared" si="49"/>
        <v>42624</v>
      </c>
      <c r="L75" s="60">
        <f t="shared" si="49"/>
        <v>0</v>
      </c>
      <c r="M75" s="60">
        <f t="shared" si="49"/>
        <v>84888</v>
      </c>
      <c r="N75" s="60">
        <f t="shared" si="49"/>
        <v>56412</v>
      </c>
      <c r="O75" s="60">
        <f t="shared" si="49"/>
        <v>85212</v>
      </c>
      <c r="P75" s="60">
        <f t="shared" si="49"/>
        <v>42600</v>
      </c>
      <c r="Q75" s="60">
        <f t="shared" si="49"/>
        <v>42600</v>
      </c>
      <c r="R75" s="60">
        <f t="shared" si="49"/>
        <v>41892</v>
      </c>
      <c r="S75" s="60">
        <f t="shared" si="49"/>
        <v>0</v>
      </c>
      <c r="T75" s="60">
        <f t="shared" si="49"/>
        <v>85200</v>
      </c>
      <c r="U75" s="60">
        <f t="shared" si="49"/>
        <v>0</v>
      </c>
      <c r="V75" s="60">
        <f t="shared" si="49"/>
        <v>42600</v>
      </c>
      <c r="W75" s="60">
        <f t="shared" si="49"/>
        <v>42600</v>
      </c>
      <c r="X75" s="60">
        <f t="shared" si="49"/>
        <v>41844</v>
      </c>
      <c r="Y75" s="60">
        <f t="shared" si="49"/>
        <v>42252</v>
      </c>
      <c r="Z75" s="60">
        <f t="shared" si="49"/>
        <v>41112</v>
      </c>
      <c r="AA75" s="60">
        <f t="shared" si="49"/>
        <v>85212</v>
      </c>
      <c r="AB75" s="60">
        <f t="shared" si="49"/>
        <v>28200</v>
      </c>
      <c r="AC75" s="60">
        <f t="shared" si="49"/>
        <v>42600</v>
      </c>
      <c r="AD75" s="60">
        <f t="shared" si="49"/>
        <v>42600</v>
      </c>
      <c r="AE75" s="60">
        <f t="shared" si="49"/>
        <v>42600</v>
      </c>
      <c r="AF75" s="60">
        <f t="shared" si="49"/>
        <v>42600</v>
      </c>
      <c r="AG75" s="60">
        <f t="shared" si="49"/>
        <v>0</v>
      </c>
      <c r="AH75" s="60">
        <f t="shared" si="49"/>
        <v>85212</v>
      </c>
      <c r="AI75" s="60">
        <f t="shared" ref="AI75" si="50">AI72*12</f>
        <v>0</v>
      </c>
      <c r="AJ75" s="60">
        <f t="shared" si="49"/>
        <v>42252</v>
      </c>
      <c r="AK75" s="117"/>
      <c r="AL75" s="116">
        <f>AL72*12</f>
        <v>1222116</v>
      </c>
      <c r="AN75" s="118"/>
    </row>
    <row r="76" spans="2:81" s="1" customFormat="1" ht="13.8">
      <c r="B76" s="70"/>
      <c r="C76" s="199" t="s">
        <v>71</v>
      </c>
      <c r="D76" s="74"/>
      <c r="E76" s="206" t="s">
        <v>72</v>
      </c>
      <c r="F76" s="60">
        <f t="shared" ref="F76:AJ76" si="51">F73*6</f>
        <v>0</v>
      </c>
      <c r="G76" s="60">
        <f t="shared" si="51"/>
        <v>0</v>
      </c>
      <c r="H76" s="60">
        <v>0</v>
      </c>
      <c r="I76" s="60">
        <f t="shared" si="51"/>
        <v>42600</v>
      </c>
      <c r="J76" s="60">
        <f t="shared" si="51"/>
        <v>42600</v>
      </c>
      <c r="K76" s="60">
        <f t="shared" si="51"/>
        <v>41010</v>
      </c>
      <c r="L76" s="60">
        <f t="shared" si="51"/>
        <v>0</v>
      </c>
      <c r="M76" s="60">
        <f t="shared" si="51"/>
        <v>0</v>
      </c>
      <c r="N76" s="60">
        <f t="shared" si="51"/>
        <v>0</v>
      </c>
      <c r="O76" s="60">
        <f t="shared" si="51"/>
        <v>0</v>
      </c>
      <c r="P76" s="60">
        <f t="shared" si="51"/>
        <v>42612</v>
      </c>
      <c r="Q76" s="60">
        <f t="shared" si="51"/>
        <v>42618</v>
      </c>
      <c r="R76" s="60">
        <f t="shared" si="51"/>
        <v>42630</v>
      </c>
      <c r="S76" s="60">
        <f t="shared" si="51"/>
        <v>0</v>
      </c>
      <c r="T76" s="60">
        <f t="shared" si="51"/>
        <v>0</v>
      </c>
      <c r="U76" s="60">
        <f t="shared" si="51"/>
        <v>0</v>
      </c>
      <c r="V76" s="60">
        <f t="shared" si="51"/>
        <v>42624</v>
      </c>
      <c r="W76" s="60">
        <f t="shared" si="51"/>
        <v>42600</v>
      </c>
      <c r="X76" s="60">
        <f t="shared" si="51"/>
        <v>42600</v>
      </c>
      <c r="Y76" s="60">
        <f t="shared" si="51"/>
        <v>42600</v>
      </c>
      <c r="Z76" s="60">
        <f t="shared" si="51"/>
        <v>41106</v>
      </c>
      <c r="AA76" s="60">
        <f t="shared" si="51"/>
        <v>0</v>
      </c>
      <c r="AB76" s="60">
        <f t="shared" si="51"/>
        <v>28212</v>
      </c>
      <c r="AC76" s="60">
        <f t="shared" si="51"/>
        <v>35454</v>
      </c>
      <c r="AD76" s="60">
        <f t="shared" si="51"/>
        <v>42606</v>
      </c>
      <c r="AE76" s="60">
        <f t="shared" si="51"/>
        <v>42612</v>
      </c>
      <c r="AF76" s="60">
        <f t="shared" si="51"/>
        <v>41400</v>
      </c>
      <c r="AG76" s="60">
        <f t="shared" si="51"/>
        <v>0</v>
      </c>
      <c r="AH76" s="60">
        <f t="shared" si="51"/>
        <v>0</v>
      </c>
      <c r="AI76" s="60">
        <f t="shared" ref="AI76" si="52">AI73*6</f>
        <v>27000</v>
      </c>
      <c r="AJ76" s="60">
        <f t="shared" si="51"/>
        <v>42612</v>
      </c>
      <c r="AK76" s="117"/>
      <c r="AL76" s="116">
        <f>AL73*6</f>
        <v>759294</v>
      </c>
      <c r="AN76" s="118"/>
    </row>
    <row r="77" spans="2:81" s="1" customFormat="1">
      <c r="B77" s="70"/>
      <c r="C77" s="217" t="s">
        <v>73</v>
      </c>
      <c r="D77" s="74"/>
      <c r="E77" s="206" t="s">
        <v>74</v>
      </c>
      <c r="F77" s="146">
        <f>(F67*45)/1700</f>
        <v>0</v>
      </c>
      <c r="G77" s="146">
        <f>(G67*45)/1700</f>
        <v>0</v>
      </c>
      <c r="H77" s="146">
        <f t="shared" ref="H77:AH77" si="53">(H67*45)/1700</f>
        <v>2429.0307794117648</v>
      </c>
      <c r="I77" s="146">
        <f t="shared" si="53"/>
        <v>3061.7776323529411</v>
      </c>
      <c r="J77" s="146">
        <f t="shared" si="53"/>
        <v>3062.0651029411765</v>
      </c>
      <c r="K77" s="146">
        <f t="shared" si="53"/>
        <v>2986.1728676470589</v>
      </c>
      <c r="L77" s="146">
        <f t="shared" si="53"/>
        <v>0</v>
      </c>
      <c r="M77" s="146">
        <f t="shared" si="53"/>
        <v>2033.7346323529409</v>
      </c>
      <c r="N77" s="146">
        <f t="shared" si="53"/>
        <v>1351.4950588235292</v>
      </c>
      <c r="O77" s="146">
        <f t="shared" si="53"/>
        <v>2041.4963382352937</v>
      </c>
      <c r="P77" s="146">
        <f t="shared" si="53"/>
        <v>3062.3284852941174</v>
      </c>
      <c r="Q77" s="146">
        <f t="shared" si="53"/>
        <v>3062.640044117647</v>
      </c>
      <c r="R77" s="146">
        <f t="shared" si="53"/>
        <v>3046.2542205882351</v>
      </c>
      <c r="S77" s="146">
        <f t="shared" si="53"/>
        <v>0</v>
      </c>
      <c r="T77" s="146">
        <f t="shared" si="53"/>
        <v>2041.1849117647057</v>
      </c>
      <c r="U77" s="146">
        <f t="shared" si="53"/>
        <v>0</v>
      </c>
      <c r="V77" s="146">
        <f t="shared" si="53"/>
        <v>3062.9275147058825</v>
      </c>
      <c r="W77" s="146">
        <f t="shared" si="53"/>
        <v>3061.7776323529411</v>
      </c>
      <c r="X77" s="146">
        <f t="shared" si="53"/>
        <v>3043.6669852941177</v>
      </c>
      <c r="Y77" s="146">
        <f t="shared" si="53"/>
        <v>3053.4650735294117</v>
      </c>
      <c r="Z77" s="146">
        <f t="shared" si="53"/>
        <v>2954.5511029411764</v>
      </c>
      <c r="AA77" s="146">
        <f t="shared" si="53"/>
        <v>2041.4723823529412</v>
      </c>
      <c r="AB77" s="146">
        <f t="shared" si="53"/>
        <v>2027.3864558823529</v>
      </c>
      <c r="AC77" s="146">
        <f t="shared" si="53"/>
        <v>2719.3760735294118</v>
      </c>
      <c r="AD77" s="146">
        <f>(AD67*45)/1700</f>
        <v>3062.0651029411765</v>
      </c>
      <c r="AE77" s="146">
        <f t="shared" si="53"/>
        <v>3062.352573529412</v>
      </c>
      <c r="AF77" s="146">
        <f t="shared" si="53"/>
        <v>3004.2835147058822</v>
      </c>
      <c r="AG77" s="146">
        <f t="shared" si="53"/>
        <v>0</v>
      </c>
      <c r="AH77" s="146">
        <f t="shared" si="53"/>
        <v>2041.4723823529412</v>
      </c>
      <c r="AI77" s="146">
        <f t="shared" ref="AI77" si="54">(AI67*45)/1700</f>
        <v>1293.6176470588234</v>
      </c>
      <c r="AJ77" s="146">
        <f>(AJ67*45)/1700</f>
        <v>3054.0156617647053</v>
      </c>
      <c r="AK77" s="117"/>
      <c r="AL77" s="116">
        <f>SUM(F77:AJ77)</f>
        <v>65660.610176470596</v>
      </c>
      <c r="AN77" s="118"/>
    </row>
    <row r="78" spans="2:81" s="1" customFormat="1">
      <c r="B78" s="70"/>
      <c r="C78" s="217" t="s">
        <v>75</v>
      </c>
      <c r="D78" s="74"/>
      <c r="E78" s="206" t="s">
        <v>76</v>
      </c>
      <c r="F78" s="60">
        <f t="shared" ref="F78:AJ78" si="55">SUM(F72:F73)/500</f>
        <v>0</v>
      </c>
      <c r="G78" s="60">
        <f t="shared" si="55"/>
        <v>0</v>
      </c>
      <c r="H78" s="60">
        <f t="shared" si="55"/>
        <v>16.898</v>
      </c>
      <c r="I78" s="60">
        <f t="shared" si="55"/>
        <v>21.3</v>
      </c>
      <c r="J78" s="60">
        <f t="shared" si="55"/>
        <v>21.302</v>
      </c>
      <c r="K78" s="60">
        <f t="shared" si="55"/>
        <v>20.774000000000001</v>
      </c>
      <c r="L78" s="60">
        <f t="shared" si="55"/>
        <v>0</v>
      </c>
      <c r="M78" s="60">
        <f t="shared" si="55"/>
        <v>14.148</v>
      </c>
      <c r="N78" s="60">
        <f t="shared" si="55"/>
        <v>9.4019999999999992</v>
      </c>
      <c r="O78" s="60">
        <f t="shared" si="55"/>
        <v>14.202</v>
      </c>
      <c r="P78" s="60">
        <f t="shared" si="55"/>
        <v>21.303999999999998</v>
      </c>
      <c r="Q78" s="60">
        <f t="shared" si="55"/>
        <v>21.306000000000001</v>
      </c>
      <c r="R78" s="60">
        <f t="shared" si="55"/>
        <v>21.192</v>
      </c>
      <c r="S78" s="60">
        <f t="shared" si="55"/>
        <v>0</v>
      </c>
      <c r="T78" s="60">
        <f t="shared" si="55"/>
        <v>14.2</v>
      </c>
      <c r="U78" s="60">
        <f t="shared" si="55"/>
        <v>0</v>
      </c>
      <c r="V78" s="60">
        <f t="shared" si="55"/>
        <v>21.308</v>
      </c>
      <c r="W78" s="60">
        <f t="shared" si="55"/>
        <v>21.3</v>
      </c>
      <c r="X78" s="60">
        <f t="shared" si="55"/>
        <v>21.173999999999999</v>
      </c>
      <c r="Y78" s="60">
        <f t="shared" si="55"/>
        <v>21.242000000000001</v>
      </c>
      <c r="Z78" s="60">
        <f t="shared" si="55"/>
        <v>20.553999999999998</v>
      </c>
      <c r="AA78" s="60">
        <f t="shared" si="55"/>
        <v>14.202</v>
      </c>
      <c r="AB78" s="60">
        <f t="shared" si="55"/>
        <v>14.103999999999999</v>
      </c>
      <c r="AC78" s="60">
        <f t="shared" si="55"/>
        <v>18.917999999999999</v>
      </c>
      <c r="AD78" s="60">
        <f t="shared" si="55"/>
        <v>21.302</v>
      </c>
      <c r="AE78" s="60">
        <f t="shared" si="55"/>
        <v>21.303999999999998</v>
      </c>
      <c r="AF78" s="60">
        <f t="shared" si="55"/>
        <v>20.9</v>
      </c>
      <c r="AG78" s="60">
        <f t="shared" si="55"/>
        <v>0</v>
      </c>
      <c r="AH78" s="60">
        <f t="shared" si="55"/>
        <v>14.202</v>
      </c>
      <c r="AI78" s="60">
        <f>SUM(AI72:AI73)/500</f>
        <v>9</v>
      </c>
      <c r="AJ78" s="60">
        <f t="shared" si="55"/>
        <v>21.245999999999999</v>
      </c>
      <c r="AK78" s="117"/>
      <c r="AL78" s="116">
        <f>SUM(F78:AJ78)</f>
        <v>456.78399999999993</v>
      </c>
      <c r="AN78" s="118"/>
    </row>
    <row r="79" spans="2:81">
      <c r="B79" s="57"/>
      <c r="C79" s="36" t="s">
        <v>77</v>
      </c>
      <c r="D79" s="55"/>
      <c r="E79" s="55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103"/>
      <c r="AD79" s="56"/>
      <c r="AE79" s="56"/>
      <c r="AF79" s="56"/>
      <c r="AG79" s="56"/>
      <c r="AH79" s="103"/>
      <c r="AI79" s="103"/>
      <c r="AJ79" s="103"/>
      <c r="AK79" s="107"/>
      <c r="AL79" s="203" t="s">
        <v>78</v>
      </c>
    </row>
    <row r="80" spans="2:81" s="1" customFormat="1">
      <c r="B80" s="70"/>
      <c r="C80" s="217" t="s">
        <v>68</v>
      </c>
      <c r="D80" s="74"/>
      <c r="E80" s="7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117"/>
      <c r="AL80" s="122" t="s">
        <v>68</v>
      </c>
      <c r="AN80" s="118"/>
    </row>
    <row r="81" spans="2:40 15093:15485" s="1" customFormat="1" ht="13.8">
      <c r="B81" s="70"/>
      <c r="C81" s="199" t="s">
        <v>69</v>
      </c>
      <c r="D81" s="74"/>
      <c r="E81" s="206" t="s">
        <v>70</v>
      </c>
      <c r="F81" s="60">
        <v>0</v>
      </c>
      <c r="G81" s="60">
        <v>0</v>
      </c>
      <c r="H81" s="60">
        <v>5</v>
      </c>
      <c r="I81" s="60">
        <v>5</v>
      </c>
      <c r="J81" s="60">
        <v>3</v>
      </c>
      <c r="K81" s="60">
        <v>0</v>
      </c>
      <c r="L81" s="60">
        <v>0</v>
      </c>
      <c r="M81" s="60">
        <v>9</v>
      </c>
      <c r="N81" s="60">
        <v>3</v>
      </c>
      <c r="O81" s="60">
        <v>11</v>
      </c>
      <c r="P81" s="60">
        <v>3</v>
      </c>
      <c r="Q81" s="60">
        <v>2</v>
      </c>
      <c r="R81" s="60">
        <v>0</v>
      </c>
      <c r="S81" s="60">
        <v>0</v>
      </c>
      <c r="T81" s="60">
        <v>4</v>
      </c>
      <c r="U81" s="60"/>
      <c r="V81" s="60">
        <v>2</v>
      </c>
      <c r="W81" s="60">
        <v>7</v>
      </c>
      <c r="X81" s="60">
        <v>3</v>
      </c>
      <c r="Y81" s="60">
        <v>4</v>
      </c>
      <c r="Z81" s="60">
        <v>8</v>
      </c>
      <c r="AA81" s="60">
        <v>11</v>
      </c>
      <c r="AB81" s="60">
        <v>13</v>
      </c>
      <c r="AC81" s="60">
        <v>7</v>
      </c>
      <c r="AD81" s="60">
        <v>10</v>
      </c>
      <c r="AE81" s="60">
        <v>13</v>
      </c>
      <c r="AF81" s="60">
        <v>4</v>
      </c>
      <c r="AG81" s="60">
        <v>0</v>
      </c>
      <c r="AH81" s="60">
        <v>5</v>
      </c>
      <c r="AI81" s="60">
        <v>0</v>
      </c>
      <c r="AJ81" s="60">
        <v>0</v>
      </c>
      <c r="AK81" s="117"/>
      <c r="AL81" s="116">
        <f>SUM(F81:AJ81)</f>
        <v>132</v>
      </c>
      <c r="AN81" s="118"/>
    </row>
    <row r="82" spans="2:40 15093:15485" s="1" customFormat="1" ht="13.8">
      <c r="B82" s="70"/>
      <c r="C82" s="199" t="s">
        <v>71</v>
      </c>
      <c r="D82" s="74"/>
      <c r="E82" s="206" t="s">
        <v>70</v>
      </c>
      <c r="F82" s="60">
        <v>0</v>
      </c>
      <c r="G82" s="60">
        <v>0</v>
      </c>
      <c r="H82" s="60">
        <v>6</v>
      </c>
      <c r="I82" s="60">
        <v>9</v>
      </c>
      <c r="J82" s="60">
        <v>15</v>
      </c>
      <c r="K82" s="60">
        <v>7</v>
      </c>
      <c r="L82" s="60">
        <v>0</v>
      </c>
      <c r="M82" s="60">
        <v>0</v>
      </c>
      <c r="N82" s="60">
        <v>0</v>
      </c>
      <c r="O82" s="60">
        <v>0</v>
      </c>
      <c r="P82" s="60">
        <v>8</v>
      </c>
      <c r="Q82" s="60">
        <v>7</v>
      </c>
      <c r="R82" s="60">
        <v>0</v>
      </c>
      <c r="S82" s="60">
        <v>0</v>
      </c>
      <c r="T82" s="60">
        <v>0</v>
      </c>
      <c r="U82" s="60">
        <v>0</v>
      </c>
      <c r="V82" s="60">
        <v>5</v>
      </c>
      <c r="W82" s="60">
        <v>2</v>
      </c>
      <c r="X82" s="60">
        <v>7</v>
      </c>
      <c r="Y82" s="60">
        <v>2</v>
      </c>
      <c r="Z82" s="60">
        <v>9</v>
      </c>
      <c r="AA82" s="60">
        <v>0</v>
      </c>
      <c r="AB82" s="60">
        <v>11</v>
      </c>
      <c r="AC82" s="60">
        <v>7</v>
      </c>
      <c r="AD82" s="60">
        <v>18</v>
      </c>
      <c r="AE82" s="60">
        <v>9</v>
      </c>
      <c r="AF82" s="60">
        <v>4</v>
      </c>
      <c r="AG82" s="60">
        <v>0</v>
      </c>
      <c r="AH82" s="60">
        <v>0</v>
      </c>
      <c r="AI82" s="60">
        <v>2</v>
      </c>
      <c r="AJ82" s="60">
        <v>2</v>
      </c>
      <c r="AK82" s="117"/>
      <c r="AL82" s="116">
        <f>SUM(F82:AJ82)</f>
        <v>130</v>
      </c>
      <c r="AN82" s="118"/>
    </row>
    <row r="83" spans="2:40 15093:15485" s="1" customFormat="1">
      <c r="B83" s="70"/>
      <c r="C83" s="217" t="s">
        <v>72</v>
      </c>
      <c r="D83" s="74"/>
      <c r="E83" s="7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117"/>
      <c r="AL83" s="122" t="s">
        <v>72</v>
      </c>
      <c r="AN83" s="118"/>
    </row>
    <row r="84" spans="2:40 15093:15485" s="1" customFormat="1" ht="13.8">
      <c r="B84" s="70"/>
      <c r="C84" s="199" t="s">
        <v>69</v>
      </c>
      <c r="D84" s="74"/>
      <c r="E84" s="206" t="s">
        <v>72</v>
      </c>
      <c r="F84" s="60">
        <v>0</v>
      </c>
      <c r="G84" s="60">
        <v>0</v>
      </c>
      <c r="H84" s="145">
        <v>5</v>
      </c>
      <c r="I84" s="60">
        <v>14</v>
      </c>
      <c r="J84" s="60">
        <v>8</v>
      </c>
      <c r="K84" s="60">
        <v>3</v>
      </c>
      <c r="L84" s="60">
        <v>0</v>
      </c>
      <c r="M84" s="60">
        <v>33</v>
      </c>
      <c r="N84" s="151">
        <v>37</v>
      </c>
      <c r="O84" s="60">
        <v>41</v>
      </c>
      <c r="P84" s="60">
        <v>8</v>
      </c>
      <c r="Q84" s="60">
        <v>14</v>
      </c>
      <c r="R84" s="60">
        <v>13</v>
      </c>
      <c r="S84" s="60">
        <v>0</v>
      </c>
      <c r="T84" s="60">
        <v>37</v>
      </c>
      <c r="U84" s="151"/>
      <c r="V84" s="60">
        <v>20</v>
      </c>
      <c r="W84" s="60">
        <v>23</v>
      </c>
      <c r="X84" s="60">
        <v>21</v>
      </c>
      <c r="Y84" s="60">
        <v>38</v>
      </c>
      <c r="Z84" s="60">
        <v>25</v>
      </c>
      <c r="AA84" s="60">
        <v>35</v>
      </c>
      <c r="AB84" s="151">
        <v>6</v>
      </c>
      <c r="AC84" s="60">
        <v>28</v>
      </c>
      <c r="AD84" s="60">
        <v>45</v>
      </c>
      <c r="AE84" s="60">
        <v>15</v>
      </c>
      <c r="AF84" s="60">
        <v>19</v>
      </c>
      <c r="AG84" s="145">
        <v>0</v>
      </c>
      <c r="AH84" s="145">
        <v>51</v>
      </c>
      <c r="AI84" s="145">
        <v>0</v>
      </c>
      <c r="AJ84" s="60">
        <v>22</v>
      </c>
      <c r="AK84" s="117"/>
      <c r="AL84" s="116">
        <f>SUM(F84:AJ84)</f>
        <v>561</v>
      </c>
      <c r="AN84" s="118"/>
    </row>
    <row r="85" spans="2:40 15093:15485" s="1" customFormat="1" ht="13.8">
      <c r="B85" s="70"/>
      <c r="C85" s="199" t="s">
        <v>71</v>
      </c>
      <c r="D85" s="74"/>
      <c r="E85" s="206" t="s">
        <v>72</v>
      </c>
      <c r="F85" s="241">
        <v>0</v>
      </c>
      <c r="G85" s="241">
        <v>0</v>
      </c>
      <c r="H85" s="145">
        <v>8</v>
      </c>
      <c r="I85" s="145">
        <v>12</v>
      </c>
      <c r="J85" s="145">
        <v>6</v>
      </c>
      <c r="K85" s="60">
        <v>12</v>
      </c>
      <c r="L85" s="60">
        <v>0</v>
      </c>
      <c r="M85" s="60">
        <v>0</v>
      </c>
      <c r="N85" s="60">
        <v>0</v>
      </c>
      <c r="O85" s="60">
        <v>0</v>
      </c>
      <c r="P85" s="60">
        <v>7</v>
      </c>
      <c r="Q85" s="60">
        <v>7</v>
      </c>
      <c r="R85" s="60">
        <v>10</v>
      </c>
      <c r="S85" s="60"/>
      <c r="T85" s="60"/>
      <c r="U85" s="151"/>
      <c r="V85" s="60">
        <v>17</v>
      </c>
      <c r="W85" s="60">
        <v>11</v>
      </c>
      <c r="X85" s="60">
        <v>15</v>
      </c>
      <c r="Y85" s="60">
        <v>17</v>
      </c>
      <c r="Z85" s="60">
        <v>10</v>
      </c>
      <c r="AA85" s="60"/>
      <c r="AB85" s="151">
        <v>5</v>
      </c>
      <c r="AC85" s="60">
        <v>35</v>
      </c>
      <c r="AD85" s="60">
        <v>29</v>
      </c>
      <c r="AE85" s="60">
        <v>21</v>
      </c>
      <c r="AF85" s="60">
        <v>14</v>
      </c>
      <c r="AG85" s="232">
        <v>0</v>
      </c>
      <c r="AH85" s="145">
        <v>0</v>
      </c>
      <c r="AI85" s="145">
        <v>6</v>
      </c>
      <c r="AJ85" s="60">
        <v>20</v>
      </c>
      <c r="AK85" s="117"/>
      <c r="AL85" s="116">
        <f>SUM(F85:AJ85)</f>
        <v>262</v>
      </c>
      <c r="AN85" s="118"/>
    </row>
    <row r="86" spans="2:40 15093:15485">
      <c r="B86" s="57"/>
      <c r="C86" s="36" t="s">
        <v>79</v>
      </c>
      <c r="D86" s="55"/>
      <c r="E86" s="55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103"/>
      <c r="AD86" s="56"/>
      <c r="AE86" s="56"/>
      <c r="AF86" s="56"/>
      <c r="AG86" s="56"/>
      <c r="AH86" s="103"/>
      <c r="AI86" s="103"/>
      <c r="AJ86" s="103"/>
      <c r="AK86" s="107"/>
      <c r="AL86" s="203" t="s">
        <v>78</v>
      </c>
    </row>
    <row r="87" spans="2:40 15093:15485" s="1" customFormat="1">
      <c r="B87" s="70"/>
      <c r="C87" s="217" t="s">
        <v>68</v>
      </c>
      <c r="D87" s="74"/>
      <c r="E87" s="7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117"/>
      <c r="AL87" s="122" t="s">
        <v>68</v>
      </c>
      <c r="AN87" s="118"/>
    </row>
    <row r="88" spans="2:40 15093:15485" s="1" customFormat="1" ht="13.8">
      <c r="B88" s="70"/>
      <c r="C88" s="199" t="s">
        <v>69</v>
      </c>
      <c r="D88" s="69">
        <v>0.3</v>
      </c>
      <c r="E88" s="206" t="s">
        <v>12</v>
      </c>
      <c r="F88" s="84" t="e">
        <f t="shared" ref="F88:AJ88" si="56">F81/F72*100</f>
        <v>#DIV/0!</v>
      </c>
      <c r="G88" s="84" t="e">
        <f t="shared" si="56"/>
        <v>#DIV/0!</v>
      </c>
      <c r="H88" s="84">
        <f t="shared" si="56"/>
        <v>0.17755681818181818</v>
      </c>
      <c r="I88" s="84">
        <f t="shared" si="56"/>
        <v>0.14084507042253522</v>
      </c>
      <c r="J88" s="84">
        <f t="shared" si="56"/>
        <v>8.4483244156575613E-2</v>
      </c>
      <c r="K88" s="84">
        <f t="shared" si="56"/>
        <v>0</v>
      </c>
      <c r="L88" s="84" t="e">
        <f t="shared" si="56"/>
        <v>#DIV/0!</v>
      </c>
      <c r="M88" s="84">
        <f t="shared" si="56"/>
        <v>0.1272264631043257</v>
      </c>
      <c r="N88" s="84">
        <f t="shared" si="56"/>
        <v>6.381620931716657E-2</v>
      </c>
      <c r="O88" s="84">
        <f t="shared" si="56"/>
        <v>0.15490775947049712</v>
      </c>
      <c r="P88" s="84">
        <f t="shared" si="56"/>
        <v>8.4507042253521125E-2</v>
      </c>
      <c r="Q88" s="84">
        <f t="shared" si="56"/>
        <v>5.6338028169014086E-2</v>
      </c>
      <c r="R88" s="84">
        <f t="shared" si="56"/>
        <v>0</v>
      </c>
      <c r="S88" s="84" t="e">
        <f t="shared" si="56"/>
        <v>#DIV/0!</v>
      </c>
      <c r="T88" s="84">
        <f t="shared" si="56"/>
        <v>5.6338028169014086E-2</v>
      </c>
      <c r="U88" s="84" t="e">
        <f t="shared" si="56"/>
        <v>#DIV/0!</v>
      </c>
      <c r="V88" s="84">
        <f t="shared" si="56"/>
        <v>5.6338028169014086E-2</v>
      </c>
      <c r="W88" s="84">
        <f t="shared" si="56"/>
        <v>0.19718309859154928</v>
      </c>
      <c r="X88" s="84">
        <f t="shared" si="56"/>
        <v>8.6033839977057644E-2</v>
      </c>
      <c r="Y88" s="84">
        <f t="shared" si="56"/>
        <v>0.11360408974723089</v>
      </c>
      <c r="Z88" s="84">
        <f t="shared" si="56"/>
        <v>0.23350846468184472</v>
      </c>
      <c r="AA88" s="84">
        <f t="shared" si="56"/>
        <v>0.15490775947049712</v>
      </c>
      <c r="AB88" s="84">
        <f t="shared" si="56"/>
        <v>0.55319148936170215</v>
      </c>
      <c r="AC88" s="84">
        <f t="shared" si="56"/>
        <v>0.19718309859154928</v>
      </c>
      <c r="AD88" s="84">
        <f t="shared" si="56"/>
        <v>0.28169014084507044</v>
      </c>
      <c r="AE88" s="84">
        <f t="shared" si="56"/>
        <v>0.36619718309859156</v>
      </c>
      <c r="AF88" s="84">
        <f t="shared" si="56"/>
        <v>0.11267605633802817</v>
      </c>
      <c r="AG88" s="84" t="e">
        <f t="shared" si="56"/>
        <v>#DIV/0!</v>
      </c>
      <c r="AH88" s="84">
        <f t="shared" si="56"/>
        <v>7.0412617941135042E-2</v>
      </c>
      <c r="AI88" s="84" t="e">
        <f t="shared" ref="AI88" si="57">AI81/AI72*100</f>
        <v>#DIV/0!</v>
      </c>
      <c r="AJ88" s="84">
        <f t="shared" si="56"/>
        <v>0</v>
      </c>
      <c r="AK88" s="117"/>
      <c r="AL88" s="119">
        <f>AL81/AL72*100</f>
        <v>0.12961126439716034</v>
      </c>
      <c r="AN88" s="118"/>
    </row>
    <row r="89" spans="2:40 15093:15485" s="1" customFormat="1" ht="13.8">
      <c r="B89" s="70"/>
      <c r="C89" s="199" t="s">
        <v>71</v>
      </c>
      <c r="D89" s="69">
        <v>0.3</v>
      </c>
      <c r="E89" s="206" t="s">
        <v>12</v>
      </c>
      <c r="F89" s="84" t="e">
        <f t="shared" ref="F89:AJ89" si="58">F82/F73*100</f>
        <v>#DIV/0!</v>
      </c>
      <c r="G89" s="84" t="e">
        <f t="shared" si="58"/>
        <v>#DIV/0!</v>
      </c>
      <c r="H89" s="84">
        <f t="shared" si="58"/>
        <v>0.10651517841292384</v>
      </c>
      <c r="I89" s="84">
        <f t="shared" si="58"/>
        <v>0.12676056338028169</v>
      </c>
      <c r="J89" s="84">
        <f t="shared" si="58"/>
        <v>0.21126760563380279</v>
      </c>
      <c r="K89" s="84">
        <f t="shared" si="58"/>
        <v>0.10241404535479151</v>
      </c>
      <c r="L89" s="84" t="e">
        <f t="shared" si="58"/>
        <v>#DIV/0!</v>
      </c>
      <c r="M89" s="84" t="e">
        <f t="shared" si="58"/>
        <v>#DIV/0!</v>
      </c>
      <c r="N89" s="84" t="e">
        <f t="shared" si="58"/>
        <v>#DIV/0!</v>
      </c>
      <c r="O89" s="84" t="e">
        <f t="shared" si="58"/>
        <v>#DIV/0!</v>
      </c>
      <c r="P89" s="84">
        <f t="shared" si="58"/>
        <v>0.11264432554210081</v>
      </c>
      <c r="Q89" s="84">
        <f t="shared" si="58"/>
        <v>9.8549908489370674E-2</v>
      </c>
      <c r="R89" s="84">
        <f t="shared" si="58"/>
        <v>0</v>
      </c>
      <c r="S89" s="84" t="e">
        <f t="shared" si="58"/>
        <v>#DIV/0!</v>
      </c>
      <c r="T89" s="84" t="e">
        <f t="shared" si="58"/>
        <v>#DIV/0!</v>
      </c>
      <c r="U89" s="84" t="e">
        <f t="shared" si="58"/>
        <v>#DIV/0!</v>
      </c>
      <c r="V89" s="84">
        <f t="shared" si="58"/>
        <v>7.0382882882882886E-2</v>
      </c>
      <c r="W89" s="84">
        <f t="shared" si="58"/>
        <v>2.8169014084507043E-2</v>
      </c>
      <c r="X89" s="84">
        <f t="shared" si="58"/>
        <v>9.8591549295774641E-2</v>
      </c>
      <c r="Y89" s="84">
        <f t="shared" si="58"/>
        <v>2.8169014084507043E-2</v>
      </c>
      <c r="Z89" s="84">
        <f t="shared" si="58"/>
        <v>0.13136768354984674</v>
      </c>
      <c r="AA89" s="84" t="e">
        <f t="shared" si="58"/>
        <v>#DIV/0!</v>
      </c>
      <c r="AB89" s="84">
        <f t="shared" si="58"/>
        <v>0.23394300297745638</v>
      </c>
      <c r="AC89" s="84">
        <f t="shared" si="58"/>
        <v>0.11846336097478423</v>
      </c>
      <c r="AD89" s="84">
        <f t="shared" si="58"/>
        <v>0.25348542458808615</v>
      </c>
      <c r="AE89" s="84">
        <f t="shared" si="58"/>
        <v>0.12672486623486343</v>
      </c>
      <c r="AF89" s="84">
        <f t="shared" si="58"/>
        <v>5.7971014492753624E-2</v>
      </c>
      <c r="AG89" s="84" t="e">
        <f t="shared" si="58"/>
        <v>#DIV/0!</v>
      </c>
      <c r="AH89" s="84" t="e">
        <f t="shared" si="58"/>
        <v>#DIV/0!</v>
      </c>
      <c r="AI89" s="84">
        <f t="shared" ref="AI89" si="59">AI82/AI73*100</f>
        <v>4.4444444444444446E-2</v>
      </c>
      <c r="AJ89" s="84">
        <f t="shared" si="58"/>
        <v>2.8161081385525203E-2</v>
      </c>
      <c r="AK89" s="117"/>
      <c r="AL89" s="119">
        <f>AL82/AL73*100</f>
        <v>0.10272700693012193</v>
      </c>
      <c r="AN89" s="118"/>
    </row>
    <row r="90" spans="2:40 15093:15485" s="1" customFormat="1">
      <c r="B90" s="70"/>
      <c r="C90" s="217" t="s">
        <v>72</v>
      </c>
      <c r="D90" s="69"/>
      <c r="E90" s="70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117"/>
      <c r="AL90" s="122" t="s">
        <v>72</v>
      </c>
      <c r="AN90" s="118"/>
    </row>
    <row r="91" spans="2:40 15093:15485" s="1" customFormat="1" ht="13.8">
      <c r="B91" s="70"/>
      <c r="C91" s="199" t="s">
        <v>69</v>
      </c>
      <c r="D91" s="69">
        <v>0.5</v>
      </c>
      <c r="E91" s="206" t="s">
        <v>12</v>
      </c>
      <c r="F91" s="84" t="e">
        <f t="shared" ref="F91:AJ91" si="60">F84/F75*100</f>
        <v>#DIV/0!</v>
      </c>
      <c r="G91" s="84" t="e">
        <f t="shared" si="60"/>
        <v>#DIV/0!</v>
      </c>
      <c r="H91" s="84">
        <f t="shared" si="60"/>
        <v>1.4796401515151516E-2</v>
      </c>
      <c r="I91" s="84">
        <f t="shared" si="60"/>
        <v>3.2863849765258211E-2</v>
      </c>
      <c r="J91" s="84">
        <f t="shared" si="60"/>
        <v>1.8774054257016802E-2</v>
      </c>
      <c r="K91" s="84">
        <f t="shared" si="60"/>
        <v>7.0382882882882884E-3</v>
      </c>
      <c r="L91" s="84" t="e">
        <f t="shared" si="60"/>
        <v>#DIV/0!</v>
      </c>
      <c r="M91" s="84">
        <f t="shared" si="60"/>
        <v>3.8874752615210631E-2</v>
      </c>
      <c r="N91" s="84">
        <f t="shared" si="60"/>
        <v>6.5588881798198967E-2</v>
      </c>
      <c r="O91" s="84">
        <f t="shared" si="60"/>
        <v>4.8115288926442283E-2</v>
      </c>
      <c r="P91" s="84">
        <f t="shared" si="60"/>
        <v>1.8779342723004695E-2</v>
      </c>
      <c r="Q91" s="84">
        <f t="shared" si="60"/>
        <v>3.2863849765258211E-2</v>
      </c>
      <c r="R91" s="84">
        <f t="shared" si="60"/>
        <v>3.1032177981476176E-2</v>
      </c>
      <c r="S91" s="84" t="e">
        <f t="shared" si="60"/>
        <v>#DIV/0!</v>
      </c>
      <c r="T91" s="84">
        <f t="shared" si="60"/>
        <v>4.3427230046948359E-2</v>
      </c>
      <c r="U91" s="84" t="e">
        <f t="shared" si="60"/>
        <v>#DIV/0!</v>
      </c>
      <c r="V91" s="84">
        <f t="shared" si="60"/>
        <v>4.6948356807511735E-2</v>
      </c>
      <c r="W91" s="84">
        <f t="shared" si="60"/>
        <v>5.39906103286385E-2</v>
      </c>
      <c r="X91" s="84">
        <f t="shared" si="60"/>
        <v>5.0186406653283631E-2</v>
      </c>
      <c r="Y91" s="84">
        <f t="shared" si="60"/>
        <v>8.9936571049891126E-2</v>
      </c>
      <c r="Z91" s="84">
        <f t="shared" si="60"/>
        <v>6.0809496010897066E-2</v>
      </c>
      <c r="AA91" s="84">
        <f t="shared" si="60"/>
        <v>4.1074027132328786E-2</v>
      </c>
      <c r="AB91" s="84">
        <f t="shared" si="60"/>
        <v>2.1276595744680851E-2</v>
      </c>
      <c r="AC91" s="84">
        <f t="shared" si="60"/>
        <v>6.5727699530516423E-2</v>
      </c>
      <c r="AD91" s="84">
        <f t="shared" si="60"/>
        <v>0.10563380281690139</v>
      </c>
      <c r="AE91" s="84">
        <f t="shared" si="60"/>
        <v>3.5211267605633804E-2</v>
      </c>
      <c r="AF91" s="84">
        <f t="shared" si="60"/>
        <v>4.4600938967136149E-2</v>
      </c>
      <c r="AG91" s="84" t="e">
        <f t="shared" si="60"/>
        <v>#DIV/0!</v>
      </c>
      <c r="AH91" s="84">
        <f t="shared" si="60"/>
        <v>5.9850725249964792E-2</v>
      </c>
      <c r="AI91" s="84" t="e">
        <f t="shared" ref="AI91" si="61">AI84/AI75*100</f>
        <v>#DIV/0!</v>
      </c>
      <c r="AJ91" s="84">
        <f t="shared" si="60"/>
        <v>5.2068541134147502E-2</v>
      </c>
      <c r="AK91" s="117"/>
      <c r="AL91" s="119">
        <f>AL84/AL75*100</f>
        <v>4.5903989473994287E-2</v>
      </c>
      <c r="AN91" s="118"/>
    </row>
    <row r="92" spans="2:40 15093:15485" s="1" customFormat="1" ht="13.8">
      <c r="B92" s="70"/>
      <c r="C92" s="199" t="s">
        <v>71</v>
      </c>
      <c r="D92" s="69">
        <v>0.5</v>
      </c>
      <c r="E92" s="206" t="s">
        <v>12</v>
      </c>
      <c r="F92" s="84" t="e">
        <f t="shared" ref="F92:AJ92" si="62">F85/F76*100</f>
        <v>#DIV/0!</v>
      </c>
      <c r="G92" s="84" t="e">
        <f t="shared" si="62"/>
        <v>#DIV/0!</v>
      </c>
      <c r="H92" s="84" t="e">
        <f t="shared" si="62"/>
        <v>#DIV/0!</v>
      </c>
      <c r="I92" s="84">
        <f t="shared" si="62"/>
        <v>2.8169014084507043E-2</v>
      </c>
      <c r="J92" s="84">
        <f t="shared" si="62"/>
        <v>1.4084507042253521E-2</v>
      </c>
      <c r="K92" s="84">
        <f t="shared" si="62"/>
        <v>2.9261155815654721E-2</v>
      </c>
      <c r="L92" s="84" t="e">
        <f t="shared" si="62"/>
        <v>#DIV/0!</v>
      </c>
      <c r="M92" s="84" t="e">
        <f t="shared" si="62"/>
        <v>#DIV/0!</v>
      </c>
      <c r="N92" s="84" t="e">
        <f t="shared" si="62"/>
        <v>#DIV/0!</v>
      </c>
      <c r="O92" s="84" t="e">
        <f t="shared" si="62"/>
        <v>#DIV/0!</v>
      </c>
      <c r="P92" s="84">
        <f t="shared" si="62"/>
        <v>1.6427297474889701E-2</v>
      </c>
      <c r="Q92" s="84">
        <f t="shared" si="62"/>
        <v>1.6424984748228448E-2</v>
      </c>
      <c r="R92" s="84">
        <f t="shared" si="62"/>
        <v>2.3457658925639221E-2</v>
      </c>
      <c r="S92" s="84" t="e">
        <f t="shared" si="62"/>
        <v>#DIV/0!</v>
      </c>
      <c r="T92" s="84" t="e">
        <f t="shared" si="62"/>
        <v>#DIV/0!</v>
      </c>
      <c r="U92" s="84" t="e">
        <f t="shared" si="62"/>
        <v>#DIV/0!</v>
      </c>
      <c r="V92" s="84">
        <f t="shared" si="62"/>
        <v>3.9883633633633633E-2</v>
      </c>
      <c r="W92" s="84">
        <f t="shared" si="62"/>
        <v>2.5821596244131453E-2</v>
      </c>
      <c r="X92" s="84">
        <f t="shared" si="62"/>
        <v>3.5211267605633804E-2</v>
      </c>
      <c r="Y92" s="84">
        <f t="shared" si="62"/>
        <v>3.9906103286384977E-2</v>
      </c>
      <c r="Z92" s="84">
        <f t="shared" si="62"/>
        <v>2.4327348805527175E-2</v>
      </c>
      <c r="AA92" s="84" t="e">
        <f t="shared" si="62"/>
        <v>#DIV/0!</v>
      </c>
      <c r="AB92" s="84">
        <f t="shared" si="62"/>
        <v>1.7722954771019424E-2</v>
      </c>
      <c r="AC92" s="84">
        <f t="shared" si="62"/>
        <v>9.8719467478986855E-2</v>
      </c>
      <c r="AD92" s="84">
        <f t="shared" si="62"/>
        <v>6.806553067643055E-2</v>
      </c>
      <c r="AE92" s="84">
        <f t="shared" si="62"/>
        <v>4.9281892424669113E-2</v>
      </c>
      <c r="AF92" s="84">
        <f t="shared" si="62"/>
        <v>3.3816425120772951E-2</v>
      </c>
      <c r="AG92" s="84" t="e">
        <f t="shared" si="62"/>
        <v>#DIV/0!</v>
      </c>
      <c r="AH92" s="84" t="e">
        <f t="shared" si="62"/>
        <v>#DIV/0!</v>
      </c>
      <c r="AI92" s="84">
        <f t="shared" ref="AI92" si="63">AI85/AI76*100</f>
        <v>2.2222222222222223E-2</v>
      </c>
      <c r="AJ92" s="84">
        <f t="shared" si="62"/>
        <v>4.6935135642542009E-2</v>
      </c>
      <c r="AK92" s="117"/>
      <c r="AL92" s="119">
        <f>AL85/AL76*100</f>
        <v>3.450573822524608E-2</v>
      </c>
      <c r="AN92" s="118"/>
    </row>
    <row r="93" spans="2:40 15093:15485" s="1" customFormat="1">
      <c r="B93" s="54">
        <v>6</v>
      </c>
      <c r="C93" s="36" t="s">
        <v>80</v>
      </c>
      <c r="D93" s="55"/>
      <c r="E93" s="55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103"/>
      <c r="AD93" s="56"/>
      <c r="AE93" s="56"/>
      <c r="AF93" s="56"/>
      <c r="AG93" s="56"/>
      <c r="AH93" s="103"/>
      <c r="AI93" s="103"/>
      <c r="AJ93" s="103"/>
      <c r="AK93" s="107"/>
      <c r="AL93" s="203" t="s">
        <v>63</v>
      </c>
      <c r="AN93" s="29"/>
      <c r="VHM93"/>
      <c r="VHN93"/>
      <c r="VHO93"/>
      <c r="VHP93"/>
      <c r="VHQ93"/>
      <c r="VHR93"/>
      <c r="VHS93"/>
      <c r="VHT93"/>
      <c r="VHU93"/>
      <c r="VHV93"/>
      <c r="VHW93"/>
      <c r="VHX93"/>
      <c r="VHY93"/>
      <c r="VHZ93"/>
      <c r="VIA93"/>
      <c r="VIB93"/>
      <c r="VIC93"/>
      <c r="VID93"/>
      <c r="VIE93"/>
      <c r="VIF93"/>
      <c r="VIG93"/>
      <c r="VIH93"/>
      <c r="VII93"/>
      <c r="VIJ93"/>
      <c r="VIK93"/>
      <c r="VIL93"/>
      <c r="VIM93"/>
      <c r="VIN93"/>
      <c r="VIO93"/>
      <c r="VIP93"/>
      <c r="VIQ93"/>
      <c r="VIR93"/>
      <c r="VIS93"/>
      <c r="VIT93"/>
      <c r="VIU93"/>
      <c r="VIV93"/>
      <c r="VIW93"/>
      <c r="VIX93"/>
      <c r="VIY93"/>
      <c r="VIZ93"/>
      <c r="VJA93"/>
      <c r="VJB93"/>
      <c r="VJC93"/>
      <c r="VJD93"/>
      <c r="VJE93"/>
      <c r="VJF93"/>
      <c r="VJG93"/>
      <c r="VJH93"/>
      <c r="VJI93"/>
      <c r="VJJ93"/>
      <c r="VJK93"/>
      <c r="VJL93"/>
      <c r="VJM93"/>
      <c r="VJN93"/>
      <c r="VJO93"/>
      <c r="VJP93"/>
      <c r="VJQ93"/>
      <c r="VJR93"/>
      <c r="VJS93"/>
      <c r="VJT93"/>
      <c r="VJU93"/>
      <c r="VJV93"/>
      <c r="VJW93"/>
      <c r="VJX93"/>
      <c r="VJY93"/>
      <c r="VJZ93"/>
      <c r="VKA93"/>
      <c r="VKB93"/>
      <c r="VKC93"/>
      <c r="VKD93"/>
      <c r="VKE93"/>
      <c r="VKF93"/>
      <c r="VKG93"/>
      <c r="VKH93"/>
      <c r="VKI93"/>
      <c r="VKJ93"/>
      <c r="VKK93"/>
      <c r="VKL93"/>
      <c r="VKM93"/>
      <c r="VKN93"/>
      <c r="VKO93"/>
      <c r="VKP93"/>
      <c r="VKQ93"/>
      <c r="VKR93"/>
      <c r="VKS93"/>
      <c r="VKT93"/>
      <c r="VKU93"/>
      <c r="VKV93"/>
      <c r="VKW93"/>
      <c r="VKX93"/>
      <c r="VKY93"/>
      <c r="VKZ93"/>
      <c r="VLA93"/>
      <c r="VLB93"/>
      <c r="VLC93"/>
      <c r="VLD93"/>
      <c r="VLE93"/>
      <c r="VLF93"/>
      <c r="VLG93"/>
      <c r="VLH93"/>
      <c r="VLI93"/>
      <c r="VLJ93"/>
      <c r="VLK93"/>
      <c r="VLL93"/>
      <c r="VLM93"/>
      <c r="VLN93"/>
      <c r="VLO93"/>
      <c r="VLP93"/>
      <c r="VLQ93"/>
      <c r="VLR93"/>
      <c r="VLS93"/>
      <c r="VLT93"/>
      <c r="VLU93"/>
      <c r="VLV93"/>
      <c r="VLW93"/>
      <c r="VLX93"/>
      <c r="VLY93"/>
      <c r="VLZ93"/>
      <c r="VMA93"/>
      <c r="VMB93"/>
      <c r="VMC93"/>
      <c r="VMD93"/>
      <c r="VME93"/>
      <c r="VMF93"/>
      <c r="VMG93"/>
      <c r="VMH93"/>
      <c r="VMI93"/>
      <c r="VMJ93"/>
      <c r="VMK93"/>
      <c r="VML93"/>
      <c r="VMM93"/>
      <c r="VMN93"/>
      <c r="VMO93"/>
      <c r="VMP93"/>
      <c r="VMQ93"/>
      <c r="VMR93"/>
      <c r="VMS93"/>
      <c r="VMT93"/>
      <c r="VMU93"/>
      <c r="VMV93"/>
      <c r="VMW93"/>
      <c r="VMX93"/>
      <c r="VMY93"/>
      <c r="VMZ93"/>
      <c r="VNA93"/>
      <c r="VNB93"/>
      <c r="VNC93"/>
      <c r="VND93"/>
      <c r="VNE93"/>
      <c r="VNF93"/>
      <c r="VNG93"/>
      <c r="VNH93"/>
      <c r="VNI93"/>
      <c r="VNJ93"/>
      <c r="VNK93"/>
      <c r="VNL93"/>
      <c r="VNM93"/>
      <c r="VNN93"/>
      <c r="VNO93"/>
      <c r="VNP93"/>
      <c r="VNQ93"/>
      <c r="VNR93"/>
      <c r="VNS93"/>
      <c r="VNT93"/>
      <c r="VNU93"/>
      <c r="VNV93"/>
      <c r="VNW93"/>
      <c r="VNX93"/>
      <c r="VNY93"/>
      <c r="VNZ93"/>
      <c r="VOA93"/>
      <c r="VOB93"/>
      <c r="VOC93"/>
      <c r="VOD93"/>
      <c r="VOE93"/>
      <c r="VOF93"/>
      <c r="VOG93"/>
      <c r="VOH93"/>
      <c r="VOI93"/>
      <c r="VOJ93"/>
      <c r="VOK93"/>
      <c r="VOL93"/>
      <c r="VOM93"/>
      <c r="VON93"/>
      <c r="VOO93"/>
      <c r="VOP93"/>
      <c r="VOQ93"/>
      <c r="VOR93"/>
      <c r="VOS93"/>
      <c r="VOT93"/>
      <c r="VOU93"/>
      <c r="VOV93"/>
      <c r="VOW93"/>
      <c r="VOX93"/>
      <c r="VOY93"/>
      <c r="VOZ93"/>
      <c r="VPA93"/>
      <c r="VPB93"/>
      <c r="VPC93"/>
      <c r="VPD93"/>
      <c r="VPE93"/>
      <c r="VPF93"/>
      <c r="VPG93"/>
      <c r="VPH93"/>
      <c r="VPI93"/>
      <c r="VPJ93"/>
      <c r="VPK93"/>
      <c r="VPL93"/>
      <c r="VPM93"/>
      <c r="VPN93"/>
      <c r="VPO93"/>
      <c r="VPP93"/>
      <c r="VPQ93"/>
      <c r="VPR93"/>
      <c r="VPS93"/>
      <c r="VPT93"/>
      <c r="VPU93"/>
      <c r="VPV93"/>
      <c r="VPW93"/>
      <c r="VPX93"/>
      <c r="VPY93"/>
      <c r="VPZ93"/>
      <c r="VQA93"/>
      <c r="VQB93"/>
      <c r="VQC93"/>
      <c r="VQD93"/>
      <c r="VQE93"/>
      <c r="VQF93"/>
      <c r="VQG93"/>
      <c r="VQH93"/>
      <c r="VQI93"/>
      <c r="VQJ93"/>
      <c r="VQK93"/>
      <c r="VQL93"/>
      <c r="VQM93"/>
      <c r="VQN93"/>
      <c r="VQO93"/>
      <c r="VQP93"/>
      <c r="VQQ93"/>
      <c r="VQR93"/>
      <c r="VQS93"/>
      <c r="VQT93"/>
      <c r="VQU93"/>
      <c r="VQV93"/>
      <c r="VQW93"/>
      <c r="VQX93"/>
      <c r="VQY93"/>
      <c r="VQZ93"/>
      <c r="VRA93"/>
      <c r="VRB93"/>
      <c r="VRC93"/>
      <c r="VRD93"/>
      <c r="VRE93"/>
      <c r="VRF93"/>
      <c r="VRG93"/>
      <c r="VRH93"/>
      <c r="VRI93"/>
      <c r="VRJ93"/>
      <c r="VRK93"/>
      <c r="VRL93"/>
      <c r="VRM93"/>
      <c r="VRN93"/>
      <c r="VRO93"/>
      <c r="VRP93"/>
      <c r="VRQ93"/>
      <c r="VRR93"/>
      <c r="VRS93"/>
      <c r="VRT93"/>
      <c r="VRU93"/>
      <c r="VRV93"/>
      <c r="VRW93"/>
      <c r="VRX93"/>
      <c r="VRY93"/>
      <c r="VRZ93"/>
      <c r="VSA93"/>
      <c r="VSB93"/>
      <c r="VSC93"/>
      <c r="VSD93"/>
      <c r="VSE93"/>
      <c r="VSF93"/>
      <c r="VSG93"/>
      <c r="VSH93"/>
      <c r="VSI93"/>
      <c r="VSJ93"/>
      <c r="VSK93"/>
      <c r="VSL93"/>
      <c r="VSM93"/>
      <c r="VSN93"/>
      <c r="VSO93"/>
      <c r="VSP93"/>
      <c r="VSQ93"/>
      <c r="VSR93"/>
      <c r="VSS93"/>
      <c r="VST93"/>
      <c r="VSU93"/>
      <c r="VSV93"/>
      <c r="VSW93"/>
      <c r="VSX93"/>
      <c r="VSY93"/>
      <c r="VSZ93"/>
      <c r="VTA93"/>
      <c r="VTB93"/>
      <c r="VTC93"/>
      <c r="VTD93"/>
      <c r="VTE93"/>
      <c r="VTF93"/>
      <c r="VTG93"/>
      <c r="VTH93"/>
      <c r="VTI93"/>
      <c r="VTJ93"/>
      <c r="VTK93"/>
      <c r="VTL93"/>
      <c r="VTM93"/>
      <c r="VTN93"/>
      <c r="VTO93"/>
      <c r="VTP93"/>
      <c r="VTQ93"/>
      <c r="VTR93"/>
      <c r="VTS93"/>
      <c r="VTT93"/>
      <c r="VTU93"/>
      <c r="VTV93"/>
      <c r="VTW93"/>
      <c r="VTX93"/>
      <c r="VTY93"/>
      <c r="VTZ93"/>
      <c r="VUA93"/>
      <c r="VUB93"/>
      <c r="VUC93"/>
      <c r="VUD93"/>
      <c r="VUE93"/>
      <c r="VUF93"/>
      <c r="VUG93"/>
      <c r="VUH93"/>
      <c r="VUI93"/>
      <c r="VUJ93"/>
      <c r="VUK93"/>
      <c r="VUL93"/>
      <c r="VUM93"/>
      <c r="VUN93"/>
      <c r="VUO93"/>
      <c r="VUP93"/>
      <c r="VUQ93"/>
      <c r="VUR9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</row>
    <row r="94" spans="2:40 15093:15485" s="1" customFormat="1" ht="13.8">
      <c r="B94" s="70"/>
      <c r="C94" s="215" t="s">
        <v>65</v>
      </c>
      <c r="D94" s="143"/>
      <c r="E94" s="216" t="s">
        <v>9</v>
      </c>
      <c r="F94" s="144">
        <v>0</v>
      </c>
      <c r="G94" s="144">
        <v>0</v>
      </c>
      <c r="H94" s="144">
        <v>0</v>
      </c>
      <c r="I94" s="144">
        <v>0</v>
      </c>
      <c r="J94" s="144">
        <v>0</v>
      </c>
      <c r="K94" s="144">
        <v>0</v>
      </c>
      <c r="L94" s="144">
        <v>111604.605</v>
      </c>
      <c r="M94" s="144">
        <v>0</v>
      </c>
      <c r="N94" s="144">
        <v>0</v>
      </c>
      <c r="O94" s="144">
        <v>0</v>
      </c>
      <c r="P94" s="144">
        <v>0</v>
      </c>
      <c r="Q94" s="144">
        <v>0</v>
      </c>
      <c r="R94" s="144">
        <v>0</v>
      </c>
      <c r="S94" s="144">
        <v>111605.515</v>
      </c>
      <c r="T94" s="144">
        <v>0</v>
      </c>
      <c r="U94" s="144">
        <v>0</v>
      </c>
      <c r="V94" s="144">
        <v>0</v>
      </c>
      <c r="W94" s="144">
        <v>0</v>
      </c>
      <c r="X94" s="144">
        <v>0</v>
      </c>
      <c r="Y94" s="144">
        <v>0</v>
      </c>
      <c r="Z94" s="144">
        <v>0</v>
      </c>
      <c r="AA94" s="144">
        <v>0</v>
      </c>
      <c r="AB94" s="144">
        <v>0</v>
      </c>
      <c r="AC94" s="144">
        <v>0</v>
      </c>
      <c r="AD94" s="144">
        <v>0</v>
      </c>
      <c r="AE94" s="144">
        <v>0</v>
      </c>
      <c r="AF94" s="144">
        <v>2172</v>
      </c>
      <c r="AG94" s="144">
        <v>112430.875</v>
      </c>
      <c r="AH94" s="144">
        <v>0</v>
      </c>
      <c r="AI94" s="144">
        <v>27699.344999999998</v>
      </c>
      <c r="AJ94" s="144">
        <v>0</v>
      </c>
      <c r="AK94" s="158"/>
      <c r="AL94" s="156">
        <f>SUM(AL95:AL96)</f>
        <v>365512.33999999997</v>
      </c>
      <c r="AN94" s="118"/>
    </row>
    <row r="95" spans="2:40 15093:15485" s="1" customFormat="1">
      <c r="B95" s="70"/>
      <c r="C95" s="217" t="s">
        <v>66</v>
      </c>
      <c r="D95" s="74"/>
      <c r="E95" s="206" t="s">
        <v>9</v>
      </c>
      <c r="F95" s="84">
        <f t="shared" ref="F95:AJ95" si="64">SUM(F98:F99)*10.86</f>
        <v>0</v>
      </c>
      <c r="G95" s="84">
        <f t="shared" si="64"/>
        <v>0</v>
      </c>
      <c r="H95" s="84">
        <f t="shared" si="64"/>
        <v>0</v>
      </c>
      <c r="I95" s="84">
        <f t="shared" si="64"/>
        <v>0</v>
      </c>
      <c r="J95" s="84">
        <f t="shared" si="64"/>
        <v>0</v>
      </c>
      <c r="K95" s="84">
        <f t="shared" si="64"/>
        <v>0</v>
      </c>
      <c r="L95" s="84">
        <f t="shared" si="64"/>
        <v>111597.36</v>
      </c>
      <c r="M95" s="84">
        <f t="shared" si="64"/>
        <v>0</v>
      </c>
      <c r="N95" s="84">
        <f t="shared" si="64"/>
        <v>0</v>
      </c>
      <c r="O95" s="84">
        <f t="shared" si="64"/>
        <v>0</v>
      </c>
      <c r="P95" s="84">
        <f t="shared" si="64"/>
        <v>0</v>
      </c>
      <c r="Q95" s="84">
        <f>SUM(Q98:Q99)*10.86</f>
        <v>0</v>
      </c>
      <c r="R95" s="84">
        <f t="shared" si="64"/>
        <v>0</v>
      </c>
      <c r="S95" s="84">
        <f t="shared" si="64"/>
        <v>111597.36</v>
      </c>
      <c r="T95" s="84">
        <f t="shared" si="64"/>
        <v>0</v>
      </c>
      <c r="U95" s="84">
        <f t="shared" si="64"/>
        <v>0</v>
      </c>
      <c r="V95" s="84">
        <f t="shared" si="64"/>
        <v>0</v>
      </c>
      <c r="W95" s="84">
        <f t="shared" si="64"/>
        <v>0</v>
      </c>
      <c r="X95" s="84">
        <f t="shared" si="64"/>
        <v>0</v>
      </c>
      <c r="Y95" s="84">
        <f t="shared" si="64"/>
        <v>0</v>
      </c>
      <c r="Z95" s="84">
        <f t="shared" si="64"/>
        <v>0</v>
      </c>
      <c r="AA95" s="84">
        <f t="shared" si="64"/>
        <v>0</v>
      </c>
      <c r="AB95" s="84">
        <f t="shared" si="64"/>
        <v>0</v>
      </c>
      <c r="AC95" s="84">
        <f t="shared" si="64"/>
        <v>0</v>
      </c>
      <c r="AD95" s="84">
        <f t="shared" si="64"/>
        <v>0</v>
      </c>
      <c r="AE95" s="84">
        <f t="shared" si="64"/>
        <v>0</v>
      </c>
      <c r="AF95" s="84">
        <f t="shared" si="64"/>
        <v>2172</v>
      </c>
      <c r="AG95" s="84">
        <f t="shared" si="64"/>
        <v>112422.72</v>
      </c>
      <c r="AH95" s="84">
        <f t="shared" si="64"/>
        <v>0</v>
      </c>
      <c r="AI95" s="84">
        <f>SUM(AI98:AI99)*10.86</f>
        <v>27693</v>
      </c>
      <c r="AJ95" s="84">
        <f t="shared" si="64"/>
        <v>0</v>
      </c>
      <c r="AK95" s="117"/>
      <c r="AL95" s="119">
        <f>SUM(F95:AJ95)</f>
        <v>365482.44</v>
      </c>
      <c r="AN95" s="118"/>
    </row>
    <row r="96" spans="2:40 15093:15485" s="1" customFormat="1">
      <c r="B96" s="70"/>
      <c r="C96" s="217" t="s">
        <v>67</v>
      </c>
      <c r="D96" s="74"/>
      <c r="E96" s="206" t="s">
        <v>9</v>
      </c>
      <c r="F96" s="84">
        <f t="shared" ref="F96:AJ96" si="65">F94-F95</f>
        <v>0</v>
      </c>
      <c r="G96" s="84">
        <f t="shared" si="65"/>
        <v>0</v>
      </c>
      <c r="H96" s="84">
        <f t="shared" si="65"/>
        <v>0</v>
      </c>
      <c r="I96" s="84">
        <f t="shared" si="65"/>
        <v>0</v>
      </c>
      <c r="J96" s="84">
        <f t="shared" si="65"/>
        <v>0</v>
      </c>
      <c r="K96" s="84">
        <f t="shared" si="65"/>
        <v>0</v>
      </c>
      <c r="L96" s="84">
        <f t="shared" si="65"/>
        <v>7.2449999999953434</v>
      </c>
      <c r="M96" s="84">
        <f t="shared" si="65"/>
        <v>0</v>
      </c>
      <c r="N96" s="84">
        <f t="shared" si="65"/>
        <v>0</v>
      </c>
      <c r="O96" s="84">
        <f t="shared" si="65"/>
        <v>0</v>
      </c>
      <c r="P96" s="84">
        <f t="shared" si="65"/>
        <v>0</v>
      </c>
      <c r="Q96" s="84">
        <f t="shared" si="65"/>
        <v>0</v>
      </c>
      <c r="R96" s="84">
        <f t="shared" si="65"/>
        <v>0</v>
      </c>
      <c r="S96" s="84">
        <f t="shared" si="65"/>
        <v>8.1549999999988358</v>
      </c>
      <c r="T96" s="84">
        <f t="shared" si="65"/>
        <v>0</v>
      </c>
      <c r="U96" s="84">
        <f t="shared" si="65"/>
        <v>0</v>
      </c>
      <c r="V96" s="84">
        <f t="shared" si="65"/>
        <v>0</v>
      </c>
      <c r="W96" s="84">
        <f t="shared" si="65"/>
        <v>0</v>
      </c>
      <c r="X96" s="84">
        <f t="shared" si="65"/>
        <v>0</v>
      </c>
      <c r="Y96" s="84">
        <f t="shared" si="65"/>
        <v>0</v>
      </c>
      <c r="Z96" s="84">
        <f t="shared" si="65"/>
        <v>0</v>
      </c>
      <c r="AA96" s="84">
        <f t="shared" si="65"/>
        <v>0</v>
      </c>
      <c r="AB96" s="84">
        <f t="shared" si="65"/>
        <v>0</v>
      </c>
      <c r="AC96" s="84">
        <f t="shared" si="65"/>
        <v>0</v>
      </c>
      <c r="AD96" s="84">
        <f t="shared" si="65"/>
        <v>0</v>
      </c>
      <c r="AE96" s="84">
        <f t="shared" si="65"/>
        <v>0</v>
      </c>
      <c r="AF96" s="84">
        <f t="shared" si="65"/>
        <v>0</v>
      </c>
      <c r="AG96" s="84">
        <f t="shared" si="65"/>
        <v>8.1549999999988358</v>
      </c>
      <c r="AH96" s="84">
        <f t="shared" si="65"/>
        <v>0</v>
      </c>
      <c r="AI96" s="84">
        <f t="shared" ref="AI96" si="66">AI94-AI95</f>
        <v>6.3449999999975262</v>
      </c>
      <c r="AJ96" s="84">
        <f t="shared" si="65"/>
        <v>0</v>
      </c>
      <c r="AK96" s="117"/>
      <c r="AL96" s="119">
        <f>SUM(F96:AJ96)</f>
        <v>29.899999999990541</v>
      </c>
      <c r="AN96" s="118"/>
    </row>
    <row r="97" spans="2:40 15093:15485" s="1" customFormat="1">
      <c r="B97" s="70"/>
      <c r="C97" s="217" t="s">
        <v>68</v>
      </c>
      <c r="D97" s="74"/>
      <c r="E97" s="7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117"/>
      <c r="AL97" s="122" t="s">
        <v>68</v>
      </c>
      <c r="AN97" s="118"/>
    </row>
    <row r="98" spans="2:40 15093:15485" s="6" customFormat="1" ht="13.8">
      <c r="B98" s="42"/>
      <c r="C98" s="40" t="s">
        <v>81</v>
      </c>
      <c r="D98" s="41"/>
      <c r="E98" s="219" t="s">
        <v>70</v>
      </c>
      <c r="F98" s="145">
        <v>0</v>
      </c>
      <c r="G98" s="145">
        <v>0</v>
      </c>
      <c r="H98" s="145">
        <v>0</v>
      </c>
      <c r="I98" s="145">
        <v>0</v>
      </c>
      <c r="J98" s="145">
        <v>0</v>
      </c>
      <c r="K98" s="145">
        <v>0</v>
      </c>
      <c r="L98" s="145">
        <v>3426</v>
      </c>
      <c r="M98" s="145">
        <v>0</v>
      </c>
      <c r="N98" s="145">
        <v>0</v>
      </c>
      <c r="O98" s="145">
        <v>0</v>
      </c>
      <c r="P98" s="145">
        <v>0</v>
      </c>
      <c r="Q98" s="145">
        <v>0</v>
      </c>
      <c r="R98" s="145">
        <v>0</v>
      </c>
      <c r="S98" s="145">
        <v>3426</v>
      </c>
      <c r="T98" s="145">
        <v>0</v>
      </c>
      <c r="U98" s="145">
        <v>0</v>
      </c>
      <c r="V98" s="145">
        <v>0</v>
      </c>
      <c r="W98" s="145">
        <v>0</v>
      </c>
      <c r="X98" s="145">
        <v>0</v>
      </c>
      <c r="Y98" s="145">
        <v>0</v>
      </c>
      <c r="Z98" s="145">
        <v>0</v>
      </c>
      <c r="AA98" s="145">
        <v>0</v>
      </c>
      <c r="AB98" s="145">
        <v>0</v>
      </c>
      <c r="AC98" s="145">
        <v>0</v>
      </c>
      <c r="AD98" s="145">
        <v>0</v>
      </c>
      <c r="AE98" s="145">
        <v>0</v>
      </c>
      <c r="AF98" s="145">
        <v>0</v>
      </c>
      <c r="AG98" s="145">
        <v>3760</v>
      </c>
      <c r="AH98" s="145">
        <v>0</v>
      </c>
      <c r="AI98" s="145">
        <v>2350</v>
      </c>
      <c r="AJ98" s="145">
        <v>0</v>
      </c>
      <c r="AK98" s="124"/>
      <c r="AL98" s="125">
        <f>SUM(F98:AJ98)</f>
        <v>12962</v>
      </c>
      <c r="AN98" s="159"/>
    </row>
    <row r="99" spans="2:40 15093:15485" s="6" customFormat="1" ht="13.8">
      <c r="B99" s="42"/>
      <c r="C99" s="40" t="s">
        <v>82</v>
      </c>
      <c r="D99" s="41"/>
      <c r="E99" s="219" t="s">
        <v>70</v>
      </c>
      <c r="F99" s="145">
        <v>0</v>
      </c>
      <c r="G99" s="145">
        <v>0</v>
      </c>
      <c r="H99" s="145">
        <v>0</v>
      </c>
      <c r="I99" s="145">
        <v>0</v>
      </c>
      <c r="J99" s="145">
        <v>0</v>
      </c>
      <c r="K99" s="145">
        <v>0</v>
      </c>
      <c r="L99" s="145">
        <v>6850</v>
      </c>
      <c r="M99" s="145">
        <v>0</v>
      </c>
      <c r="N99" s="145">
        <v>0</v>
      </c>
      <c r="O99" s="145">
        <v>0</v>
      </c>
      <c r="P99" s="145">
        <v>0</v>
      </c>
      <c r="Q99" s="145">
        <v>0</v>
      </c>
      <c r="R99" s="145">
        <v>0</v>
      </c>
      <c r="S99" s="145">
        <v>6850</v>
      </c>
      <c r="T99" s="145">
        <v>0</v>
      </c>
      <c r="U99" s="145">
        <v>0</v>
      </c>
      <c r="V99" s="145">
        <v>0</v>
      </c>
      <c r="W99" s="145">
        <v>0</v>
      </c>
      <c r="X99" s="145">
        <v>0</v>
      </c>
      <c r="Y99" s="145">
        <v>0</v>
      </c>
      <c r="Z99" s="145">
        <v>0</v>
      </c>
      <c r="AA99" s="145">
        <v>0</v>
      </c>
      <c r="AB99" s="145">
        <v>0</v>
      </c>
      <c r="AC99" s="145">
        <v>0</v>
      </c>
      <c r="AD99" s="145">
        <v>0</v>
      </c>
      <c r="AE99" s="145">
        <v>0</v>
      </c>
      <c r="AF99" s="145">
        <v>200</v>
      </c>
      <c r="AG99" s="145">
        <v>6592</v>
      </c>
      <c r="AH99" s="145">
        <v>0</v>
      </c>
      <c r="AI99" s="145">
        <v>200</v>
      </c>
      <c r="AJ99" s="145">
        <v>0</v>
      </c>
      <c r="AK99" s="124"/>
      <c r="AL99" s="125">
        <f>SUM(F99:AJ99)</f>
        <v>20692</v>
      </c>
      <c r="AN99" s="159"/>
    </row>
    <row r="100" spans="2:40 15093:15485" s="1" customFormat="1">
      <c r="B100" s="70"/>
      <c r="C100" s="217" t="s">
        <v>72</v>
      </c>
      <c r="D100" s="74"/>
      <c r="E100" s="7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117"/>
      <c r="AL100" s="122" t="s">
        <v>72</v>
      </c>
      <c r="AN100" s="118"/>
    </row>
    <row r="101" spans="2:40 15093:15485" s="1" customFormat="1" ht="13.8">
      <c r="B101" s="70"/>
      <c r="C101" s="40" t="s">
        <v>81</v>
      </c>
      <c r="D101" s="74"/>
      <c r="E101" s="206" t="s">
        <v>72</v>
      </c>
      <c r="F101" s="60">
        <f t="shared" ref="F101:AJ101" si="67">F98*12</f>
        <v>0</v>
      </c>
      <c r="G101" s="60">
        <f t="shared" si="67"/>
        <v>0</v>
      </c>
      <c r="H101" s="60">
        <f t="shared" si="67"/>
        <v>0</v>
      </c>
      <c r="I101" s="60">
        <f t="shared" si="67"/>
        <v>0</v>
      </c>
      <c r="J101" s="60">
        <f t="shared" si="67"/>
        <v>0</v>
      </c>
      <c r="K101" s="60">
        <f t="shared" si="67"/>
        <v>0</v>
      </c>
      <c r="L101" s="60">
        <f t="shared" si="67"/>
        <v>41112</v>
      </c>
      <c r="M101" s="60">
        <f t="shared" si="67"/>
        <v>0</v>
      </c>
      <c r="N101" s="60">
        <f t="shared" si="67"/>
        <v>0</v>
      </c>
      <c r="O101" s="60">
        <f t="shared" si="67"/>
        <v>0</v>
      </c>
      <c r="P101" s="60">
        <f t="shared" si="67"/>
        <v>0</v>
      </c>
      <c r="Q101" s="60">
        <f t="shared" si="67"/>
        <v>0</v>
      </c>
      <c r="R101" s="60">
        <f t="shared" si="67"/>
        <v>0</v>
      </c>
      <c r="S101" s="60">
        <f t="shared" si="67"/>
        <v>41112</v>
      </c>
      <c r="T101" s="60">
        <f t="shared" si="67"/>
        <v>0</v>
      </c>
      <c r="U101" s="60">
        <f t="shared" si="67"/>
        <v>0</v>
      </c>
      <c r="V101" s="60">
        <f t="shared" si="67"/>
        <v>0</v>
      </c>
      <c r="W101" s="60">
        <f t="shared" si="67"/>
        <v>0</v>
      </c>
      <c r="X101" s="60">
        <f t="shared" si="67"/>
        <v>0</v>
      </c>
      <c r="Y101" s="60">
        <f t="shared" si="67"/>
        <v>0</v>
      </c>
      <c r="Z101" s="60">
        <f t="shared" si="67"/>
        <v>0</v>
      </c>
      <c r="AA101" s="60">
        <f t="shared" si="67"/>
        <v>0</v>
      </c>
      <c r="AB101" s="60">
        <f t="shared" si="67"/>
        <v>0</v>
      </c>
      <c r="AC101" s="60">
        <f t="shared" si="67"/>
        <v>0</v>
      </c>
      <c r="AD101" s="60">
        <f t="shared" si="67"/>
        <v>0</v>
      </c>
      <c r="AE101" s="60">
        <f t="shared" si="67"/>
        <v>0</v>
      </c>
      <c r="AF101" s="60">
        <f t="shared" si="67"/>
        <v>0</v>
      </c>
      <c r="AG101" s="60">
        <f t="shared" si="67"/>
        <v>45120</v>
      </c>
      <c r="AH101" s="60">
        <f t="shared" si="67"/>
        <v>0</v>
      </c>
      <c r="AI101" s="60">
        <f t="shared" ref="AI101" si="68">AI98*12</f>
        <v>28200</v>
      </c>
      <c r="AJ101" s="60">
        <f t="shared" si="67"/>
        <v>0</v>
      </c>
      <c r="AK101" s="117"/>
      <c r="AL101" s="116">
        <f>AL98*12</f>
        <v>155544</v>
      </c>
      <c r="AN101" s="118"/>
    </row>
    <row r="102" spans="2:40 15093:15485" s="1" customFormat="1" ht="13.8">
      <c r="B102" s="70"/>
      <c r="C102" s="40" t="s">
        <v>82</v>
      </c>
      <c r="D102" s="74"/>
      <c r="E102" s="206" t="s">
        <v>72</v>
      </c>
      <c r="F102" s="60">
        <f t="shared" ref="F102:AJ102" si="69">F99*6</f>
        <v>0</v>
      </c>
      <c r="G102" s="60">
        <f t="shared" si="69"/>
        <v>0</v>
      </c>
      <c r="H102" s="60">
        <f t="shared" si="69"/>
        <v>0</v>
      </c>
      <c r="I102" s="60">
        <f t="shared" si="69"/>
        <v>0</v>
      </c>
      <c r="J102" s="60">
        <f t="shared" si="69"/>
        <v>0</v>
      </c>
      <c r="K102" s="60">
        <f t="shared" si="69"/>
        <v>0</v>
      </c>
      <c r="L102" s="60">
        <f t="shared" si="69"/>
        <v>41100</v>
      </c>
      <c r="M102" s="60">
        <f t="shared" si="69"/>
        <v>0</v>
      </c>
      <c r="N102" s="60">
        <f t="shared" si="69"/>
        <v>0</v>
      </c>
      <c r="O102" s="60">
        <f t="shared" si="69"/>
        <v>0</v>
      </c>
      <c r="P102" s="60">
        <f t="shared" si="69"/>
        <v>0</v>
      </c>
      <c r="Q102" s="60">
        <f t="shared" si="69"/>
        <v>0</v>
      </c>
      <c r="R102" s="60">
        <f t="shared" si="69"/>
        <v>0</v>
      </c>
      <c r="S102" s="60">
        <f t="shared" si="69"/>
        <v>41100</v>
      </c>
      <c r="T102" s="60">
        <f t="shared" si="69"/>
        <v>0</v>
      </c>
      <c r="U102" s="60">
        <f t="shared" si="69"/>
        <v>0</v>
      </c>
      <c r="V102" s="60">
        <f t="shared" si="69"/>
        <v>0</v>
      </c>
      <c r="W102" s="60">
        <f t="shared" si="69"/>
        <v>0</v>
      </c>
      <c r="X102" s="60">
        <f t="shared" si="69"/>
        <v>0</v>
      </c>
      <c r="Y102" s="60">
        <f t="shared" si="69"/>
        <v>0</v>
      </c>
      <c r="Z102" s="60">
        <f t="shared" si="69"/>
        <v>0</v>
      </c>
      <c r="AA102" s="60">
        <f t="shared" si="69"/>
        <v>0</v>
      </c>
      <c r="AB102" s="60">
        <f t="shared" si="69"/>
        <v>0</v>
      </c>
      <c r="AC102" s="60">
        <f t="shared" si="69"/>
        <v>0</v>
      </c>
      <c r="AD102" s="60">
        <f t="shared" si="69"/>
        <v>0</v>
      </c>
      <c r="AE102" s="60">
        <f t="shared" si="69"/>
        <v>0</v>
      </c>
      <c r="AF102" s="60">
        <f t="shared" si="69"/>
        <v>1200</v>
      </c>
      <c r="AG102" s="60">
        <f t="shared" si="69"/>
        <v>39552</v>
      </c>
      <c r="AH102" s="60">
        <f t="shared" si="69"/>
        <v>0</v>
      </c>
      <c r="AI102" s="60">
        <f t="shared" ref="AI102" si="70">AI99*6</f>
        <v>1200</v>
      </c>
      <c r="AJ102" s="60">
        <f t="shared" si="69"/>
        <v>0</v>
      </c>
      <c r="AK102" s="117"/>
      <c r="AL102" s="116">
        <f>AL99*6</f>
        <v>124152</v>
      </c>
      <c r="AN102" s="118"/>
    </row>
    <row r="103" spans="2:40 15093:15485" s="1" customFormat="1">
      <c r="B103" s="70"/>
      <c r="C103" s="217" t="s">
        <v>73</v>
      </c>
      <c r="D103" s="74"/>
      <c r="E103" s="206" t="s">
        <v>74</v>
      </c>
      <c r="F103" s="60">
        <v>0</v>
      </c>
      <c r="G103" s="60">
        <f>(G94*45)/1700</f>
        <v>0</v>
      </c>
      <c r="H103" s="60">
        <f t="shared" ref="H103:Y103" si="71">(H94*45)/1700</f>
        <v>0</v>
      </c>
      <c r="I103" s="60">
        <f t="shared" si="71"/>
        <v>0</v>
      </c>
      <c r="J103" s="60">
        <f t="shared" si="71"/>
        <v>0</v>
      </c>
      <c r="K103" s="60">
        <f t="shared" si="71"/>
        <v>0</v>
      </c>
      <c r="L103" s="60">
        <f t="shared" si="71"/>
        <v>2954.2395441176468</v>
      </c>
      <c r="M103" s="60">
        <f t="shared" si="71"/>
        <v>0</v>
      </c>
      <c r="N103" s="60">
        <f t="shared" si="71"/>
        <v>0</v>
      </c>
      <c r="O103" s="60">
        <f t="shared" si="71"/>
        <v>0</v>
      </c>
      <c r="P103" s="60">
        <f t="shared" si="71"/>
        <v>0</v>
      </c>
      <c r="Q103" s="60">
        <f t="shared" si="71"/>
        <v>0</v>
      </c>
      <c r="R103" s="60">
        <f t="shared" si="71"/>
        <v>0</v>
      </c>
      <c r="S103" s="60">
        <f t="shared" si="71"/>
        <v>2954.2636323529409</v>
      </c>
      <c r="T103" s="60">
        <f t="shared" si="71"/>
        <v>0</v>
      </c>
      <c r="U103" s="60">
        <f t="shared" si="71"/>
        <v>0</v>
      </c>
      <c r="V103" s="60">
        <f t="shared" si="71"/>
        <v>0</v>
      </c>
      <c r="W103" s="60">
        <f t="shared" si="71"/>
        <v>0</v>
      </c>
      <c r="X103" s="60">
        <f t="shared" si="71"/>
        <v>0</v>
      </c>
      <c r="Y103" s="60">
        <f t="shared" si="71"/>
        <v>0</v>
      </c>
      <c r="Z103" s="60">
        <f t="shared" ref="Z103:AJ103" si="72">Z94*45/1700</f>
        <v>0</v>
      </c>
      <c r="AA103" s="60">
        <f t="shared" si="72"/>
        <v>0</v>
      </c>
      <c r="AB103" s="60">
        <f t="shared" si="72"/>
        <v>0</v>
      </c>
      <c r="AC103" s="60">
        <f t="shared" si="72"/>
        <v>0</v>
      </c>
      <c r="AD103" s="60">
        <f t="shared" si="72"/>
        <v>0</v>
      </c>
      <c r="AE103" s="60">
        <f t="shared" si="72"/>
        <v>0</v>
      </c>
      <c r="AF103" s="60">
        <f t="shared" si="72"/>
        <v>57.494117647058822</v>
      </c>
      <c r="AG103" s="60">
        <f t="shared" si="72"/>
        <v>2976.1113970588235</v>
      </c>
      <c r="AH103" s="60">
        <f t="shared" si="72"/>
        <v>0</v>
      </c>
      <c r="AI103" s="60">
        <f t="shared" ref="AI103" si="73">AI94*45/1700</f>
        <v>733.21795588235284</v>
      </c>
      <c r="AJ103" s="60">
        <f t="shared" si="72"/>
        <v>0</v>
      </c>
      <c r="AK103" s="117"/>
      <c r="AL103" s="116">
        <f>SUM(F103:AJ103)</f>
        <v>9675.3266470588223</v>
      </c>
      <c r="AN103" s="118"/>
    </row>
    <row r="104" spans="2:40 15093:15485" s="1" customFormat="1">
      <c r="B104" s="70"/>
      <c r="C104" s="217" t="s">
        <v>75</v>
      </c>
      <c r="D104" s="74"/>
      <c r="E104" s="206" t="s">
        <v>76</v>
      </c>
      <c r="F104" s="60">
        <f t="shared" ref="F104:AJ104" si="74">SUM(F98:F99)/500</f>
        <v>0</v>
      </c>
      <c r="G104" s="60">
        <f t="shared" si="74"/>
        <v>0</v>
      </c>
      <c r="H104" s="60">
        <f t="shared" si="74"/>
        <v>0</v>
      </c>
      <c r="I104" s="60">
        <f t="shared" si="74"/>
        <v>0</v>
      </c>
      <c r="J104" s="60">
        <f t="shared" si="74"/>
        <v>0</v>
      </c>
      <c r="K104" s="60">
        <f t="shared" si="74"/>
        <v>0</v>
      </c>
      <c r="L104" s="60">
        <f t="shared" si="74"/>
        <v>20.552</v>
      </c>
      <c r="M104" s="60">
        <f t="shared" si="74"/>
        <v>0</v>
      </c>
      <c r="N104" s="60">
        <f t="shared" si="74"/>
        <v>0</v>
      </c>
      <c r="O104" s="60">
        <f t="shared" si="74"/>
        <v>0</v>
      </c>
      <c r="P104" s="60">
        <f t="shared" si="74"/>
        <v>0</v>
      </c>
      <c r="Q104" s="60">
        <f t="shared" si="74"/>
        <v>0</v>
      </c>
      <c r="R104" s="60">
        <f t="shared" si="74"/>
        <v>0</v>
      </c>
      <c r="S104" s="60">
        <f t="shared" si="74"/>
        <v>20.552</v>
      </c>
      <c r="T104" s="60">
        <f t="shared" si="74"/>
        <v>0</v>
      </c>
      <c r="U104" s="60">
        <f t="shared" si="74"/>
        <v>0</v>
      </c>
      <c r="V104" s="60">
        <f t="shared" si="74"/>
        <v>0</v>
      </c>
      <c r="W104" s="60">
        <f t="shared" si="74"/>
        <v>0</v>
      </c>
      <c r="X104" s="60">
        <f t="shared" si="74"/>
        <v>0</v>
      </c>
      <c r="Y104" s="60">
        <f t="shared" si="74"/>
        <v>0</v>
      </c>
      <c r="Z104" s="60">
        <f t="shared" si="74"/>
        <v>0</v>
      </c>
      <c r="AA104" s="60">
        <f t="shared" si="74"/>
        <v>0</v>
      </c>
      <c r="AB104" s="60">
        <f t="shared" si="74"/>
        <v>0</v>
      </c>
      <c r="AC104" s="60">
        <f t="shared" si="74"/>
        <v>0</v>
      </c>
      <c r="AD104" s="60">
        <f t="shared" si="74"/>
        <v>0</v>
      </c>
      <c r="AE104" s="60">
        <f t="shared" si="74"/>
        <v>0</v>
      </c>
      <c r="AF104" s="235">
        <f t="shared" si="74"/>
        <v>0.4</v>
      </c>
      <c r="AG104" s="60">
        <f t="shared" si="74"/>
        <v>20.704000000000001</v>
      </c>
      <c r="AH104" s="60">
        <f t="shared" si="74"/>
        <v>0</v>
      </c>
      <c r="AI104" s="60">
        <f>SUM(AI98:AI99)/500</f>
        <v>5.0999999999999996</v>
      </c>
      <c r="AJ104" s="60">
        <f t="shared" si="74"/>
        <v>0</v>
      </c>
      <c r="AK104" s="117"/>
      <c r="AL104" s="116">
        <f>SUM(F104:AJ104)</f>
        <v>67.307999999999993</v>
      </c>
      <c r="AN104" s="118"/>
    </row>
    <row r="105" spans="2:40 15093:15485" s="1" customFormat="1">
      <c r="B105" s="57"/>
      <c r="C105" s="36" t="s">
        <v>77</v>
      </c>
      <c r="D105" s="55"/>
      <c r="E105" s="55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103"/>
      <c r="AD105" s="56"/>
      <c r="AE105" s="56"/>
      <c r="AF105" s="56"/>
      <c r="AG105" s="56"/>
      <c r="AH105" s="56"/>
      <c r="AI105" s="103"/>
      <c r="AJ105" s="103"/>
      <c r="AK105" s="107"/>
      <c r="AL105" s="203" t="s">
        <v>78</v>
      </c>
      <c r="AN105" s="29"/>
      <c r="VHM105"/>
      <c r="VHN105"/>
      <c r="VHO105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</row>
    <row r="106" spans="2:40 15093:15485" s="1" customFormat="1">
      <c r="B106" s="70"/>
      <c r="C106" s="217" t="s">
        <v>68</v>
      </c>
      <c r="D106" s="74"/>
      <c r="E106" s="7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117"/>
      <c r="AL106" s="122" t="s">
        <v>68</v>
      </c>
      <c r="AN106" s="118"/>
    </row>
    <row r="107" spans="2:40 15093:15485" s="1" customFormat="1" ht="13.8">
      <c r="B107" s="70"/>
      <c r="C107" s="40" t="s">
        <v>81</v>
      </c>
      <c r="D107" s="74"/>
      <c r="E107" s="206" t="s">
        <v>70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3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  <c r="R107" s="60">
        <v>0</v>
      </c>
      <c r="S107" s="60">
        <v>1</v>
      </c>
      <c r="T107" s="60">
        <v>0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v>0</v>
      </c>
      <c r="AB107" s="60">
        <v>0</v>
      </c>
      <c r="AC107" s="60">
        <v>0</v>
      </c>
      <c r="AD107" s="60">
        <v>0</v>
      </c>
      <c r="AE107" s="60">
        <v>0</v>
      </c>
      <c r="AF107" s="60">
        <v>0</v>
      </c>
      <c r="AG107" s="60">
        <v>2</v>
      </c>
      <c r="AH107" s="60">
        <v>0</v>
      </c>
      <c r="AI107" s="60">
        <v>0</v>
      </c>
      <c r="AJ107" s="60">
        <v>0</v>
      </c>
      <c r="AK107" s="117"/>
      <c r="AL107" s="116">
        <f t="shared" ref="AL107:AL111" si="75">SUM(F107:AJ107)</f>
        <v>6</v>
      </c>
      <c r="AN107" s="118"/>
    </row>
    <row r="108" spans="2:40 15093:15485" s="1" customFormat="1" ht="13.8">
      <c r="B108" s="70"/>
      <c r="C108" s="40" t="s">
        <v>82</v>
      </c>
      <c r="D108" s="74"/>
      <c r="E108" s="206" t="s">
        <v>70</v>
      </c>
      <c r="F108" s="60">
        <v>0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7</v>
      </c>
      <c r="M108" s="60">
        <v>0</v>
      </c>
      <c r="N108" s="60">
        <v>0</v>
      </c>
      <c r="O108" s="60">
        <v>0</v>
      </c>
      <c r="P108" s="60">
        <v>0</v>
      </c>
      <c r="Q108" s="60">
        <v>0</v>
      </c>
      <c r="R108" s="60">
        <v>0</v>
      </c>
      <c r="S108" s="60">
        <v>2</v>
      </c>
      <c r="T108" s="60">
        <v>0</v>
      </c>
      <c r="U108" s="60">
        <v>0</v>
      </c>
      <c r="V108" s="60">
        <v>0</v>
      </c>
      <c r="W108" s="60">
        <v>0</v>
      </c>
      <c r="X108" s="60">
        <v>0</v>
      </c>
      <c r="Y108" s="60">
        <v>0</v>
      </c>
      <c r="Z108" s="60">
        <v>0</v>
      </c>
      <c r="AA108" s="60">
        <v>0</v>
      </c>
      <c r="AB108" s="60">
        <v>0</v>
      </c>
      <c r="AC108" s="60">
        <v>0</v>
      </c>
      <c r="AD108" s="60">
        <v>0</v>
      </c>
      <c r="AE108" s="60">
        <v>0</v>
      </c>
      <c r="AF108" s="60">
        <v>1</v>
      </c>
      <c r="AG108" s="60">
        <v>4</v>
      </c>
      <c r="AH108" s="60">
        <v>0</v>
      </c>
      <c r="AI108" s="60">
        <v>0</v>
      </c>
      <c r="AJ108" s="60">
        <v>0</v>
      </c>
      <c r="AK108" s="117"/>
      <c r="AL108" s="116">
        <f t="shared" si="75"/>
        <v>14</v>
      </c>
      <c r="AN108" s="118"/>
    </row>
    <row r="109" spans="2:40 15093:15485" s="1" customFormat="1">
      <c r="B109" s="70"/>
      <c r="C109" s="217" t="s">
        <v>72</v>
      </c>
      <c r="D109" s="74"/>
      <c r="E109" s="7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117"/>
      <c r="AL109" s="122" t="s">
        <v>72</v>
      </c>
      <c r="AN109" s="118"/>
    </row>
    <row r="110" spans="2:40 15093:15485" s="1" customFormat="1" ht="13.8">
      <c r="B110" s="70"/>
      <c r="C110" s="40" t="s">
        <v>81</v>
      </c>
      <c r="D110" s="74"/>
      <c r="E110" s="206" t="s">
        <v>72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12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  <c r="R110" s="60">
        <v>0</v>
      </c>
      <c r="S110" s="60">
        <v>9</v>
      </c>
      <c r="T110" s="60">
        <v>0</v>
      </c>
      <c r="U110" s="60">
        <v>0</v>
      </c>
      <c r="V110" s="60">
        <v>0</v>
      </c>
      <c r="W110" s="60">
        <v>0</v>
      </c>
      <c r="X110" s="60">
        <v>0</v>
      </c>
      <c r="Y110" s="60">
        <v>0</v>
      </c>
      <c r="Z110" s="60">
        <v>0</v>
      </c>
      <c r="AA110" s="60">
        <v>0</v>
      </c>
      <c r="AB110" s="60">
        <v>0</v>
      </c>
      <c r="AC110" s="60">
        <v>0</v>
      </c>
      <c r="AD110" s="60">
        <v>0</v>
      </c>
      <c r="AE110" s="60">
        <v>0</v>
      </c>
      <c r="AF110" s="60">
        <v>0</v>
      </c>
      <c r="AG110" s="60">
        <v>0</v>
      </c>
      <c r="AH110" s="60">
        <v>0</v>
      </c>
      <c r="AI110" s="60">
        <v>0</v>
      </c>
      <c r="AJ110" s="60">
        <v>0</v>
      </c>
      <c r="AK110" s="117"/>
      <c r="AL110" s="116">
        <f t="shared" si="75"/>
        <v>21</v>
      </c>
      <c r="AN110" s="118"/>
    </row>
    <row r="111" spans="2:40 15093:15485" s="1" customFormat="1" ht="13.8">
      <c r="B111" s="70"/>
      <c r="C111" s="40" t="s">
        <v>82</v>
      </c>
      <c r="D111" s="74"/>
      <c r="E111" s="206" t="s">
        <v>72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11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  <c r="R111" s="60">
        <v>0</v>
      </c>
      <c r="S111" s="60">
        <v>9</v>
      </c>
      <c r="T111" s="60">
        <v>0</v>
      </c>
      <c r="U111" s="60">
        <v>0</v>
      </c>
      <c r="V111" s="60">
        <v>0</v>
      </c>
      <c r="W111" s="60">
        <v>0</v>
      </c>
      <c r="X111" s="60">
        <v>0</v>
      </c>
      <c r="Y111" s="60">
        <v>0</v>
      </c>
      <c r="Z111" s="60">
        <v>0</v>
      </c>
      <c r="AA111" s="60">
        <v>0</v>
      </c>
      <c r="AB111" s="60">
        <v>0</v>
      </c>
      <c r="AC111" s="60">
        <v>0</v>
      </c>
      <c r="AD111" s="60">
        <v>0</v>
      </c>
      <c r="AE111" s="60">
        <v>0</v>
      </c>
      <c r="AF111" s="60">
        <v>0</v>
      </c>
      <c r="AG111" s="60">
        <v>12</v>
      </c>
      <c r="AH111" s="60">
        <v>0</v>
      </c>
      <c r="AI111" s="60">
        <v>0</v>
      </c>
      <c r="AJ111" s="60">
        <v>0</v>
      </c>
      <c r="AK111" s="117"/>
      <c r="AL111" s="116">
        <f t="shared" si="75"/>
        <v>32</v>
      </c>
      <c r="AN111" s="118"/>
    </row>
    <row r="112" spans="2:40 15093:15485" s="1" customFormat="1">
      <c r="B112" s="57"/>
      <c r="C112" s="36" t="s">
        <v>79</v>
      </c>
      <c r="D112" s="55"/>
      <c r="E112" s="55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103"/>
      <c r="AD112" s="56"/>
      <c r="AE112" s="56"/>
      <c r="AF112" s="56"/>
      <c r="AG112" s="56"/>
      <c r="AH112" s="103"/>
      <c r="AI112" s="103"/>
      <c r="AJ112" s="103"/>
      <c r="AK112" s="107"/>
      <c r="AL112" s="203" t="s">
        <v>78</v>
      </c>
      <c r="AN112" s="29"/>
      <c r="VHM112"/>
      <c r="VHN112"/>
      <c r="VHO112"/>
      <c r="VHP112"/>
      <c r="VHQ112"/>
      <c r="VHR112"/>
      <c r="VHS112"/>
      <c r="VHT112"/>
      <c r="VHU112"/>
      <c r="VHV112"/>
      <c r="VHW112"/>
      <c r="VHX112"/>
      <c r="VHY112"/>
      <c r="VHZ112"/>
      <c r="VIA112"/>
      <c r="VIB112"/>
      <c r="VIC112"/>
      <c r="VID112"/>
      <c r="VIE112"/>
      <c r="VIF112"/>
      <c r="VIG112"/>
      <c r="VIH112"/>
      <c r="VII112"/>
      <c r="VIJ112"/>
      <c r="VIK112"/>
      <c r="VIL112"/>
      <c r="VIM112"/>
      <c r="VIN112"/>
      <c r="VIO112"/>
      <c r="VIP112"/>
      <c r="VIQ112"/>
      <c r="VIR112"/>
      <c r="VIS112"/>
      <c r="VIT112"/>
      <c r="VIU112"/>
      <c r="VIV112"/>
      <c r="VIW112"/>
      <c r="VIX112"/>
      <c r="VIY112"/>
      <c r="VIZ112"/>
      <c r="VJA112"/>
      <c r="VJB112"/>
      <c r="VJC112"/>
      <c r="VJD112"/>
      <c r="VJE112"/>
      <c r="VJF112"/>
      <c r="VJG112"/>
      <c r="VJH112"/>
      <c r="VJI112"/>
      <c r="VJJ112"/>
      <c r="VJK112"/>
      <c r="VJL112"/>
      <c r="VJM112"/>
      <c r="VJN112"/>
      <c r="VJO112"/>
      <c r="VJP112"/>
      <c r="VJQ112"/>
      <c r="VJR112"/>
      <c r="VJS112"/>
      <c r="VJT112"/>
      <c r="VJU112"/>
      <c r="VJV112"/>
      <c r="VJW112"/>
      <c r="VJX112"/>
      <c r="VJY112"/>
      <c r="VJZ112"/>
      <c r="VKA112"/>
      <c r="VKB112"/>
      <c r="VKC112"/>
      <c r="VKD112"/>
      <c r="VKE112"/>
      <c r="VKF112"/>
      <c r="VKG112"/>
      <c r="VKH112"/>
      <c r="VKI112"/>
      <c r="VKJ112"/>
      <c r="VKK112"/>
      <c r="VKL112"/>
      <c r="VKM112"/>
      <c r="VKN112"/>
      <c r="VKO112"/>
      <c r="VKP112"/>
      <c r="VKQ112"/>
      <c r="VKR112"/>
      <c r="VKS112"/>
      <c r="VKT112"/>
      <c r="VKU112"/>
      <c r="VKV112"/>
      <c r="VKW112"/>
      <c r="VKX112"/>
      <c r="VKY112"/>
      <c r="VKZ112"/>
      <c r="VLA112"/>
      <c r="VLB112"/>
      <c r="VLC112"/>
      <c r="VLD112"/>
      <c r="VLE112"/>
      <c r="VLF112"/>
      <c r="VLG112"/>
      <c r="VLH112"/>
      <c r="VLI112"/>
      <c r="VLJ112"/>
      <c r="VLK112"/>
      <c r="VLL112"/>
      <c r="VLM112"/>
      <c r="VLN112"/>
      <c r="VLO112"/>
      <c r="VLP112"/>
      <c r="VLQ112"/>
      <c r="VLR112"/>
      <c r="VLS112"/>
      <c r="VLT112"/>
      <c r="VLU112"/>
      <c r="VLV112"/>
      <c r="VLW112"/>
      <c r="VLX112"/>
      <c r="VLY112"/>
      <c r="VLZ112"/>
      <c r="VMA112"/>
      <c r="VMB112"/>
      <c r="VMC112"/>
      <c r="VMD112"/>
      <c r="VME112"/>
      <c r="VMF112"/>
      <c r="VMG112"/>
      <c r="VMH112"/>
      <c r="VMI112"/>
      <c r="VMJ112"/>
      <c r="VMK112"/>
      <c r="VML112"/>
      <c r="VMM112"/>
      <c r="VMN112"/>
      <c r="VMO112"/>
      <c r="VMP112"/>
      <c r="VMQ112"/>
      <c r="VMR112"/>
      <c r="VMS112"/>
      <c r="VMT112"/>
      <c r="VMU112"/>
      <c r="VMV112"/>
      <c r="VMW112"/>
      <c r="VMX112"/>
      <c r="VMY112"/>
      <c r="VMZ112"/>
      <c r="VNA112"/>
      <c r="VNB112"/>
      <c r="VNC112"/>
      <c r="VND112"/>
      <c r="VNE112"/>
      <c r="VNF112"/>
      <c r="VNG112"/>
      <c r="VNH112"/>
      <c r="VNI112"/>
      <c r="VNJ112"/>
      <c r="VNK112"/>
      <c r="VNL112"/>
      <c r="VNM112"/>
      <c r="VNN112"/>
      <c r="VNO112"/>
      <c r="VNP112"/>
      <c r="VNQ112"/>
      <c r="VNR112"/>
      <c r="VNS112"/>
      <c r="VNT112"/>
      <c r="VNU112"/>
      <c r="VNV112"/>
      <c r="VNW112"/>
      <c r="VNX112"/>
      <c r="VNY112"/>
      <c r="VNZ112"/>
      <c r="VOA112"/>
      <c r="VOB112"/>
      <c r="VOC112"/>
      <c r="VOD112"/>
      <c r="VOE112"/>
      <c r="VOF112"/>
      <c r="VOG112"/>
      <c r="VOH112"/>
      <c r="VOI112"/>
      <c r="VOJ112"/>
      <c r="VOK112"/>
      <c r="VOL112"/>
      <c r="VOM112"/>
      <c r="VON112"/>
      <c r="VOO112"/>
      <c r="VOP112"/>
      <c r="VOQ112"/>
      <c r="VOR112"/>
      <c r="VOS112"/>
      <c r="VOT112"/>
      <c r="VOU112"/>
      <c r="VOV112"/>
      <c r="VOW112"/>
      <c r="VOX112"/>
      <c r="VOY112"/>
      <c r="VOZ112"/>
      <c r="VPA112"/>
      <c r="VPB112"/>
      <c r="VPC112"/>
      <c r="VPD112"/>
      <c r="VPE112"/>
      <c r="VPF112"/>
      <c r="VPG112"/>
      <c r="VPH112"/>
      <c r="VPI112"/>
      <c r="VPJ112"/>
      <c r="VPK112"/>
      <c r="VPL112"/>
      <c r="VPM112"/>
      <c r="VPN112"/>
      <c r="VPO112"/>
      <c r="VPP112"/>
      <c r="VPQ112"/>
      <c r="VPR112"/>
      <c r="VPS112"/>
      <c r="VPT112"/>
      <c r="VPU112"/>
      <c r="VPV112"/>
      <c r="VPW112"/>
      <c r="VPX112"/>
      <c r="VPY112"/>
      <c r="VPZ112"/>
      <c r="VQA112"/>
      <c r="VQB112"/>
      <c r="VQC112"/>
      <c r="VQD112"/>
      <c r="VQE112"/>
      <c r="VQF112"/>
      <c r="VQG112"/>
      <c r="VQH112"/>
      <c r="VQI112"/>
      <c r="VQJ112"/>
      <c r="VQK112"/>
      <c r="VQL112"/>
      <c r="VQM112"/>
      <c r="VQN112"/>
      <c r="VQO112"/>
      <c r="VQP112"/>
      <c r="VQQ112"/>
      <c r="VQR112"/>
      <c r="VQS112"/>
      <c r="VQT112"/>
      <c r="VQU112"/>
      <c r="VQV112"/>
      <c r="VQW112"/>
      <c r="VQX112"/>
      <c r="VQY112"/>
      <c r="VQZ112"/>
      <c r="VRA112"/>
      <c r="VRB112"/>
      <c r="VRC112"/>
      <c r="VRD112"/>
      <c r="VRE112"/>
      <c r="VRF112"/>
      <c r="VRG112"/>
      <c r="VRH112"/>
      <c r="VRI112"/>
      <c r="VRJ112"/>
      <c r="VRK112"/>
      <c r="VRL112"/>
      <c r="VRM112"/>
      <c r="VRN112"/>
      <c r="VRO112"/>
      <c r="VRP112"/>
      <c r="VRQ112"/>
      <c r="VRR112"/>
      <c r="VRS112"/>
      <c r="VRT112"/>
      <c r="VRU112"/>
      <c r="VRV112"/>
      <c r="VRW112"/>
      <c r="VRX112"/>
      <c r="VRY112"/>
      <c r="VRZ112"/>
      <c r="VSA112"/>
      <c r="VSB112"/>
      <c r="VSC112"/>
      <c r="VSD112"/>
      <c r="VSE112"/>
      <c r="VSF112"/>
      <c r="VSG112"/>
      <c r="VSH112"/>
      <c r="VSI112"/>
      <c r="VSJ112"/>
      <c r="VSK112"/>
      <c r="VSL112"/>
      <c r="VSM112"/>
      <c r="VSN112"/>
      <c r="VSO112"/>
      <c r="VSP112"/>
      <c r="VSQ112"/>
      <c r="VSR112"/>
      <c r="VSS112"/>
      <c r="VST112"/>
      <c r="VSU112"/>
      <c r="VSV112"/>
      <c r="VSW112"/>
      <c r="VSX112"/>
      <c r="VSY112"/>
      <c r="VSZ112"/>
      <c r="VTA112"/>
      <c r="VTB112"/>
      <c r="VTC112"/>
      <c r="VTD112"/>
      <c r="VTE112"/>
      <c r="VTF112"/>
      <c r="VTG112"/>
      <c r="VTH112"/>
      <c r="VTI112"/>
      <c r="VTJ112"/>
      <c r="VTK112"/>
      <c r="VTL112"/>
      <c r="VTM112"/>
      <c r="VTN112"/>
      <c r="VTO112"/>
      <c r="VTP112"/>
      <c r="VTQ112"/>
      <c r="VTR112"/>
      <c r="VTS112"/>
      <c r="VTT112"/>
      <c r="VTU112"/>
      <c r="VTV112"/>
      <c r="VTW112"/>
      <c r="VTX112"/>
      <c r="VTY112"/>
      <c r="VTZ112"/>
      <c r="VUA112"/>
      <c r="VUB112"/>
      <c r="VUC112"/>
      <c r="VUD112"/>
      <c r="VUE112"/>
      <c r="VUF112"/>
      <c r="VUG112"/>
      <c r="VUH112"/>
      <c r="VUI112"/>
      <c r="VUJ112"/>
      <c r="VUK112"/>
      <c r="VUL112"/>
      <c r="VUM112"/>
      <c r="VUN112"/>
      <c r="VUO112"/>
      <c r="VUP112"/>
      <c r="VUQ112"/>
      <c r="VUR112"/>
      <c r="VUS112"/>
      <c r="VUT112"/>
      <c r="VUU112"/>
      <c r="VUV112"/>
      <c r="VUW112"/>
      <c r="VUX112"/>
      <c r="VUY112"/>
      <c r="VUZ112"/>
      <c r="VVA112"/>
      <c r="VVB112"/>
      <c r="VVC112"/>
      <c r="VVD112"/>
      <c r="VVE112"/>
      <c r="VVF112"/>
      <c r="VVG112"/>
      <c r="VVH112"/>
      <c r="VVI112"/>
      <c r="VVJ112"/>
      <c r="VVK112"/>
      <c r="VVL112"/>
      <c r="VVM112"/>
      <c r="VVN112"/>
      <c r="VVO112"/>
      <c r="VVP112"/>
      <c r="VVQ112"/>
      <c r="VVR112"/>
      <c r="VVS112"/>
      <c r="VVT112"/>
      <c r="VVU112"/>
      <c r="VVV112"/>
      <c r="VVW112"/>
      <c r="VVX112"/>
      <c r="VVY112"/>
      <c r="VVZ112"/>
      <c r="VWA112"/>
      <c r="VWB112"/>
      <c r="VWC112"/>
      <c r="VWD112"/>
      <c r="VWE112"/>
      <c r="VWF112"/>
      <c r="VWG112"/>
      <c r="VWH112"/>
      <c r="VWI112"/>
      <c r="VWJ112"/>
      <c r="VWK112"/>
      <c r="VWL112"/>
      <c r="VWM112"/>
      <c r="VWN112"/>
      <c r="VWO112"/>
    </row>
    <row r="113" spans="2:80 15093:15485" s="1" customFormat="1">
      <c r="B113" s="70"/>
      <c r="C113" s="217" t="s">
        <v>68</v>
      </c>
      <c r="D113" s="74"/>
      <c r="E113" s="7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117"/>
      <c r="AL113" s="122" t="s">
        <v>68</v>
      </c>
      <c r="AN113" s="118"/>
    </row>
    <row r="114" spans="2:80 15093:15485" s="1" customFormat="1" ht="13.8">
      <c r="B114" s="70"/>
      <c r="C114" s="40" t="s">
        <v>81</v>
      </c>
      <c r="D114" s="69">
        <v>0.3</v>
      </c>
      <c r="E114" s="206" t="s">
        <v>12</v>
      </c>
      <c r="F114" s="84" t="e">
        <f t="shared" ref="F114:AJ114" si="76">F107/F98*100</f>
        <v>#DIV/0!</v>
      </c>
      <c r="G114" s="84" t="e">
        <f t="shared" si="76"/>
        <v>#DIV/0!</v>
      </c>
      <c r="H114" s="84" t="e">
        <f t="shared" si="76"/>
        <v>#DIV/0!</v>
      </c>
      <c r="I114" s="84" t="e">
        <f t="shared" si="76"/>
        <v>#DIV/0!</v>
      </c>
      <c r="J114" s="84" t="e">
        <f t="shared" si="76"/>
        <v>#DIV/0!</v>
      </c>
      <c r="K114" s="84" t="e">
        <f t="shared" si="76"/>
        <v>#DIV/0!</v>
      </c>
      <c r="L114" s="84">
        <f t="shared" si="76"/>
        <v>8.7565674255691769E-2</v>
      </c>
      <c r="M114" s="84" t="e">
        <f t="shared" si="76"/>
        <v>#DIV/0!</v>
      </c>
      <c r="N114" s="84" t="e">
        <f t="shared" si="76"/>
        <v>#DIV/0!</v>
      </c>
      <c r="O114" s="84" t="e">
        <f t="shared" si="76"/>
        <v>#DIV/0!</v>
      </c>
      <c r="P114" s="84" t="e">
        <f t="shared" si="76"/>
        <v>#DIV/0!</v>
      </c>
      <c r="Q114" s="84" t="e">
        <f t="shared" si="76"/>
        <v>#DIV/0!</v>
      </c>
      <c r="R114" s="84" t="e">
        <f t="shared" si="76"/>
        <v>#DIV/0!</v>
      </c>
      <c r="S114" s="84">
        <f t="shared" si="76"/>
        <v>2.918855808523059E-2</v>
      </c>
      <c r="T114" s="84" t="e">
        <f t="shared" si="76"/>
        <v>#DIV/0!</v>
      </c>
      <c r="U114" s="84" t="e">
        <f t="shared" si="76"/>
        <v>#DIV/0!</v>
      </c>
      <c r="V114" s="84" t="e">
        <f t="shared" si="76"/>
        <v>#DIV/0!</v>
      </c>
      <c r="W114" s="84" t="e">
        <f t="shared" si="76"/>
        <v>#DIV/0!</v>
      </c>
      <c r="X114" s="84" t="e">
        <f t="shared" si="76"/>
        <v>#DIV/0!</v>
      </c>
      <c r="Y114" s="84" t="e">
        <f t="shared" si="76"/>
        <v>#DIV/0!</v>
      </c>
      <c r="Z114" s="84" t="e">
        <f t="shared" si="76"/>
        <v>#DIV/0!</v>
      </c>
      <c r="AA114" s="84" t="e">
        <f t="shared" si="76"/>
        <v>#DIV/0!</v>
      </c>
      <c r="AB114" s="84" t="e">
        <f t="shared" si="76"/>
        <v>#DIV/0!</v>
      </c>
      <c r="AC114" s="84" t="e">
        <f t="shared" si="76"/>
        <v>#DIV/0!</v>
      </c>
      <c r="AD114" s="84" t="e">
        <f t="shared" si="76"/>
        <v>#DIV/0!</v>
      </c>
      <c r="AE114" s="84" t="e">
        <f t="shared" si="76"/>
        <v>#DIV/0!</v>
      </c>
      <c r="AF114" s="84" t="e">
        <f t="shared" si="76"/>
        <v>#DIV/0!</v>
      </c>
      <c r="AG114" s="84">
        <f t="shared" si="76"/>
        <v>5.3191489361702128E-2</v>
      </c>
      <c r="AH114" s="84" t="e">
        <f t="shared" si="76"/>
        <v>#DIV/0!</v>
      </c>
      <c r="AI114" s="84">
        <f t="shared" ref="AI114" si="77">AI107/AI98*100</f>
        <v>0</v>
      </c>
      <c r="AJ114" s="84" t="e">
        <f t="shared" si="76"/>
        <v>#DIV/0!</v>
      </c>
      <c r="AK114" s="117"/>
      <c r="AL114" s="119">
        <f>AL107/AL98*100</f>
        <v>4.6289152908501774E-2</v>
      </c>
      <c r="AN114" s="118"/>
    </row>
    <row r="115" spans="2:80 15093:15485" s="1" customFormat="1" ht="13.8">
      <c r="B115" s="70"/>
      <c r="C115" s="40" t="s">
        <v>82</v>
      </c>
      <c r="D115" s="69">
        <v>0.3</v>
      </c>
      <c r="E115" s="206" t="s">
        <v>12</v>
      </c>
      <c r="F115" s="84" t="e">
        <f t="shared" ref="F115:AJ115" si="78">F108/F99*100</f>
        <v>#DIV/0!</v>
      </c>
      <c r="G115" s="84" t="e">
        <f t="shared" si="78"/>
        <v>#DIV/0!</v>
      </c>
      <c r="H115" s="84" t="e">
        <f t="shared" si="78"/>
        <v>#DIV/0!</v>
      </c>
      <c r="I115" s="84" t="e">
        <f t="shared" si="78"/>
        <v>#DIV/0!</v>
      </c>
      <c r="J115" s="84" t="e">
        <f t="shared" si="78"/>
        <v>#DIV/0!</v>
      </c>
      <c r="K115" s="84" t="e">
        <f t="shared" si="78"/>
        <v>#DIV/0!</v>
      </c>
      <c r="L115" s="84">
        <f t="shared" si="78"/>
        <v>0.10218978102189782</v>
      </c>
      <c r="M115" s="84" t="e">
        <f t="shared" si="78"/>
        <v>#DIV/0!</v>
      </c>
      <c r="N115" s="84" t="e">
        <f t="shared" si="78"/>
        <v>#DIV/0!</v>
      </c>
      <c r="O115" s="84" t="e">
        <f t="shared" si="78"/>
        <v>#DIV/0!</v>
      </c>
      <c r="P115" s="84" t="e">
        <f t="shared" si="78"/>
        <v>#DIV/0!</v>
      </c>
      <c r="Q115" s="84" t="e">
        <f t="shared" si="78"/>
        <v>#DIV/0!</v>
      </c>
      <c r="R115" s="84" t="e">
        <f t="shared" si="78"/>
        <v>#DIV/0!</v>
      </c>
      <c r="S115" s="84">
        <f t="shared" si="78"/>
        <v>2.9197080291970805E-2</v>
      </c>
      <c r="T115" s="84" t="e">
        <f t="shared" si="78"/>
        <v>#DIV/0!</v>
      </c>
      <c r="U115" s="84" t="e">
        <f t="shared" si="78"/>
        <v>#DIV/0!</v>
      </c>
      <c r="V115" s="84" t="e">
        <f t="shared" si="78"/>
        <v>#DIV/0!</v>
      </c>
      <c r="W115" s="84" t="e">
        <f t="shared" si="78"/>
        <v>#DIV/0!</v>
      </c>
      <c r="X115" s="84" t="e">
        <f t="shared" si="78"/>
        <v>#DIV/0!</v>
      </c>
      <c r="Y115" s="84" t="e">
        <f t="shared" si="78"/>
        <v>#DIV/0!</v>
      </c>
      <c r="Z115" s="84" t="e">
        <f t="shared" si="78"/>
        <v>#DIV/0!</v>
      </c>
      <c r="AA115" s="84" t="e">
        <f t="shared" si="78"/>
        <v>#DIV/0!</v>
      </c>
      <c r="AB115" s="84" t="e">
        <f t="shared" si="78"/>
        <v>#DIV/0!</v>
      </c>
      <c r="AC115" s="84" t="e">
        <f t="shared" si="78"/>
        <v>#DIV/0!</v>
      </c>
      <c r="AD115" s="84" t="e">
        <f t="shared" si="78"/>
        <v>#DIV/0!</v>
      </c>
      <c r="AE115" s="84" t="e">
        <f t="shared" si="78"/>
        <v>#DIV/0!</v>
      </c>
      <c r="AF115" s="84">
        <f t="shared" si="78"/>
        <v>0.5</v>
      </c>
      <c r="AG115" s="84">
        <f t="shared" si="78"/>
        <v>6.0679611650485431E-2</v>
      </c>
      <c r="AH115" s="84" t="e">
        <f t="shared" si="78"/>
        <v>#DIV/0!</v>
      </c>
      <c r="AI115" s="84">
        <f t="shared" ref="AI115" si="79">AI108/AI99*100</f>
        <v>0</v>
      </c>
      <c r="AJ115" s="84" t="e">
        <f t="shared" si="78"/>
        <v>#DIV/0!</v>
      </c>
      <c r="AK115" s="117"/>
      <c r="AL115" s="119">
        <f>AL108/AL99*100</f>
        <v>6.7658998646820026E-2</v>
      </c>
      <c r="AN115" s="118"/>
    </row>
    <row r="116" spans="2:80 15093:15485" s="1" customFormat="1">
      <c r="B116" s="70"/>
      <c r="C116" s="217" t="s">
        <v>72</v>
      </c>
      <c r="D116" s="69"/>
      <c r="E116" s="70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117"/>
      <c r="AL116" s="122" t="s">
        <v>72</v>
      </c>
      <c r="AN116" s="118"/>
    </row>
    <row r="117" spans="2:80 15093:15485" s="1" customFormat="1" ht="13.8">
      <c r="B117" s="70"/>
      <c r="C117" s="40" t="s">
        <v>81</v>
      </c>
      <c r="D117" s="69">
        <v>0.5</v>
      </c>
      <c r="E117" s="206" t="s">
        <v>12</v>
      </c>
      <c r="F117" s="84" t="e">
        <f t="shared" ref="F117:AJ117" si="80">F110/F101*100</f>
        <v>#DIV/0!</v>
      </c>
      <c r="G117" s="84" t="e">
        <f t="shared" si="80"/>
        <v>#DIV/0!</v>
      </c>
      <c r="H117" s="84" t="e">
        <f t="shared" si="80"/>
        <v>#DIV/0!</v>
      </c>
      <c r="I117" s="84" t="e">
        <f t="shared" si="80"/>
        <v>#DIV/0!</v>
      </c>
      <c r="J117" s="84" t="e">
        <f t="shared" si="80"/>
        <v>#DIV/0!</v>
      </c>
      <c r="K117" s="84" t="e">
        <f t="shared" si="80"/>
        <v>#DIV/0!</v>
      </c>
      <c r="L117" s="84">
        <f t="shared" si="80"/>
        <v>2.918855808523059E-2</v>
      </c>
      <c r="M117" s="84" t="e">
        <f t="shared" si="80"/>
        <v>#DIV/0!</v>
      </c>
      <c r="N117" s="84" t="e">
        <f t="shared" si="80"/>
        <v>#DIV/0!</v>
      </c>
      <c r="O117" s="84" t="e">
        <f t="shared" si="80"/>
        <v>#DIV/0!</v>
      </c>
      <c r="P117" s="84" t="e">
        <f t="shared" si="80"/>
        <v>#DIV/0!</v>
      </c>
      <c r="Q117" s="84" t="e">
        <f t="shared" si="80"/>
        <v>#DIV/0!</v>
      </c>
      <c r="R117" s="84" t="e">
        <f t="shared" si="80"/>
        <v>#DIV/0!</v>
      </c>
      <c r="S117" s="84">
        <f t="shared" si="80"/>
        <v>2.1891418563922942E-2</v>
      </c>
      <c r="T117" s="84" t="e">
        <f t="shared" si="80"/>
        <v>#DIV/0!</v>
      </c>
      <c r="U117" s="84" t="e">
        <f t="shared" si="80"/>
        <v>#DIV/0!</v>
      </c>
      <c r="V117" s="84" t="e">
        <f t="shared" si="80"/>
        <v>#DIV/0!</v>
      </c>
      <c r="W117" s="84" t="e">
        <f t="shared" si="80"/>
        <v>#DIV/0!</v>
      </c>
      <c r="X117" s="84" t="e">
        <f t="shared" si="80"/>
        <v>#DIV/0!</v>
      </c>
      <c r="Y117" s="84" t="e">
        <f t="shared" si="80"/>
        <v>#DIV/0!</v>
      </c>
      <c r="Z117" s="84" t="e">
        <f t="shared" si="80"/>
        <v>#DIV/0!</v>
      </c>
      <c r="AA117" s="84" t="e">
        <f t="shared" si="80"/>
        <v>#DIV/0!</v>
      </c>
      <c r="AB117" s="84" t="e">
        <f t="shared" si="80"/>
        <v>#DIV/0!</v>
      </c>
      <c r="AC117" s="84" t="e">
        <f t="shared" si="80"/>
        <v>#DIV/0!</v>
      </c>
      <c r="AD117" s="84" t="e">
        <f t="shared" si="80"/>
        <v>#DIV/0!</v>
      </c>
      <c r="AE117" s="84" t="e">
        <f t="shared" si="80"/>
        <v>#DIV/0!</v>
      </c>
      <c r="AF117" s="84" t="e">
        <f t="shared" si="80"/>
        <v>#DIV/0!</v>
      </c>
      <c r="AG117" s="84">
        <f t="shared" si="80"/>
        <v>0</v>
      </c>
      <c r="AH117" s="84" t="e">
        <f t="shared" si="80"/>
        <v>#DIV/0!</v>
      </c>
      <c r="AI117" s="84">
        <f t="shared" ref="AI117" si="81">AI110/AI101*100</f>
        <v>0</v>
      </c>
      <c r="AJ117" s="84" t="e">
        <f t="shared" si="80"/>
        <v>#DIV/0!</v>
      </c>
      <c r="AK117" s="117"/>
      <c r="AL117" s="119">
        <f>AL110/AL101*100</f>
        <v>1.350100293164635E-2</v>
      </c>
      <c r="AN117" s="118"/>
    </row>
    <row r="118" spans="2:80 15093:15485" s="1" customFormat="1" ht="13.8">
      <c r="B118" s="70"/>
      <c r="C118" s="40" t="s">
        <v>82</v>
      </c>
      <c r="D118" s="69">
        <v>0.5</v>
      </c>
      <c r="E118" s="206" t="s">
        <v>12</v>
      </c>
      <c r="F118" s="84" t="e">
        <f t="shared" ref="F118:AJ118" si="82">F111/F102*100</f>
        <v>#DIV/0!</v>
      </c>
      <c r="G118" s="84" t="e">
        <f t="shared" si="82"/>
        <v>#DIV/0!</v>
      </c>
      <c r="H118" s="84" t="e">
        <f t="shared" si="82"/>
        <v>#DIV/0!</v>
      </c>
      <c r="I118" s="84" t="e">
        <f t="shared" si="82"/>
        <v>#DIV/0!</v>
      </c>
      <c r="J118" s="84" t="e">
        <f t="shared" si="82"/>
        <v>#DIV/0!</v>
      </c>
      <c r="K118" s="84" t="e">
        <f t="shared" si="82"/>
        <v>#DIV/0!</v>
      </c>
      <c r="L118" s="84">
        <f t="shared" si="82"/>
        <v>2.6763990267639905E-2</v>
      </c>
      <c r="M118" s="84" t="e">
        <f t="shared" si="82"/>
        <v>#DIV/0!</v>
      </c>
      <c r="N118" s="84" t="e">
        <f t="shared" si="82"/>
        <v>#DIV/0!</v>
      </c>
      <c r="O118" s="84" t="e">
        <f t="shared" si="82"/>
        <v>#DIV/0!</v>
      </c>
      <c r="P118" s="84" t="e">
        <f t="shared" si="82"/>
        <v>#DIV/0!</v>
      </c>
      <c r="Q118" s="84" t="e">
        <f t="shared" si="82"/>
        <v>#DIV/0!</v>
      </c>
      <c r="R118" s="84" t="e">
        <f t="shared" si="82"/>
        <v>#DIV/0!</v>
      </c>
      <c r="S118" s="84">
        <f t="shared" si="82"/>
        <v>2.18978102189781E-2</v>
      </c>
      <c r="T118" s="84" t="e">
        <f t="shared" si="82"/>
        <v>#DIV/0!</v>
      </c>
      <c r="U118" s="84" t="e">
        <f t="shared" si="82"/>
        <v>#DIV/0!</v>
      </c>
      <c r="V118" s="84" t="e">
        <f t="shared" si="82"/>
        <v>#DIV/0!</v>
      </c>
      <c r="W118" s="84" t="e">
        <f t="shared" si="82"/>
        <v>#DIV/0!</v>
      </c>
      <c r="X118" s="84" t="e">
        <f t="shared" si="82"/>
        <v>#DIV/0!</v>
      </c>
      <c r="Y118" s="84" t="e">
        <f t="shared" si="82"/>
        <v>#DIV/0!</v>
      </c>
      <c r="Z118" s="84" t="e">
        <f t="shared" si="82"/>
        <v>#DIV/0!</v>
      </c>
      <c r="AA118" s="84" t="e">
        <f t="shared" si="82"/>
        <v>#DIV/0!</v>
      </c>
      <c r="AB118" s="84" t="e">
        <f t="shared" si="82"/>
        <v>#DIV/0!</v>
      </c>
      <c r="AC118" s="84" t="e">
        <f t="shared" si="82"/>
        <v>#DIV/0!</v>
      </c>
      <c r="AD118" s="84" t="e">
        <f t="shared" si="82"/>
        <v>#DIV/0!</v>
      </c>
      <c r="AE118" s="84" t="e">
        <f t="shared" si="82"/>
        <v>#DIV/0!</v>
      </c>
      <c r="AF118" s="84">
        <f t="shared" si="82"/>
        <v>0</v>
      </c>
      <c r="AG118" s="84">
        <f t="shared" si="82"/>
        <v>3.0339805825242715E-2</v>
      </c>
      <c r="AH118" s="84" t="e">
        <f t="shared" si="82"/>
        <v>#DIV/0!</v>
      </c>
      <c r="AI118" s="84">
        <f t="shared" ref="AI118" si="83">AI111/AI102*100</f>
        <v>0</v>
      </c>
      <c r="AJ118" s="84" t="e">
        <f t="shared" si="82"/>
        <v>#DIV/0!</v>
      </c>
      <c r="AK118" s="117"/>
      <c r="AL118" s="119">
        <f>AL111/AL102*100</f>
        <v>2.577485662736001E-2</v>
      </c>
      <c r="AN118" s="118"/>
    </row>
    <row r="119" spans="2:80 15093:15485" s="1" customFormat="1">
      <c r="B119" s="54">
        <v>7</v>
      </c>
      <c r="C119" s="36" t="s">
        <v>134</v>
      </c>
      <c r="D119" s="55"/>
      <c r="E119" s="55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103"/>
      <c r="AD119" s="56"/>
      <c r="AE119" s="56"/>
      <c r="AF119" s="56"/>
      <c r="AG119" s="56"/>
      <c r="AH119" s="103"/>
      <c r="AI119" s="103"/>
      <c r="AJ119" s="103"/>
      <c r="AK119" s="107"/>
      <c r="AL119" s="203" t="s">
        <v>63</v>
      </c>
      <c r="AN119" s="29"/>
      <c r="BZ119" s="1">
        <v>5121.8861000000006</v>
      </c>
      <c r="VHM119"/>
      <c r="VHN119"/>
      <c r="VHO119"/>
      <c r="VHP119"/>
      <c r="VHQ119"/>
      <c r="VHR119"/>
      <c r="VHS119"/>
      <c r="VHT119"/>
      <c r="VHU119"/>
      <c r="VHV119"/>
      <c r="VHW119"/>
      <c r="VHX119"/>
      <c r="VHY119"/>
      <c r="VHZ119"/>
      <c r="VIA119"/>
      <c r="VIB119"/>
      <c r="VIC119"/>
      <c r="VID119"/>
      <c r="VIE119"/>
      <c r="VIF119"/>
      <c r="VIG119"/>
      <c r="VIH119"/>
      <c r="VII119"/>
      <c r="VIJ119"/>
      <c r="VIK119"/>
      <c r="VIL119"/>
      <c r="VIM119"/>
      <c r="VIN119"/>
      <c r="VIO119"/>
      <c r="VIP119"/>
      <c r="VIQ119"/>
      <c r="VIR119"/>
      <c r="VIS119"/>
      <c r="VIT119"/>
      <c r="VIU119"/>
      <c r="VIV119"/>
      <c r="VIW119"/>
      <c r="VIX119"/>
      <c r="VIY119"/>
      <c r="VIZ119"/>
      <c r="VJA119"/>
      <c r="VJB119"/>
      <c r="VJC119"/>
      <c r="VJD119"/>
      <c r="VJE119"/>
      <c r="VJF119"/>
      <c r="VJG119"/>
      <c r="VJH119"/>
      <c r="VJI119"/>
      <c r="VJJ119"/>
      <c r="VJK119"/>
      <c r="VJL119"/>
      <c r="VJM119"/>
      <c r="VJN119"/>
      <c r="VJO119"/>
      <c r="VJP119"/>
      <c r="VJQ119"/>
      <c r="VJR119"/>
      <c r="VJS119"/>
      <c r="VJT119"/>
      <c r="VJU119"/>
      <c r="VJV119"/>
      <c r="VJW119"/>
      <c r="VJX119"/>
      <c r="VJY119"/>
      <c r="VJZ119"/>
      <c r="VKA119"/>
      <c r="VKB119"/>
      <c r="VKC119"/>
      <c r="VKD119"/>
      <c r="VKE119"/>
      <c r="VKF119"/>
      <c r="VKG119"/>
      <c r="VKH119"/>
      <c r="VKI119"/>
      <c r="VKJ119"/>
      <c r="VKK119"/>
      <c r="VKL119"/>
      <c r="VKM119"/>
      <c r="VKN119"/>
      <c r="VKO119"/>
      <c r="VKP119"/>
      <c r="VKQ119"/>
      <c r="VKR119"/>
      <c r="VKS119"/>
      <c r="VKT119"/>
      <c r="VKU119"/>
      <c r="VKV119"/>
      <c r="VKW119"/>
      <c r="VKX119"/>
      <c r="VKY119"/>
      <c r="VKZ119"/>
      <c r="VLA119"/>
      <c r="VLB119"/>
      <c r="VLC119"/>
      <c r="VLD119"/>
      <c r="VLE119"/>
      <c r="VLF119"/>
      <c r="VLG119"/>
      <c r="VLH119"/>
      <c r="VLI119"/>
      <c r="VLJ119"/>
      <c r="VLK119"/>
      <c r="VLL119"/>
      <c r="VLM119"/>
      <c r="VLN119"/>
      <c r="VLO119"/>
      <c r="VLP119"/>
      <c r="VLQ119"/>
      <c r="VLR119"/>
      <c r="VLS119"/>
      <c r="VLT119"/>
      <c r="VLU119"/>
      <c r="VLV119"/>
      <c r="VLW119"/>
      <c r="VLX119"/>
      <c r="VLY119"/>
      <c r="VLZ119"/>
      <c r="VMA119"/>
      <c r="VMB119"/>
      <c r="VMC119"/>
      <c r="VMD119"/>
      <c r="VME119"/>
      <c r="VMF119"/>
      <c r="VMG119"/>
      <c r="VMH119"/>
      <c r="VMI119"/>
      <c r="VMJ119"/>
      <c r="VMK119"/>
      <c r="VML119"/>
      <c r="VMM119"/>
      <c r="VMN119"/>
      <c r="VMO119"/>
      <c r="VMP119"/>
      <c r="VMQ119"/>
      <c r="VMR119"/>
      <c r="VMS119"/>
      <c r="VMT119"/>
      <c r="VMU119"/>
      <c r="VMV119"/>
      <c r="VMW119"/>
      <c r="VMX119"/>
      <c r="VMY119"/>
      <c r="VMZ119"/>
      <c r="VNA119"/>
      <c r="VNB119"/>
      <c r="VNC119"/>
      <c r="VND119"/>
      <c r="VNE119"/>
      <c r="VNF119"/>
      <c r="VNG119"/>
      <c r="VNH119"/>
      <c r="VNI119"/>
      <c r="VNJ119"/>
      <c r="VNK119"/>
      <c r="VNL119"/>
      <c r="VNM119"/>
      <c r="VNN119"/>
      <c r="VNO119"/>
      <c r="VNP119"/>
      <c r="VNQ119"/>
      <c r="VNR119"/>
      <c r="VNS119"/>
      <c r="VNT119"/>
      <c r="VNU119"/>
      <c r="VNV119"/>
      <c r="VNW119"/>
      <c r="VNX119"/>
      <c r="VNY119"/>
      <c r="VNZ119"/>
      <c r="VOA119"/>
      <c r="VOB119"/>
      <c r="VOC119"/>
      <c r="VOD119"/>
      <c r="VOE119"/>
      <c r="VOF119"/>
      <c r="VOG119"/>
      <c r="VOH119"/>
      <c r="VOI119"/>
      <c r="VOJ119"/>
      <c r="VOK119"/>
      <c r="VOL119"/>
      <c r="VOM119"/>
      <c r="VON119"/>
      <c r="VOO119"/>
      <c r="VOP119"/>
      <c r="VOQ119"/>
      <c r="VOR119"/>
      <c r="VOS119"/>
      <c r="VOT119"/>
      <c r="VOU119"/>
      <c r="VOV119"/>
      <c r="VOW119"/>
      <c r="VOX119"/>
      <c r="VOY119"/>
      <c r="VOZ119"/>
      <c r="VPA119"/>
      <c r="VPB119"/>
      <c r="VPC119"/>
      <c r="VPD119"/>
      <c r="VPE119"/>
      <c r="VPF119"/>
      <c r="VPG119"/>
      <c r="VPH119"/>
      <c r="VPI119"/>
      <c r="VPJ119"/>
      <c r="VPK119"/>
      <c r="VPL119"/>
      <c r="VPM119"/>
      <c r="VPN119"/>
      <c r="VPO119"/>
      <c r="VPP119"/>
      <c r="VPQ119"/>
      <c r="VPR119"/>
      <c r="VPS119"/>
      <c r="VPT119"/>
      <c r="VPU119"/>
      <c r="VPV119"/>
      <c r="VPW119"/>
      <c r="VPX119"/>
      <c r="VPY119"/>
      <c r="VPZ119"/>
      <c r="VQA119"/>
      <c r="VQB119"/>
      <c r="VQC119"/>
      <c r="VQD119"/>
      <c r="VQE119"/>
      <c r="VQF119"/>
      <c r="VQG119"/>
      <c r="VQH119"/>
      <c r="VQI119"/>
      <c r="VQJ119"/>
      <c r="VQK119"/>
      <c r="VQL119"/>
      <c r="VQM119"/>
      <c r="VQN119"/>
      <c r="VQO119"/>
      <c r="VQP119"/>
      <c r="VQQ119"/>
      <c r="VQR119"/>
      <c r="VQS119"/>
      <c r="VQT119"/>
      <c r="VQU119"/>
      <c r="VQV119"/>
      <c r="VQW119"/>
      <c r="VQX119"/>
      <c r="VQY119"/>
      <c r="VQZ119"/>
      <c r="VRA119"/>
      <c r="VRB119"/>
      <c r="VRC119"/>
      <c r="VRD119"/>
      <c r="VRE119"/>
      <c r="VRF119"/>
      <c r="VRG119"/>
      <c r="VRH119"/>
      <c r="VRI119"/>
      <c r="VRJ119"/>
      <c r="VRK119"/>
      <c r="VRL119"/>
      <c r="VRM119"/>
      <c r="VRN119"/>
      <c r="VRO119"/>
      <c r="VRP119"/>
      <c r="VRQ119"/>
      <c r="VRR119"/>
      <c r="VRS119"/>
      <c r="VRT119"/>
      <c r="VRU119"/>
      <c r="VRV119"/>
      <c r="VRW119"/>
      <c r="VRX119"/>
      <c r="VRY119"/>
      <c r="VRZ119"/>
      <c r="VSA119"/>
      <c r="VSB119"/>
      <c r="VSC119"/>
      <c r="VSD119"/>
      <c r="VSE119"/>
      <c r="VSF119"/>
      <c r="VSG119"/>
      <c r="VSH119"/>
      <c r="VSI119"/>
      <c r="VSJ119"/>
      <c r="VSK119"/>
      <c r="VSL119"/>
      <c r="VSM119"/>
      <c r="VSN119"/>
      <c r="VSO119"/>
      <c r="VSP119"/>
      <c r="VSQ119"/>
      <c r="VSR119"/>
      <c r="VSS119"/>
      <c r="VST119"/>
      <c r="VSU119"/>
      <c r="VSV119"/>
      <c r="VSW119"/>
      <c r="VSX119"/>
      <c r="VSY119"/>
      <c r="VSZ119"/>
      <c r="VTA119"/>
      <c r="VTB119"/>
      <c r="VTC119"/>
      <c r="VTD119"/>
      <c r="VTE119"/>
      <c r="VTF119"/>
      <c r="VTG119"/>
      <c r="VTH119"/>
      <c r="VTI119"/>
      <c r="VTJ119"/>
      <c r="VTK119"/>
      <c r="VTL119"/>
      <c r="VTM119"/>
      <c r="VTN119"/>
      <c r="VTO119"/>
      <c r="VTP119"/>
      <c r="VTQ119"/>
      <c r="VTR119"/>
      <c r="VTS119"/>
      <c r="VTT119"/>
      <c r="VTU119"/>
      <c r="VTV119"/>
      <c r="VTW119"/>
      <c r="VTX119"/>
      <c r="VTY119"/>
      <c r="VTZ119"/>
      <c r="VUA119"/>
      <c r="VUB119"/>
      <c r="VUC119"/>
      <c r="VUD119"/>
      <c r="VUE119"/>
      <c r="VUF119"/>
      <c r="VUG119"/>
      <c r="VUH119"/>
      <c r="VUI119"/>
      <c r="VUJ119"/>
      <c r="VUK119"/>
      <c r="VUL119"/>
      <c r="VUM119"/>
      <c r="VUN119"/>
      <c r="VUO119"/>
      <c r="VUP119"/>
      <c r="VUQ119"/>
      <c r="VUR119"/>
      <c r="VUS119"/>
      <c r="VUT119"/>
      <c r="VUU119"/>
      <c r="VUV119"/>
      <c r="VUW119"/>
      <c r="VUX119"/>
      <c r="VUY119"/>
      <c r="VUZ119"/>
      <c r="VVA119"/>
      <c r="VVB119"/>
      <c r="VVC119"/>
      <c r="VVD119"/>
      <c r="VVE119"/>
      <c r="VVF119"/>
      <c r="VVG119"/>
      <c r="VVH119"/>
      <c r="VVI119"/>
      <c r="VVJ119"/>
      <c r="VVK119"/>
      <c r="VVL119"/>
      <c r="VVM119"/>
      <c r="VVN119"/>
      <c r="VVO119"/>
      <c r="VVP119"/>
      <c r="VVQ119"/>
      <c r="VVR119"/>
      <c r="VVS119"/>
      <c r="VVT119"/>
      <c r="VVU119"/>
      <c r="VVV119"/>
      <c r="VVW119"/>
      <c r="VVX119"/>
      <c r="VVY119"/>
      <c r="VVZ119"/>
      <c r="VWA119"/>
      <c r="VWB119"/>
      <c r="VWC119"/>
      <c r="VWD119"/>
      <c r="VWE119"/>
      <c r="VWF119"/>
      <c r="VWG119"/>
      <c r="VWH119"/>
      <c r="VWI119"/>
      <c r="VWJ119"/>
      <c r="VWK119"/>
      <c r="VWL119"/>
      <c r="VWM119"/>
      <c r="VWN119"/>
      <c r="VWO119"/>
    </row>
    <row r="120" spans="2:80 15093:15485" s="1" customFormat="1" ht="13.8">
      <c r="B120" s="70"/>
      <c r="C120" s="215" t="s">
        <v>138</v>
      </c>
      <c r="D120" s="143"/>
      <c r="E120" s="216" t="s">
        <v>9</v>
      </c>
      <c r="F120" s="144">
        <v>0</v>
      </c>
      <c r="G120" s="144">
        <v>0</v>
      </c>
      <c r="H120" s="144">
        <v>10041</v>
      </c>
      <c r="I120" s="144">
        <v>10393</v>
      </c>
      <c r="J120" s="144">
        <v>3201</v>
      </c>
      <c r="K120" s="144">
        <v>3232</v>
      </c>
      <c r="L120" s="144">
        <v>4624</v>
      </c>
      <c r="M120" s="144">
        <v>0</v>
      </c>
      <c r="N120" s="144"/>
      <c r="O120" s="144">
        <v>15414</v>
      </c>
      <c r="P120" s="144">
        <v>15054</v>
      </c>
      <c r="Q120" s="144">
        <v>15074</v>
      </c>
      <c r="R120" s="144">
        <v>14961</v>
      </c>
      <c r="S120" s="144">
        <v>14961</v>
      </c>
      <c r="T120" s="144">
        <v>96513</v>
      </c>
      <c r="U120" s="144">
        <v>16149</v>
      </c>
      <c r="V120" s="144"/>
      <c r="W120" s="144">
        <v>10259</v>
      </c>
      <c r="X120" s="144">
        <v>0</v>
      </c>
      <c r="Y120" s="144">
        <v>10239</v>
      </c>
      <c r="Z120" s="144">
        <v>10106</v>
      </c>
      <c r="AA120" s="144">
        <v>15218</v>
      </c>
      <c r="AB120" s="144"/>
      <c r="AC120" s="144">
        <v>14718</v>
      </c>
      <c r="AD120" s="144">
        <v>15100</v>
      </c>
      <c r="AE120" s="144">
        <v>5135</v>
      </c>
      <c r="AF120" s="144">
        <v>5167</v>
      </c>
      <c r="AG120" s="144">
        <v>5163</v>
      </c>
      <c r="AH120" s="144">
        <v>57101</v>
      </c>
      <c r="AI120" s="144">
        <v>0</v>
      </c>
      <c r="AJ120" s="144">
        <v>0</v>
      </c>
      <c r="AK120" s="158"/>
      <c r="AL120" s="156">
        <f>SUM(F120:AJ120)</f>
        <v>367823</v>
      </c>
      <c r="AN120" s="118"/>
      <c r="BH120" s="240"/>
      <c r="BZ120" s="1">
        <v>5170.6535000000003</v>
      </c>
    </row>
    <row r="121" spans="2:80 15093:15485" s="1" customFormat="1" ht="13.8">
      <c r="B121" s="70"/>
      <c r="C121" s="215" t="s">
        <v>135</v>
      </c>
      <c r="D121" s="143"/>
      <c r="E121" s="216" t="s">
        <v>9</v>
      </c>
      <c r="F121" s="144">
        <v>0</v>
      </c>
      <c r="G121" s="144">
        <v>0</v>
      </c>
      <c r="H121" s="144">
        <v>4603.5540000000001</v>
      </c>
      <c r="I121" s="144">
        <v>10096.541999999999</v>
      </c>
      <c r="J121" s="144">
        <v>10712.304000000002</v>
      </c>
      <c r="K121" s="144">
        <v>3196.098</v>
      </c>
      <c r="L121" s="144">
        <v>2443.5</v>
      </c>
      <c r="M121" s="144">
        <v>2443.5</v>
      </c>
      <c r="N121" s="144">
        <v>0</v>
      </c>
      <c r="O121" s="144">
        <v>2932.2000000000003</v>
      </c>
      <c r="P121" s="144">
        <v>14661.815000000001</v>
      </c>
      <c r="Q121" s="144">
        <v>15844.469000000001</v>
      </c>
      <c r="R121" s="144">
        <v>15082.097000000002</v>
      </c>
      <c r="S121" s="144">
        <v>14955.035000000002</v>
      </c>
      <c r="T121" s="144">
        <v>14943.146360000002</v>
      </c>
      <c r="U121" s="144">
        <v>83944.593880000015</v>
      </c>
      <c r="V121" s="144">
        <v>14670.95002</v>
      </c>
      <c r="W121" s="144">
        <v>14068.040260000002</v>
      </c>
      <c r="X121" s="144">
        <v>5316.9557000000004</v>
      </c>
      <c r="Y121" s="144">
        <v>4936.5699800000002</v>
      </c>
      <c r="Z121" s="144">
        <v>5014.59782</v>
      </c>
      <c r="AA121" s="144">
        <v>15326.23918</v>
      </c>
      <c r="AB121" s="144">
        <v>0</v>
      </c>
      <c r="AC121" s="144">
        <v>15062.89522</v>
      </c>
      <c r="AD121" s="144">
        <v>14886.429680000001</v>
      </c>
      <c r="AE121" s="144">
        <v>15091.252760000003</v>
      </c>
      <c r="AF121" s="144">
        <v>5121.8861000000006</v>
      </c>
      <c r="AG121" s="144">
        <v>5170.6535000000003</v>
      </c>
      <c r="AH121" s="144">
        <v>5160.90002</v>
      </c>
      <c r="AI121" s="144">
        <v>0</v>
      </c>
      <c r="AJ121" s="144">
        <v>14633.742099999999</v>
      </c>
      <c r="AK121" s="158"/>
      <c r="AL121" s="156">
        <f>SUM(F121:AJ121)</f>
        <v>330319.96658000001</v>
      </c>
      <c r="AN121" s="118"/>
      <c r="BZ121" s="1">
        <v>5160.90002</v>
      </c>
    </row>
    <row r="122" spans="2:80 15093:15485" s="1" customFormat="1">
      <c r="B122" s="70"/>
      <c r="C122" s="217" t="s">
        <v>66</v>
      </c>
      <c r="D122" s="74"/>
      <c r="E122" s="206" t="s">
        <v>9</v>
      </c>
      <c r="F122" s="84">
        <f>SUM(F125:F127)*9.774</f>
        <v>0</v>
      </c>
      <c r="G122" s="84">
        <f t="shared" ref="G122:Q122" si="84">SUM(G125:G127)*9.774</f>
        <v>0</v>
      </c>
      <c r="H122" s="84">
        <f t="shared" si="84"/>
        <v>4603.5539999999992</v>
      </c>
      <c r="I122" s="84">
        <f t="shared" si="84"/>
        <v>10096.541999999999</v>
      </c>
      <c r="J122" s="84">
        <f t="shared" si="84"/>
        <v>10712.303999999998</v>
      </c>
      <c r="K122" s="84">
        <f t="shared" si="84"/>
        <v>3196.0979999999995</v>
      </c>
      <c r="L122" s="84">
        <f t="shared" si="84"/>
        <v>2443.5</v>
      </c>
      <c r="M122" s="84">
        <f t="shared" si="84"/>
        <v>2443.5</v>
      </c>
      <c r="N122" s="84">
        <f t="shared" si="84"/>
        <v>0</v>
      </c>
      <c r="O122" s="84">
        <f t="shared" si="84"/>
        <v>2932.2</v>
      </c>
      <c r="P122" s="84">
        <f t="shared" si="84"/>
        <v>14660.999999999998</v>
      </c>
      <c r="Q122" s="84">
        <f t="shared" si="84"/>
        <v>15843.653999999999</v>
      </c>
      <c r="R122" s="84">
        <f>SUM(R125:R127)*9.774</f>
        <v>15081.281999999999</v>
      </c>
      <c r="S122" s="84">
        <f>SUM(S125:S127)*9.774</f>
        <v>14954.22</v>
      </c>
      <c r="T122" s="84">
        <f>SUM(T125:T127)*9.75348</f>
        <v>14942.33136</v>
      </c>
      <c r="U122" s="84">
        <f t="shared" ref="U122:AJ122" si="85">SUM(U125:U127)*9.75348</f>
        <v>83938.448879999996</v>
      </c>
      <c r="V122" s="84">
        <f t="shared" si="85"/>
        <v>14669.233919999999</v>
      </c>
      <c r="W122" s="84">
        <f t="shared" si="85"/>
        <v>14064.51816</v>
      </c>
      <c r="X122" s="84">
        <f t="shared" si="85"/>
        <v>5315.6466</v>
      </c>
      <c r="Y122" s="84">
        <f t="shared" si="85"/>
        <v>4935.2608799999998</v>
      </c>
      <c r="Z122" s="84">
        <f t="shared" si="85"/>
        <v>5013.2887199999996</v>
      </c>
      <c r="AA122" s="84">
        <f t="shared" si="85"/>
        <v>15322.71708</v>
      </c>
      <c r="AB122" s="84">
        <f t="shared" si="85"/>
        <v>0</v>
      </c>
      <c r="AC122" s="84">
        <f t="shared" si="85"/>
        <v>15059.37312</v>
      </c>
      <c r="AD122" s="84">
        <f t="shared" si="85"/>
        <v>14883.81048</v>
      </c>
      <c r="AE122" s="84">
        <f t="shared" si="85"/>
        <v>15088.63356</v>
      </c>
      <c r="AF122" s="84">
        <f t="shared" si="85"/>
        <v>5120.5770000000002</v>
      </c>
      <c r="AG122" s="84">
        <f t="shared" si="85"/>
        <v>5169.3444</v>
      </c>
      <c r="AH122" s="84">
        <f t="shared" si="85"/>
        <v>5159.5909199999996</v>
      </c>
      <c r="AI122" s="84">
        <f t="shared" si="85"/>
        <v>0</v>
      </c>
      <c r="AJ122" s="84">
        <f t="shared" si="85"/>
        <v>14630.22</v>
      </c>
      <c r="AK122" s="117"/>
      <c r="AL122" s="119">
        <f>SUM(F122:AJ122)</f>
        <v>330280.8490799999</v>
      </c>
      <c r="AN122" s="118"/>
    </row>
    <row r="123" spans="2:80 15093:15485" s="1" customFormat="1">
      <c r="B123" s="70"/>
      <c r="C123" s="217" t="s">
        <v>67</v>
      </c>
      <c r="D123" s="74"/>
      <c r="E123" s="206" t="s">
        <v>9</v>
      </c>
      <c r="F123" s="84">
        <f t="shared" ref="F123:AJ123" si="86">F121-F122</f>
        <v>0</v>
      </c>
      <c r="G123" s="84">
        <f t="shared" si="86"/>
        <v>0</v>
      </c>
      <c r="H123" s="84">
        <f t="shared" si="86"/>
        <v>0</v>
      </c>
      <c r="I123" s="84">
        <f t="shared" si="86"/>
        <v>0</v>
      </c>
      <c r="J123" s="84">
        <f t="shared" si="86"/>
        <v>0</v>
      </c>
      <c r="K123" s="84">
        <f t="shared" si="86"/>
        <v>0</v>
      </c>
      <c r="L123" s="84">
        <f t="shared" si="86"/>
        <v>0</v>
      </c>
      <c r="M123" s="84">
        <f t="shared" si="86"/>
        <v>0</v>
      </c>
      <c r="N123" s="84">
        <f t="shared" si="86"/>
        <v>0</v>
      </c>
      <c r="O123" s="84">
        <f t="shared" si="86"/>
        <v>0</v>
      </c>
      <c r="P123" s="84">
        <f t="shared" si="86"/>
        <v>0.81500000000232831</v>
      </c>
      <c r="Q123" s="84">
        <f t="shared" si="86"/>
        <v>0.81500000000232831</v>
      </c>
      <c r="R123" s="60">
        <v>0</v>
      </c>
      <c r="S123" s="60">
        <v>0</v>
      </c>
      <c r="T123" s="84">
        <f t="shared" si="86"/>
        <v>0.81500000000232831</v>
      </c>
      <c r="U123" s="84">
        <f t="shared" si="86"/>
        <v>6.1450000000186265</v>
      </c>
      <c r="V123" s="84">
        <f t="shared" si="86"/>
        <v>1.716100000001461</v>
      </c>
      <c r="W123" s="84">
        <f t="shared" si="86"/>
        <v>3.5221000000019558</v>
      </c>
      <c r="X123" s="84">
        <f t="shared" si="86"/>
        <v>1.3091000000003987</v>
      </c>
      <c r="Y123" s="84">
        <f t="shared" si="86"/>
        <v>1.3091000000003987</v>
      </c>
      <c r="Z123" s="84">
        <f t="shared" si="86"/>
        <v>1.3091000000003987</v>
      </c>
      <c r="AA123" s="84">
        <f t="shared" si="86"/>
        <v>3.5221000000001368</v>
      </c>
      <c r="AB123" s="84">
        <f t="shared" si="86"/>
        <v>0</v>
      </c>
      <c r="AC123" s="84">
        <f t="shared" si="86"/>
        <v>3.5221000000001368</v>
      </c>
      <c r="AD123" s="84">
        <f t="shared" si="86"/>
        <v>2.6192000000010012</v>
      </c>
      <c r="AE123" s="84">
        <f t="shared" si="86"/>
        <v>2.6192000000028202</v>
      </c>
      <c r="AF123" s="84">
        <f t="shared" si="86"/>
        <v>1.3091000000003987</v>
      </c>
      <c r="AG123" s="84">
        <f t="shared" si="86"/>
        <v>1.3091000000003987</v>
      </c>
      <c r="AH123" s="84">
        <f t="shared" si="86"/>
        <v>1.3091000000003987</v>
      </c>
      <c r="AI123" s="84">
        <f t="shared" ref="AI123" si="87">AI121-AI122</f>
        <v>0</v>
      </c>
      <c r="AJ123" s="84">
        <f t="shared" si="86"/>
        <v>3.5221000000001368</v>
      </c>
      <c r="AK123" s="117"/>
      <c r="AL123" s="119">
        <f>SUM(F123:AJ123)</f>
        <v>37.487500000035652</v>
      </c>
      <c r="AN123" s="244"/>
      <c r="BZ123" s="1">
        <v>5121.8861000000006</v>
      </c>
      <c r="CA123" s="1">
        <v>5170.6535000000003</v>
      </c>
      <c r="CB123" s="1">
        <v>5160.90002</v>
      </c>
    </row>
    <row r="124" spans="2:80 15093:15485" s="1" customFormat="1">
      <c r="B124" s="70"/>
      <c r="C124" s="217" t="s">
        <v>68</v>
      </c>
      <c r="D124" s="74"/>
      <c r="E124" s="7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117"/>
      <c r="AL124" s="122" t="s">
        <v>68</v>
      </c>
      <c r="AN124" s="118"/>
    </row>
    <row r="125" spans="2:80 15093:15485" s="6" customFormat="1" ht="13.8">
      <c r="B125" s="42"/>
      <c r="C125" s="40" t="s">
        <v>136</v>
      </c>
      <c r="D125" s="41"/>
      <c r="E125" s="219" t="s">
        <v>70</v>
      </c>
      <c r="F125" s="145">
        <v>0</v>
      </c>
      <c r="G125" s="145">
        <v>0</v>
      </c>
      <c r="H125" s="145">
        <v>0</v>
      </c>
      <c r="I125" s="145">
        <v>0</v>
      </c>
      <c r="J125" s="145">
        <v>0</v>
      </c>
      <c r="K125" s="145">
        <v>327</v>
      </c>
      <c r="L125" s="145">
        <v>250</v>
      </c>
      <c r="M125" s="145">
        <v>250</v>
      </c>
      <c r="N125" s="145">
        <v>0</v>
      </c>
      <c r="O125" s="145">
        <v>300</v>
      </c>
      <c r="P125" s="145">
        <v>0</v>
      </c>
      <c r="Q125" s="145">
        <v>0</v>
      </c>
      <c r="R125" s="145">
        <v>0</v>
      </c>
      <c r="S125" s="145">
        <v>0</v>
      </c>
      <c r="T125" s="145">
        <v>0</v>
      </c>
      <c r="U125" s="145">
        <v>0</v>
      </c>
      <c r="V125" s="145">
        <v>0</v>
      </c>
      <c r="W125" s="145">
        <v>0</v>
      </c>
      <c r="X125" s="145">
        <v>545</v>
      </c>
      <c r="Y125" s="145">
        <v>506</v>
      </c>
      <c r="Z125" s="145">
        <v>514</v>
      </c>
      <c r="AA125" s="145">
        <v>0</v>
      </c>
      <c r="AB125" s="145">
        <v>0</v>
      </c>
      <c r="AC125" s="145">
        <v>0</v>
      </c>
      <c r="AD125" s="145">
        <v>0</v>
      </c>
      <c r="AE125" s="145">
        <v>0</v>
      </c>
      <c r="AF125" s="145">
        <v>525</v>
      </c>
      <c r="AG125" s="145">
        <v>530</v>
      </c>
      <c r="AH125" s="145">
        <v>529</v>
      </c>
      <c r="AI125" s="145">
        <v>0</v>
      </c>
      <c r="AJ125" s="145">
        <v>0</v>
      </c>
      <c r="AK125" s="124"/>
      <c r="AL125" s="125">
        <f>SUM(F125:AJ125)</f>
        <v>4276</v>
      </c>
      <c r="AN125" s="159"/>
    </row>
    <row r="126" spans="2:80 15093:15485" s="6" customFormat="1" ht="13.8">
      <c r="B126" s="42"/>
      <c r="C126" s="40" t="s">
        <v>137</v>
      </c>
      <c r="D126" s="41"/>
      <c r="E126" s="219" t="s">
        <v>70</v>
      </c>
      <c r="F126" s="145">
        <v>0</v>
      </c>
      <c r="G126" s="145">
        <v>0</v>
      </c>
      <c r="H126" s="145">
        <v>471</v>
      </c>
      <c r="I126" s="145">
        <v>1033</v>
      </c>
      <c r="J126" s="145">
        <v>1096</v>
      </c>
      <c r="K126" s="145"/>
      <c r="L126" s="145"/>
      <c r="M126" s="145"/>
      <c r="N126" s="145"/>
      <c r="O126" s="145"/>
      <c r="P126" s="145">
        <v>1500</v>
      </c>
      <c r="Q126" s="145">
        <v>1621</v>
      </c>
      <c r="R126" s="145">
        <v>1543</v>
      </c>
      <c r="S126" s="145">
        <v>1530</v>
      </c>
      <c r="T126" s="145">
        <v>1532</v>
      </c>
      <c r="U126" s="145">
        <v>0</v>
      </c>
      <c r="V126" s="145">
        <v>1504</v>
      </c>
      <c r="W126" s="145">
        <v>1442</v>
      </c>
      <c r="X126" s="145">
        <v>0</v>
      </c>
      <c r="Y126" s="145">
        <v>0</v>
      </c>
      <c r="Z126" s="145">
        <v>0</v>
      </c>
      <c r="AA126" s="145">
        <v>1571</v>
      </c>
      <c r="AB126" s="145"/>
      <c r="AC126" s="145">
        <v>1544</v>
      </c>
      <c r="AD126" s="145">
        <v>1526</v>
      </c>
      <c r="AE126" s="145">
        <v>1547</v>
      </c>
      <c r="AF126" s="145">
        <v>0</v>
      </c>
      <c r="AG126" s="145">
        <v>0</v>
      </c>
      <c r="AH126" s="145">
        <v>0</v>
      </c>
      <c r="AI126" s="145">
        <v>0</v>
      </c>
      <c r="AJ126" s="145">
        <v>1500</v>
      </c>
      <c r="AK126" s="124"/>
      <c r="AL126" s="125">
        <f>SUM(F126:AJ126)</f>
        <v>20960</v>
      </c>
      <c r="AN126" s="159"/>
    </row>
    <row r="127" spans="2:80 15093:15485" s="6" customFormat="1" ht="13.8">
      <c r="B127" s="42"/>
      <c r="C127" s="40" t="s">
        <v>142</v>
      </c>
      <c r="D127" s="41"/>
      <c r="E127" s="219" t="s">
        <v>70</v>
      </c>
      <c r="F127" s="145">
        <v>0</v>
      </c>
      <c r="G127" s="145">
        <v>0</v>
      </c>
      <c r="H127" s="145">
        <v>0</v>
      </c>
      <c r="I127" s="145">
        <v>0</v>
      </c>
      <c r="J127" s="145">
        <v>0</v>
      </c>
      <c r="K127" s="145">
        <v>0</v>
      </c>
      <c r="L127" s="145">
        <v>0</v>
      </c>
      <c r="M127" s="145">
        <v>0</v>
      </c>
      <c r="N127" s="145">
        <v>0</v>
      </c>
      <c r="O127" s="145">
        <v>0</v>
      </c>
      <c r="P127" s="145">
        <v>0</v>
      </c>
      <c r="Q127" s="145">
        <v>0</v>
      </c>
      <c r="R127" s="145">
        <v>0</v>
      </c>
      <c r="S127" s="145">
        <v>0</v>
      </c>
      <c r="T127" s="145">
        <v>0</v>
      </c>
      <c r="U127" s="145">
        <v>8606</v>
      </c>
      <c r="V127" s="145">
        <v>0</v>
      </c>
      <c r="W127" s="145">
        <v>0</v>
      </c>
      <c r="X127" s="145">
        <v>0</v>
      </c>
      <c r="Y127" s="145">
        <v>0</v>
      </c>
      <c r="Z127" s="145">
        <v>0</v>
      </c>
      <c r="AA127" s="145">
        <v>0</v>
      </c>
      <c r="AB127" s="145">
        <v>0</v>
      </c>
      <c r="AC127" s="145">
        <v>0</v>
      </c>
      <c r="AD127" s="145">
        <v>0</v>
      </c>
      <c r="AE127" s="145">
        <v>0</v>
      </c>
      <c r="AF127" s="145">
        <v>0</v>
      </c>
      <c r="AG127" s="145">
        <v>0</v>
      </c>
      <c r="AH127" s="145">
        <v>0</v>
      </c>
      <c r="AI127" s="145">
        <v>0</v>
      </c>
      <c r="AJ127" s="145">
        <v>0</v>
      </c>
      <c r="AK127" s="124"/>
      <c r="AL127" s="125">
        <f>SUM(F127:AJ127)</f>
        <v>8606</v>
      </c>
      <c r="AN127" s="159"/>
    </row>
    <row r="128" spans="2:80 15093:15485" s="1" customFormat="1">
      <c r="B128" s="70"/>
      <c r="C128" s="217" t="s">
        <v>72</v>
      </c>
      <c r="D128" s="74"/>
      <c r="E128" s="7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117"/>
      <c r="AL128" s="122" t="s">
        <v>72</v>
      </c>
      <c r="AN128" s="118"/>
    </row>
    <row r="129" spans="2:40 15093:15485" s="1" customFormat="1" ht="13.8">
      <c r="B129" s="70"/>
      <c r="C129" s="40" t="s">
        <v>136</v>
      </c>
      <c r="D129" s="74"/>
      <c r="E129" s="206" t="s">
        <v>72</v>
      </c>
      <c r="F129" s="60">
        <f>F125*24</f>
        <v>0</v>
      </c>
      <c r="G129" s="60">
        <f t="shared" ref="G129:AJ129" si="88">G125*24</f>
        <v>0</v>
      </c>
      <c r="H129" s="60">
        <f t="shared" si="88"/>
        <v>0</v>
      </c>
      <c r="I129" s="60">
        <f t="shared" si="88"/>
        <v>0</v>
      </c>
      <c r="J129" s="60">
        <f t="shared" si="88"/>
        <v>0</v>
      </c>
      <c r="K129" s="60">
        <f t="shared" si="88"/>
        <v>7848</v>
      </c>
      <c r="L129" s="60">
        <f t="shared" si="88"/>
        <v>6000</v>
      </c>
      <c r="M129" s="60">
        <f t="shared" si="88"/>
        <v>6000</v>
      </c>
      <c r="N129" s="60">
        <f t="shared" si="88"/>
        <v>0</v>
      </c>
      <c r="O129" s="60">
        <f t="shared" si="88"/>
        <v>7200</v>
      </c>
      <c r="P129" s="60">
        <f t="shared" si="88"/>
        <v>0</v>
      </c>
      <c r="Q129" s="60">
        <f t="shared" si="88"/>
        <v>0</v>
      </c>
      <c r="R129" s="60">
        <f t="shared" si="88"/>
        <v>0</v>
      </c>
      <c r="S129" s="60">
        <f t="shared" si="88"/>
        <v>0</v>
      </c>
      <c r="T129" s="60">
        <f t="shared" si="88"/>
        <v>0</v>
      </c>
      <c r="U129" s="60">
        <f t="shared" si="88"/>
        <v>0</v>
      </c>
      <c r="V129" s="60">
        <f t="shared" si="88"/>
        <v>0</v>
      </c>
      <c r="W129" s="60">
        <f t="shared" si="88"/>
        <v>0</v>
      </c>
      <c r="X129" s="60">
        <f t="shared" si="88"/>
        <v>13080</v>
      </c>
      <c r="Y129" s="60">
        <f t="shared" si="88"/>
        <v>12144</v>
      </c>
      <c r="Z129" s="60">
        <f t="shared" si="88"/>
        <v>12336</v>
      </c>
      <c r="AA129" s="60">
        <f t="shared" si="88"/>
        <v>0</v>
      </c>
      <c r="AB129" s="60">
        <f t="shared" si="88"/>
        <v>0</v>
      </c>
      <c r="AC129" s="60">
        <f t="shared" si="88"/>
        <v>0</v>
      </c>
      <c r="AD129" s="60">
        <f t="shared" si="88"/>
        <v>0</v>
      </c>
      <c r="AE129" s="60">
        <f t="shared" si="88"/>
        <v>0</v>
      </c>
      <c r="AF129" s="60">
        <f t="shared" si="88"/>
        <v>12600</v>
      </c>
      <c r="AG129" s="60">
        <f t="shared" si="88"/>
        <v>12720</v>
      </c>
      <c r="AH129" s="60">
        <f t="shared" si="88"/>
        <v>12696</v>
      </c>
      <c r="AI129" s="60">
        <f t="shared" si="88"/>
        <v>0</v>
      </c>
      <c r="AJ129" s="60">
        <f t="shared" si="88"/>
        <v>0</v>
      </c>
      <c r="AK129" s="117"/>
      <c r="AL129" s="116">
        <f>AL125*24</f>
        <v>102624</v>
      </c>
      <c r="AN129" s="244"/>
    </row>
    <row r="130" spans="2:40 15093:15485" s="1" customFormat="1" ht="13.8">
      <c r="B130" s="70"/>
      <c r="C130" s="40" t="s">
        <v>137</v>
      </c>
      <c r="D130" s="74"/>
      <c r="E130" s="206" t="s">
        <v>72</v>
      </c>
      <c r="F130" s="60">
        <f>F126*12</f>
        <v>0</v>
      </c>
      <c r="G130" s="60">
        <f t="shared" ref="G130:AJ131" si="89">G126*12</f>
        <v>0</v>
      </c>
      <c r="H130" s="60">
        <f t="shared" si="89"/>
        <v>5652</v>
      </c>
      <c r="I130" s="60">
        <f t="shared" si="89"/>
        <v>12396</v>
      </c>
      <c r="J130" s="60">
        <f t="shared" si="89"/>
        <v>13152</v>
      </c>
      <c r="K130" s="60">
        <f t="shared" si="89"/>
        <v>0</v>
      </c>
      <c r="L130" s="60">
        <f t="shared" si="89"/>
        <v>0</v>
      </c>
      <c r="M130" s="60">
        <f t="shared" si="89"/>
        <v>0</v>
      </c>
      <c r="N130" s="60">
        <f t="shared" si="89"/>
        <v>0</v>
      </c>
      <c r="O130" s="60">
        <f t="shared" si="89"/>
        <v>0</v>
      </c>
      <c r="P130" s="60">
        <f t="shared" si="89"/>
        <v>18000</v>
      </c>
      <c r="Q130" s="60">
        <f t="shared" si="89"/>
        <v>19452</v>
      </c>
      <c r="R130" s="60">
        <f t="shared" si="89"/>
        <v>18516</v>
      </c>
      <c r="S130" s="60">
        <f t="shared" si="89"/>
        <v>18360</v>
      </c>
      <c r="T130" s="60">
        <f t="shared" si="89"/>
        <v>18384</v>
      </c>
      <c r="U130" s="60">
        <f t="shared" si="89"/>
        <v>0</v>
      </c>
      <c r="V130" s="60">
        <f t="shared" si="89"/>
        <v>18048</v>
      </c>
      <c r="W130" s="60">
        <f t="shared" si="89"/>
        <v>17304</v>
      </c>
      <c r="X130" s="60">
        <f t="shared" si="89"/>
        <v>0</v>
      </c>
      <c r="Y130" s="60">
        <f t="shared" si="89"/>
        <v>0</v>
      </c>
      <c r="Z130" s="60">
        <f t="shared" si="89"/>
        <v>0</v>
      </c>
      <c r="AA130" s="60">
        <f t="shared" si="89"/>
        <v>18852</v>
      </c>
      <c r="AB130" s="60">
        <f t="shared" si="89"/>
        <v>0</v>
      </c>
      <c r="AC130" s="60">
        <f t="shared" si="89"/>
        <v>18528</v>
      </c>
      <c r="AD130" s="60">
        <f t="shared" si="89"/>
        <v>18312</v>
      </c>
      <c r="AE130" s="60">
        <f t="shared" si="89"/>
        <v>18564</v>
      </c>
      <c r="AF130" s="60">
        <f t="shared" si="89"/>
        <v>0</v>
      </c>
      <c r="AG130" s="60">
        <f t="shared" si="89"/>
        <v>0</v>
      </c>
      <c r="AH130" s="60">
        <f t="shared" si="89"/>
        <v>0</v>
      </c>
      <c r="AI130" s="60">
        <f t="shared" si="89"/>
        <v>0</v>
      </c>
      <c r="AJ130" s="60">
        <f t="shared" si="89"/>
        <v>18000</v>
      </c>
      <c r="AK130" s="117"/>
      <c r="AL130" s="116">
        <f>AL126*12</f>
        <v>251520</v>
      </c>
      <c r="AN130" s="118"/>
    </row>
    <row r="131" spans="2:40 15093:15485" s="1" customFormat="1" ht="13.8">
      <c r="B131" s="70"/>
      <c r="C131" s="40" t="s">
        <v>142</v>
      </c>
      <c r="D131" s="74"/>
      <c r="E131" s="206" t="s">
        <v>72</v>
      </c>
      <c r="F131" s="60">
        <f>F127*6</f>
        <v>0</v>
      </c>
      <c r="G131" s="60">
        <f t="shared" ref="G131:AC131" si="90">G127*6</f>
        <v>0</v>
      </c>
      <c r="H131" s="60">
        <f t="shared" si="90"/>
        <v>0</v>
      </c>
      <c r="I131" s="60">
        <f t="shared" si="90"/>
        <v>0</v>
      </c>
      <c r="J131" s="60">
        <f t="shared" si="90"/>
        <v>0</v>
      </c>
      <c r="K131" s="60">
        <f t="shared" si="90"/>
        <v>0</v>
      </c>
      <c r="L131" s="60">
        <f t="shared" si="90"/>
        <v>0</v>
      </c>
      <c r="M131" s="60">
        <f t="shared" si="90"/>
        <v>0</v>
      </c>
      <c r="N131" s="60">
        <f t="shared" si="90"/>
        <v>0</v>
      </c>
      <c r="O131" s="60">
        <f t="shared" si="90"/>
        <v>0</v>
      </c>
      <c r="P131" s="60">
        <f t="shared" si="90"/>
        <v>0</v>
      </c>
      <c r="Q131" s="60">
        <f t="shared" si="90"/>
        <v>0</v>
      </c>
      <c r="R131" s="60">
        <f t="shared" si="90"/>
        <v>0</v>
      </c>
      <c r="S131" s="60">
        <f t="shared" si="90"/>
        <v>0</v>
      </c>
      <c r="T131" s="60">
        <f t="shared" si="90"/>
        <v>0</v>
      </c>
      <c r="U131" s="60">
        <f t="shared" si="90"/>
        <v>51636</v>
      </c>
      <c r="V131" s="60">
        <f t="shared" si="90"/>
        <v>0</v>
      </c>
      <c r="W131" s="60">
        <f t="shared" si="90"/>
        <v>0</v>
      </c>
      <c r="X131" s="60">
        <f t="shared" si="90"/>
        <v>0</v>
      </c>
      <c r="Y131" s="60">
        <f t="shared" si="90"/>
        <v>0</v>
      </c>
      <c r="Z131" s="60">
        <f t="shared" si="90"/>
        <v>0</v>
      </c>
      <c r="AA131" s="60">
        <f t="shared" si="90"/>
        <v>0</v>
      </c>
      <c r="AB131" s="60">
        <f t="shared" si="90"/>
        <v>0</v>
      </c>
      <c r="AC131" s="60">
        <f t="shared" si="90"/>
        <v>0</v>
      </c>
      <c r="AD131" s="60">
        <f t="shared" si="89"/>
        <v>0</v>
      </c>
      <c r="AE131" s="60">
        <f t="shared" si="89"/>
        <v>0</v>
      </c>
      <c r="AF131" s="60">
        <f t="shared" si="89"/>
        <v>0</v>
      </c>
      <c r="AG131" s="60">
        <f t="shared" si="89"/>
        <v>0</v>
      </c>
      <c r="AH131" s="60">
        <f t="shared" si="89"/>
        <v>0</v>
      </c>
      <c r="AI131" s="60">
        <f t="shared" si="89"/>
        <v>0</v>
      </c>
      <c r="AJ131" s="60">
        <f t="shared" si="89"/>
        <v>0</v>
      </c>
      <c r="AK131" s="117"/>
      <c r="AL131" s="116">
        <f>AL127*6</f>
        <v>51636</v>
      </c>
      <c r="AN131" s="118"/>
    </row>
    <row r="132" spans="2:40 15093:15485" s="1" customFormat="1">
      <c r="B132" s="70"/>
      <c r="C132" s="217" t="s">
        <v>73</v>
      </c>
      <c r="D132" s="74"/>
      <c r="E132" s="206" t="s">
        <v>74</v>
      </c>
      <c r="F132" s="60">
        <f>F121*45/1700</f>
        <v>0</v>
      </c>
      <c r="G132" s="60">
        <f t="shared" ref="G132:AI132" si="91">G121*45/1700</f>
        <v>0</v>
      </c>
      <c r="H132" s="60">
        <f t="shared" si="91"/>
        <v>121.85878235294118</v>
      </c>
      <c r="I132" s="60">
        <f t="shared" si="91"/>
        <v>267.2614058823529</v>
      </c>
      <c r="J132" s="60">
        <f t="shared" si="91"/>
        <v>283.56098823529419</v>
      </c>
      <c r="K132" s="60">
        <f t="shared" si="91"/>
        <v>84.602594117647058</v>
      </c>
      <c r="L132" s="60">
        <f t="shared" si="91"/>
        <v>64.680882352941182</v>
      </c>
      <c r="M132" s="60">
        <f t="shared" si="91"/>
        <v>64.680882352941182</v>
      </c>
      <c r="N132" s="60">
        <f t="shared" si="91"/>
        <v>0</v>
      </c>
      <c r="O132" s="60">
        <f t="shared" si="91"/>
        <v>77.617058823529405</v>
      </c>
      <c r="P132" s="60">
        <f t="shared" si="91"/>
        <v>388.10686764705883</v>
      </c>
      <c r="Q132" s="60">
        <f t="shared" si="91"/>
        <v>419.41241470588238</v>
      </c>
      <c r="R132" s="60">
        <f t="shared" si="91"/>
        <v>399.23197941176477</v>
      </c>
      <c r="S132" s="60">
        <f t="shared" si="91"/>
        <v>395.86857352941183</v>
      </c>
      <c r="T132" s="60">
        <f t="shared" si="91"/>
        <v>395.55387423529419</v>
      </c>
      <c r="U132" s="60">
        <f t="shared" si="91"/>
        <v>2222.0627791764709</v>
      </c>
      <c r="V132" s="60">
        <f t="shared" si="91"/>
        <v>388.34867700000001</v>
      </c>
      <c r="W132" s="60">
        <f t="shared" si="91"/>
        <v>372.38930100000005</v>
      </c>
      <c r="X132" s="60">
        <f>X121*45/1700</f>
        <v>140.74294500000002</v>
      </c>
      <c r="Y132" s="60">
        <f>Y121*45/1700</f>
        <v>130.67391123529413</v>
      </c>
      <c r="Z132" s="60">
        <f t="shared" si="91"/>
        <v>132.73935405882352</v>
      </c>
      <c r="AA132" s="60">
        <f t="shared" si="91"/>
        <v>405.69456652941176</v>
      </c>
      <c r="AB132" s="60">
        <f t="shared" si="91"/>
        <v>0</v>
      </c>
      <c r="AC132" s="60">
        <f t="shared" si="91"/>
        <v>398.72369699999996</v>
      </c>
      <c r="AD132" s="60">
        <f t="shared" si="91"/>
        <v>394.05255035294124</v>
      </c>
      <c r="AE132" s="60">
        <f t="shared" si="91"/>
        <v>399.47433776470598</v>
      </c>
      <c r="AF132" s="60">
        <f t="shared" si="91"/>
        <v>135.5793379411765</v>
      </c>
      <c r="AG132" s="60">
        <f t="shared" si="91"/>
        <v>136.87023970588237</v>
      </c>
      <c r="AH132" s="60">
        <f t="shared" si="91"/>
        <v>136.61205935294117</v>
      </c>
      <c r="AI132" s="60">
        <f t="shared" si="91"/>
        <v>0</v>
      </c>
      <c r="AJ132" s="60">
        <f>AJ121*45/1700</f>
        <v>387.3637614705882</v>
      </c>
      <c r="AK132" s="117"/>
      <c r="AL132" s="116">
        <f>SUM(F132:AJ132)</f>
        <v>8743.7638212352958</v>
      </c>
      <c r="AN132" s="118"/>
    </row>
    <row r="133" spans="2:40 15093:15485" s="1" customFormat="1">
      <c r="B133" s="70"/>
      <c r="C133" s="217" t="s">
        <v>75</v>
      </c>
      <c r="D133" s="74"/>
      <c r="E133" s="206" t="s">
        <v>76</v>
      </c>
      <c r="F133" s="60">
        <f t="shared" ref="F133:AG133" si="92">SUM(F125:F127)/500</f>
        <v>0</v>
      </c>
      <c r="G133" s="60">
        <f t="shared" si="92"/>
        <v>0</v>
      </c>
      <c r="H133" s="60">
        <f t="shared" si="92"/>
        <v>0.94199999999999995</v>
      </c>
      <c r="I133" s="60">
        <f t="shared" si="92"/>
        <v>2.0659999999999998</v>
      </c>
      <c r="J133" s="60">
        <f t="shared" si="92"/>
        <v>2.1920000000000002</v>
      </c>
      <c r="K133" s="60">
        <f t="shared" si="92"/>
        <v>0.65400000000000003</v>
      </c>
      <c r="L133" s="60">
        <f t="shared" si="92"/>
        <v>0.5</v>
      </c>
      <c r="M133" s="60">
        <f t="shared" si="92"/>
        <v>0.5</v>
      </c>
      <c r="N133" s="60">
        <f t="shared" si="92"/>
        <v>0</v>
      </c>
      <c r="O133" s="60">
        <f t="shared" si="92"/>
        <v>0.6</v>
      </c>
      <c r="P133" s="60">
        <f>SUM(P125:P127)/500</f>
        <v>3</v>
      </c>
      <c r="Q133" s="60">
        <f t="shared" si="92"/>
        <v>3.242</v>
      </c>
      <c r="R133" s="60">
        <f t="shared" si="92"/>
        <v>3.0859999999999999</v>
      </c>
      <c r="S133" s="60">
        <f t="shared" si="92"/>
        <v>3.06</v>
      </c>
      <c r="T133" s="60">
        <f t="shared" si="92"/>
        <v>3.0640000000000001</v>
      </c>
      <c r="U133" s="60">
        <f t="shared" si="92"/>
        <v>17.212</v>
      </c>
      <c r="V133" s="60">
        <f>SUM(V125:V127)/500</f>
        <v>3.008</v>
      </c>
      <c r="W133" s="60">
        <f t="shared" si="92"/>
        <v>2.8839999999999999</v>
      </c>
      <c r="X133" s="60">
        <f>SUM(X125:X127)/500</f>
        <v>1.0900000000000001</v>
      </c>
      <c r="Y133" s="60">
        <f t="shared" si="92"/>
        <v>1.012</v>
      </c>
      <c r="Z133" s="60">
        <f t="shared" si="92"/>
        <v>1.028</v>
      </c>
      <c r="AA133" s="60">
        <f t="shared" si="92"/>
        <v>3.1419999999999999</v>
      </c>
      <c r="AB133" s="60">
        <f t="shared" si="92"/>
        <v>0</v>
      </c>
      <c r="AC133" s="60">
        <f t="shared" si="92"/>
        <v>3.0880000000000001</v>
      </c>
      <c r="AD133" s="60">
        <f t="shared" si="92"/>
        <v>3.052</v>
      </c>
      <c r="AE133" s="60">
        <f t="shared" si="92"/>
        <v>3.0939999999999999</v>
      </c>
      <c r="AF133" s="60">
        <f t="shared" si="92"/>
        <v>1.05</v>
      </c>
      <c r="AG133" s="60">
        <f t="shared" si="92"/>
        <v>1.06</v>
      </c>
      <c r="AH133" s="60">
        <f>SUM(AH125:AH127)/500</f>
        <v>1.0580000000000001</v>
      </c>
      <c r="AI133" s="60">
        <f t="shared" ref="AI133" si="93">SUM(AI125:AI127)/500</f>
        <v>0</v>
      </c>
      <c r="AJ133" s="60">
        <f>SUM(AJ125:AJ127)/500</f>
        <v>3</v>
      </c>
      <c r="AK133" s="117"/>
      <c r="AL133" s="116">
        <f>SUM(F133:AJ133)</f>
        <v>67.684000000000012</v>
      </c>
      <c r="AN133" s="118"/>
    </row>
    <row r="134" spans="2:40 15093:15485" s="1" customFormat="1" hidden="1">
      <c r="B134" s="57"/>
      <c r="C134" s="36" t="s">
        <v>77</v>
      </c>
      <c r="D134" s="55"/>
      <c r="E134" s="55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103"/>
      <c r="AD134" s="56"/>
      <c r="AE134" s="56"/>
      <c r="AF134" s="56"/>
      <c r="AG134" s="56"/>
      <c r="AH134" s="56"/>
      <c r="AI134" s="103"/>
      <c r="AJ134" s="103"/>
      <c r="AK134" s="107"/>
      <c r="AL134" s="203" t="s">
        <v>78</v>
      </c>
      <c r="AN134" s="29"/>
      <c r="VHM134"/>
      <c r="VHN134"/>
      <c r="VHO134"/>
      <c r="VHP134"/>
      <c r="VHQ134"/>
      <c r="VHR134"/>
      <c r="VHS134"/>
      <c r="VHT134"/>
      <c r="VHU134"/>
      <c r="VHV134"/>
      <c r="VHW134"/>
      <c r="VHX134"/>
      <c r="VHY134"/>
      <c r="VHZ134"/>
      <c r="VIA134"/>
      <c r="VIB134"/>
      <c r="VIC134"/>
      <c r="VID134"/>
      <c r="VIE134"/>
      <c r="VIF134"/>
      <c r="VIG134"/>
      <c r="VIH134"/>
      <c r="VII134"/>
      <c r="VIJ134"/>
      <c r="VIK134"/>
      <c r="VIL134"/>
      <c r="VIM134"/>
      <c r="VIN134"/>
      <c r="VIO134"/>
      <c r="VIP134"/>
      <c r="VIQ134"/>
      <c r="VIR134"/>
      <c r="VIS134"/>
      <c r="VIT134"/>
      <c r="VIU134"/>
      <c r="VIV134"/>
      <c r="VIW134"/>
      <c r="VIX134"/>
      <c r="VIY134"/>
      <c r="VIZ134"/>
      <c r="VJA134"/>
      <c r="VJB134"/>
      <c r="VJC134"/>
      <c r="VJD134"/>
      <c r="VJE134"/>
      <c r="VJF134"/>
      <c r="VJG134"/>
      <c r="VJH134"/>
      <c r="VJI134"/>
      <c r="VJJ134"/>
      <c r="VJK134"/>
      <c r="VJL134"/>
      <c r="VJM134"/>
      <c r="VJN134"/>
      <c r="VJO134"/>
      <c r="VJP134"/>
      <c r="VJQ134"/>
      <c r="VJR134"/>
      <c r="VJS134"/>
      <c r="VJT134"/>
      <c r="VJU134"/>
      <c r="VJV134"/>
      <c r="VJW134"/>
      <c r="VJX134"/>
      <c r="VJY134"/>
      <c r="VJZ134"/>
      <c r="VKA134"/>
      <c r="VKB134"/>
      <c r="VKC134"/>
      <c r="VKD134"/>
      <c r="VKE134"/>
      <c r="VKF134"/>
      <c r="VKG134"/>
      <c r="VKH134"/>
      <c r="VKI134"/>
      <c r="VKJ134"/>
      <c r="VKK134"/>
      <c r="VKL134"/>
      <c r="VKM134"/>
      <c r="VKN134"/>
      <c r="VKO134"/>
      <c r="VKP134"/>
      <c r="VKQ134"/>
      <c r="VKR134"/>
      <c r="VKS134"/>
      <c r="VKT134"/>
      <c r="VKU134"/>
      <c r="VKV134"/>
      <c r="VKW134"/>
      <c r="VKX134"/>
      <c r="VKY134"/>
      <c r="VKZ134"/>
      <c r="VLA134"/>
      <c r="VLB134"/>
      <c r="VLC134"/>
      <c r="VLD134"/>
      <c r="VLE134"/>
      <c r="VLF134"/>
      <c r="VLG134"/>
      <c r="VLH134"/>
      <c r="VLI134"/>
      <c r="VLJ134"/>
      <c r="VLK134"/>
      <c r="VLL134"/>
      <c r="VLM134"/>
      <c r="VLN134"/>
      <c r="VLO134"/>
      <c r="VLP134"/>
      <c r="VLQ134"/>
      <c r="VLR134"/>
      <c r="VLS134"/>
      <c r="VLT134"/>
      <c r="VLU134"/>
      <c r="VLV134"/>
      <c r="VLW134"/>
      <c r="VLX134"/>
      <c r="VLY134"/>
      <c r="VLZ134"/>
      <c r="VMA134"/>
      <c r="VMB134"/>
      <c r="VMC134"/>
      <c r="VMD134"/>
      <c r="VME134"/>
      <c r="VMF134"/>
      <c r="VMG134"/>
      <c r="VMH134"/>
      <c r="VMI134"/>
      <c r="VMJ134"/>
      <c r="VMK134"/>
      <c r="VML134"/>
      <c r="VMM134"/>
      <c r="VMN134"/>
      <c r="VMO134"/>
      <c r="VMP134"/>
      <c r="VMQ134"/>
      <c r="VMR134"/>
      <c r="VMS134"/>
      <c r="VMT134"/>
      <c r="VMU134"/>
      <c r="VMV134"/>
      <c r="VMW134"/>
      <c r="VMX134"/>
      <c r="VMY134"/>
      <c r="VMZ134"/>
      <c r="VNA134"/>
      <c r="VNB134"/>
      <c r="VNC134"/>
      <c r="VND134"/>
      <c r="VNE134"/>
      <c r="VNF134"/>
      <c r="VNG134"/>
      <c r="VNH134"/>
      <c r="VNI134"/>
      <c r="VNJ134"/>
      <c r="VNK134"/>
      <c r="VNL134"/>
      <c r="VNM134"/>
      <c r="VNN134"/>
      <c r="VNO134"/>
      <c r="VNP134"/>
      <c r="VNQ134"/>
      <c r="VNR134"/>
      <c r="VNS134"/>
      <c r="VNT134"/>
      <c r="VNU134"/>
      <c r="VNV134"/>
      <c r="VNW134"/>
      <c r="VNX134"/>
      <c r="VNY134"/>
      <c r="VNZ134"/>
      <c r="VOA134"/>
      <c r="VOB134"/>
      <c r="VOC134"/>
      <c r="VOD134"/>
      <c r="VOE134"/>
      <c r="VOF134"/>
      <c r="VOG134"/>
      <c r="VOH134"/>
      <c r="VOI134"/>
      <c r="VOJ134"/>
      <c r="VOK134"/>
      <c r="VOL134"/>
      <c r="VOM134"/>
      <c r="VON134"/>
      <c r="VOO134"/>
      <c r="VOP134"/>
      <c r="VOQ134"/>
      <c r="VOR134"/>
      <c r="VOS134"/>
      <c r="VOT134"/>
      <c r="VOU134"/>
      <c r="VOV134"/>
      <c r="VOW134"/>
      <c r="VOX134"/>
      <c r="VOY134"/>
      <c r="VOZ134"/>
      <c r="VPA134"/>
      <c r="VPB134"/>
      <c r="VPC134"/>
      <c r="VPD134"/>
      <c r="VPE134"/>
      <c r="VPF134"/>
      <c r="VPG134"/>
      <c r="VPH134"/>
      <c r="VPI134"/>
      <c r="VPJ134"/>
      <c r="VPK134"/>
      <c r="VPL134"/>
      <c r="VPM134"/>
      <c r="VPN134"/>
      <c r="VPO134"/>
      <c r="VPP134"/>
      <c r="VPQ134"/>
      <c r="VPR134"/>
      <c r="VPS134"/>
      <c r="VPT134"/>
      <c r="VPU134"/>
      <c r="VPV134"/>
      <c r="VPW134"/>
      <c r="VPX134"/>
      <c r="VPY134"/>
      <c r="VPZ134"/>
      <c r="VQA134"/>
      <c r="VQB134"/>
      <c r="VQC134"/>
      <c r="VQD134"/>
      <c r="VQE134"/>
      <c r="VQF134"/>
      <c r="VQG134"/>
      <c r="VQH134"/>
      <c r="VQI134"/>
      <c r="VQJ134"/>
      <c r="VQK134"/>
      <c r="VQL134"/>
      <c r="VQM134"/>
      <c r="VQN134"/>
      <c r="VQO134"/>
      <c r="VQP134"/>
      <c r="VQQ134"/>
      <c r="VQR134"/>
      <c r="VQS134"/>
      <c r="VQT134"/>
      <c r="VQU134"/>
      <c r="VQV134"/>
      <c r="VQW134"/>
      <c r="VQX134"/>
      <c r="VQY134"/>
      <c r="VQZ134"/>
      <c r="VRA134"/>
      <c r="VRB134"/>
      <c r="VRC134"/>
      <c r="VRD134"/>
      <c r="VRE134"/>
      <c r="VRF134"/>
      <c r="VRG134"/>
      <c r="VRH134"/>
      <c r="VRI134"/>
      <c r="VRJ134"/>
      <c r="VRK134"/>
      <c r="VRL134"/>
      <c r="VRM134"/>
      <c r="VRN134"/>
      <c r="VRO134"/>
      <c r="VRP134"/>
      <c r="VRQ134"/>
      <c r="VRR134"/>
      <c r="VRS134"/>
      <c r="VRT134"/>
      <c r="VRU134"/>
      <c r="VRV134"/>
      <c r="VRW134"/>
      <c r="VRX134"/>
      <c r="VRY134"/>
      <c r="VRZ134"/>
      <c r="VSA134"/>
      <c r="VSB134"/>
      <c r="VSC134"/>
      <c r="VSD134"/>
      <c r="VSE134"/>
      <c r="VSF134"/>
      <c r="VSG134"/>
      <c r="VSH134"/>
      <c r="VSI134"/>
      <c r="VSJ134"/>
      <c r="VSK134"/>
      <c r="VSL134"/>
      <c r="VSM134"/>
      <c r="VSN134"/>
      <c r="VSO134"/>
      <c r="VSP134"/>
      <c r="VSQ134"/>
      <c r="VSR134"/>
      <c r="VSS134"/>
      <c r="VST134"/>
      <c r="VSU134"/>
      <c r="VSV134"/>
      <c r="VSW134"/>
      <c r="VSX134"/>
      <c r="VSY134"/>
      <c r="VSZ134"/>
      <c r="VTA134"/>
      <c r="VTB134"/>
      <c r="VTC134"/>
      <c r="VTD134"/>
      <c r="VTE134"/>
      <c r="VTF134"/>
      <c r="VTG134"/>
      <c r="VTH134"/>
      <c r="VTI134"/>
      <c r="VTJ134"/>
      <c r="VTK134"/>
      <c r="VTL134"/>
      <c r="VTM134"/>
      <c r="VTN134"/>
      <c r="VTO134"/>
      <c r="VTP134"/>
      <c r="VTQ134"/>
      <c r="VTR134"/>
      <c r="VTS134"/>
      <c r="VTT134"/>
      <c r="VTU134"/>
      <c r="VTV134"/>
      <c r="VTW134"/>
      <c r="VTX134"/>
      <c r="VTY134"/>
      <c r="VTZ134"/>
      <c r="VUA134"/>
      <c r="VUB134"/>
      <c r="VUC134"/>
      <c r="VUD134"/>
      <c r="VUE134"/>
      <c r="VUF134"/>
      <c r="VUG134"/>
      <c r="VUH134"/>
      <c r="VUI134"/>
      <c r="VUJ134"/>
      <c r="VUK134"/>
      <c r="VUL134"/>
      <c r="VUM134"/>
      <c r="VUN134"/>
      <c r="VUO134"/>
      <c r="VUP134"/>
      <c r="VUQ134"/>
      <c r="VUR134"/>
      <c r="VUS134"/>
      <c r="VUT134"/>
      <c r="VUU134"/>
      <c r="VUV134"/>
      <c r="VUW134"/>
      <c r="VUX134"/>
      <c r="VUY134"/>
      <c r="VUZ134"/>
      <c r="VVA134"/>
      <c r="VVB134"/>
      <c r="VVC134"/>
      <c r="VVD134"/>
      <c r="VVE134"/>
      <c r="VVF134"/>
      <c r="VVG134"/>
      <c r="VVH134"/>
      <c r="VVI134"/>
      <c r="VVJ134"/>
      <c r="VVK134"/>
      <c r="VVL134"/>
      <c r="VVM134"/>
      <c r="VVN134"/>
      <c r="VVO134"/>
      <c r="VVP134"/>
      <c r="VVQ134"/>
      <c r="VVR134"/>
      <c r="VVS134"/>
      <c r="VVT134"/>
      <c r="VVU134"/>
      <c r="VVV134"/>
      <c r="VVW134"/>
      <c r="VVX134"/>
      <c r="VVY134"/>
      <c r="VVZ134"/>
      <c r="VWA134"/>
      <c r="VWB134"/>
      <c r="VWC134"/>
      <c r="VWD134"/>
      <c r="VWE134"/>
      <c r="VWF134"/>
      <c r="VWG134"/>
      <c r="VWH134"/>
      <c r="VWI134"/>
      <c r="VWJ134"/>
      <c r="VWK134"/>
      <c r="VWL134"/>
      <c r="VWM134"/>
      <c r="VWN134"/>
      <c r="VWO134"/>
    </row>
    <row r="135" spans="2:40 15093:15485" s="1" customFormat="1" hidden="1">
      <c r="B135" s="70"/>
      <c r="C135" s="217" t="s">
        <v>68</v>
      </c>
      <c r="D135" s="74"/>
      <c r="E135" s="7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117"/>
      <c r="AL135" s="122" t="s">
        <v>68</v>
      </c>
      <c r="AN135" s="118"/>
    </row>
    <row r="136" spans="2:40 15093:15485" s="1" customFormat="1" ht="13.8" hidden="1">
      <c r="B136" s="70"/>
      <c r="C136" s="40" t="s">
        <v>136</v>
      </c>
      <c r="D136" s="74"/>
      <c r="E136" s="206" t="s">
        <v>70</v>
      </c>
      <c r="F136" s="60">
        <v>0</v>
      </c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117"/>
      <c r="AL136" s="116">
        <f t="shared" ref="AL136:AL137" si="94">SUM(F136:AJ136)</f>
        <v>0</v>
      </c>
      <c r="AN136" s="118"/>
    </row>
    <row r="137" spans="2:40 15093:15485" s="1" customFormat="1" ht="13.8" hidden="1">
      <c r="B137" s="70"/>
      <c r="C137" s="40" t="s">
        <v>137</v>
      </c>
      <c r="D137" s="74"/>
      <c r="E137" s="206" t="s">
        <v>70</v>
      </c>
      <c r="F137" s="60">
        <v>0</v>
      </c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117"/>
      <c r="AL137" s="116">
        <f t="shared" si="94"/>
        <v>0</v>
      </c>
      <c r="AN137" s="118"/>
    </row>
    <row r="138" spans="2:40 15093:15485" s="1" customFormat="1" hidden="1">
      <c r="B138" s="70"/>
      <c r="C138" s="217" t="s">
        <v>72</v>
      </c>
      <c r="D138" s="74"/>
      <c r="E138" s="7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117"/>
      <c r="AL138" s="122" t="s">
        <v>72</v>
      </c>
      <c r="AN138" s="118"/>
    </row>
    <row r="139" spans="2:40 15093:15485" s="1" customFormat="1" ht="13.8" hidden="1">
      <c r="B139" s="70"/>
      <c r="C139" s="40" t="s">
        <v>136</v>
      </c>
      <c r="D139" s="74"/>
      <c r="E139" s="206" t="s">
        <v>72</v>
      </c>
      <c r="F139" s="60">
        <v>0</v>
      </c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117"/>
      <c r="AL139" s="116">
        <f t="shared" ref="AL139:AL140" si="95">SUM(F139:AJ139)</f>
        <v>0</v>
      </c>
      <c r="AN139" s="118"/>
    </row>
    <row r="140" spans="2:40 15093:15485" s="1" customFormat="1" ht="13.8" hidden="1">
      <c r="B140" s="70"/>
      <c r="C140" s="40" t="s">
        <v>137</v>
      </c>
      <c r="D140" s="74"/>
      <c r="E140" s="206" t="s">
        <v>72</v>
      </c>
      <c r="F140" s="60">
        <v>0</v>
      </c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117"/>
      <c r="AL140" s="116">
        <f t="shared" si="95"/>
        <v>0</v>
      </c>
      <c r="AN140" s="118"/>
    </row>
    <row r="141" spans="2:40 15093:15485" s="1" customFormat="1" hidden="1">
      <c r="B141" s="57"/>
      <c r="C141" s="36" t="s">
        <v>79</v>
      </c>
      <c r="D141" s="55"/>
      <c r="E141" s="55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103"/>
      <c r="AD141" s="56"/>
      <c r="AE141" s="56"/>
      <c r="AF141" s="56"/>
      <c r="AG141" s="56"/>
      <c r="AH141" s="103"/>
      <c r="AI141" s="103"/>
      <c r="AJ141" s="103"/>
      <c r="AK141" s="107"/>
      <c r="AL141" s="203" t="s">
        <v>78</v>
      </c>
      <c r="AN141" s="29"/>
      <c r="VHM141"/>
      <c r="VHN141"/>
      <c r="VHO141"/>
      <c r="VHP141"/>
      <c r="VHQ141"/>
      <c r="VHR141"/>
      <c r="VHS141"/>
      <c r="VHT141"/>
      <c r="VHU141"/>
      <c r="VHV141"/>
      <c r="VHW141"/>
      <c r="VHX141"/>
      <c r="VHY141"/>
      <c r="VHZ141"/>
      <c r="VIA141"/>
      <c r="VIB141"/>
      <c r="VIC141"/>
      <c r="VID141"/>
      <c r="VIE141"/>
      <c r="VIF141"/>
      <c r="VIG141"/>
      <c r="VIH141"/>
      <c r="VII141"/>
      <c r="VIJ141"/>
      <c r="VIK141"/>
      <c r="VIL141"/>
      <c r="VIM141"/>
      <c r="VIN141"/>
      <c r="VIO141"/>
      <c r="VIP141"/>
      <c r="VIQ141"/>
      <c r="VIR141"/>
      <c r="VIS141"/>
      <c r="VIT141"/>
      <c r="VIU141"/>
      <c r="VIV141"/>
      <c r="VIW141"/>
      <c r="VIX141"/>
      <c r="VIY141"/>
      <c r="VIZ141"/>
      <c r="VJA141"/>
      <c r="VJB141"/>
      <c r="VJC141"/>
      <c r="VJD141"/>
      <c r="VJE141"/>
      <c r="VJF141"/>
      <c r="VJG141"/>
      <c r="VJH141"/>
      <c r="VJI141"/>
      <c r="VJJ141"/>
      <c r="VJK141"/>
      <c r="VJL141"/>
      <c r="VJM141"/>
      <c r="VJN141"/>
      <c r="VJO141"/>
      <c r="VJP141"/>
      <c r="VJQ141"/>
      <c r="VJR141"/>
      <c r="VJS141"/>
      <c r="VJT141"/>
      <c r="VJU141"/>
      <c r="VJV141"/>
      <c r="VJW141"/>
      <c r="VJX141"/>
      <c r="VJY141"/>
      <c r="VJZ141"/>
      <c r="VKA141"/>
      <c r="VKB141"/>
      <c r="VKC141"/>
      <c r="VKD141"/>
      <c r="VKE141"/>
      <c r="VKF141"/>
      <c r="VKG141"/>
      <c r="VKH141"/>
      <c r="VKI141"/>
      <c r="VKJ141"/>
      <c r="VKK141"/>
      <c r="VKL141"/>
      <c r="VKM141"/>
      <c r="VKN141"/>
      <c r="VKO141"/>
      <c r="VKP141"/>
      <c r="VKQ141"/>
      <c r="VKR141"/>
      <c r="VKS141"/>
      <c r="VKT141"/>
      <c r="VKU141"/>
      <c r="VKV141"/>
      <c r="VKW141"/>
      <c r="VKX141"/>
      <c r="VKY141"/>
      <c r="VKZ141"/>
      <c r="VLA141"/>
      <c r="VLB141"/>
      <c r="VLC141"/>
      <c r="VLD141"/>
      <c r="VLE141"/>
      <c r="VLF141"/>
      <c r="VLG141"/>
      <c r="VLH141"/>
      <c r="VLI141"/>
      <c r="VLJ141"/>
      <c r="VLK141"/>
      <c r="VLL141"/>
      <c r="VLM141"/>
      <c r="VLN141"/>
      <c r="VLO141"/>
      <c r="VLP141"/>
      <c r="VLQ141"/>
      <c r="VLR141"/>
      <c r="VLS141"/>
      <c r="VLT141"/>
      <c r="VLU141"/>
      <c r="VLV141"/>
      <c r="VLW141"/>
      <c r="VLX141"/>
      <c r="VLY141"/>
      <c r="VLZ141"/>
      <c r="VMA141"/>
      <c r="VMB141"/>
      <c r="VMC141"/>
      <c r="VMD141"/>
      <c r="VME141"/>
      <c r="VMF141"/>
      <c r="VMG141"/>
      <c r="VMH141"/>
      <c r="VMI141"/>
      <c r="VMJ141"/>
      <c r="VMK141"/>
      <c r="VML141"/>
      <c r="VMM141"/>
      <c r="VMN141"/>
      <c r="VMO141"/>
      <c r="VMP141"/>
      <c r="VMQ141"/>
      <c r="VMR141"/>
      <c r="VMS141"/>
      <c r="VMT141"/>
      <c r="VMU141"/>
      <c r="VMV141"/>
      <c r="VMW141"/>
      <c r="VMX141"/>
      <c r="VMY141"/>
      <c r="VMZ141"/>
      <c r="VNA141"/>
      <c r="VNB141"/>
      <c r="VNC141"/>
      <c r="VND141"/>
      <c r="VNE141"/>
      <c r="VNF141"/>
      <c r="VNG141"/>
      <c r="VNH141"/>
      <c r="VNI141"/>
      <c r="VNJ141"/>
      <c r="VNK141"/>
      <c r="VNL141"/>
      <c r="VNM141"/>
      <c r="VNN141"/>
      <c r="VNO141"/>
      <c r="VNP141"/>
      <c r="VNQ141"/>
      <c r="VNR141"/>
      <c r="VNS141"/>
      <c r="VNT141"/>
      <c r="VNU141"/>
      <c r="VNV141"/>
      <c r="VNW141"/>
      <c r="VNX141"/>
      <c r="VNY141"/>
      <c r="VNZ141"/>
      <c r="VOA141"/>
      <c r="VOB141"/>
      <c r="VOC141"/>
      <c r="VOD141"/>
      <c r="VOE141"/>
      <c r="VOF141"/>
      <c r="VOG141"/>
      <c r="VOH141"/>
      <c r="VOI141"/>
      <c r="VOJ141"/>
      <c r="VOK141"/>
      <c r="VOL141"/>
      <c r="VOM141"/>
      <c r="VON141"/>
      <c r="VOO141"/>
      <c r="VOP141"/>
      <c r="VOQ141"/>
      <c r="VOR141"/>
      <c r="VOS141"/>
      <c r="VOT141"/>
      <c r="VOU141"/>
      <c r="VOV141"/>
      <c r="VOW141"/>
      <c r="VOX141"/>
      <c r="VOY141"/>
      <c r="VOZ141"/>
      <c r="VPA141"/>
      <c r="VPB141"/>
      <c r="VPC141"/>
      <c r="VPD141"/>
      <c r="VPE141"/>
      <c r="VPF141"/>
      <c r="VPG141"/>
      <c r="VPH141"/>
      <c r="VPI141"/>
      <c r="VPJ141"/>
      <c r="VPK141"/>
      <c r="VPL141"/>
      <c r="VPM141"/>
      <c r="VPN141"/>
      <c r="VPO141"/>
      <c r="VPP141"/>
      <c r="VPQ141"/>
      <c r="VPR141"/>
      <c r="VPS141"/>
      <c r="VPT141"/>
      <c r="VPU141"/>
      <c r="VPV141"/>
      <c r="VPW141"/>
      <c r="VPX141"/>
      <c r="VPY141"/>
      <c r="VPZ141"/>
      <c r="VQA141"/>
      <c r="VQB141"/>
      <c r="VQC141"/>
      <c r="VQD141"/>
      <c r="VQE141"/>
      <c r="VQF141"/>
      <c r="VQG141"/>
      <c r="VQH141"/>
      <c r="VQI141"/>
      <c r="VQJ141"/>
      <c r="VQK141"/>
      <c r="VQL141"/>
      <c r="VQM141"/>
      <c r="VQN141"/>
      <c r="VQO141"/>
      <c r="VQP141"/>
      <c r="VQQ141"/>
      <c r="VQR141"/>
      <c r="VQS141"/>
      <c r="VQT141"/>
      <c r="VQU141"/>
      <c r="VQV141"/>
      <c r="VQW141"/>
      <c r="VQX141"/>
      <c r="VQY141"/>
      <c r="VQZ141"/>
      <c r="VRA141"/>
      <c r="VRB141"/>
      <c r="VRC141"/>
      <c r="VRD141"/>
      <c r="VRE141"/>
      <c r="VRF141"/>
      <c r="VRG141"/>
      <c r="VRH141"/>
      <c r="VRI141"/>
      <c r="VRJ141"/>
      <c r="VRK141"/>
      <c r="VRL141"/>
      <c r="VRM141"/>
      <c r="VRN141"/>
      <c r="VRO141"/>
      <c r="VRP141"/>
      <c r="VRQ141"/>
      <c r="VRR141"/>
      <c r="VRS141"/>
      <c r="VRT141"/>
      <c r="VRU141"/>
      <c r="VRV141"/>
      <c r="VRW141"/>
      <c r="VRX141"/>
      <c r="VRY141"/>
      <c r="VRZ141"/>
      <c r="VSA141"/>
      <c r="VSB141"/>
      <c r="VSC141"/>
      <c r="VSD141"/>
      <c r="VSE141"/>
      <c r="VSF141"/>
      <c r="VSG141"/>
      <c r="VSH141"/>
      <c r="VSI141"/>
      <c r="VSJ141"/>
      <c r="VSK141"/>
      <c r="VSL141"/>
      <c r="VSM141"/>
      <c r="VSN141"/>
      <c r="VSO141"/>
      <c r="VSP141"/>
      <c r="VSQ141"/>
      <c r="VSR141"/>
      <c r="VSS141"/>
      <c r="VST141"/>
      <c r="VSU141"/>
      <c r="VSV141"/>
      <c r="VSW141"/>
      <c r="VSX141"/>
      <c r="VSY141"/>
      <c r="VSZ141"/>
      <c r="VTA141"/>
      <c r="VTB141"/>
      <c r="VTC141"/>
      <c r="VTD141"/>
      <c r="VTE141"/>
      <c r="VTF141"/>
      <c r="VTG141"/>
      <c r="VTH141"/>
      <c r="VTI141"/>
      <c r="VTJ141"/>
      <c r="VTK141"/>
      <c r="VTL141"/>
      <c r="VTM141"/>
      <c r="VTN141"/>
      <c r="VTO141"/>
      <c r="VTP141"/>
      <c r="VTQ141"/>
      <c r="VTR141"/>
      <c r="VTS141"/>
      <c r="VTT141"/>
      <c r="VTU141"/>
      <c r="VTV141"/>
      <c r="VTW141"/>
      <c r="VTX141"/>
      <c r="VTY141"/>
      <c r="VTZ141"/>
      <c r="VUA141"/>
      <c r="VUB141"/>
      <c r="VUC141"/>
      <c r="VUD141"/>
      <c r="VUE141"/>
      <c r="VUF141"/>
      <c r="VUG141"/>
      <c r="VUH141"/>
      <c r="VUI141"/>
      <c r="VUJ141"/>
      <c r="VUK141"/>
      <c r="VUL141"/>
      <c r="VUM141"/>
      <c r="VUN141"/>
      <c r="VUO141"/>
      <c r="VUP141"/>
      <c r="VUQ141"/>
      <c r="VUR141"/>
      <c r="VUS141"/>
      <c r="VUT141"/>
      <c r="VUU141"/>
      <c r="VUV141"/>
      <c r="VUW141"/>
      <c r="VUX141"/>
      <c r="VUY141"/>
      <c r="VUZ141"/>
      <c r="VVA141"/>
      <c r="VVB141"/>
      <c r="VVC141"/>
      <c r="VVD141"/>
      <c r="VVE141"/>
      <c r="VVF141"/>
      <c r="VVG141"/>
      <c r="VVH141"/>
      <c r="VVI141"/>
      <c r="VVJ141"/>
      <c r="VVK141"/>
      <c r="VVL141"/>
      <c r="VVM141"/>
      <c r="VVN141"/>
      <c r="VVO141"/>
      <c r="VVP141"/>
      <c r="VVQ141"/>
      <c r="VVR141"/>
      <c r="VVS141"/>
      <c r="VVT141"/>
      <c r="VVU141"/>
      <c r="VVV141"/>
      <c r="VVW141"/>
      <c r="VVX141"/>
      <c r="VVY141"/>
      <c r="VVZ141"/>
      <c r="VWA141"/>
      <c r="VWB141"/>
      <c r="VWC141"/>
      <c r="VWD141"/>
      <c r="VWE141"/>
      <c r="VWF141"/>
      <c r="VWG141"/>
      <c r="VWH141"/>
      <c r="VWI141"/>
      <c r="VWJ141"/>
      <c r="VWK141"/>
      <c r="VWL141"/>
      <c r="VWM141"/>
      <c r="VWN141"/>
      <c r="VWO141"/>
    </row>
    <row r="142" spans="2:40 15093:15485" s="1" customFormat="1" hidden="1">
      <c r="B142" s="70"/>
      <c r="C142" s="217" t="s">
        <v>68</v>
      </c>
      <c r="D142" s="74"/>
      <c r="E142" s="7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117"/>
      <c r="AL142" s="122" t="s">
        <v>68</v>
      </c>
      <c r="AN142" s="118"/>
    </row>
    <row r="143" spans="2:40 15093:15485" s="1" customFormat="1" ht="13.8" hidden="1">
      <c r="B143" s="70"/>
      <c r="C143" s="40" t="s">
        <v>136</v>
      </c>
      <c r="D143" s="69">
        <v>0.3</v>
      </c>
      <c r="E143" s="206" t="s">
        <v>12</v>
      </c>
      <c r="F143" s="84" t="e">
        <f t="shared" ref="F143:AJ143" si="96">F136/F125*100</f>
        <v>#DIV/0!</v>
      </c>
      <c r="G143" s="84" t="e">
        <f t="shared" si="96"/>
        <v>#DIV/0!</v>
      </c>
      <c r="H143" s="84" t="e">
        <f t="shared" si="96"/>
        <v>#DIV/0!</v>
      </c>
      <c r="I143" s="84" t="e">
        <f t="shared" si="96"/>
        <v>#DIV/0!</v>
      </c>
      <c r="J143" s="84" t="e">
        <f t="shared" si="96"/>
        <v>#DIV/0!</v>
      </c>
      <c r="K143" s="84">
        <f t="shared" si="96"/>
        <v>0</v>
      </c>
      <c r="L143" s="84">
        <f t="shared" si="96"/>
        <v>0</v>
      </c>
      <c r="M143" s="84">
        <f t="shared" si="96"/>
        <v>0</v>
      </c>
      <c r="N143" s="84" t="e">
        <f t="shared" si="96"/>
        <v>#DIV/0!</v>
      </c>
      <c r="O143" s="84">
        <f t="shared" si="96"/>
        <v>0</v>
      </c>
      <c r="P143" s="84" t="e">
        <f t="shared" si="96"/>
        <v>#DIV/0!</v>
      </c>
      <c r="Q143" s="84" t="e">
        <f t="shared" si="96"/>
        <v>#DIV/0!</v>
      </c>
      <c r="R143" s="84" t="e">
        <f t="shared" si="96"/>
        <v>#DIV/0!</v>
      </c>
      <c r="S143" s="84" t="e">
        <f t="shared" si="96"/>
        <v>#DIV/0!</v>
      </c>
      <c r="T143" s="84" t="e">
        <f t="shared" si="96"/>
        <v>#DIV/0!</v>
      </c>
      <c r="U143" s="84" t="e">
        <f t="shared" si="96"/>
        <v>#DIV/0!</v>
      </c>
      <c r="V143" s="84" t="e">
        <f t="shared" si="96"/>
        <v>#DIV/0!</v>
      </c>
      <c r="W143" s="84" t="e">
        <f t="shared" si="96"/>
        <v>#DIV/0!</v>
      </c>
      <c r="X143" s="84">
        <f t="shared" si="96"/>
        <v>0</v>
      </c>
      <c r="Y143" s="84">
        <f t="shared" si="96"/>
        <v>0</v>
      </c>
      <c r="Z143" s="84">
        <f t="shared" si="96"/>
        <v>0</v>
      </c>
      <c r="AA143" s="84" t="e">
        <f t="shared" si="96"/>
        <v>#DIV/0!</v>
      </c>
      <c r="AB143" s="84" t="e">
        <f t="shared" si="96"/>
        <v>#DIV/0!</v>
      </c>
      <c r="AC143" s="84" t="e">
        <f t="shared" si="96"/>
        <v>#DIV/0!</v>
      </c>
      <c r="AD143" s="84" t="e">
        <f t="shared" si="96"/>
        <v>#DIV/0!</v>
      </c>
      <c r="AE143" s="84" t="e">
        <f t="shared" si="96"/>
        <v>#DIV/0!</v>
      </c>
      <c r="AF143" s="84">
        <f t="shared" si="96"/>
        <v>0</v>
      </c>
      <c r="AG143" s="84">
        <f t="shared" si="96"/>
        <v>0</v>
      </c>
      <c r="AH143" s="84">
        <f t="shared" si="96"/>
        <v>0</v>
      </c>
      <c r="AI143" s="84" t="e">
        <f t="shared" ref="AI143" si="97">AI136/AI125*100</f>
        <v>#DIV/0!</v>
      </c>
      <c r="AJ143" s="84" t="e">
        <f t="shared" si="96"/>
        <v>#DIV/0!</v>
      </c>
      <c r="AK143" s="117"/>
      <c r="AL143" s="119">
        <f>AL136/AL125*100</f>
        <v>0</v>
      </c>
      <c r="AN143" s="118"/>
    </row>
    <row r="144" spans="2:40 15093:15485" s="1" customFormat="1" ht="13.8" hidden="1">
      <c r="B144" s="70"/>
      <c r="C144" s="40" t="s">
        <v>137</v>
      </c>
      <c r="D144" s="69">
        <v>0.3</v>
      </c>
      <c r="E144" s="206" t="s">
        <v>12</v>
      </c>
      <c r="F144" s="84" t="e">
        <f t="shared" ref="F144:AJ144" si="98">F137/F127*100</f>
        <v>#DIV/0!</v>
      </c>
      <c r="G144" s="84" t="e">
        <f t="shared" si="98"/>
        <v>#DIV/0!</v>
      </c>
      <c r="H144" s="84" t="e">
        <f t="shared" si="98"/>
        <v>#DIV/0!</v>
      </c>
      <c r="I144" s="84" t="e">
        <f t="shared" si="98"/>
        <v>#DIV/0!</v>
      </c>
      <c r="J144" s="84" t="e">
        <f t="shared" si="98"/>
        <v>#DIV/0!</v>
      </c>
      <c r="K144" s="84" t="e">
        <f t="shared" si="98"/>
        <v>#DIV/0!</v>
      </c>
      <c r="L144" s="84" t="e">
        <f t="shared" si="98"/>
        <v>#DIV/0!</v>
      </c>
      <c r="M144" s="84" t="e">
        <f t="shared" si="98"/>
        <v>#DIV/0!</v>
      </c>
      <c r="N144" s="84" t="e">
        <f t="shared" si="98"/>
        <v>#DIV/0!</v>
      </c>
      <c r="O144" s="84" t="e">
        <f t="shared" si="98"/>
        <v>#DIV/0!</v>
      </c>
      <c r="P144" s="84" t="e">
        <f t="shared" si="98"/>
        <v>#DIV/0!</v>
      </c>
      <c r="Q144" s="84" t="e">
        <f t="shared" si="98"/>
        <v>#DIV/0!</v>
      </c>
      <c r="R144" s="84" t="e">
        <f t="shared" si="98"/>
        <v>#DIV/0!</v>
      </c>
      <c r="S144" s="84" t="e">
        <f t="shared" si="98"/>
        <v>#DIV/0!</v>
      </c>
      <c r="T144" s="84" t="e">
        <f t="shared" si="98"/>
        <v>#DIV/0!</v>
      </c>
      <c r="U144" s="84">
        <f t="shared" si="98"/>
        <v>0</v>
      </c>
      <c r="V144" s="84" t="e">
        <f t="shared" si="98"/>
        <v>#DIV/0!</v>
      </c>
      <c r="W144" s="84" t="e">
        <f t="shared" si="98"/>
        <v>#DIV/0!</v>
      </c>
      <c r="X144" s="84" t="e">
        <f t="shared" si="98"/>
        <v>#DIV/0!</v>
      </c>
      <c r="Y144" s="84" t="e">
        <f t="shared" si="98"/>
        <v>#DIV/0!</v>
      </c>
      <c r="Z144" s="84" t="e">
        <f t="shared" si="98"/>
        <v>#DIV/0!</v>
      </c>
      <c r="AA144" s="84" t="e">
        <f t="shared" si="98"/>
        <v>#DIV/0!</v>
      </c>
      <c r="AB144" s="84" t="e">
        <f t="shared" si="98"/>
        <v>#DIV/0!</v>
      </c>
      <c r="AC144" s="84" t="e">
        <f t="shared" si="98"/>
        <v>#DIV/0!</v>
      </c>
      <c r="AD144" s="84" t="e">
        <f t="shared" si="98"/>
        <v>#DIV/0!</v>
      </c>
      <c r="AE144" s="84" t="e">
        <f t="shared" si="98"/>
        <v>#DIV/0!</v>
      </c>
      <c r="AF144" s="84" t="e">
        <f t="shared" si="98"/>
        <v>#DIV/0!</v>
      </c>
      <c r="AG144" s="84" t="e">
        <f t="shared" si="98"/>
        <v>#DIV/0!</v>
      </c>
      <c r="AH144" s="84" t="e">
        <f t="shared" si="98"/>
        <v>#DIV/0!</v>
      </c>
      <c r="AI144" s="84" t="e">
        <f t="shared" ref="AI144" si="99">AI137/AI127*100</f>
        <v>#DIV/0!</v>
      </c>
      <c r="AJ144" s="84" t="e">
        <f t="shared" si="98"/>
        <v>#DIV/0!</v>
      </c>
      <c r="AK144" s="117"/>
      <c r="AL144" s="119">
        <f>AL137/AL127*100</f>
        <v>0</v>
      </c>
      <c r="AN144" s="118"/>
    </row>
    <row r="145" spans="2:60" s="1" customFormat="1" hidden="1">
      <c r="B145" s="70"/>
      <c r="C145" s="217" t="s">
        <v>72</v>
      </c>
      <c r="D145" s="69"/>
      <c r="E145" s="70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117"/>
      <c r="AL145" s="122" t="s">
        <v>72</v>
      </c>
      <c r="AN145" s="118"/>
    </row>
    <row r="146" spans="2:60" s="1" customFormat="1" ht="13.8" hidden="1">
      <c r="B146" s="70"/>
      <c r="C146" s="40" t="s">
        <v>136</v>
      </c>
      <c r="D146" s="69">
        <v>0.5</v>
      </c>
      <c r="E146" s="206" t="s">
        <v>12</v>
      </c>
      <c r="F146" s="84" t="e">
        <f t="shared" ref="F146:AJ146" si="100">F139/F129*100</f>
        <v>#DIV/0!</v>
      </c>
      <c r="G146" s="84" t="e">
        <f t="shared" si="100"/>
        <v>#DIV/0!</v>
      </c>
      <c r="H146" s="84" t="e">
        <f t="shared" si="100"/>
        <v>#DIV/0!</v>
      </c>
      <c r="I146" s="84" t="e">
        <f t="shared" si="100"/>
        <v>#DIV/0!</v>
      </c>
      <c r="J146" s="84" t="e">
        <f t="shared" si="100"/>
        <v>#DIV/0!</v>
      </c>
      <c r="K146" s="84">
        <f t="shared" si="100"/>
        <v>0</v>
      </c>
      <c r="L146" s="84">
        <f t="shared" si="100"/>
        <v>0</v>
      </c>
      <c r="M146" s="84">
        <f t="shared" si="100"/>
        <v>0</v>
      </c>
      <c r="N146" s="84" t="e">
        <f t="shared" si="100"/>
        <v>#DIV/0!</v>
      </c>
      <c r="O146" s="84">
        <f t="shared" si="100"/>
        <v>0</v>
      </c>
      <c r="P146" s="84" t="e">
        <f t="shared" si="100"/>
        <v>#DIV/0!</v>
      </c>
      <c r="Q146" s="84" t="e">
        <f t="shared" si="100"/>
        <v>#DIV/0!</v>
      </c>
      <c r="R146" s="84" t="e">
        <f t="shared" si="100"/>
        <v>#DIV/0!</v>
      </c>
      <c r="S146" s="84" t="e">
        <f t="shared" si="100"/>
        <v>#DIV/0!</v>
      </c>
      <c r="T146" s="84" t="e">
        <f t="shared" si="100"/>
        <v>#DIV/0!</v>
      </c>
      <c r="U146" s="84" t="e">
        <f t="shared" si="100"/>
        <v>#DIV/0!</v>
      </c>
      <c r="V146" s="84" t="e">
        <f t="shared" si="100"/>
        <v>#DIV/0!</v>
      </c>
      <c r="W146" s="84" t="e">
        <f t="shared" si="100"/>
        <v>#DIV/0!</v>
      </c>
      <c r="X146" s="84">
        <f t="shared" si="100"/>
        <v>0</v>
      </c>
      <c r="Y146" s="84">
        <f t="shared" si="100"/>
        <v>0</v>
      </c>
      <c r="Z146" s="84">
        <f t="shared" si="100"/>
        <v>0</v>
      </c>
      <c r="AA146" s="84" t="e">
        <f t="shared" si="100"/>
        <v>#DIV/0!</v>
      </c>
      <c r="AB146" s="84" t="e">
        <f t="shared" si="100"/>
        <v>#DIV/0!</v>
      </c>
      <c r="AC146" s="84" t="e">
        <f t="shared" si="100"/>
        <v>#DIV/0!</v>
      </c>
      <c r="AD146" s="84" t="e">
        <f t="shared" si="100"/>
        <v>#DIV/0!</v>
      </c>
      <c r="AE146" s="84" t="e">
        <f t="shared" si="100"/>
        <v>#DIV/0!</v>
      </c>
      <c r="AF146" s="84">
        <f t="shared" si="100"/>
        <v>0</v>
      </c>
      <c r="AG146" s="84">
        <f t="shared" si="100"/>
        <v>0</v>
      </c>
      <c r="AH146" s="84">
        <f t="shared" si="100"/>
        <v>0</v>
      </c>
      <c r="AI146" s="84" t="e">
        <f t="shared" ref="AI146" si="101">AI139/AI129*100</f>
        <v>#DIV/0!</v>
      </c>
      <c r="AJ146" s="84" t="e">
        <f t="shared" si="100"/>
        <v>#DIV/0!</v>
      </c>
      <c r="AK146" s="117"/>
      <c r="AL146" s="119">
        <f>AL139/AL129*100</f>
        <v>0</v>
      </c>
      <c r="AN146" s="118"/>
    </row>
    <row r="147" spans="2:60" s="1" customFormat="1" ht="13.8" hidden="1">
      <c r="B147" s="70"/>
      <c r="C147" s="40" t="s">
        <v>137</v>
      </c>
      <c r="D147" s="69">
        <v>0.5</v>
      </c>
      <c r="E147" s="206" t="s">
        <v>12</v>
      </c>
      <c r="F147" s="84" t="e">
        <f t="shared" ref="F147:AJ147" si="102">F140/F131*100</f>
        <v>#DIV/0!</v>
      </c>
      <c r="G147" s="84" t="e">
        <f t="shared" si="102"/>
        <v>#DIV/0!</v>
      </c>
      <c r="H147" s="84" t="e">
        <f t="shared" si="102"/>
        <v>#DIV/0!</v>
      </c>
      <c r="I147" s="84" t="e">
        <f t="shared" si="102"/>
        <v>#DIV/0!</v>
      </c>
      <c r="J147" s="84" t="e">
        <f t="shared" si="102"/>
        <v>#DIV/0!</v>
      </c>
      <c r="K147" s="84" t="e">
        <f t="shared" si="102"/>
        <v>#DIV/0!</v>
      </c>
      <c r="L147" s="84" t="e">
        <f t="shared" si="102"/>
        <v>#DIV/0!</v>
      </c>
      <c r="M147" s="84" t="e">
        <f t="shared" si="102"/>
        <v>#DIV/0!</v>
      </c>
      <c r="N147" s="84" t="e">
        <f t="shared" si="102"/>
        <v>#DIV/0!</v>
      </c>
      <c r="O147" s="84" t="e">
        <f t="shared" si="102"/>
        <v>#DIV/0!</v>
      </c>
      <c r="P147" s="84" t="e">
        <f t="shared" si="102"/>
        <v>#DIV/0!</v>
      </c>
      <c r="Q147" s="84" t="e">
        <f t="shared" si="102"/>
        <v>#DIV/0!</v>
      </c>
      <c r="R147" s="84" t="e">
        <f t="shared" si="102"/>
        <v>#DIV/0!</v>
      </c>
      <c r="S147" s="84" t="e">
        <f t="shared" si="102"/>
        <v>#DIV/0!</v>
      </c>
      <c r="T147" s="84" t="e">
        <f t="shared" si="102"/>
        <v>#DIV/0!</v>
      </c>
      <c r="U147" s="84">
        <f t="shared" si="102"/>
        <v>0</v>
      </c>
      <c r="V147" s="84" t="e">
        <f t="shared" si="102"/>
        <v>#DIV/0!</v>
      </c>
      <c r="W147" s="84" t="e">
        <f t="shared" si="102"/>
        <v>#DIV/0!</v>
      </c>
      <c r="X147" s="84" t="e">
        <f t="shared" si="102"/>
        <v>#DIV/0!</v>
      </c>
      <c r="Y147" s="84" t="e">
        <f t="shared" si="102"/>
        <v>#DIV/0!</v>
      </c>
      <c r="Z147" s="84" t="e">
        <f t="shared" si="102"/>
        <v>#DIV/0!</v>
      </c>
      <c r="AA147" s="84" t="e">
        <f t="shared" si="102"/>
        <v>#DIV/0!</v>
      </c>
      <c r="AB147" s="84" t="e">
        <f t="shared" si="102"/>
        <v>#DIV/0!</v>
      </c>
      <c r="AC147" s="84" t="e">
        <f t="shared" si="102"/>
        <v>#DIV/0!</v>
      </c>
      <c r="AD147" s="84" t="e">
        <f t="shared" si="102"/>
        <v>#DIV/0!</v>
      </c>
      <c r="AE147" s="84" t="e">
        <f t="shared" si="102"/>
        <v>#DIV/0!</v>
      </c>
      <c r="AF147" s="84" t="e">
        <f t="shared" si="102"/>
        <v>#DIV/0!</v>
      </c>
      <c r="AG147" s="84" t="e">
        <f t="shared" si="102"/>
        <v>#DIV/0!</v>
      </c>
      <c r="AH147" s="84" t="e">
        <f t="shared" si="102"/>
        <v>#DIV/0!</v>
      </c>
      <c r="AI147" s="84" t="e">
        <f t="shared" ref="AI147" si="103">AI140/AI131*100</f>
        <v>#DIV/0!</v>
      </c>
      <c r="AJ147" s="84" t="e">
        <f t="shared" si="102"/>
        <v>#DIV/0!</v>
      </c>
      <c r="AK147" s="117"/>
      <c r="AL147" s="119">
        <f>AL140/AL131*100</f>
        <v>0</v>
      </c>
      <c r="AN147" s="118"/>
    </row>
    <row r="148" spans="2:60">
      <c r="B148" s="54">
        <v>8</v>
      </c>
      <c r="C148" s="202" t="s">
        <v>83</v>
      </c>
      <c r="D148" s="55"/>
      <c r="E148" s="82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117"/>
      <c r="AL148" s="128" t="s">
        <v>84</v>
      </c>
    </row>
    <row r="149" spans="2:60" s="1" customFormat="1" ht="13.8">
      <c r="B149" s="57"/>
      <c r="C149" s="199" t="s">
        <v>85</v>
      </c>
      <c r="D149" s="74"/>
      <c r="E149" s="206" t="s">
        <v>86</v>
      </c>
      <c r="F149" s="84">
        <v>0</v>
      </c>
      <c r="G149" s="150">
        <v>292.36429999999382</v>
      </c>
      <c r="H149" s="148">
        <f>0.3054048*1000</f>
        <v>305.40479999999997</v>
      </c>
      <c r="I149" s="152">
        <v>973.18520000000001</v>
      </c>
      <c r="J149" s="152">
        <v>1562.1184000000001</v>
      </c>
      <c r="K149" s="152">
        <v>1680.9786999999999</v>
      </c>
      <c r="L149" s="152">
        <v>1414.9094</v>
      </c>
      <c r="M149" s="152">
        <v>1452.5306</v>
      </c>
      <c r="N149" s="152">
        <v>1464.2998</v>
      </c>
      <c r="O149" s="152">
        <v>1450.307</v>
      </c>
      <c r="P149" s="152">
        <v>1410.6158</v>
      </c>
      <c r="Q149" s="152">
        <v>1406.9285</v>
      </c>
      <c r="R149" s="152">
        <v>1478.6445000000001</v>
      </c>
      <c r="S149" s="152">
        <v>1452.5979</v>
      </c>
      <c r="T149" s="152">
        <v>1361.7008000000001</v>
      </c>
      <c r="U149" s="154">
        <v>1231.7937999999999</v>
      </c>
      <c r="V149" s="154">
        <v>1204.4146000000001</v>
      </c>
      <c r="W149" s="154">
        <v>1238.9662000000001</v>
      </c>
      <c r="X149" s="154">
        <v>1248.8861999999999</v>
      </c>
      <c r="Y149" s="154">
        <v>1237.1469</v>
      </c>
      <c r="Z149" s="154">
        <v>1174.8531</v>
      </c>
      <c r="AA149" s="152">
        <v>1319.1795999999999</v>
      </c>
      <c r="AB149" s="154">
        <v>1381.7617</v>
      </c>
      <c r="AC149" s="152">
        <v>1278.6461999999999</v>
      </c>
      <c r="AD149" s="152">
        <v>1337.3388</v>
      </c>
      <c r="AE149" s="154">
        <v>1324.0198</v>
      </c>
      <c r="AF149" s="154">
        <v>1247.0219999999999</v>
      </c>
      <c r="AG149" s="154">
        <v>1284.7329</v>
      </c>
      <c r="AH149" s="154">
        <v>1215.7421999999999</v>
      </c>
      <c r="AI149" s="154">
        <v>1184.8779</v>
      </c>
      <c r="AJ149" s="154">
        <v>1285.7324000000001</v>
      </c>
      <c r="AK149" s="117"/>
      <c r="AL149" s="160">
        <f>SUM(F149:AJ149)</f>
        <v>37901.699999999997</v>
      </c>
      <c r="AN149" s="118"/>
    </row>
    <row r="150" spans="2:60" s="4" customFormat="1" ht="13.8">
      <c r="B150" s="75"/>
      <c r="C150" s="204" t="s">
        <v>87</v>
      </c>
      <c r="D150" s="149">
        <v>1269.566</v>
      </c>
      <c r="E150" s="205" t="s">
        <v>86</v>
      </c>
      <c r="F150" s="249">
        <v>0</v>
      </c>
      <c r="G150" s="150">
        <v>18.369599999999998</v>
      </c>
      <c r="H150" s="150">
        <v>747.91279999999995</v>
      </c>
      <c r="I150" s="152">
        <v>1400.7539999999999</v>
      </c>
      <c r="J150" s="148">
        <v>1494.0867000000001</v>
      </c>
      <c r="K150" s="153">
        <v>1251.0693000000001</v>
      </c>
      <c r="L150" s="242">
        <v>1279.5748000000001</v>
      </c>
      <c r="M150" s="152">
        <v>1293.2394999999999</v>
      </c>
      <c r="N150" s="152">
        <v>1337.2913000000001</v>
      </c>
      <c r="O150" s="154">
        <v>1266.7521999999999</v>
      </c>
      <c r="P150" s="152">
        <v>1333.3063999999999</v>
      </c>
      <c r="Q150" s="152">
        <v>1352.6065000000001</v>
      </c>
      <c r="R150" s="152">
        <v>1317.0299</v>
      </c>
      <c r="S150" s="154">
        <v>1261.5872999999999</v>
      </c>
      <c r="T150" s="154">
        <v>1138.2207000000001</v>
      </c>
      <c r="U150" s="154">
        <v>1112.3947000000001</v>
      </c>
      <c r="V150" s="154">
        <v>1144.6552999999999</v>
      </c>
      <c r="W150" s="154">
        <v>1174.4693</v>
      </c>
      <c r="X150" s="154">
        <v>1146.2182</v>
      </c>
      <c r="Y150" s="154">
        <v>1086.5976000000001</v>
      </c>
      <c r="Z150" s="154">
        <v>1227.1335999999999</v>
      </c>
      <c r="AA150" s="152">
        <v>1281.6559</v>
      </c>
      <c r="AB150" s="154">
        <v>1182.4992</v>
      </c>
      <c r="AC150" s="154">
        <v>1229.9712999999999</v>
      </c>
      <c r="AD150" s="154">
        <v>1226.5518999999999</v>
      </c>
      <c r="AE150" s="154">
        <v>1146.6214</v>
      </c>
      <c r="AF150" s="154">
        <v>1189.1955</v>
      </c>
      <c r="AG150" s="246">
        <v>1126.4177</v>
      </c>
      <c r="AH150" s="154">
        <v>1086.2360000000001</v>
      </c>
      <c r="AI150" s="154">
        <v>1188.4267</v>
      </c>
      <c r="AJ150" s="154">
        <v>1222.4603999999999</v>
      </c>
      <c r="AK150" s="121"/>
      <c r="AL150" s="161">
        <f>SUM(F150:AJ150)</f>
        <v>35263.305699999997</v>
      </c>
      <c r="AM150" s="267"/>
      <c r="AN150" s="256">
        <f>AL150/AL22</f>
        <v>1259.403775</v>
      </c>
    </row>
    <row r="151" spans="2:60">
      <c r="B151" s="70"/>
      <c r="C151" s="215" t="s">
        <v>88</v>
      </c>
      <c r="D151" s="74"/>
      <c r="E151" s="70"/>
      <c r="F151" s="249"/>
      <c r="G151" s="150"/>
      <c r="H151" s="150"/>
      <c r="I151" s="60"/>
      <c r="J151" s="150"/>
      <c r="K151" s="153"/>
      <c r="L151" s="153"/>
      <c r="M151" s="60"/>
      <c r="N151" s="60"/>
      <c r="O151" s="60"/>
      <c r="P151" s="60"/>
      <c r="Q151" s="173"/>
      <c r="R151" s="173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84"/>
      <c r="AD151" s="84"/>
      <c r="AE151" s="84"/>
      <c r="AF151" s="84"/>
      <c r="AG151" s="84"/>
      <c r="AH151" s="84"/>
      <c r="AI151" s="84"/>
      <c r="AJ151" s="84"/>
      <c r="AK151" s="117"/>
      <c r="AL151" s="182" t="s">
        <v>88</v>
      </c>
    </row>
    <row r="152" spans="2:60">
      <c r="B152" s="70"/>
      <c r="C152" s="199" t="s">
        <v>89</v>
      </c>
      <c r="D152" s="69">
        <v>253.91319999999999</v>
      </c>
      <c r="E152" s="206" t="s">
        <v>86</v>
      </c>
      <c r="F152" s="249">
        <v>0</v>
      </c>
      <c r="G152" s="180">
        <v>0</v>
      </c>
      <c r="H152" s="150">
        <v>104.1211603920467</v>
      </c>
      <c r="I152" s="154">
        <v>247.83490903908864</v>
      </c>
      <c r="J152" s="150">
        <v>261.61899945133251</v>
      </c>
      <c r="K152" s="153">
        <v>232.55848440962353</v>
      </c>
      <c r="L152" s="153">
        <v>260.79989875047312</v>
      </c>
      <c r="M152" s="154">
        <v>247.28854185499461</v>
      </c>
      <c r="N152" s="154">
        <v>263.35078409928741</v>
      </c>
      <c r="O152" s="154">
        <v>271.6628445155601</v>
      </c>
      <c r="P152" s="154">
        <v>266.8226389912399</v>
      </c>
      <c r="Q152" s="154">
        <v>279.10586999625986</v>
      </c>
      <c r="R152" s="154">
        <v>239.94728983983129</v>
      </c>
      <c r="S152" s="154">
        <v>199.00015074429197</v>
      </c>
      <c r="T152" s="154">
        <v>186.12549535725074</v>
      </c>
      <c r="U152" s="154">
        <v>186.95165785641902</v>
      </c>
      <c r="V152" s="154">
        <v>199.23490975289852</v>
      </c>
      <c r="W152" s="154">
        <v>172.64024221451785</v>
      </c>
      <c r="X152" s="154">
        <v>164.19876151644854</v>
      </c>
      <c r="Y152" s="154">
        <v>150.82331111535154</v>
      </c>
      <c r="Z152" s="154">
        <v>168.05826653780039</v>
      </c>
      <c r="AA152" s="154">
        <v>174.3829196422102</v>
      </c>
      <c r="AB152" s="154">
        <v>185.48177930963581</v>
      </c>
      <c r="AC152" s="154">
        <v>175.33653808047205</v>
      </c>
      <c r="AD152" s="154">
        <v>176.27695180849869</v>
      </c>
      <c r="AE152" s="154">
        <v>184.61409440027194</v>
      </c>
      <c r="AF152" s="154">
        <v>172.11539333210305</v>
      </c>
      <c r="AG152" s="154">
        <v>197.54687616990185</v>
      </c>
      <c r="AH152" s="154">
        <v>184.60969933351549</v>
      </c>
      <c r="AI152" s="154">
        <v>190.3054964825107</v>
      </c>
      <c r="AJ152" s="154">
        <v>182.63701065691492</v>
      </c>
      <c r="AK152" s="117"/>
      <c r="AL152" s="183">
        <f>SUM(F152:AJ152)</f>
        <v>5925.4509756507505</v>
      </c>
      <c r="AM152" s="237"/>
      <c r="BH152" s="237"/>
    </row>
    <row r="153" spans="2:60">
      <c r="B153" s="70"/>
      <c r="C153" s="199" t="s">
        <v>90</v>
      </c>
      <c r="D153" s="69">
        <v>1015.6528</v>
      </c>
      <c r="E153" s="206" t="s">
        <v>86</v>
      </c>
      <c r="F153" s="249">
        <f t="shared" ref="F153:AJ153" si="104">F154-F152</f>
        <v>0</v>
      </c>
      <c r="G153" s="150">
        <f t="shared" si="104"/>
        <v>18.369599999999998</v>
      </c>
      <c r="H153" s="150">
        <f t="shared" si="104"/>
        <v>643.79163960795324</v>
      </c>
      <c r="I153" s="154">
        <f t="shared" si="104"/>
        <v>1152.9190909609113</v>
      </c>
      <c r="J153" s="150">
        <f t="shared" si="104"/>
        <v>1232.4677005486676</v>
      </c>
      <c r="K153" s="153">
        <f t="shared" si="104"/>
        <v>1018.5108155903765</v>
      </c>
      <c r="L153" s="153">
        <f t="shared" si="104"/>
        <v>1018.7749012495269</v>
      </c>
      <c r="M153" s="154">
        <f t="shared" si="104"/>
        <v>1045.9509581450052</v>
      </c>
      <c r="N153" s="154">
        <f t="shared" si="104"/>
        <v>1073.9405159007126</v>
      </c>
      <c r="O153" s="154">
        <f t="shared" si="104"/>
        <v>995.08935548443981</v>
      </c>
      <c r="P153" s="154">
        <f t="shared" si="104"/>
        <v>1066.48376100876</v>
      </c>
      <c r="Q153" s="154">
        <f t="shared" si="104"/>
        <v>1073.5006300037403</v>
      </c>
      <c r="R153" s="154">
        <f t="shared" si="104"/>
        <v>1077.0826101601688</v>
      </c>
      <c r="S153" s="154">
        <f t="shared" si="104"/>
        <v>1062.587149255708</v>
      </c>
      <c r="T153" s="154">
        <f t="shared" si="104"/>
        <v>952.09520464274931</v>
      </c>
      <c r="U153" s="154">
        <f t="shared" si="104"/>
        <v>925.44304214358101</v>
      </c>
      <c r="V153" s="154">
        <f t="shared" si="104"/>
        <v>945.42039024710141</v>
      </c>
      <c r="W153" s="154">
        <f t="shared" si="104"/>
        <v>1001.8290577854821</v>
      </c>
      <c r="X153" s="154">
        <f t="shared" si="104"/>
        <v>982.01943848355154</v>
      </c>
      <c r="Y153" s="154">
        <f t="shared" si="104"/>
        <v>935.77428888464851</v>
      </c>
      <c r="Z153" s="154">
        <f t="shared" si="104"/>
        <v>1059.0753334621995</v>
      </c>
      <c r="AA153" s="154">
        <f t="shared" si="104"/>
        <v>1107.2729803577897</v>
      </c>
      <c r="AB153" s="154">
        <f t="shared" si="104"/>
        <v>997.01742069036413</v>
      </c>
      <c r="AC153" s="154">
        <f t="shared" si="104"/>
        <v>1054.6347619195278</v>
      </c>
      <c r="AD153" s="154">
        <f t="shared" si="104"/>
        <v>1050.2749481915012</v>
      </c>
      <c r="AE153" s="154">
        <f t="shared" si="104"/>
        <v>962.00730559972806</v>
      </c>
      <c r="AF153" s="154">
        <f t="shared" si="104"/>
        <v>1017.080106667897</v>
      </c>
      <c r="AG153" s="154">
        <f t="shared" si="104"/>
        <v>928.87082383009806</v>
      </c>
      <c r="AH153" s="154">
        <f t="shared" si="104"/>
        <v>901.62630066648467</v>
      </c>
      <c r="AI153" s="154">
        <f t="shared" ref="AI153" si="105">AI154-AI152</f>
        <v>998.12120351748922</v>
      </c>
      <c r="AJ153" s="154">
        <f t="shared" si="104"/>
        <v>1039.823389343085</v>
      </c>
      <c r="AK153" s="117"/>
      <c r="AL153" s="183">
        <f>SUM(F153:AJ153)</f>
        <v>29337.85472434925</v>
      </c>
    </row>
    <row r="154" spans="2:60" s="5" customFormat="1" ht="13.8">
      <c r="B154" s="162"/>
      <c r="C154" s="220" t="s">
        <v>91</v>
      </c>
      <c r="D154" s="163">
        <f>SUM(D152:D153)</f>
        <v>1269.566</v>
      </c>
      <c r="E154" s="221" t="s">
        <v>86</v>
      </c>
      <c r="F154" s="250">
        <f t="shared" ref="F154:AJ154" si="106">F150</f>
        <v>0</v>
      </c>
      <c r="G154" s="164">
        <f t="shared" si="106"/>
        <v>18.369599999999998</v>
      </c>
      <c r="H154" s="164">
        <f t="shared" si="106"/>
        <v>747.91279999999995</v>
      </c>
      <c r="I154" s="179">
        <f t="shared" si="106"/>
        <v>1400.7539999999999</v>
      </c>
      <c r="J154" s="179">
        <f t="shared" si="106"/>
        <v>1494.0867000000001</v>
      </c>
      <c r="K154" s="179">
        <f t="shared" si="106"/>
        <v>1251.0693000000001</v>
      </c>
      <c r="L154" s="179">
        <f t="shared" si="106"/>
        <v>1279.5748000000001</v>
      </c>
      <c r="M154" s="179">
        <f t="shared" si="106"/>
        <v>1293.2394999999999</v>
      </c>
      <c r="N154" s="179">
        <f t="shared" si="106"/>
        <v>1337.2913000000001</v>
      </c>
      <c r="O154" s="179">
        <f t="shared" si="106"/>
        <v>1266.7521999999999</v>
      </c>
      <c r="P154" s="179">
        <f t="shared" si="106"/>
        <v>1333.3063999999999</v>
      </c>
      <c r="Q154" s="179">
        <f t="shared" si="106"/>
        <v>1352.6065000000001</v>
      </c>
      <c r="R154" s="179">
        <f t="shared" si="106"/>
        <v>1317.0299</v>
      </c>
      <c r="S154" s="179">
        <f t="shared" si="106"/>
        <v>1261.5872999999999</v>
      </c>
      <c r="T154" s="179">
        <f t="shared" si="106"/>
        <v>1138.2207000000001</v>
      </c>
      <c r="U154" s="179">
        <f t="shared" si="106"/>
        <v>1112.3947000000001</v>
      </c>
      <c r="V154" s="179">
        <f t="shared" si="106"/>
        <v>1144.6552999999999</v>
      </c>
      <c r="W154" s="179">
        <f t="shared" si="106"/>
        <v>1174.4693</v>
      </c>
      <c r="X154" s="179">
        <f t="shared" si="106"/>
        <v>1146.2182</v>
      </c>
      <c r="Y154" s="179">
        <f t="shared" si="106"/>
        <v>1086.5976000000001</v>
      </c>
      <c r="Z154" s="179">
        <f t="shared" si="106"/>
        <v>1227.1335999999999</v>
      </c>
      <c r="AA154" s="179">
        <f t="shared" si="106"/>
        <v>1281.6559</v>
      </c>
      <c r="AB154" s="179">
        <f t="shared" si="106"/>
        <v>1182.4992</v>
      </c>
      <c r="AC154" s="179">
        <f t="shared" si="106"/>
        <v>1229.9712999999999</v>
      </c>
      <c r="AD154" s="179">
        <f t="shared" si="106"/>
        <v>1226.5518999999999</v>
      </c>
      <c r="AE154" s="179">
        <f t="shared" si="106"/>
        <v>1146.6214</v>
      </c>
      <c r="AF154" s="179">
        <f t="shared" si="106"/>
        <v>1189.1955</v>
      </c>
      <c r="AG154" s="179">
        <f t="shared" si="106"/>
        <v>1126.4177</v>
      </c>
      <c r="AH154" s="179">
        <f t="shared" si="106"/>
        <v>1086.2360000000001</v>
      </c>
      <c r="AI154" s="179">
        <f t="shared" ref="AI154" si="107">AI150</f>
        <v>1188.4267</v>
      </c>
      <c r="AJ154" s="179">
        <f t="shared" si="106"/>
        <v>1222.4603999999999</v>
      </c>
      <c r="AK154" s="158"/>
      <c r="AL154" s="184">
        <f>SUM(AL152:AL153)</f>
        <v>35263.305699999997</v>
      </c>
      <c r="AM154" s="238"/>
      <c r="AN154" s="185"/>
      <c r="BH154" s="238"/>
    </row>
    <row r="155" spans="2:60" s="5" customFormat="1" ht="13.8">
      <c r="B155" s="57">
        <v>9</v>
      </c>
      <c r="C155" s="222" t="s">
        <v>92</v>
      </c>
      <c r="D155" s="165"/>
      <c r="E155" s="165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  <c r="AK155" s="158"/>
      <c r="AL155" s="186" t="s">
        <v>93</v>
      </c>
      <c r="AN155" s="185"/>
    </row>
    <row r="156" spans="2:60" s="5" customFormat="1" ht="13.8">
      <c r="B156" s="57"/>
      <c r="C156" s="199" t="s">
        <v>94</v>
      </c>
      <c r="D156" s="62">
        <f>17000*24</f>
        <v>408000</v>
      </c>
      <c r="E156" s="206" t="s">
        <v>9</v>
      </c>
      <c r="F156" s="142">
        <v>0</v>
      </c>
      <c r="G156" s="142">
        <v>0</v>
      </c>
      <c r="H156" s="142">
        <v>284175</v>
      </c>
      <c r="I156" s="142">
        <v>319680</v>
      </c>
      <c r="J156" s="142">
        <v>342720</v>
      </c>
      <c r="K156" s="142">
        <f>265600+24795</f>
        <v>290395</v>
      </c>
      <c r="L156" s="142">
        <v>307200</v>
      </c>
      <c r="M156" s="142">
        <v>321120</v>
      </c>
      <c r="N156" s="142">
        <v>304800</v>
      </c>
      <c r="O156" s="142">
        <v>313440</v>
      </c>
      <c r="P156" s="142">
        <v>323280</v>
      </c>
      <c r="Q156" s="142">
        <v>325200</v>
      </c>
      <c r="R156" s="142">
        <v>313440</v>
      </c>
      <c r="S156" s="142">
        <v>311520</v>
      </c>
      <c r="T156" s="142">
        <v>277680</v>
      </c>
      <c r="U156" s="142">
        <v>275760</v>
      </c>
      <c r="V156" s="142">
        <v>306720</v>
      </c>
      <c r="W156" s="142">
        <v>300000</v>
      </c>
      <c r="X156" s="142">
        <v>297120</v>
      </c>
      <c r="Y156" s="142">
        <v>287333</v>
      </c>
      <c r="Z156" s="142">
        <v>336720</v>
      </c>
      <c r="AA156" s="142">
        <v>326640</v>
      </c>
      <c r="AB156" s="142">
        <v>303840</v>
      </c>
      <c r="AC156" s="142">
        <v>342720</v>
      </c>
      <c r="AD156" s="142">
        <v>309120</v>
      </c>
      <c r="AE156" s="142">
        <v>296400</v>
      </c>
      <c r="AF156" s="142">
        <v>303360</v>
      </c>
      <c r="AG156" s="142">
        <v>285360</v>
      </c>
      <c r="AH156" s="142">
        <v>288960</v>
      </c>
      <c r="AI156" s="142">
        <v>311520</v>
      </c>
      <c r="AJ156" s="142">
        <v>328560</v>
      </c>
      <c r="AK156" s="158"/>
      <c r="AL156" s="187">
        <f>SUM(F156:AJ156)</f>
        <v>8934783</v>
      </c>
      <c r="AM156" s="155"/>
      <c r="AN156" s="185">
        <f>AL156/AL22</f>
        <v>319099.39285714284</v>
      </c>
    </row>
    <row r="157" spans="2:60" s="5" customFormat="1">
      <c r="B157" s="57"/>
      <c r="C157" s="217" t="s">
        <v>95</v>
      </c>
      <c r="D157" s="143"/>
      <c r="E157" s="57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58"/>
      <c r="AL157" s="188" t="s">
        <v>95</v>
      </c>
      <c r="AM157" s="155"/>
      <c r="AN157" s="185">
        <f>AN156/24</f>
        <v>13295.808035714284</v>
      </c>
    </row>
    <row r="158" spans="2:60">
      <c r="B158" s="70"/>
      <c r="C158" s="199" t="s">
        <v>22</v>
      </c>
      <c r="D158" s="62">
        <v>180000</v>
      </c>
      <c r="E158" s="206" t="s">
        <v>9</v>
      </c>
      <c r="F158" s="60">
        <v>0</v>
      </c>
      <c r="G158" s="60">
        <v>0</v>
      </c>
      <c r="H158" s="60">
        <v>0</v>
      </c>
      <c r="I158" s="60">
        <v>146200</v>
      </c>
      <c r="J158" s="60">
        <v>135700</v>
      </c>
      <c r="K158" s="60">
        <v>124600</v>
      </c>
      <c r="L158" s="60">
        <v>133700</v>
      </c>
      <c r="M158" s="60">
        <v>140300</v>
      </c>
      <c r="N158" s="60">
        <v>142500</v>
      </c>
      <c r="O158" s="60">
        <v>148800</v>
      </c>
      <c r="P158" s="60">
        <v>151400</v>
      </c>
      <c r="Q158" s="60">
        <v>146900</v>
      </c>
      <c r="R158" s="60">
        <v>141500</v>
      </c>
      <c r="S158" s="60">
        <v>129300</v>
      </c>
      <c r="T158" s="60">
        <v>133900</v>
      </c>
      <c r="U158" s="60">
        <v>130600</v>
      </c>
      <c r="V158" s="60">
        <v>131800</v>
      </c>
      <c r="W158" s="60">
        <v>128920</v>
      </c>
      <c r="X158" s="60">
        <v>129370</v>
      </c>
      <c r="Y158" s="60">
        <v>126910</v>
      </c>
      <c r="Z158" s="60">
        <v>131800</v>
      </c>
      <c r="AA158" s="60">
        <v>150200</v>
      </c>
      <c r="AB158" s="60">
        <v>149100</v>
      </c>
      <c r="AC158" s="60">
        <v>143800</v>
      </c>
      <c r="AD158" s="60">
        <v>137400</v>
      </c>
      <c r="AE158" s="60">
        <v>141900</v>
      </c>
      <c r="AF158" s="60">
        <v>135700</v>
      </c>
      <c r="AG158" s="60">
        <v>135400</v>
      </c>
      <c r="AH158" s="60">
        <v>134700</v>
      </c>
      <c r="AI158" s="60">
        <v>139300</v>
      </c>
      <c r="AJ158" s="60">
        <v>139700</v>
      </c>
      <c r="AK158" s="117"/>
      <c r="AL158" s="116">
        <f>SUM(F158:AJ158)</f>
        <v>3861400</v>
      </c>
    </row>
    <row r="159" spans="2:60">
      <c r="B159" s="70"/>
      <c r="C159" s="199" t="s">
        <v>96</v>
      </c>
      <c r="D159" s="62">
        <v>122000</v>
      </c>
      <c r="E159" s="206" t="s">
        <v>9</v>
      </c>
      <c r="F159" s="60">
        <v>0</v>
      </c>
      <c r="G159" s="60">
        <v>0</v>
      </c>
      <c r="H159" s="60">
        <v>0</v>
      </c>
      <c r="I159" s="60">
        <v>78800</v>
      </c>
      <c r="J159" s="60">
        <v>110500</v>
      </c>
      <c r="K159" s="60">
        <v>93700</v>
      </c>
      <c r="L159" s="60">
        <v>98600</v>
      </c>
      <c r="M159" s="60">
        <v>92700</v>
      </c>
      <c r="N159" s="60">
        <v>89900</v>
      </c>
      <c r="O159" s="60">
        <v>82200</v>
      </c>
      <c r="P159" s="60">
        <v>96900</v>
      </c>
      <c r="Q159" s="60">
        <v>99400</v>
      </c>
      <c r="R159" s="60">
        <v>89700</v>
      </c>
      <c r="S159" s="60">
        <v>74300</v>
      </c>
      <c r="T159" s="60">
        <v>66400</v>
      </c>
      <c r="U159" s="60">
        <v>66300</v>
      </c>
      <c r="V159" s="60">
        <v>88100</v>
      </c>
      <c r="W159" s="60">
        <v>91000</v>
      </c>
      <c r="X159" s="60">
        <v>93600</v>
      </c>
      <c r="Y159" s="60">
        <v>89100</v>
      </c>
      <c r="Z159" s="60">
        <v>105500</v>
      </c>
      <c r="AA159" s="60">
        <v>91100</v>
      </c>
      <c r="AB159" s="60">
        <v>73500</v>
      </c>
      <c r="AC159" s="60">
        <v>90800</v>
      </c>
      <c r="AD159" s="60">
        <v>77200</v>
      </c>
      <c r="AE159" s="60">
        <v>88600</v>
      </c>
      <c r="AF159" s="60">
        <v>77000</v>
      </c>
      <c r="AG159" s="60">
        <v>62000</v>
      </c>
      <c r="AH159" s="60">
        <v>75000</v>
      </c>
      <c r="AI159" s="60">
        <v>91300</v>
      </c>
      <c r="AJ159" s="60">
        <v>91700</v>
      </c>
      <c r="AK159" s="117"/>
      <c r="AL159" s="116">
        <f>SUM(F159:AJ159)</f>
        <v>2424900</v>
      </c>
    </row>
    <row r="160" spans="2:60">
      <c r="B160" s="70"/>
      <c r="C160" s="199" t="s">
        <v>97</v>
      </c>
      <c r="D160" s="62">
        <f>D156-D158-D159</f>
        <v>106000</v>
      </c>
      <c r="E160" s="206" t="s">
        <v>9</v>
      </c>
      <c r="F160" s="60">
        <f t="shared" ref="F160:AJ160" si="108">F156-F158-F159</f>
        <v>0</v>
      </c>
      <c r="G160" s="60">
        <f t="shared" si="108"/>
        <v>0</v>
      </c>
      <c r="H160" s="60">
        <f t="shared" si="108"/>
        <v>284175</v>
      </c>
      <c r="I160" s="60">
        <f t="shared" si="108"/>
        <v>94680</v>
      </c>
      <c r="J160" s="60">
        <f t="shared" si="108"/>
        <v>96520</v>
      </c>
      <c r="K160" s="60">
        <f t="shared" si="108"/>
        <v>72095</v>
      </c>
      <c r="L160" s="60">
        <f t="shared" si="108"/>
        <v>74900</v>
      </c>
      <c r="M160" s="60">
        <f t="shared" si="108"/>
        <v>88120</v>
      </c>
      <c r="N160" s="60">
        <f t="shared" si="108"/>
        <v>72400</v>
      </c>
      <c r="O160" s="60">
        <f t="shared" si="108"/>
        <v>82440</v>
      </c>
      <c r="P160" s="60">
        <f t="shared" si="108"/>
        <v>74980</v>
      </c>
      <c r="Q160" s="60">
        <f t="shared" si="108"/>
        <v>78900</v>
      </c>
      <c r="R160" s="60">
        <f t="shared" si="108"/>
        <v>82240</v>
      </c>
      <c r="S160" s="60">
        <f t="shared" si="108"/>
        <v>107920</v>
      </c>
      <c r="T160" s="60">
        <f t="shared" si="108"/>
        <v>77380</v>
      </c>
      <c r="U160" s="60">
        <f t="shared" si="108"/>
        <v>78860</v>
      </c>
      <c r="V160" s="60">
        <f t="shared" si="108"/>
        <v>86820</v>
      </c>
      <c r="W160" s="60">
        <f t="shared" si="108"/>
        <v>80080</v>
      </c>
      <c r="X160" s="60">
        <f t="shared" si="108"/>
        <v>74150</v>
      </c>
      <c r="Y160" s="60">
        <f t="shared" si="108"/>
        <v>71323</v>
      </c>
      <c r="Z160" s="60">
        <f t="shared" si="108"/>
        <v>99420</v>
      </c>
      <c r="AA160" s="60">
        <f t="shared" si="108"/>
        <v>85340</v>
      </c>
      <c r="AB160" s="60">
        <f t="shared" si="108"/>
        <v>81240</v>
      </c>
      <c r="AC160" s="60">
        <f t="shared" si="108"/>
        <v>108120</v>
      </c>
      <c r="AD160" s="60">
        <f t="shared" si="108"/>
        <v>94520</v>
      </c>
      <c r="AE160" s="60">
        <f t="shared" si="108"/>
        <v>65900</v>
      </c>
      <c r="AF160" s="60">
        <f t="shared" si="108"/>
        <v>90660</v>
      </c>
      <c r="AG160" s="60">
        <f t="shared" si="108"/>
        <v>87960</v>
      </c>
      <c r="AH160" s="60">
        <f t="shared" si="108"/>
        <v>79260</v>
      </c>
      <c r="AI160" s="60">
        <f t="shared" ref="AI160" si="109">AI156-AI158-AI159</f>
        <v>80920</v>
      </c>
      <c r="AJ160" s="60">
        <f t="shared" si="108"/>
        <v>97160</v>
      </c>
      <c r="AK160" s="117"/>
      <c r="AL160" s="116">
        <f>SUM(F160:AJ160)</f>
        <v>2648483</v>
      </c>
    </row>
    <row r="161" spans="2:59" s="5" customFormat="1" ht="13.8">
      <c r="B161" s="57"/>
      <c r="C161" s="215" t="s">
        <v>91</v>
      </c>
      <c r="D161" s="167">
        <f>SUM(D158:D160)</f>
        <v>408000</v>
      </c>
      <c r="E161" s="206" t="s">
        <v>9</v>
      </c>
      <c r="F161" s="142">
        <f t="shared" ref="F161:AJ161" si="110">SUM(F158:F160)</f>
        <v>0</v>
      </c>
      <c r="G161" s="142">
        <f t="shared" si="110"/>
        <v>0</v>
      </c>
      <c r="H161" s="142">
        <f t="shared" si="110"/>
        <v>284175</v>
      </c>
      <c r="I161" s="142">
        <f t="shared" si="110"/>
        <v>319680</v>
      </c>
      <c r="J161" s="142">
        <f t="shared" si="110"/>
        <v>342720</v>
      </c>
      <c r="K161" s="142">
        <f t="shared" si="110"/>
        <v>290395</v>
      </c>
      <c r="L161" s="142">
        <f t="shared" si="110"/>
        <v>307200</v>
      </c>
      <c r="M161" s="142">
        <f t="shared" si="110"/>
        <v>321120</v>
      </c>
      <c r="N161" s="142">
        <f t="shared" si="110"/>
        <v>304800</v>
      </c>
      <c r="O161" s="142">
        <f t="shared" si="110"/>
        <v>313440</v>
      </c>
      <c r="P161" s="142">
        <f t="shared" si="110"/>
        <v>323280</v>
      </c>
      <c r="Q161" s="142">
        <f t="shared" si="110"/>
        <v>325200</v>
      </c>
      <c r="R161" s="142">
        <f t="shared" si="110"/>
        <v>313440</v>
      </c>
      <c r="S161" s="142">
        <f t="shared" si="110"/>
        <v>311520</v>
      </c>
      <c r="T161" s="142">
        <f t="shared" si="110"/>
        <v>277680</v>
      </c>
      <c r="U161" s="142">
        <f t="shared" si="110"/>
        <v>275760</v>
      </c>
      <c r="V161" s="142">
        <f t="shared" si="110"/>
        <v>306720</v>
      </c>
      <c r="W161" s="142">
        <f t="shared" si="110"/>
        <v>300000</v>
      </c>
      <c r="X161" s="142">
        <f t="shared" si="110"/>
        <v>297120</v>
      </c>
      <c r="Y161" s="142">
        <f t="shared" si="110"/>
        <v>287333</v>
      </c>
      <c r="Z161" s="142">
        <f t="shared" si="110"/>
        <v>336720</v>
      </c>
      <c r="AA161" s="142">
        <f t="shared" si="110"/>
        <v>326640</v>
      </c>
      <c r="AB161" s="142">
        <f t="shared" si="110"/>
        <v>303840</v>
      </c>
      <c r="AC161" s="142">
        <f t="shared" si="110"/>
        <v>342720</v>
      </c>
      <c r="AD161" s="142">
        <f t="shared" si="110"/>
        <v>309120</v>
      </c>
      <c r="AE161" s="142">
        <f t="shared" si="110"/>
        <v>296400</v>
      </c>
      <c r="AF161" s="142">
        <f t="shared" si="110"/>
        <v>303360</v>
      </c>
      <c r="AG161" s="142">
        <f t="shared" si="110"/>
        <v>285360</v>
      </c>
      <c r="AH161" s="142">
        <f t="shared" si="110"/>
        <v>288960</v>
      </c>
      <c r="AI161" s="142">
        <f t="shared" ref="AI161" si="111">SUM(AI158:AI160)</f>
        <v>311520</v>
      </c>
      <c r="AJ161" s="142">
        <f t="shared" si="110"/>
        <v>328560</v>
      </c>
      <c r="AK161" s="158"/>
      <c r="AL161" s="187">
        <f>SUM(AL158:AL160)</f>
        <v>8934783</v>
      </c>
      <c r="AN161" s="185"/>
    </row>
    <row r="162" spans="2:59">
      <c r="B162" s="54">
        <v>10</v>
      </c>
      <c r="C162" s="202" t="s">
        <v>98</v>
      </c>
      <c r="D162" s="82"/>
      <c r="E162" s="82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181"/>
      <c r="AD162" s="181"/>
      <c r="AE162" s="181"/>
      <c r="AF162" s="181"/>
      <c r="AG162" s="181"/>
      <c r="AH162" s="181"/>
      <c r="AI162" s="181"/>
      <c r="AJ162" s="181"/>
      <c r="AK162" s="117"/>
      <c r="AL162" s="186" t="s">
        <v>99</v>
      </c>
    </row>
    <row r="163" spans="2:59" s="6" customFormat="1" ht="16.2">
      <c r="B163" s="42"/>
      <c r="C163" s="218" t="s">
        <v>100</v>
      </c>
      <c r="D163" s="168">
        <v>670</v>
      </c>
      <c r="E163" s="219" t="s">
        <v>140</v>
      </c>
      <c r="F163" s="169">
        <v>0</v>
      </c>
      <c r="G163" s="169">
        <v>116</v>
      </c>
      <c r="H163" s="169">
        <v>661</v>
      </c>
      <c r="I163" s="169">
        <v>657</v>
      </c>
      <c r="J163" s="169">
        <v>800</v>
      </c>
      <c r="K163" s="169">
        <v>706</v>
      </c>
      <c r="L163" s="169">
        <v>639</v>
      </c>
      <c r="M163" s="169">
        <v>705</v>
      </c>
      <c r="N163" s="169">
        <v>583</v>
      </c>
      <c r="O163" s="169">
        <v>544</v>
      </c>
      <c r="P163" s="169">
        <v>766</v>
      </c>
      <c r="Q163" s="169">
        <v>777</v>
      </c>
      <c r="R163" s="169">
        <v>654</v>
      </c>
      <c r="S163" s="169">
        <v>771</v>
      </c>
      <c r="T163" s="169">
        <v>483</v>
      </c>
      <c r="U163" s="169">
        <v>676</v>
      </c>
      <c r="V163" s="169">
        <v>697</v>
      </c>
      <c r="W163" s="169">
        <v>551</v>
      </c>
      <c r="X163" s="169">
        <v>517</v>
      </c>
      <c r="Y163" s="169">
        <v>682</v>
      </c>
      <c r="Z163" s="169">
        <v>509</v>
      </c>
      <c r="AA163" s="169">
        <v>670</v>
      </c>
      <c r="AB163" s="169">
        <v>580</v>
      </c>
      <c r="AC163" s="169">
        <v>611</v>
      </c>
      <c r="AD163" s="169">
        <v>648</v>
      </c>
      <c r="AE163" s="169">
        <v>461</v>
      </c>
      <c r="AF163" s="169">
        <v>635</v>
      </c>
      <c r="AG163" s="169">
        <v>616</v>
      </c>
      <c r="AH163" s="169">
        <v>482</v>
      </c>
      <c r="AI163" s="169">
        <v>617</v>
      </c>
      <c r="AJ163" s="169">
        <v>760</v>
      </c>
      <c r="AL163" s="189">
        <f t="shared" ref="AL163:AL169" si="112">SUM(F163:AJ163)</f>
        <v>18574</v>
      </c>
      <c r="AN163" s="126">
        <f>AL163/AL22</f>
        <v>663.35714285714289</v>
      </c>
    </row>
    <row r="164" spans="2:59" s="6" customFormat="1">
      <c r="B164" s="42"/>
      <c r="C164" s="223" t="s">
        <v>88</v>
      </c>
      <c r="D164" s="41"/>
      <c r="E164" s="42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L164" s="190" t="s">
        <v>88</v>
      </c>
      <c r="AN164" s="126"/>
    </row>
    <row r="165" spans="2:59" s="6" customFormat="1" ht="16.2">
      <c r="B165" s="42"/>
      <c r="C165" s="218" t="s">
        <v>101</v>
      </c>
      <c r="D165" s="170">
        <v>78.959999999999994</v>
      </c>
      <c r="E165" s="219" t="s">
        <v>140</v>
      </c>
      <c r="F165" s="169">
        <v>0</v>
      </c>
      <c r="G165" s="169">
        <v>6</v>
      </c>
      <c r="H165" s="169">
        <v>65</v>
      </c>
      <c r="I165" s="169">
        <v>88</v>
      </c>
      <c r="J165" s="169">
        <v>81</v>
      </c>
      <c r="K165" s="169">
        <v>92</v>
      </c>
      <c r="L165" s="169">
        <v>69</v>
      </c>
      <c r="M165" s="169">
        <v>69</v>
      </c>
      <c r="N165" s="169">
        <v>73</v>
      </c>
      <c r="O165" s="169">
        <v>58</v>
      </c>
      <c r="P165" s="169">
        <v>72</v>
      </c>
      <c r="Q165" s="169">
        <v>73</v>
      </c>
      <c r="R165" s="169">
        <v>54</v>
      </c>
      <c r="S165" s="169">
        <v>70</v>
      </c>
      <c r="T165" s="169">
        <v>72</v>
      </c>
      <c r="U165" s="169">
        <v>97</v>
      </c>
      <c r="V165" s="169">
        <v>92</v>
      </c>
      <c r="W165" s="169">
        <v>79</v>
      </c>
      <c r="X165" s="169">
        <v>58</v>
      </c>
      <c r="Y165" s="169">
        <v>89</v>
      </c>
      <c r="Z165" s="169">
        <v>39</v>
      </c>
      <c r="AA165" s="169">
        <v>95</v>
      </c>
      <c r="AB165" s="169">
        <v>44</v>
      </c>
      <c r="AC165" s="169">
        <v>39</v>
      </c>
      <c r="AD165" s="169">
        <v>39</v>
      </c>
      <c r="AE165" s="169">
        <v>76</v>
      </c>
      <c r="AF165" s="169">
        <v>60</v>
      </c>
      <c r="AG165" s="169">
        <v>66</v>
      </c>
      <c r="AH165" s="169">
        <v>45</v>
      </c>
      <c r="AI165" s="169">
        <v>87</v>
      </c>
      <c r="AJ165" s="169">
        <v>95</v>
      </c>
      <c r="AL165" s="191">
        <f t="shared" si="112"/>
        <v>2042</v>
      </c>
      <c r="AN165" s="126"/>
      <c r="BG165" s="236"/>
    </row>
    <row r="166" spans="2:59" s="6" customFormat="1" ht="16.2">
      <c r="B166" s="42"/>
      <c r="C166" s="218" t="s">
        <v>102</v>
      </c>
      <c r="D166" s="170">
        <v>118.4</v>
      </c>
      <c r="E166" s="219" t="s">
        <v>140</v>
      </c>
      <c r="F166" s="169">
        <v>0</v>
      </c>
      <c r="G166" s="169">
        <v>0</v>
      </c>
      <c r="H166" s="169">
        <v>35</v>
      </c>
      <c r="I166" s="169">
        <v>102</v>
      </c>
      <c r="J166" s="169">
        <v>107</v>
      </c>
      <c r="K166" s="169">
        <v>122</v>
      </c>
      <c r="L166" s="169">
        <v>128</v>
      </c>
      <c r="M166" s="169">
        <v>111</v>
      </c>
      <c r="N166" s="169">
        <v>110</v>
      </c>
      <c r="O166" s="169">
        <v>66</v>
      </c>
      <c r="P166" s="169">
        <v>124</v>
      </c>
      <c r="Q166" s="169">
        <v>137</v>
      </c>
      <c r="R166" s="169">
        <v>123</v>
      </c>
      <c r="S166" s="169">
        <v>110</v>
      </c>
      <c r="T166" s="169">
        <v>102</v>
      </c>
      <c r="U166" s="169">
        <v>106</v>
      </c>
      <c r="V166" s="169">
        <v>105</v>
      </c>
      <c r="W166" s="169">
        <v>96</v>
      </c>
      <c r="X166" s="169">
        <v>100</v>
      </c>
      <c r="Y166" s="169">
        <v>105</v>
      </c>
      <c r="Z166" s="169">
        <v>119</v>
      </c>
      <c r="AA166" s="169">
        <v>111</v>
      </c>
      <c r="AB166" s="169">
        <v>96</v>
      </c>
      <c r="AC166" s="169">
        <v>115</v>
      </c>
      <c r="AD166" s="169">
        <v>102</v>
      </c>
      <c r="AE166" s="169">
        <v>92</v>
      </c>
      <c r="AF166" s="169">
        <v>97</v>
      </c>
      <c r="AG166" s="169">
        <v>105</v>
      </c>
      <c r="AH166" s="169">
        <v>84</v>
      </c>
      <c r="AI166" s="169">
        <v>98</v>
      </c>
      <c r="AJ166" s="169">
        <v>93</v>
      </c>
      <c r="AL166" s="191">
        <f t="shared" si="112"/>
        <v>3001</v>
      </c>
      <c r="AM166" s="263"/>
      <c r="AN166" s="126"/>
      <c r="BG166" s="236"/>
    </row>
    <row r="167" spans="2:59" s="6" customFormat="1" ht="16.2">
      <c r="B167" s="42"/>
      <c r="C167" s="218" t="s">
        <v>103</v>
      </c>
      <c r="D167" s="168">
        <f>44.69%*D163</f>
        <v>299.423</v>
      </c>
      <c r="E167" s="219" t="s">
        <v>140</v>
      </c>
      <c r="F167" s="169">
        <v>0</v>
      </c>
      <c r="G167" s="169">
        <v>0</v>
      </c>
      <c r="H167" s="169">
        <v>379.8</v>
      </c>
      <c r="I167" s="169">
        <v>363.6</v>
      </c>
      <c r="J167" s="169">
        <v>408.3</v>
      </c>
      <c r="K167" s="169">
        <v>310.60000000000002</v>
      </c>
      <c r="L167" s="169">
        <v>276.7</v>
      </c>
      <c r="M167" s="169">
        <v>296</v>
      </c>
      <c r="N167" s="169">
        <v>315.60000000000002</v>
      </c>
      <c r="O167" s="169">
        <v>290.5</v>
      </c>
      <c r="P167" s="169">
        <v>316.5</v>
      </c>
      <c r="Q167" s="169">
        <v>300.10000000000002</v>
      </c>
      <c r="R167" s="169">
        <v>291.39999999999998</v>
      </c>
      <c r="S167" s="169">
        <v>357.2</v>
      </c>
      <c r="T167" s="169">
        <v>254.7</v>
      </c>
      <c r="U167" s="169">
        <v>280.10000000000002</v>
      </c>
      <c r="V167" s="169">
        <v>294.2</v>
      </c>
      <c r="W167" s="169">
        <v>296.3</v>
      </c>
      <c r="X167" s="169">
        <v>279.5</v>
      </c>
      <c r="Y167" s="169">
        <v>307.7</v>
      </c>
      <c r="Z167" s="169">
        <v>324.7</v>
      </c>
      <c r="AA167" s="169">
        <v>326.5</v>
      </c>
      <c r="AB167" s="169">
        <v>282</v>
      </c>
      <c r="AC167" s="169">
        <v>344.6</v>
      </c>
      <c r="AD167" s="169">
        <v>307.39999999999998</v>
      </c>
      <c r="AE167" s="169">
        <v>253.7</v>
      </c>
      <c r="AF167" s="169">
        <v>330.5</v>
      </c>
      <c r="AG167" s="169">
        <v>302.89999999999998</v>
      </c>
      <c r="AH167" s="169">
        <v>276.10000000000002</v>
      </c>
      <c r="AI167" s="169">
        <v>258.3</v>
      </c>
      <c r="AJ167" s="169">
        <v>325.89999999999998</v>
      </c>
      <c r="AL167" s="191">
        <f t="shared" si="112"/>
        <v>8951.3999999999978</v>
      </c>
      <c r="AM167" s="263"/>
      <c r="AN167" s="126"/>
    </row>
    <row r="168" spans="2:59" s="6" customFormat="1" ht="16.2">
      <c r="B168" s="42"/>
      <c r="C168" s="218" t="s">
        <v>97</v>
      </c>
      <c r="D168" s="168">
        <f>D163-SUM(D165:D167)</f>
        <v>173.21699999999998</v>
      </c>
      <c r="E168" s="219" t="s">
        <v>140</v>
      </c>
      <c r="F168" s="169">
        <f>F163-(SUM(F165:F167))</f>
        <v>0</v>
      </c>
      <c r="G168" s="169">
        <f t="shared" ref="G168:K168" si="113">G163-(SUM(G165:G167))</f>
        <v>110</v>
      </c>
      <c r="H168" s="169">
        <f t="shared" si="113"/>
        <v>181.2</v>
      </c>
      <c r="I168" s="169">
        <f t="shared" si="113"/>
        <v>103.39999999999998</v>
      </c>
      <c r="J168" s="169">
        <f t="shared" si="113"/>
        <v>203.70000000000005</v>
      </c>
      <c r="K168" s="169">
        <f t="shared" si="113"/>
        <v>181.39999999999998</v>
      </c>
      <c r="L168" s="169">
        <f t="shared" ref="L168:P168" si="114">L163-(SUM(L165:L167))</f>
        <v>165.3</v>
      </c>
      <c r="M168" s="169">
        <f t="shared" si="114"/>
        <v>229</v>
      </c>
      <c r="N168" s="169">
        <f t="shared" si="114"/>
        <v>84.399999999999977</v>
      </c>
      <c r="O168" s="169">
        <f t="shared" si="114"/>
        <v>129.5</v>
      </c>
      <c r="P168" s="169">
        <f t="shared" si="114"/>
        <v>253.5</v>
      </c>
      <c r="Q168" s="169">
        <f t="shared" ref="Q168:AJ168" si="115">Q163-(SUM(Q165:Q167))</f>
        <v>266.89999999999998</v>
      </c>
      <c r="R168" s="169">
        <f t="shared" si="115"/>
        <v>185.60000000000002</v>
      </c>
      <c r="S168" s="169">
        <f t="shared" si="115"/>
        <v>233.79999999999995</v>
      </c>
      <c r="T168" s="169">
        <f t="shared" si="115"/>
        <v>54.300000000000011</v>
      </c>
      <c r="U168" s="169">
        <f t="shared" si="115"/>
        <v>192.89999999999998</v>
      </c>
      <c r="V168" s="169">
        <f t="shared" si="115"/>
        <v>205.8</v>
      </c>
      <c r="W168" s="169">
        <f t="shared" si="115"/>
        <v>79.699999999999989</v>
      </c>
      <c r="X168" s="169">
        <f t="shared" si="115"/>
        <v>79.5</v>
      </c>
      <c r="Y168" s="169">
        <f t="shared" si="115"/>
        <v>180.3</v>
      </c>
      <c r="Z168" s="169">
        <f t="shared" si="115"/>
        <v>26.300000000000011</v>
      </c>
      <c r="AA168" s="169">
        <f t="shared" si="115"/>
        <v>137.5</v>
      </c>
      <c r="AB168" s="169">
        <f t="shared" si="115"/>
        <v>158</v>
      </c>
      <c r="AC168" s="169">
        <f t="shared" si="115"/>
        <v>112.39999999999998</v>
      </c>
      <c r="AD168" s="169">
        <f t="shared" si="115"/>
        <v>199.60000000000002</v>
      </c>
      <c r="AE168" s="169">
        <f t="shared" si="115"/>
        <v>39.300000000000011</v>
      </c>
      <c r="AF168" s="169">
        <f t="shared" si="115"/>
        <v>147.5</v>
      </c>
      <c r="AG168" s="169">
        <f t="shared" si="115"/>
        <v>142.10000000000002</v>
      </c>
      <c r="AH168" s="169">
        <f t="shared" si="115"/>
        <v>76.899999999999977</v>
      </c>
      <c r="AI168" s="169">
        <f t="shared" ref="AI168" si="116">AI163-(SUM(AI165:AI167))</f>
        <v>173.7</v>
      </c>
      <c r="AJ168" s="169">
        <f t="shared" si="115"/>
        <v>246.10000000000002</v>
      </c>
      <c r="AL168" s="191">
        <f t="shared" si="112"/>
        <v>4579.6000000000004</v>
      </c>
      <c r="AM168" s="138"/>
      <c r="AN168" s="126"/>
    </row>
    <row r="169" spans="2:59" s="6" customFormat="1" ht="16.2">
      <c r="B169" s="42"/>
      <c r="C169" s="218" t="s">
        <v>104</v>
      </c>
      <c r="D169" s="168">
        <v>287.83999999999997</v>
      </c>
      <c r="E169" s="219" t="s">
        <v>140</v>
      </c>
      <c r="F169" s="169">
        <v>0</v>
      </c>
      <c r="G169" s="169">
        <v>0</v>
      </c>
      <c r="H169" s="169">
        <v>0</v>
      </c>
      <c r="I169" s="169">
        <v>0</v>
      </c>
      <c r="J169" s="169">
        <v>0</v>
      </c>
      <c r="K169" s="169">
        <v>0</v>
      </c>
      <c r="L169" s="169">
        <v>0</v>
      </c>
      <c r="M169" s="169">
        <v>160</v>
      </c>
      <c r="N169" s="169">
        <v>139</v>
      </c>
      <c r="O169" s="169">
        <v>185</v>
      </c>
      <c r="P169" s="169">
        <v>163</v>
      </c>
      <c r="Q169" s="169">
        <v>237</v>
      </c>
      <c r="R169" s="169">
        <v>191</v>
      </c>
      <c r="S169" s="169">
        <v>155</v>
      </c>
      <c r="T169" s="169">
        <v>123</v>
      </c>
      <c r="U169" s="169">
        <v>165</v>
      </c>
      <c r="V169" s="169">
        <v>110</v>
      </c>
      <c r="W169" s="169">
        <v>126</v>
      </c>
      <c r="X169" s="169">
        <v>104</v>
      </c>
      <c r="Y169" s="169">
        <v>121</v>
      </c>
      <c r="Z169" s="169">
        <v>133</v>
      </c>
      <c r="AA169" s="169">
        <v>165</v>
      </c>
      <c r="AB169" s="169">
        <v>61</v>
      </c>
      <c r="AC169" s="169">
        <v>135</v>
      </c>
      <c r="AD169" s="169">
        <v>99</v>
      </c>
      <c r="AE169" s="169">
        <v>147</v>
      </c>
      <c r="AF169" s="169">
        <v>140</v>
      </c>
      <c r="AG169" s="169">
        <v>111</v>
      </c>
      <c r="AH169" s="169">
        <v>159</v>
      </c>
      <c r="AI169" s="169">
        <v>122</v>
      </c>
      <c r="AJ169" s="169">
        <v>98</v>
      </c>
      <c r="AL169" s="191">
        <f t="shared" si="112"/>
        <v>3349</v>
      </c>
      <c r="AN169" s="126"/>
    </row>
    <row r="170" spans="2:59">
      <c r="B170" s="94">
        <v>11</v>
      </c>
      <c r="C170" s="202" t="s">
        <v>105</v>
      </c>
      <c r="D170" s="82"/>
      <c r="E170" s="82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117"/>
      <c r="AL170" s="192" t="s">
        <v>106</v>
      </c>
    </row>
    <row r="171" spans="2:59">
      <c r="B171" s="147"/>
      <c r="C171" s="224" t="s">
        <v>94</v>
      </c>
      <c r="D171" s="171"/>
      <c r="E171" s="172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117"/>
      <c r="AL171" s="182" t="s">
        <v>94</v>
      </c>
    </row>
    <row r="172" spans="2:59">
      <c r="B172" s="147"/>
      <c r="C172" s="204" t="s">
        <v>107</v>
      </c>
      <c r="D172" s="62">
        <v>28700</v>
      </c>
      <c r="E172" s="75" t="s">
        <v>108</v>
      </c>
      <c r="F172" s="60">
        <v>2000</v>
      </c>
      <c r="G172" s="60">
        <v>5500</v>
      </c>
      <c r="H172" s="226">
        <v>17700</v>
      </c>
      <c r="I172" s="180">
        <v>25100</v>
      </c>
      <c r="J172" s="60">
        <v>28100</v>
      </c>
      <c r="K172" s="180">
        <v>27500</v>
      </c>
      <c r="L172" s="60">
        <v>28000</v>
      </c>
      <c r="M172" s="180">
        <v>27100</v>
      </c>
      <c r="N172" s="60">
        <v>26600</v>
      </c>
      <c r="O172" s="60">
        <v>27600</v>
      </c>
      <c r="P172" s="60">
        <v>29200</v>
      </c>
      <c r="Q172" s="60">
        <v>29700</v>
      </c>
      <c r="R172" s="60">
        <v>26700</v>
      </c>
      <c r="S172" s="60">
        <v>25800</v>
      </c>
      <c r="T172" s="60">
        <v>25100</v>
      </c>
      <c r="U172" s="180">
        <v>23900</v>
      </c>
      <c r="V172" s="60">
        <v>25800</v>
      </c>
      <c r="W172" s="60">
        <v>25400</v>
      </c>
      <c r="X172" s="60">
        <v>25500</v>
      </c>
      <c r="Y172" s="180">
        <v>24500</v>
      </c>
      <c r="Z172" s="60">
        <v>26200</v>
      </c>
      <c r="AA172" s="60">
        <v>26000</v>
      </c>
      <c r="AB172" s="60">
        <v>22100</v>
      </c>
      <c r="AC172" s="60">
        <v>25200</v>
      </c>
      <c r="AD172" s="60">
        <v>24900</v>
      </c>
      <c r="AE172" s="60">
        <v>26100</v>
      </c>
      <c r="AF172" s="60">
        <v>25000</v>
      </c>
      <c r="AG172" s="60">
        <v>24400</v>
      </c>
      <c r="AH172" s="60">
        <v>24100</v>
      </c>
      <c r="AI172" s="60">
        <v>24300</v>
      </c>
      <c r="AJ172" s="60">
        <v>26100</v>
      </c>
      <c r="AK172" s="117"/>
      <c r="AL172" s="109">
        <f t="shared" ref="AL172:AL179" si="117">SUM(F172:AJ172)</f>
        <v>751200</v>
      </c>
      <c r="AN172" s="29">
        <f>AL172/AL22</f>
        <v>26828.571428571428</v>
      </c>
    </row>
    <row r="173" spans="2:59">
      <c r="B173" s="147"/>
      <c r="C173" s="224" t="s">
        <v>91</v>
      </c>
      <c r="D173" s="143"/>
      <c r="E173" s="225" t="s">
        <v>109</v>
      </c>
      <c r="F173" s="142">
        <f t="shared" ref="F173:AJ173" si="118">SUM(F172:F172)</f>
        <v>2000</v>
      </c>
      <c r="G173" s="142">
        <f t="shared" si="118"/>
        <v>5500</v>
      </c>
      <c r="H173" s="142">
        <f t="shared" si="118"/>
        <v>17700</v>
      </c>
      <c r="I173" s="142">
        <f t="shared" si="118"/>
        <v>25100</v>
      </c>
      <c r="J173" s="142">
        <f t="shared" si="118"/>
        <v>28100</v>
      </c>
      <c r="K173" s="142">
        <f t="shared" si="118"/>
        <v>27500</v>
      </c>
      <c r="L173" s="142">
        <f t="shared" si="118"/>
        <v>28000</v>
      </c>
      <c r="M173" s="142">
        <f t="shared" si="118"/>
        <v>27100</v>
      </c>
      <c r="N173" s="142">
        <f t="shared" si="118"/>
        <v>26600</v>
      </c>
      <c r="O173" s="142">
        <f t="shared" si="118"/>
        <v>27600</v>
      </c>
      <c r="P173" s="142">
        <f t="shared" si="118"/>
        <v>29200</v>
      </c>
      <c r="Q173" s="142">
        <f t="shared" si="118"/>
        <v>29700</v>
      </c>
      <c r="R173" s="142">
        <f t="shared" si="118"/>
        <v>26700</v>
      </c>
      <c r="S173" s="142">
        <f t="shared" si="118"/>
        <v>25800</v>
      </c>
      <c r="T173" s="142">
        <f t="shared" si="118"/>
        <v>25100</v>
      </c>
      <c r="U173" s="142">
        <f t="shared" si="118"/>
        <v>23900</v>
      </c>
      <c r="V173" s="142">
        <f t="shared" si="118"/>
        <v>25800</v>
      </c>
      <c r="W173" s="142">
        <f t="shared" si="118"/>
        <v>25400</v>
      </c>
      <c r="X173" s="142">
        <f t="shared" si="118"/>
        <v>25500</v>
      </c>
      <c r="Y173" s="142">
        <f t="shared" si="118"/>
        <v>24500</v>
      </c>
      <c r="Z173" s="142">
        <f t="shared" si="118"/>
        <v>26200</v>
      </c>
      <c r="AA173" s="142">
        <f t="shared" si="118"/>
        <v>26000</v>
      </c>
      <c r="AB173" s="142">
        <f t="shared" si="118"/>
        <v>22100</v>
      </c>
      <c r="AC173" s="142">
        <f t="shared" si="118"/>
        <v>25200</v>
      </c>
      <c r="AD173" s="142">
        <f t="shared" si="118"/>
        <v>24900</v>
      </c>
      <c r="AE173" s="142">
        <f t="shared" si="118"/>
        <v>26100</v>
      </c>
      <c r="AF173" s="142">
        <f t="shared" si="118"/>
        <v>25000</v>
      </c>
      <c r="AG173" s="142">
        <f t="shared" si="118"/>
        <v>24400</v>
      </c>
      <c r="AH173" s="142">
        <f t="shared" si="118"/>
        <v>24100</v>
      </c>
      <c r="AI173" s="142">
        <f t="shared" ref="AI173" si="119">SUM(AI172:AI172)</f>
        <v>24300</v>
      </c>
      <c r="AJ173" s="142">
        <f t="shared" si="118"/>
        <v>26100</v>
      </c>
      <c r="AK173" s="121"/>
      <c r="AL173" s="187">
        <f t="shared" si="117"/>
        <v>751200</v>
      </c>
    </row>
    <row r="174" spans="2:59">
      <c r="B174" s="54">
        <v>12</v>
      </c>
      <c r="C174" s="81" t="s">
        <v>110</v>
      </c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L174" s="193" t="s">
        <v>111</v>
      </c>
    </row>
    <row r="175" spans="2:59">
      <c r="B175" s="70"/>
      <c r="C175" s="83" t="s">
        <v>112</v>
      </c>
      <c r="D175" s="74"/>
      <c r="E175" s="75" t="s">
        <v>9</v>
      </c>
      <c r="F175" s="151">
        <v>0</v>
      </c>
      <c r="G175" s="151">
        <v>0</v>
      </c>
      <c r="H175" s="151">
        <v>0</v>
      </c>
      <c r="I175" s="151">
        <v>0</v>
      </c>
      <c r="J175" s="151">
        <v>0</v>
      </c>
      <c r="K175" s="151">
        <v>0</v>
      </c>
      <c r="L175" s="151">
        <v>277000</v>
      </c>
      <c r="M175" s="151">
        <v>226930</v>
      </c>
      <c r="N175" s="151">
        <v>0</v>
      </c>
      <c r="O175" s="151">
        <v>0</v>
      </c>
      <c r="P175" s="151">
        <v>212560</v>
      </c>
      <c r="Q175" s="151">
        <v>59510</v>
      </c>
      <c r="R175" s="151">
        <v>212660</v>
      </c>
      <c r="S175" s="151">
        <v>121070</v>
      </c>
      <c r="T175" s="151">
        <v>0</v>
      </c>
      <c r="U175" s="151">
        <v>0</v>
      </c>
      <c r="V175" s="151">
        <v>137770</v>
      </c>
      <c r="W175" s="151">
        <v>0</v>
      </c>
      <c r="X175" s="151">
        <v>92610</v>
      </c>
      <c r="Y175" s="151">
        <v>144810</v>
      </c>
      <c r="Z175" s="151">
        <v>178730</v>
      </c>
      <c r="AA175" s="151">
        <v>0</v>
      </c>
      <c r="AB175" s="151">
        <v>0</v>
      </c>
      <c r="AC175" s="151">
        <v>40320</v>
      </c>
      <c r="AD175" s="151">
        <v>0</v>
      </c>
      <c r="AE175" s="151">
        <v>0</v>
      </c>
      <c r="AF175" s="151">
        <v>0</v>
      </c>
      <c r="AG175" s="151">
        <v>0</v>
      </c>
      <c r="AH175" s="151">
        <v>0</v>
      </c>
      <c r="AI175" s="151">
        <v>0</v>
      </c>
      <c r="AJ175" s="151">
        <v>0</v>
      </c>
      <c r="AL175" s="109">
        <f t="shared" si="117"/>
        <v>1703970</v>
      </c>
    </row>
    <row r="176" spans="2:59">
      <c r="B176" s="70"/>
      <c r="C176" s="83" t="s">
        <v>33</v>
      </c>
      <c r="D176" s="74"/>
      <c r="E176" s="75" t="s">
        <v>9</v>
      </c>
      <c r="F176" s="151">
        <v>0</v>
      </c>
      <c r="G176" s="151">
        <v>0</v>
      </c>
      <c r="H176" s="151">
        <v>0</v>
      </c>
      <c r="I176" s="151">
        <v>0</v>
      </c>
      <c r="J176" s="151">
        <v>0</v>
      </c>
      <c r="K176" s="151">
        <v>0</v>
      </c>
      <c r="L176" s="151">
        <v>0</v>
      </c>
      <c r="M176" s="151">
        <v>0</v>
      </c>
      <c r="N176" s="151">
        <v>0</v>
      </c>
      <c r="O176" s="151">
        <v>0</v>
      </c>
      <c r="P176" s="151">
        <v>0</v>
      </c>
      <c r="Q176" s="151">
        <v>0</v>
      </c>
      <c r="R176" s="151">
        <v>0</v>
      </c>
      <c r="S176" s="151">
        <v>0</v>
      </c>
      <c r="T176" s="151">
        <v>0</v>
      </c>
      <c r="U176" s="151">
        <v>0</v>
      </c>
      <c r="V176" s="151">
        <v>0</v>
      </c>
      <c r="W176" s="151">
        <v>0</v>
      </c>
      <c r="X176" s="151">
        <v>0</v>
      </c>
      <c r="Y176" s="151">
        <v>0</v>
      </c>
      <c r="Z176" s="151">
        <v>0</v>
      </c>
      <c r="AA176" s="151">
        <v>0</v>
      </c>
      <c r="AB176" s="151">
        <v>0</v>
      </c>
      <c r="AC176" s="151">
        <v>0</v>
      </c>
      <c r="AD176" s="151">
        <v>0</v>
      </c>
      <c r="AE176" s="151">
        <v>0</v>
      </c>
      <c r="AF176" s="151">
        <v>0</v>
      </c>
      <c r="AG176" s="151">
        <v>0</v>
      </c>
      <c r="AH176" s="151">
        <v>0</v>
      </c>
      <c r="AI176" s="151">
        <v>0</v>
      </c>
      <c r="AJ176" s="151">
        <v>0</v>
      </c>
      <c r="AL176" s="109">
        <f t="shared" si="117"/>
        <v>0</v>
      </c>
    </row>
    <row r="177" spans="2:40">
      <c r="B177" s="70"/>
      <c r="C177" s="83" t="s">
        <v>35</v>
      </c>
      <c r="D177" s="74"/>
      <c r="E177" s="75" t="s">
        <v>9</v>
      </c>
      <c r="F177" s="151">
        <v>0</v>
      </c>
      <c r="G177" s="151">
        <v>0</v>
      </c>
      <c r="H177" s="151">
        <v>24920</v>
      </c>
      <c r="I177" s="151">
        <v>75460</v>
      </c>
      <c r="J177" s="151">
        <v>76080</v>
      </c>
      <c r="K177" s="151">
        <v>50080</v>
      </c>
      <c r="L177" s="151">
        <v>0</v>
      </c>
      <c r="M177" s="151">
        <v>0</v>
      </c>
      <c r="N177" s="151">
        <v>0</v>
      </c>
      <c r="O177" s="151">
        <v>80430</v>
      </c>
      <c r="P177" s="151">
        <v>37930</v>
      </c>
      <c r="Q177" s="151">
        <v>24960</v>
      </c>
      <c r="R177" s="151">
        <v>27760</v>
      </c>
      <c r="S177" s="151">
        <v>0</v>
      </c>
      <c r="T177" s="151">
        <v>0</v>
      </c>
      <c r="U177" s="151">
        <v>0</v>
      </c>
      <c r="V177" s="151">
        <v>27190</v>
      </c>
      <c r="W177" s="151">
        <v>0</v>
      </c>
      <c r="X177" s="151">
        <v>0</v>
      </c>
      <c r="Y177" s="151">
        <v>0</v>
      </c>
      <c r="Z177" s="151">
        <v>0</v>
      </c>
      <c r="AA177" s="151">
        <v>0</v>
      </c>
      <c r="AB177" s="151">
        <v>0</v>
      </c>
      <c r="AC177" s="151">
        <v>0</v>
      </c>
      <c r="AD177" s="151">
        <v>0</v>
      </c>
      <c r="AE177" s="151">
        <v>0</v>
      </c>
      <c r="AF177" s="151">
        <v>28080</v>
      </c>
      <c r="AG177" s="151">
        <v>52790</v>
      </c>
      <c r="AH177" s="60">
        <v>20510</v>
      </c>
      <c r="AI177" s="151">
        <v>0</v>
      </c>
      <c r="AJ177" s="151">
        <v>0</v>
      </c>
      <c r="AL177" s="109">
        <f t="shared" si="117"/>
        <v>526190</v>
      </c>
    </row>
    <row r="178" spans="2:40" hidden="1">
      <c r="B178" s="70"/>
      <c r="C178" s="83" t="s">
        <v>40</v>
      </c>
      <c r="D178" s="74"/>
      <c r="E178" s="75" t="s">
        <v>9</v>
      </c>
      <c r="F178" s="151">
        <v>0</v>
      </c>
      <c r="G178" s="151">
        <v>0</v>
      </c>
      <c r="H178" s="151"/>
      <c r="I178" s="151"/>
      <c r="J178" s="151"/>
      <c r="K178" s="151"/>
      <c r="L178" s="151">
        <v>0</v>
      </c>
      <c r="M178" s="151">
        <v>0</v>
      </c>
      <c r="N178" s="151">
        <v>0</v>
      </c>
      <c r="O178" s="151"/>
      <c r="P178" s="151"/>
      <c r="Q178" s="151"/>
      <c r="R178" s="151"/>
      <c r="S178" s="151"/>
      <c r="T178" s="151">
        <v>0</v>
      </c>
      <c r="U178" s="151"/>
      <c r="V178" s="151"/>
      <c r="W178" s="151"/>
      <c r="X178" s="151"/>
      <c r="Y178" s="151"/>
      <c r="Z178" s="151"/>
      <c r="AA178" s="151">
        <v>0</v>
      </c>
      <c r="AB178" s="151">
        <v>0</v>
      </c>
      <c r="AC178" s="151">
        <v>0</v>
      </c>
      <c r="AD178" s="151"/>
      <c r="AE178" s="151"/>
      <c r="AF178" s="60"/>
      <c r="AG178" s="151"/>
      <c r="AH178" s="60"/>
      <c r="AI178" s="60"/>
      <c r="AJ178" s="151"/>
      <c r="AL178" s="109">
        <f t="shared" si="117"/>
        <v>0</v>
      </c>
    </row>
    <row r="179" spans="2:40">
      <c r="B179" s="70"/>
      <c r="C179" s="83" t="s">
        <v>51</v>
      </c>
      <c r="D179" s="74"/>
      <c r="E179" s="75" t="s">
        <v>9</v>
      </c>
      <c r="F179" s="151">
        <v>0</v>
      </c>
      <c r="G179" s="151">
        <v>0</v>
      </c>
      <c r="H179" s="151">
        <v>128840</v>
      </c>
      <c r="I179" s="151">
        <v>172930</v>
      </c>
      <c r="J179" s="151">
        <v>150820</v>
      </c>
      <c r="K179" s="151">
        <v>128820</v>
      </c>
      <c r="L179" s="151">
        <v>0</v>
      </c>
      <c r="M179" s="151">
        <v>0</v>
      </c>
      <c r="N179" s="151">
        <v>0</v>
      </c>
      <c r="O179" s="151">
        <v>140290</v>
      </c>
      <c r="P179" s="151">
        <v>615210</v>
      </c>
      <c r="Q179" s="151">
        <v>339030</v>
      </c>
      <c r="R179" s="151">
        <v>208650</v>
      </c>
      <c r="S179" s="151">
        <v>146940</v>
      </c>
      <c r="T179" s="151">
        <v>0</v>
      </c>
      <c r="U179" s="151">
        <v>42590</v>
      </c>
      <c r="V179" s="151">
        <v>107990</v>
      </c>
      <c r="W179" s="151">
        <v>484890</v>
      </c>
      <c r="X179" s="151">
        <v>273010</v>
      </c>
      <c r="Y179" s="151">
        <v>178640</v>
      </c>
      <c r="Z179" s="151">
        <v>57090</v>
      </c>
      <c r="AA179" s="151">
        <v>0</v>
      </c>
      <c r="AB179" s="151">
        <v>0</v>
      </c>
      <c r="AC179" s="151">
        <v>82920</v>
      </c>
      <c r="AD179" s="151">
        <v>83470</v>
      </c>
      <c r="AE179" s="151">
        <v>138570</v>
      </c>
      <c r="AF179" s="60">
        <v>279220</v>
      </c>
      <c r="AG179" s="151">
        <v>306780</v>
      </c>
      <c r="AH179" s="60">
        <v>277960</v>
      </c>
      <c r="AI179" s="151">
        <v>279400</v>
      </c>
      <c r="AJ179" s="151">
        <v>278640</v>
      </c>
      <c r="AL179" s="109">
        <f t="shared" si="117"/>
        <v>4902700</v>
      </c>
      <c r="AM179" s="185"/>
    </row>
    <row r="180" spans="2:40" s="5" customFormat="1" ht="13.8">
      <c r="B180" s="162"/>
      <c r="C180" s="175" t="s">
        <v>91</v>
      </c>
      <c r="D180" s="176"/>
      <c r="E180" s="177" t="s">
        <v>9</v>
      </c>
      <c r="F180" s="178">
        <f t="shared" ref="F180:AJ180" si="120">SUM(F175:F179)</f>
        <v>0</v>
      </c>
      <c r="G180" s="178">
        <f t="shared" si="120"/>
        <v>0</v>
      </c>
      <c r="H180" s="178">
        <f t="shared" si="120"/>
        <v>153760</v>
      </c>
      <c r="I180" s="178">
        <f t="shared" si="120"/>
        <v>248390</v>
      </c>
      <c r="J180" s="178">
        <f t="shared" si="120"/>
        <v>226900</v>
      </c>
      <c r="K180" s="178">
        <f t="shared" si="120"/>
        <v>178900</v>
      </c>
      <c r="L180" s="178">
        <f t="shared" si="120"/>
        <v>277000</v>
      </c>
      <c r="M180" s="178">
        <f t="shared" si="120"/>
        <v>226930</v>
      </c>
      <c r="N180" s="178">
        <f t="shared" si="120"/>
        <v>0</v>
      </c>
      <c r="O180" s="178">
        <f t="shared" si="120"/>
        <v>220720</v>
      </c>
      <c r="P180" s="178">
        <f t="shared" si="120"/>
        <v>865700</v>
      </c>
      <c r="Q180" s="178">
        <f t="shared" si="120"/>
        <v>423500</v>
      </c>
      <c r="R180" s="178">
        <f t="shared" si="120"/>
        <v>449070</v>
      </c>
      <c r="S180" s="178">
        <f t="shared" si="120"/>
        <v>268010</v>
      </c>
      <c r="T180" s="178">
        <f t="shared" si="120"/>
        <v>0</v>
      </c>
      <c r="U180" s="178">
        <f t="shared" si="120"/>
        <v>42590</v>
      </c>
      <c r="V180" s="178">
        <f t="shared" si="120"/>
        <v>272950</v>
      </c>
      <c r="W180" s="178">
        <f t="shared" si="120"/>
        <v>484890</v>
      </c>
      <c r="X180" s="178">
        <f t="shared" si="120"/>
        <v>365620</v>
      </c>
      <c r="Y180" s="178">
        <f t="shared" si="120"/>
        <v>323450</v>
      </c>
      <c r="Z180" s="178">
        <f t="shared" si="120"/>
        <v>235820</v>
      </c>
      <c r="AA180" s="178">
        <f t="shared" si="120"/>
        <v>0</v>
      </c>
      <c r="AB180" s="178">
        <f t="shared" si="120"/>
        <v>0</v>
      </c>
      <c r="AC180" s="178">
        <f t="shared" si="120"/>
        <v>123240</v>
      </c>
      <c r="AD180" s="178">
        <f>SUM(AD175:AD179)</f>
        <v>83470</v>
      </c>
      <c r="AE180" s="178">
        <f t="shared" si="120"/>
        <v>138570</v>
      </c>
      <c r="AF180" s="178">
        <f t="shared" si="120"/>
        <v>307300</v>
      </c>
      <c r="AG180" s="178">
        <f t="shared" si="120"/>
        <v>359570</v>
      </c>
      <c r="AH180" s="178">
        <f t="shared" si="120"/>
        <v>298470</v>
      </c>
      <c r="AI180" s="178">
        <f t="shared" ref="AI180" si="121">SUM(AI175:AI179)</f>
        <v>279400</v>
      </c>
      <c r="AJ180" s="178">
        <f t="shared" si="120"/>
        <v>278640</v>
      </c>
      <c r="AL180" s="194">
        <f>SUM(AL175:AL179)</f>
        <v>7132860</v>
      </c>
      <c r="AM180" s="185"/>
      <c r="AN180" s="155"/>
    </row>
    <row r="181" spans="2:40">
      <c r="B181" s="54">
        <v>13</v>
      </c>
      <c r="C181" s="81" t="s">
        <v>113</v>
      </c>
      <c r="D181" s="174"/>
      <c r="E181" s="174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L181" s="195" t="s">
        <v>114</v>
      </c>
    </row>
    <row r="182" spans="2:40">
      <c r="B182" s="70"/>
      <c r="C182" s="83" t="s">
        <v>112</v>
      </c>
      <c r="D182" s="74"/>
      <c r="E182" s="75" t="s">
        <v>9</v>
      </c>
      <c r="F182" s="151">
        <v>0</v>
      </c>
      <c r="G182" s="151">
        <v>0</v>
      </c>
      <c r="H182" s="151">
        <v>0</v>
      </c>
      <c r="I182" s="151">
        <v>0</v>
      </c>
      <c r="J182" s="151">
        <v>0</v>
      </c>
      <c r="K182" s="151">
        <v>0</v>
      </c>
      <c r="L182" s="151">
        <v>0</v>
      </c>
      <c r="M182" s="151">
        <v>0</v>
      </c>
      <c r="N182" s="151">
        <v>0</v>
      </c>
      <c r="O182" s="151">
        <v>0</v>
      </c>
      <c r="P182" s="151">
        <v>0</v>
      </c>
      <c r="Q182" s="151">
        <v>0</v>
      </c>
      <c r="R182" s="151">
        <v>0</v>
      </c>
      <c r="S182" s="151">
        <v>0</v>
      </c>
      <c r="T182" s="151">
        <v>0</v>
      </c>
      <c r="U182" s="151">
        <v>0</v>
      </c>
      <c r="V182" s="151">
        <v>0</v>
      </c>
      <c r="W182" s="151">
        <v>0</v>
      </c>
      <c r="X182" s="151">
        <v>0</v>
      </c>
      <c r="Y182" s="151">
        <v>0</v>
      </c>
      <c r="Z182" s="151">
        <v>0</v>
      </c>
      <c r="AA182" s="151">
        <v>0</v>
      </c>
      <c r="AB182" s="151">
        <v>0</v>
      </c>
      <c r="AC182" s="151">
        <v>0</v>
      </c>
      <c r="AD182" s="151">
        <v>0</v>
      </c>
      <c r="AE182" s="151">
        <v>0</v>
      </c>
      <c r="AF182" s="151">
        <v>0</v>
      </c>
      <c r="AG182" s="151">
        <v>0</v>
      </c>
      <c r="AH182" s="151">
        <v>0</v>
      </c>
      <c r="AI182" s="151">
        <v>0</v>
      </c>
      <c r="AJ182" s="151">
        <v>0</v>
      </c>
      <c r="AL182" s="109">
        <f>SUM(F182:AJ182)</f>
        <v>0</v>
      </c>
    </row>
    <row r="183" spans="2:40">
      <c r="B183" s="70"/>
      <c r="C183" s="83" t="s">
        <v>33</v>
      </c>
      <c r="D183" s="74"/>
      <c r="E183" s="75" t="s">
        <v>9</v>
      </c>
      <c r="F183" s="151">
        <v>0</v>
      </c>
      <c r="G183" s="151">
        <v>0</v>
      </c>
      <c r="H183" s="151">
        <v>0</v>
      </c>
      <c r="I183" s="151">
        <v>0</v>
      </c>
      <c r="J183" s="151">
        <v>0</v>
      </c>
      <c r="K183" s="151">
        <v>287160</v>
      </c>
      <c r="L183" s="151">
        <v>258860</v>
      </c>
      <c r="M183" s="151">
        <v>0</v>
      </c>
      <c r="N183" s="151">
        <v>0</v>
      </c>
      <c r="O183" s="151">
        <v>0</v>
      </c>
      <c r="P183" s="151">
        <v>0</v>
      </c>
      <c r="Q183" s="151">
        <v>0</v>
      </c>
      <c r="R183" s="151">
        <v>87690</v>
      </c>
      <c r="S183" s="151">
        <v>405010</v>
      </c>
      <c r="T183" s="151">
        <v>115190</v>
      </c>
      <c r="U183" s="151">
        <v>0</v>
      </c>
      <c r="V183" s="151">
        <v>0</v>
      </c>
      <c r="W183" s="151">
        <v>0</v>
      </c>
      <c r="X183" s="151">
        <v>0</v>
      </c>
      <c r="Y183" s="151">
        <v>0</v>
      </c>
      <c r="Z183" s="151">
        <v>0</v>
      </c>
      <c r="AA183" s="151">
        <v>0</v>
      </c>
      <c r="AB183" s="151">
        <v>0</v>
      </c>
      <c r="AC183" s="151">
        <v>0</v>
      </c>
      <c r="AD183" s="151">
        <v>0</v>
      </c>
      <c r="AE183" s="151">
        <v>0</v>
      </c>
      <c r="AF183" s="151">
        <v>0</v>
      </c>
      <c r="AG183" s="151">
        <v>0</v>
      </c>
      <c r="AH183" s="151">
        <v>0</v>
      </c>
      <c r="AI183" s="151">
        <v>0</v>
      </c>
      <c r="AJ183" s="151">
        <v>0</v>
      </c>
      <c r="AL183" s="109">
        <f>SUM(F183:AJ183)</f>
        <v>1153910</v>
      </c>
    </row>
    <row r="184" spans="2:40">
      <c r="B184" s="70"/>
      <c r="C184" s="83" t="s">
        <v>35</v>
      </c>
      <c r="D184" s="74"/>
      <c r="E184" s="75" t="s">
        <v>9</v>
      </c>
      <c r="F184" s="151">
        <v>0</v>
      </c>
      <c r="G184" s="151">
        <v>0</v>
      </c>
      <c r="H184" s="151">
        <v>341770</v>
      </c>
      <c r="I184" s="151">
        <v>1256970</v>
      </c>
      <c r="J184" s="151">
        <v>1031940</v>
      </c>
      <c r="K184" s="151">
        <v>1156630</v>
      </c>
      <c r="L184" s="151">
        <v>1547370</v>
      </c>
      <c r="M184" s="151">
        <v>1073590</v>
      </c>
      <c r="N184" s="151">
        <v>0</v>
      </c>
      <c r="O184" s="151">
        <v>2070690</v>
      </c>
      <c r="P184" s="151">
        <v>1321360</v>
      </c>
      <c r="Q184" s="151">
        <v>1694930</v>
      </c>
      <c r="R184" s="151">
        <v>1267850</v>
      </c>
      <c r="S184" s="151">
        <v>1995610</v>
      </c>
      <c r="T184" s="151">
        <v>1831000</v>
      </c>
      <c r="U184" s="151">
        <v>343440</v>
      </c>
      <c r="V184" s="151">
        <v>1637880</v>
      </c>
      <c r="W184" s="151">
        <v>1946780</v>
      </c>
      <c r="X184" s="151">
        <v>617510</v>
      </c>
      <c r="Y184" s="151">
        <v>563510</v>
      </c>
      <c r="Z184" s="151">
        <v>1001690</v>
      </c>
      <c r="AA184" s="151">
        <v>498250</v>
      </c>
      <c r="AB184" s="151">
        <v>0</v>
      </c>
      <c r="AC184" s="151">
        <v>1190690</v>
      </c>
      <c r="AD184" s="151">
        <v>820530</v>
      </c>
      <c r="AE184" s="151">
        <v>1134820</v>
      </c>
      <c r="AF184" s="151">
        <v>1015710</v>
      </c>
      <c r="AG184" s="151">
        <v>1264050</v>
      </c>
      <c r="AH184" s="151">
        <v>729340</v>
      </c>
      <c r="AI184" s="151">
        <v>0</v>
      </c>
      <c r="AJ184" s="151">
        <v>1405040</v>
      </c>
      <c r="AL184" s="109">
        <f>SUM(F184:AJ184)</f>
        <v>30758950</v>
      </c>
    </row>
    <row r="185" spans="2:40" hidden="1">
      <c r="B185" s="70"/>
      <c r="C185" s="83" t="s">
        <v>44</v>
      </c>
      <c r="D185" s="74"/>
      <c r="E185" s="75" t="s">
        <v>9</v>
      </c>
      <c r="F185" s="151">
        <v>0</v>
      </c>
      <c r="G185" s="151">
        <v>0</v>
      </c>
      <c r="H185" s="151"/>
      <c r="I185" s="151"/>
      <c r="J185" s="151"/>
      <c r="K185" s="151"/>
      <c r="L185" s="151"/>
      <c r="M185" s="151"/>
      <c r="N185" s="151">
        <v>0</v>
      </c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>
        <v>0</v>
      </c>
      <c r="AD185" s="151"/>
      <c r="AE185" s="151"/>
      <c r="AF185" s="151"/>
      <c r="AG185" s="151"/>
      <c r="AH185" s="151"/>
      <c r="AI185" s="151">
        <v>0</v>
      </c>
      <c r="AJ185" s="151"/>
      <c r="AL185" s="109">
        <f>SUM(F185:AJ185)</f>
        <v>0</v>
      </c>
    </row>
    <row r="186" spans="2:40">
      <c r="B186" s="70"/>
      <c r="C186" s="83" t="s">
        <v>51</v>
      </c>
      <c r="D186" s="74"/>
      <c r="E186" s="75" t="s">
        <v>9</v>
      </c>
      <c r="F186" s="151">
        <v>0</v>
      </c>
      <c r="G186" s="151">
        <v>0</v>
      </c>
      <c r="H186" s="151">
        <v>0</v>
      </c>
      <c r="I186" s="151">
        <v>0</v>
      </c>
      <c r="J186" s="151">
        <v>0</v>
      </c>
      <c r="K186" s="151">
        <v>0</v>
      </c>
      <c r="L186" s="151">
        <v>0</v>
      </c>
      <c r="M186" s="151">
        <v>0</v>
      </c>
      <c r="N186" s="151">
        <v>0</v>
      </c>
      <c r="O186" s="151">
        <v>0</v>
      </c>
      <c r="P186" s="151">
        <v>0</v>
      </c>
      <c r="Q186" s="151">
        <v>0</v>
      </c>
      <c r="R186" s="151">
        <v>62980</v>
      </c>
      <c r="S186" s="151">
        <v>129720</v>
      </c>
      <c r="T186" s="151">
        <v>65080</v>
      </c>
      <c r="U186" s="151">
        <v>107280</v>
      </c>
      <c r="V186" s="151">
        <v>215250</v>
      </c>
      <c r="W186" s="151">
        <v>258540</v>
      </c>
      <c r="X186" s="151">
        <v>258860</v>
      </c>
      <c r="Y186" s="151">
        <v>397280</v>
      </c>
      <c r="Z186" s="151">
        <v>401170</v>
      </c>
      <c r="AA186" s="151">
        <v>149520</v>
      </c>
      <c r="AB186" s="151">
        <v>529400</v>
      </c>
      <c r="AC186" s="151">
        <v>340600</v>
      </c>
      <c r="AD186" s="151">
        <v>588440</v>
      </c>
      <c r="AE186" s="151">
        <v>345470</v>
      </c>
      <c r="AF186" s="151">
        <v>504830</v>
      </c>
      <c r="AG186" s="151">
        <v>274140</v>
      </c>
      <c r="AH186" s="151">
        <v>195430</v>
      </c>
      <c r="AI186" s="151">
        <v>0</v>
      </c>
      <c r="AJ186" s="151">
        <v>0</v>
      </c>
      <c r="AL186" s="109">
        <f>SUM(F186:AJ186)</f>
        <v>4823990</v>
      </c>
    </row>
    <row r="187" spans="2:40" s="5" customFormat="1" thickBot="1">
      <c r="B187" s="162"/>
      <c r="C187" s="175" t="s">
        <v>91</v>
      </c>
      <c r="D187" s="176"/>
      <c r="E187" s="177" t="s">
        <v>9</v>
      </c>
      <c r="F187" s="178">
        <f t="shared" ref="F187:AJ187" si="122">SUM(F182:F186)</f>
        <v>0</v>
      </c>
      <c r="G187" s="178">
        <f t="shared" si="122"/>
        <v>0</v>
      </c>
      <c r="H187" s="178">
        <f t="shared" si="122"/>
        <v>341770</v>
      </c>
      <c r="I187" s="178">
        <f t="shared" si="122"/>
        <v>1256970</v>
      </c>
      <c r="J187" s="178">
        <f t="shared" si="122"/>
        <v>1031940</v>
      </c>
      <c r="K187" s="178">
        <f t="shared" si="122"/>
        <v>1443790</v>
      </c>
      <c r="L187" s="178">
        <f t="shared" si="122"/>
        <v>1806230</v>
      </c>
      <c r="M187" s="178">
        <f t="shared" si="122"/>
        <v>1073590</v>
      </c>
      <c r="N187" s="178">
        <f t="shared" si="122"/>
        <v>0</v>
      </c>
      <c r="O187" s="178">
        <f t="shared" si="122"/>
        <v>2070690</v>
      </c>
      <c r="P187" s="178">
        <f t="shared" si="122"/>
        <v>1321360</v>
      </c>
      <c r="Q187" s="178">
        <f t="shared" si="122"/>
        <v>1694930</v>
      </c>
      <c r="R187" s="178">
        <f t="shared" si="122"/>
        <v>1418520</v>
      </c>
      <c r="S187" s="178">
        <f t="shared" si="122"/>
        <v>2530340</v>
      </c>
      <c r="T187" s="178">
        <f t="shared" si="122"/>
        <v>2011270</v>
      </c>
      <c r="U187" s="178">
        <f t="shared" si="122"/>
        <v>450720</v>
      </c>
      <c r="V187" s="178">
        <f t="shared" si="122"/>
        <v>1853130</v>
      </c>
      <c r="W187" s="178">
        <f t="shared" si="122"/>
        <v>2205320</v>
      </c>
      <c r="X187" s="178">
        <f t="shared" si="122"/>
        <v>876370</v>
      </c>
      <c r="Y187" s="178">
        <f t="shared" si="122"/>
        <v>960790</v>
      </c>
      <c r="Z187" s="178">
        <f t="shared" si="122"/>
        <v>1402860</v>
      </c>
      <c r="AA187" s="178">
        <f t="shared" si="122"/>
        <v>647770</v>
      </c>
      <c r="AB187" s="178">
        <f t="shared" si="122"/>
        <v>529400</v>
      </c>
      <c r="AC187" s="178">
        <f t="shared" si="122"/>
        <v>1531290</v>
      </c>
      <c r="AD187" s="178">
        <f t="shared" si="122"/>
        <v>1408970</v>
      </c>
      <c r="AE187" s="178">
        <f t="shared" si="122"/>
        <v>1480290</v>
      </c>
      <c r="AF187" s="178">
        <f t="shared" si="122"/>
        <v>1520540</v>
      </c>
      <c r="AG187" s="178">
        <f t="shared" si="122"/>
        <v>1538190</v>
      </c>
      <c r="AH187" s="178">
        <f t="shared" si="122"/>
        <v>924770</v>
      </c>
      <c r="AI187" s="178">
        <f t="shared" ref="AI187" si="123">SUM(AI182:AI186)</f>
        <v>0</v>
      </c>
      <c r="AJ187" s="178">
        <f t="shared" si="122"/>
        <v>1405040</v>
      </c>
      <c r="AL187" s="196">
        <f>SUM(AL182:AL186)</f>
        <v>36736850</v>
      </c>
      <c r="AN187" s="155"/>
    </row>
    <row r="189" spans="2:40">
      <c r="AH189" s="29"/>
      <c r="AI189" s="29"/>
      <c r="AJ189" s="29"/>
    </row>
    <row r="190" spans="2:40">
      <c r="AH190" s="29"/>
      <c r="AI190" s="29"/>
      <c r="AJ190" s="29"/>
    </row>
    <row r="191" spans="2:40">
      <c r="AH191" s="29"/>
      <c r="AI191" s="29"/>
      <c r="AJ191" s="29"/>
    </row>
  </sheetData>
  <mergeCells count="7">
    <mergeCell ref="AL5:AL6"/>
    <mergeCell ref="B2:AJ2"/>
    <mergeCell ref="F5:AJ5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300" verticalDpi="300" r:id="rId1"/>
  <ignoredErrors>
    <ignoredError sqref="P47:S54 P10:S10 M14:S14 O61:S61 Q88:Q92 K49:L52 O114:P118 T10:U11 T52:U54 V54:V55 V59 U61:V61 AL18 V47:W52 W10:W11 R114:W118 X51:Y54 Y10:Z10 W88:AA92 AB51:AB54 AA59 AA61:AB61 Y114:AB118 AC47:AC55 AC114:AC119 AD89:AD92 AA10:AD11 AG47:AG55 AF59:AH59 AD61:AG61 T14:AG15 AH47:AH54 AD114:AH118 AE88:AH92 AJ10:AJ11 AJ114:AJ118 AJ88:AJ92 AJ47:AJ55 AJ143:AJ147 R143:AH147 AL143:AL146 AJ14:AJ15 AJ18 AJ59 AJ61 F10:L11 F14:L15 F18:AH18 AL52:AL54 F50:F52 G49:G52 H47:J52 H61:J61 H59:K59 H55:J55 F114:F118 H57:J57 H88:K92 F53:H54 H114:K118 M10 O51:O54 M47:N55 M59 M61:N61 M57 Q59:S59 Y47:Y50 Z47:AA55 AD49:AE52 AD47:AE48 AD53:AE54 AB47:AB50 AE10:AF10 AD59:AE59 AB59 AF49:AF52 AF47:AF48 AF53:AF54 AH61:AI61 AI59 AI47:AI54 AI10:AI11 AH14 AI14:AI15 AI18 F59:G59 F57:G58 F61:G61 I53:J54 F47:G48 F49 F60 AN59 K53:K54 T51:U51 T47:U50 W53 V57 X47:X50 X57 Z57:AC57 AG10:AH10 AG57:AJ57" evalError="1"/>
    <ignoredError sqref="W55 W61:W62 K62 L53:L55 L57 L61:L62 AL25:AL27 AL63" formulaRange="1"/>
    <ignoredError sqref="O62:S62 T61:T62 U62:V62 W59 W54 X59:Z59 AA62:AB62 AD62:AI62 AJ62 H62:J62 L59 M62:N62 Y61:Y62 Z61:Z62 F62:G62 X61:X62" evalError="1" formulaRange="1"/>
    <ignoredError sqref="AL57 N59 AL59" formula="1"/>
    <ignoredError sqref="O59:P59 AC61 AC59" evalError="1" formula="1"/>
    <ignoredError sqref="T59 AC62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WL227"/>
  <sheetViews>
    <sheetView showGridLines="0" tabSelected="1" topLeftCell="A4" zoomScale="90" zoomScaleNormal="90" workbookViewId="0">
      <pane xSplit="5" ySplit="3" topLeftCell="W7" activePane="bottomRight" state="frozen"/>
      <selection pane="topRight"/>
      <selection pane="bottomLeft"/>
      <selection pane="bottomRight" activeCell="AF40" sqref="AF40"/>
    </sheetView>
  </sheetViews>
  <sheetFormatPr defaultColWidth="9" defaultRowHeight="14.4"/>
  <cols>
    <col min="1" max="1" width="1.5546875" style="1" customWidth="1"/>
    <col min="2" max="2" width="4.6640625" style="14" customWidth="1"/>
    <col min="3" max="3" width="41" style="1" customWidth="1"/>
    <col min="4" max="4" width="13.33203125" style="1" customWidth="1"/>
    <col min="5" max="5" width="8.109375" style="1" bestFit="1" customWidth="1"/>
    <col min="6" max="6" width="13.5546875" style="354" customWidth="1"/>
    <col min="7" max="29" width="13.5546875" style="1" customWidth="1"/>
    <col min="30" max="30" width="13.5546875" style="354" customWidth="1"/>
    <col min="31" max="31" width="13.5546875" style="1" customWidth="1"/>
    <col min="32" max="32" width="13.5546875" style="354" customWidth="1"/>
    <col min="33" max="33" width="13.5546875" style="1" customWidth="1"/>
    <col min="34" max="34" width="9.44140625" style="1" customWidth="1"/>
    <col min="35" max="35" width="19.33203125" style="1" bestFit="1" customWidth="1"/>
    <col min="36" max="36" width="15.109375" style="1" bestFit="1" customWidth="1"/>
    <col min="37" max="37" width="10.44140625" style="29" hidden="1" customWidth="1"/>
    <col min="38" max="38" width="7" style="1" hidden="1" customWidth="1"/>
    <col min="39" max="39" width="8.6640625" style="1" hidden="1" customWidth="1"/>
    <col min="40" max="42" width="11.33203125" style="1" hidden="1" customWidth="1"/>
    <col min="43" max="43" width="7.88671875" style="1" hidden="1" customWidth="1"/>
    <col min="44" max="47" width="11.33203125" style="1" hidden="1" customWidth="1"/>
    <col min="48" max="85" width="8.109375" style="1" hidden="1" customWidth="1"/>
    <col min="86" max="87" width="7.5546875" style="1" hidden="1" customWidth="1"/>
    <col min="88" max="92" width="8.109375" style="1" hidden="1" customWidth="1"/>
    <col min="93" max="104" width="0" style="1" hidden="1" customWidth="1"/>
    <col min="105" max="105" width="12.6640625" style="1" hidden="1" customWidth="1"/>
    <col min="106" max="106" width="12.109375" style="1" hidden="1" customWidth="1"/>
    <col min="107" max="107" width="9.109375" style="1" hidden="1" customWidth="1"/>
    <col min="108" max="108" width="9.88671875" style="1" hidden="1" customWidth="1"/>
    <col min="109" max="109" width="15.88671875" style="1" hidden="1" customWidth="1"/>
    <col min="110" max="110" width="12.88671875" style="1" hidden="1" customWidth="1"/>
    <col min="111" max="111" width="14.109375" style="1" hidden="1" customWidth="1"/>
    <col min="112" max="123" width="0" style="1" hidden="1" customWidth="1"/>
    <col min="124" max="124" width="9.5546875" style="253" hidden="1" customWidth="1"/>
    <col min="125" max="125" width="12.44140625" style="1" hidden="1" customWidth="1"/>
    <col min="126" max="126" width="0" style="1" hidden="1" customWidth="1"/>
    <col min="127" max="15089" width="9" style="1"/>
  </cols>
  <sheetData>
    <row r="1" spans="2:36">
      <c r="B1" s="30"/>
    </row>
    <row r="2" spans="2:36" ht="17.399999999999999">
      <c r="B2" s="331" t="s">
        <v>0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1"/>
    </row>
    <row r="3" spans="2:36">
      <c r="B3" s="32"/>
    </row>
    <row r="4" spans="2:36" ht="15" thickBot="1">
      <c r="C4" s="33"/>
      <c r="D4" s="29"/>
      <c r="Z4" s="107"/>
      <c r="AB4" s="107"/>
    </row>
    <row r="5" spans="2:36">
      <c r="B5" s="339" t="s">
        <v>1</v>
      </c>
      <c r="C5" s="341" t="s">
        <v>2</v>
      </c>
      <c r="D5" s="342" t="s">
        <v>3</v>
      </c>
      <c r="E5" s="343" t="s">
        <v>4</v>
      </c>
      <c r="F5" s="344" t="s">
        <v>143</v>
      </c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6"/>
      <c r="AI5" s="329" t="s">
        <v>5</v>
      </c>
    </row>
    <row r="6" spans="2:36">
      <c r="B6" s="340"/>
      <c r="C6" s="334"/>
      <c r="D6" s="336"/>
      <c r="E6" s="338"/>
      <c r="F6" s="355">
        <v>1</v>
      </c>
      <c r="G6" s="34">
        <v>2</v>
      </c>
      <c r="H6" s="34">
        <v>3</v>
      </c>
      <c r="I6" s="34">
        <v>4</v>
      </c>
      <c r="J6" s="34">
        <v>5</v>
      </c>
      <c r="K6" s="34">
        <v>6</v>
      </c>
      <c r="L6" s="34">
        <v>7</v>
      </c>
      <c r="M6" s="34">
        <v>8</v>
      </c>
      <c r="N6" s="34">
        <v>9</v>
      </c>
      <c r="O6" s="34">
        <v>10</v>
      </c>
      <c r="P6" s="34">
        <v>11</v>
      </c>
      <c r="Q6" s="34">
        <v>12</v>
      </c>
      <c r="R6" s="34">
        <v>13</v>
      </c>
      <c r="S6" s="34">
        <v>14</v>
      </c>
      <c r="T6" s="34">
        <v>15</v>
      </c>
      <c r="U6" s="34">
        <v>16</v>
      </c>
      <c r="V6" s="34">
        <v>17</v>
      </c>
      <c r="W6" s="34">
        <v>18</v>
      </c>
      <c r="X6" s="34">
        <v>19</v>
      </c>
      <c r="Y6" s="34">
        <v>20</v>
      </c>
      <c r="Z6" s="34">
        <v>21</v>
      </c>
      <c r="AA6" s="34">
        <v>22</v>
      </c>
      <c r="AB6" s="34">
        <v>23</v>
      </c>
      <c r="AC6" s="34">
        <v>24</v>
      </c>
      <c r="AD6" s="355">
        <v>25</v>
      </c>
      <c r="AE6" s="34">
        <v>26</v>
      </c>
      <c r="AF6" s="355">
        <v>27</v>
      </c>
      <c r="AG6" s="280">
        <v>28</v>
      </c>
      <c r="AI6" s="330"/>
    </row>
    <row r="7" spans="2:36" hidden="1">
      <c r="B7" s="281">
        <v>1</v>
      </c>
      <c r="C7" s="36" t="s">
        <v>6</v>
      </c>
      <c r="D7" s="37"/>
      <c r="E7" s="38"/>
      <c r="F7" s="103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103"/>
      <c r="AE7" s="39"/>
      <c r="AF7" s="103"/>
      <c r="AG7" s="282"/>
      <c r="AH7" s="107"/>
      <c r="AI7" s="108" t="s">
        <v>7</v>
      </c>
    </row>
    <row r="8" spans="2:36" hidden="1">
      <c r="B8" s="281"/>
      <c r="C8" s="40" t="s">
        <v>8</v>
      </c>
      <c r="D8" s="41"/>
      <c r="E8" s="42" t="s">
        <v>9</v>
      </c>
      <c r="F8" s="356">
        <v>753810</v>
      </c>
      <c r="G8" s="43">
        <v>1440280</v>
      </c>
      <c r="H8" s="43">
        <v>1632860</v>
      </c>
      <c r="I8" s="43">
        <v>1386980</v>
      </c>
      <c r="J8" s="43">
        <v>1217540</v>
      </c>
      <c r="K8" s="43">
        <v>641780</v>
      </c>
      <c r="L8" s="43">
        <v>1384500</v>
      </c>
      <c r="M8" s="43">
        <v>1410520</v>
      </c>
      <c r="N8" s="43">
        <v>1144410</v>
      </c>
      <c r="O8" s="43">
        <v>1676090</v>
      </c>
      <c r="P8" s="43">
        <v>1364400</v>
      </c>
      <c r="Q8" s="43">
        <v>1745070</v>
      </c>
      <c r="R8" s="43">
        <v>346390</v>
      </c>
      <c r="S8" s="43">
        <v>1860950</v>
      </c>
      <c r="T8" s="43">
        <v>1275350</v>
      </c>
      <c r="U8" s="43">
        <v>1967230</v>
      </c>
      <c r="V8" s="43">
        <v>1813330</v>
      </c>
      <c r="W8" s="43">
        <v>1499810</v>
      </c>
      <c r="X8" s="43">
        <v>1555200</v>
      </c>
      <c r="Y8" s="43">
        <v>1234390</v>
      </c>
      <c r="Z8" s="43">
        <v>1767040</v>
      </c>
      <c r="AA8" s="43">
        <v>1574940</v>
      </c>
      <c r="AB8" s="43">
        <v>1739600</v>
      </c>
      <c r="AC8" s="43">
        <v>2132000</v>
      </c>
      <c r="AD8" s="356">
        <v>864640</v>
      </c>
      <c r="AE8" s="43">
        <v>2455900</v>
      </c>
      <c r="AF8" s="356">
        <v>218290</v>
      </c>
      <c r="AG8" s="283">
        <v>809350</v>
      </c>
      <c r="AH8" s="107"/>
      <c r="AI8" s="109">
        <f>SUM(F8:AG8)</f>
        <v>38912650</v>
      </c>
    </row>
    <row r="9" spans="2:36" hidden="1">
      <c r="B9" s="281"/>
      <c r="C9" s="40" t="s">
        <v>10</v>
      </c>
      <c r="D9" s="41"/>
      <c r="E9" s="42" t="s">
        <v>9</v>
      </c>
      <c r="F9" s="356">
        <v>752160</v>
      </c>
      <c r="G9" s="43">
        <v>1437680</v>
      </c>
      <c r="H9" s="43">
        <v>1630740</v>
      </c>
      <c r="I9" s="43">
        <v>1385780</v>
      </c>
      <c r="J9" s="43">
        <v>1215650</v>
      </c>
      <c r="K9" s="43">
        <v>640940</v>
      </c>
      <c r="L9" s="43">
        <v>1382490</v>
      </c>
      <c r="M9" s="43">
        <v>1406680</v>
      </c>
      <c r="N9" s="43">
        <v>1142550</v>
      </c>
      <c r="O9" s="43">
        <v>1673230</v>
      </c>
      <c r="P9" s="43">
        <v>1363900</v>
      </c>
      <c r="Q9" s="43">
        <v>1742730</v>
      </c>
      <c r="R9" s="43">
        <v>346680</v>
      </c>
      <c r="S9" s="43">
        <v>1860970</v>
      </c>
      <c r="T9" s="43">
        <v>1275020</v>
      </c>
      <c r="U9" s="43">
        <v>1965140</v>
      </c>
      <c r="V9" s="43">
        <v>1811130</v>
      </c>
      <c r="W9" s="43">
        <v>1497620</v>
      </c>
      <c r="X9" s="43">
        <v>1553330</v>
      </c>
      <c r="Y9" s="43">
        <v>1233340</v>
      </c>
      <c r="Z9" s="43">
        <v>1765900</v>
      </c>
      <c r="AA9" s="43">
        <v>1572990</v>
      </c>
      <c r="AB9" s="43">
        <v>1737580</v>
      </c>
      <c r="AC9" s="43">
        <v>2129500</v>
      </c>
      <c r="AD9" s="356">
        <v>863340</v>
      </c>
      <c r="AE9" s="43">
        <v>2451700</v>
      </c>
      <c r="AF9" s="356">
        <v>217870</v>
      </c>
      <c r="AG9" s="283">
        <v>808560</v>
      </c>
      <c r="AH9" s="107"/>
      <c r="AI9" s="109">
        <f>SUM(F9:AG9)</f>
        <v>38865200</v>
      </c>
    </row>
    <row r="10" spans="2:36" hidden="1">
      <c r="B10" s="281"/>
      <c r="C10" s="44" t="s">
        <v>11</v>
      </c>
      <c r="D10" s="45"/>
      <c r="E10" s="46" t="s">
        <v>12</v>
      </c>
      <c r="F10" s="357">
        <f t="shared" ref="F10:AG10" si="0">((F9-F8)/F8)*100</f>
        <v>-0.21888804871254028</v>
      </c>
      <c r="G10" s="47">
        <f t="shared" si="0"/>
        <v>-0.18052045435609743</v>
      </c>
      <c r="H10" s="47">
        <f t="shared" si="0"/>
        <v>-0.12983354359834892</v>
      </c>
      <c r="I10" s="47">
        <f t="shared" si="0"/>
        <v>-8.6518911592092171E-2</v>
      </c>
      <c r="J10" s="47">
        <f t="shared" si="0"/>
        <v>-0.15523103963730145</v>
      </c>
      <c r="K10" s="47">
        <f t="shared" si="0"/>
        <v>-0.13088597338651875</v>
      </c>
      <c r="L10" s="47">
        <f t="shared" si="0"/>
        <v>-0.14517876489707476</v>
      </c>
      <c r="M10" s="47">
        <f t="shared" si="0"/>
        <v>-0.27224002495533561</v>
      </c>
      <c r="N10" s="47">
        <f t="shared" si="0"/>
        <v>-0.1625291634990956</v>
      </c>
      <c r="O10" s="47">
        <f t="shared" si="0"/>
        <v>-0.17063522841852169</v>
      </c>
      <c r="P10" s="47">
        <f t="shared" si="0"/>
        <v>-3.6646144825564352E-2</v>
      </c>
      <c r="Q10" s="47">
        <f t="shared" si="0"/>
        <v>-0.13409204215303683</v>
      </c>
      <c r="R10" s="47">
        <f t="shared" si="0"/>
        <v>8.3720661681919231E-2</v>
      </c>
      <c r="S10" s="47">
        <f t="shared" si="0"/>
        <v>1.0747199011257691E-3</v>
      </c>
      <c r="T10" s="47">
        <f t="shared" si="0"/>
        <v>-2.5875249931391384E-2</v>
      </c>
      <c r="U10" s="47">
        <f t="shared" si="0"/>
        <v>-0.10624075476685492</v>
      </c>
      <c r="V10" s="47">
        <f t="shared" si="0"/>
        <v>-0.12132375243336843</v>
      </c>
      <c r="W10" s="47">
        <f t="shared" si="0"/>
        <v>-0.14601849567611899</v>
      </c>
      <c r="X10" s="47">
        <f t="shared" si="0"/>
        <v>-0.1202417695473251</v>
      </c>
      <c r="Y10" s="47">
        <f t="shared" si="0"/>
        <v>-8.5062257471301611E-2</v>
      </c>
      <c r="Z10" s="47">
        <f t="shared" si="0"/>
        <v>-6.4514668598333935E-2</v>
      </c>
      <c r="AA10" s="47">
        <f t="shared" si="0"/>
        <v>-0.12381424054249686</v>
      </c>
      <c r="AB10" s="47">
        <f t="shared" si="0"/>
        <v>-0.11611864796504942</v>
      </c>
      <c r="AC10" s="47">
        <f t="shared" si="0"/>
        <v>-0.11726078799249531</v>
      </c>
      <c r="AD10" s="357">
        <f t="shared" si="0"/>
        <v>-0.15035159141376758</v>
      </c>
      <c r="AE10" s="47">
        <f>((AE9-AE8)/AE8)*100</f>
        <v>-0.17101673520908833</v>
      </c>
      <c r="AF10" s="357">
        <f t="shared" si="0"/>
        <v>-0.19240459938613769</v>
      </c>
      <c r="AG10" s="284">
        <f t="shared" si="0"/>
        <v>-9.7609192561932415E-2</v>
      </c>
      <c r="AH10" s="107"/>
      <c r="AI10" s="110">
        <f>((AI9-AI8)/AI8)*100</f>
        <v>-0.12193978050839507</v>
      </c>
    </row>
    <row r="11" spans="2:36" hidden="1">
      <c r="B11" s="281"/>
      <c r="C11" s="36" t="s">
        <v>144</v>
      </c>
      <c r="D11" s="37"/>
      <c r="E11" s="38"/>
      <c r="F11" s="103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103"/>
      <c r="AE11" s="39"/>
      <c r="AF11" s="103"/>
      <c r="AG11" s="282"/>
      <c r="AH11" s="107"/>
      <c r="AI11" s="108" t="s">
        <v>7</v>
      </c>
    </row>
    <row r="12" spans="2:36" hidden="1">
      <c r="B12" s="281"/>
      <c r="C12" s="40" t="s">
        <v>14</v>
      </c>
      <c r="D12" s="41"/>
      <c r="E12" s="42" t="s">
        <v>9</v>
      </c>
      <c r="F12" s="356">
        <v>0</v>
      </c>
      <c r="G12" s="43">
        <v>0</v>
      </c>
      <c r="H12" s="43">
        <v>416839</v>
      </c>
      <c r="I12" s="43">
        <v>0</v>
      </c>
      <c r="J12" s="43">
        <v>0</v>
      </c>
      <c r="K12" s="43">
        <v>0</v>
      </c>
      <c r="L12" s="43">
        <v>0</v>
      </c>
      <c r="M12" s="43">
        <v>405115</v>
      </c>
      <c r="N12" s="43">
        <v>0</v>
      </c>
      <c r="O12" s="43">
        <v>0</v>
      </c>
      <c r="P12" s="43">
        <v>0</v>
      </c>
      <c r="Q12" s="43">
        <v>303022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492512</v>
      </c>
      <c r="X12" s="43">
        <v>0</v>
      </c>
      <c r="Y12" s="43">
        <v>0</v>
      </c>
      <c r="Z12" s="43">
        <v>547156</v>
      </c>
      <c r="AA12" s="43">
        <v>0</v>
      </c>
      <c r="AB12" s="43">
        <v>0</v>
      </c>
      <c r="AC12" s="43">
        <v>0</v>
      </c>
      <c r="AD12" s="356">
        <v>0</v>
      </c>
      <c r="AE12" s="43">
        <v>602214</v>
      </c>
      <c r="AF12" s="356">
        <v>0</v>
      </c>
      <c r="AG12" s="283">
        <v>0</v>
      </c>
      <c r="AH12" s="107"/>
      <c r="AI12" s="109">
        <f>SUM(F12:AG12)</f>
        <v>2766858</v>
      </c>
      <c r="AJ12" s="107"/>
    </row>
    <row r="13" spans="2:36" hidden="1">
      <c r="B13" s="281"/>
      <c r="C13" s="40" t="s">
        <v>15</v>
      </c>
      <c r="D13" s="41"/>
      <c r="E13" s="42" t="s">
        <v>9</v>
      </c>
      <c r="F13" s="356">
        <v>0</v>
      </c>
      <c r="G13" s="43">
        <v>0</v>
      </c>
      <c r="H13" s="43">
        <v>414696</v>
      </c>
      <c r="I13" s="43">
        <v>0</v>
      </c>
      <c r="J13" s="43">
        <v>0</v>
      </c>
      <c r="K13" s="43">
        <v>0</v>
      </c>
      <c r="L13" s="43">
        <v>0</v>
      </c>
      <c r="M13" s="43">
        <v>405668</v>
      </c>
      <c r="N13" s="43">
        <v>0</v>
      </c>
      <c r="O13" s="43">
        <v>0</v>
      </c>
      <c r="P13" s="43">
        <v>0</v>
      </c>
      <c r="Q13" s="43">
        <v>305312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491508</v>
      </c>
      <c r="X13" s="43">
        <v>0</v>
      </c>
      <c r="Y13" s="43">
        <v>0</v>
      </c>
      <c r="Z13" s="43">
        <v>547615</v>
      </c>
      <c r="AA13" s="43">
        <v>0</v>
      </c>
      <c r="AB13" s="43">
        <v>0</v>
      </c>
      <c r="AC13" s="43">
        <v>0</v>
      </c>
      <c r="AD13" s="356">
        <v>0</v>
      </c>
      <c r="AE13" s="43">
        <v>601797</v>
      </c>
      <c r="AF13" s="356">
        <v>0</v>
      </c>
      <c r="AG13" s="283">
        <v>0</v>
      </c>
      <c r="AH13" s="107"/>
      <c r="AI13" s="109">
        <f>SUM(F13:AG13)</f>
        <v>2766596</v>
      </c>
      <c r="AJ13" s="107"/>
    </row>
    <row r="14" spans="2:36" hidden="1">
      <c r="B14" s="281"/>
      <c r="C14" s="44" t="s">
        <v>16</v>
      </c>
      <c r="D14" s="45"/>
      <c r="E14" s="46" t="s">
        <v>12</v>
      </c>
      <c r="F14" s="357" t="e">
        <f t="shared" ref="F14:AG14" si="1">((F13-F12)/F12)*100</f>
        <v>#DIV/0!</v>
      </c>
      <c r="G14" s="47" t="e">
        <f t="shared" si="1"/>
        <v>#DIV/0!</v>
      </c>
      <c r="H14" s="47">
        <f t="shared" si="1"/>
        <v>-0.51410736519375588</v>
      </c>
      <c r="I14" s="47" t="e">
        <f t="shared" si="1"/>
        <v>#DIV/0!</v>
      </c>
      <c r="J14" s="47" t="e">
        <f t="shared" si="1"/>
        <v>#DIV/0!</v>
      </c>
      <c r="K14" s="47" t="e">
        <f t="shared" si="1"/>
        <v>#DIV/0!</v>
      </c>
      <c r="L14" s="47" t="e">
        <f t="shared" si="1"/>
        <v>#DIV/0!</v>
      </c>
      <c r="M14" s="47">
        <f t="shared" si="1"/>
        <v>0.13650444935388717</v>
      </c>
      <c r="N14" s="47" t="e">
        <f t="shared" si="1"/>
        <v>#DIV/0!</v>
      </c>
      <c r="O14" s="47" t="e">
        <f t="shared" si="1"/>
        <v>#DIV/0!</v>
      </c>
      <c r="P14" s="47" t="e">
        <f t="shared" si="1"/>
        <v>#DIV/0!</v>
      </c>
      <c r="Q14" s="47">
        <f t="shared" si="1"/>
        <v>0.75572070674736491</v>
      </c>
      <c r="R14" s="47" t="e">
        <f t="shared" si="1"/>
        <v>#DIV/0!</v>
      </c>
      <c r="S14" s="47" t="e">
        <f t="shared" si="1"/>
        <v>#DIV/0!</v>
      </c>
      <c r="T14" s="47" t="e">
        <f t="shared" si="1"/>
        <v>#DIV/0!</v>
      </c>
      <c r="U14" s="47" t="e">
        <f t="shared" si="1"/>
        <v>#DIV/0!</v>
      </c>
      <c r="V14" s="47" t="e">
        <f t="shared" si="1"/>
        <v>#DIV/0!</v>
      </c>
      <c r="W14" s="47">
        <f t="shared" si="1"/>
        <v>-0.20385290104606588</v>
      </c>
      <c r="X14" s="47" t="e">
        <f t="shared" si="1"/>
        <v>#DIV/0!</v>
      </c>
      <c r="Y14" s="47" t="e">
        <f t="shared" si="1"/>
        <v>#DIV/0!</v>
      </c>
      <c r="Z14" s="47">
        <f t="shared" si="1"/>
        <v>8.388832435356644E-2</v>
      </c>
      <c r="AA14" s="47" t="e">
        <f t="shared" si="1"/>
        <v>#DIV/0!</v>
      </c>
      <c r="AB14" s="47" t="e">
        <f t="shared" si="1"/>
        <v>#DIV/0!</v>
      </c>
      <c r="AC14" s="47" t="e">
        <f t="shared" si="1"/>
        <v>#DIV/0!</v>
      </c>
      <c r="AD14" s="357" t="e">
        <f t="shared" si="1"/>
        <v>#DIV/0!</v>
      </c>
      <c r="AE14" s="47">
        <f t="shared" si="1"/>
        <v>-6.9244487839870875E-2</v>
      </c>
      <c r="AF14" s="357" t="e">
        <f t="shared" si="1"/>
        <v>#DIV/0!</v>
      </c>
      <c r="AG14" s="284" t="e">
        <f t="shared" si="1"/>
        <v>#DIV/0!</v>
      </c>
      <c r="AH14" s="107"/>
      <c r="AI14" s="110">
        <f>((AI13-AI12)/AI12)*100</f>
        <v>-9.469224658439284E-3</v>
      </c>
    </row>
    <row r="15" spans="2:36" hidden="1">
      <c r="B15" s="281"/>
      <c r="C15" s="36" t="s">
        <v>145</v>
      </c>
      <c r="D15" s="37"/>
      <c r="E15" s="38"/>
      <c r="F15" s="103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103"/>
      <c r="AE15" s="39"/>
      <c r="AF15" s="103"/>
      <c r="AG15" s="282"/>
      <c r="AH15" s="107"/>
      <c r="AI15" s="108" t="s">
        <v>7</v>
      </c>
    </row>
    <row r="16" spans="2:36" hidden="1">
      <c r="B16" s="281"/>
      <c r="C16" s="40" t="s">
        <v>14</v>
      </c>
      <c r="D16" s="41"/>
      <c r="E16" s="42" t="s">
        <v>9</v>
      </c>
      <c r="F16" s="356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88940</v>
      </c>
      <c r="Q16" s="43">
        <v>88610</v>
      </c>
      <c r="R16" s="43">
        <v>0</v>
      </c>
      <c r="S16" s="43">
        <v>0</v>
      </c>
      <c r="T16" s="43">
        <v>0</v>
      </c>
      <c r="U16" s="43">
        <v>0</v>
      </c>
      <c r="V16" s="43">
        <v>117530</v>
      </c>
      <c r="W16" s="43">
        <v>179000</v>
      </c>
      <c r="X16" s="43">
        <v>115330</v>
      </c>
      <c r="Y16" s="43">
        <v>0</v>
      </c>
      <c r="Z16" s="43">
        <v>0</v>
      </c>
      <c r="AA16" s="43">
        <v>116350</v>
      </c>
      <c r="AB16" s="43">
        <v>322670</v>
      </c>
      <c r="AC16" s="43">
        <v>0</v>
      </c>
      <c r="AD16" s="356">
        <v>0</v>
      </c>
      <c r="AE16" s="43">
        <v>495450</v>
      </c>
      <c r="AF16" s="356">
        <v>208030</v>
      </c>
      <c r="AG16" s="283">
        <v>0</v>
      </c>
      <c r="AH16" s="107"/>
      <c r="AI16" s="109">
        <f>SUM(F16:AG16)</f>
        <v>1731910</v>
      </c>
    </row>
    <row r="17" spans="2:124" hidden="1">
      <c r="B17" s="281"/>
      <c r="C17" s="40" t="s">
        <v>15</v>
      </c>
      <c r="D17" s="41"/>
      <c r="E17" s="42" t="s">
        <v>9</v>
      </c>
      <c r="F17" s="356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89140</v>
      </c>
      <c r="Q17" s="43">
        <v>88380</v>
      </c>
      <c r="R17" s="43">
        <v>0</v>
      </c>
      <c r="S17" s="43">
        <v>0</v>
      </c>
      <c r="T17" s="43">
        <v>0</v>
      </c>
      <c r="U17" s="43">
        <v>0</v>
      </c>
      <c r="V17" s="43">
        <v>117280</v>
      </c>
      <c r="W17" s="43">
        <v>178660</v>
      </c>
      <c r="X17" s="43">
        <v>115840</v>
      </c>
      <c r="Y17" s="43">
        <v>0</v>
      </c>
      <c r="Z17" s="43">
        <v>0</v>
      </c>
      <c r="AA17" s="43">
        <v>116120</v>
      </c>
      <c r="AB17" s="43">
        <v>323460</v>
      </c>
      <c r="AC17" s="43">
        <v>0</v>
      </c>
      <c r="AD17" s="356">
        <v>0</v>
      </c>
      <c r="AE17" s="43">
        <v>496080</v>
      </c>
      <c r="AF17" s="356">
        <v>208380</v>
      </c>
      <c r="AG17" s="283">
        <v>0</v>
      </c>
      <c r="AH17" s="107"/>
      <c r="AI17" s="109">
        <f>SUM(F17:AG17)</f>
        <v>1733340</v>
      </c>
    </row>
    <row r="18" spans="2:124" hidden="1">
      <c r="B18" s="281"/>
      <c r="C18" s="44" t="s">
        <v>16</v>
      </c>
      <c r="D18" s="45"/>
      <c r="E18" s="46" t="s">
        <v>12</v>
      </c>
      <c r="F18" s="357" t="e">
        <f t="shared" ref="F18:AG18" si="2">((F17-F16)/F16)*100</f>
        <v>#DIV/0!</v>
      </c>
      <c r="G18" s="47" t="e">
        <f t="shared" si="2"/>
        <v>#DIV/0!</v>
      </c>
      <c r="H18" s="47" t="e">
        <f t="shared" si="2"/>
        <v>#DIV/0!</v>
      </c>
      <c r="I18" s="47" t="e">
        <f t="shared" si="2"/>
        <v>#DIV/0!</v>
      </c>
      <c r="J18" s="47" t="e">
        <f t="shared" si="2"/>
        <v>#DIV/0!</v>
      </c>
      <c r="K18" s="47" t="e">
        <f t="shared" si="2"/>
        <v>#DIV/0!</v>
      </c>
      <c r="L18" s="47" t="e">
        <f t="shared" si="2"/>
        <v>#DIV/0!</v>
      </c>
      <c r="M18" s="47" t="e">
        <f t="shared" si="2"/>
        <v>#DIV/0!</v>
      </c>
      <c r="N18" s="47" t="e">
        <f t="shared" si="2"/>
        <v>#DIV/0!</v>
      </c>
      <c r="O18" s="47" t="e">
        <f t="shared" si="2"/>
        <v>#DIV/0!</v>
      </c>
      <c r="P18" s="47">
        <f t="shared" si="2"/>
        <v>0.22487069934787499</v>
      </c>
      <c r="Q18" s="47">
        <f t="shared" si="2"/>
        <v>-0.25956438325245457</v>
      </c>
      <c r="R18" s="47" t="e">
        <f t="shared" si="2"/>
        <v>#DIV/0!</v>
      </c>
      <c r="S18" s="47" t="e">
        <f t="shared" si="2"/>
        <v>#DIV/0!</v>
      </c>
      <c r="T18" s="47" t="e">
        <f t="shared" si="2"/>
        <v>#DIV/0!</v>
      </c>
      <c r="U18" s="47" t="e">
        <f t="shared" si="2"/>
        <v>#DIV/0!</v>
      </c>
      <c r="V18" s="47">
        <f t="shared" si="2"/>
        <v>-0.21271164808984938</v>
      </c>
      <c r="W18" s="47">
        <f t="shared" si="2"/>
        <v>-0.18994413407821231</v>
      </c>
      <c r="X18" s="47">
        <f t="shared" si="2"/>
        <v>0.44220931240787309</v>
      </c>
      <c r="Y18" s="47" t="e">
        <f t="shared" si="2"/>
        <v>#DIV/0!</v>
      </c>
      <c r="Z18" s="47" t="e">
        <f t="shared" si="2"/>
        <v>#DIV/0!</v>
      </c>
      <c r="AA18" s="47">
        <f t="shared" si="2"/>
        <v>-0.1976794155565105</v>
      </c>
      <c r="AB18" s="47">
        <f t="shared" si="2"/>
        <v>0.24483218148572844</v>
      </c>
      <c r="AC18" s="47" t="e">
        <f t="shared" si="2"/>
        <v>#DIV/0!</v>
      </c>
      <c r="AD18" s="357" t="e">
        <f t="shared" si="2"/>
        <v>#DIV/0!</v>
      </c>
      <c r="AE18" s="47">
        <f t="shared" si="2"/>
        <v>0.12715712988192551</v>
      </c>
      <c r="AF18" s="357">
        <f t="shared" si="2"/>
        <v>0.16824496466855743</v>
      </c>
      <c r="AG18" s="284" t="e">
        <f t="shared" si="2"/>
        <v>#DIV/0!</v>
      </c>
      <c r="AH18" s="107"/>
      <c r="AI18" s="110">
        <f>((AI17-AI16)/AI16)*100</f>
        <v>8.2567800867250615E-2</v>
      </c>
    </row>
    <row r="19" spans="2:124" hidden="1">
      <c r="B19" s="281"/>
      <c r="C19" s="48" t="s">
        <v>17</v>
      </c>
      <c r="D19" s="41"/>
      <c r="E19" s="42"/>
      <c r="F19" s="35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356"/>
      <c r="AE19" s="43"/>
      <c r="AF19" s="356"/>
      <c r="AG19" s="283"/>
      <c r="AH19" s="107"/>
      <c r="AI19" s="111" t="s">
        <v>18</v>
      </c>
    </row>
    <row r="20" spans="2:124" hidden="1">
      <c r="B20" s="281"/>
      <c r="C20" s="40" t="s">
        <v>8</v>
      </c>
      <c r="D20" s="41"/>
      <c r="E20" s="42" t="s">
        <v>9</v>
      </c>
      <c r="F20" s="356">
        <v>81960</v>
      </c>
      <c r="G20" s="43">
        <v>111080</v>
      </c>
      <c r="H20" s="43">
        <v>157840</v>
      </c>
      <c r="I20" s="43">
        <v>74150</v>
      </c>
      <c r="J20" s="43">
        <v>80890</v>
      </c>
      <c r="K20" s="43">
        <v>0</v>
      </c>
      <c r="L20" s="43">
        <v>26250</v>
      </c>
      <c r="M20" s="43">
        <v>243450</v>
      </c>
      <c r="N20" s="43">
        <v>102170</v>
      </c>
      <c r="O20" s="43">
        <v>76200</v>
      </c>
      <c r="P20" s="43">
        <v>204720</v>
      </c>
      <c r="Q20" s="43">
        <v>81430</v>
      </c>
      <c r="R20" s="43">
        <v>0</v>
      </c>
      <c r="S20" s="43">
        <v>0</v>
      </c>
      <c r="T20" s="43">
        <v>65230</v>
      </c>
      <c r="U20" s="43">
        <v>80120</v>
      </c>
      <c r="V20" s="43">
        <v>138250</v>
      </c>
      <c r="W20" s="43">
        <v>141500</v>
      </c>
      <c r="X20" s="43">
        <v>191600</v>
      </c>
      <c r="Y20" s="43">
        <v>53500</v>
      </c>
      <c r="Z20" s="43">
        <v>25670</v>
      </c>
      <c r="AA20" s="43">
        <v>0</v>
      </c>
      <c r="AB20" s="43">
        <v>52700</v>
      </c>
      <c r="AC20" s="43">
        <v>0</v>
      </c>
      <c r="AD20" s="356">
        <v>0</v>
      </c>
      <c r="AE20" s="43">
        <v>263550</v>
      </c>
      <c r="AF20" s="356">
        <v>233750</v>
      </c>
      <c r="AG20" s="283">
        <v>114980</v>
      </c>
      <c r="AH20" s="107"/>
      <c r="AI20" s="109">
        <f>SUM(F20:AG20)</f>
        <v>2600990</v>
      </c>
    </row>
    <row r="21" spans="2:124" hidden="1">
      <c r="B21" s="281"/>
      <c r="C21" s="40" t="s">
        <v>10</v>
      </c>
      <c r="D21" s="41"/>
      <c r="E21" s="42" t="s">
        <v>9</v>
      </c>
      <c r="F21" s="356">
        <v>81930</v>
      </c>
      <c r="G21" s="43">
        <v>110880</v>
      </c>
      <c r="H21" s="43">
        <v>157600</v>
      </c>
      <c r="I21" s="43">
        <v>74150</v>
      </c>
      <c r="J21" s="43">
        <v>80530</v>
      </c>
      <c r="K21" s="43">
        <v>0</v>
      </c>
      <c r="L21" s="43">
        <v>26200</v>
      </c>
      <c r="M21" s="43">
        <v>243280</v>
      </c>
      <c r="N21" s="43">
        <v>102020</v>
      </c>
      <c r="O21" s="43">
        <v>76180</v>
      </c>
      <c r="P21" s="43">
        <v>204420</v>
      </c>
      <c r="Q21" s="43">
        <v>81330</v>
      </c>
      <c r="R21" s="43">
        <v>0</v>
      </c>
      <c r="S21" s="43">
        <v>0</v>
      </c>
      <c r="T21" s="43">
        <v>65170</v>
      </c>
      <c r="U21" s="43">
        <v>80100</v>
      </c>
      <c r="V21" s="43">
        <v>137860</v>
      </c>
      <c r="W21" s="43">
        <v>141150</v>
      </c>
      <c r="X21" s="43">
        <v>191070</v>
      </c>
      <c r="Y21" s="43">
        <v>53490</v>
      </c>
      <c r="Z21" s="43">
        <v>25560</v>
      </c>
      <c r="AA21" s="43">
        <v>0</v>
      </c>
      <c r="AB21" s="43">
        <v>52520</v>
      </c>
      <c r="AC21" s="43">
        <v>0</v>
      </c>
      <c r="AD21" s="356">
        <v>0</v>
      </c>
      <c r="AE21" s="43">
        <v>262830</v>
      </c>
      <c r="AF21" s="356">
        <v>233560</v>
      </c>
      <c r="AG21" s="283">
        <v>115010</v>
      </c>
      <c r="AH21" s="107"/>
      <c r="AI21" s="109">
        <f>SUM(F21:AG21)</f>
        <v>2596840</v>
      </c>
    </row>
    <row r="22" spans="2:124" hidden="1">
      <c r="B22" s="281"/>
      <c r="C22" s="40" t="s">
        <v>11</v>
      </c>
      <c r="D22" s="41"/>
      <c r="E22" s="42" t="s">
        <v>12</v>
      </c>
      <c r="F22" s="358">
        <f t="shared" ref="F22:AG22" si="3">((F21-F20)/F20)*100</f>
        <v>-3.6603221083455345E-2</v>
      </c>
      <c r="G22" s="49">
        <f t="shared" si="3"/>
        <v>-0.18005041411595246</v>
      </c>
      <c r="H22" s="49">
        <f t="shared" si="3"/>
        <v>-0.15205271160669032</v>
      </c>
      <c r="I22" s="49">
        <f t="shared" si="3"/>
        <v>0</v>
      </c>
      <c r="J22" s="49">
        <f t="shared" si="3"/>
        <v>-0.4450488317468167</v>
      </c>
      <c r="K22" s="49" t="e">
        <f t="shared" si="3"/>
        <v>#DIV/0!</v>
      </c>
      <c r="L22" s="49">
        <f t="shared" si="3"/>
        <v>-0.19047619047619047</v>
      </c>
      <c r="M22" s="49">
        <f t="shared" si="3"/>
        <v>-6.9829533785171496E-2</v>
      </c>
      <c r="N22" s="49">
        <f t="shared" si="3"/>
        <v>-0.14681413330723303</v>
      </c>
      <c r="O22" s="49">
        <f t="shared" si="3"/>
        <v>-2.6246719160104987E-2</v>
      </c>
      <c r="P22" s="49">
        <f t="shared" si="3"/>
        <v>-0.14654161781946073</v>
      </c>
      <c r="Q22" s="49">
        <f t="shared" si="3"/>
        <v>-0.12280486307257768</v>
      </c>
      <c r="R22" s="49" t="e">
        <f t="shared" si="3"/>
        <v>#DIV/0!</v>
      </c>
      <c r="S22" s="49" t="e">
        <f t="shared" si="3"/>
        <v>#DIV/0!</v>
      </c>
      <c r="T22" s="49">
        <f t="shared" si="3"/>
        <v>-9.1982216771424194E-2</v>
      </c>
      <c r="U22" s="49">
        <f t="shared" si="3"/>
        <v>-2.4962556165751375E-2</v>
      </c>
      <c r="V22" s="49">
        <f t="shared" si="3"/>
        <v>-0.28209764918625679</v>
      </c>
      <c r="W22" s="49">
        <f t="shared" si="3"/>
        <v>-0.24734982332155478</v>
      </c>
      <c r="X22" s="49">
        <f t="shared" si="3"/>
        <v>-0.27661795407098122</v>
      </c>
      <c r="Y22" s="49">
        <f t="shared" si="3"/>
        <v>-1.8691588785046728E-2</v>
      </c>
      <c r="Z22" s="49">
        <f t="shared" si="3"/>
        <v>-0.4285157771717959</v>
      </c>
      <c r="AA22" s="49" t="e">
        <f t="shared" si="3"/>
        <v>#DIV/0!</v>
      </c>
      <c r="AB22" s="49">
        <f t="shared" si="3"/>
        <v>-0.34155597722960152</v>
      </c>
      <c r="AC22" s="49" t="e">
        <f t="shared" si="3"/>
        <v>#DIV/0!</v>
      </c>
      <c r="AD22" s="358" t="e">
        <f t="shared" si="3"/>
        <v>#DIV/0!</v>
      </c>
      <c r="AE22" s="49">
        <f t="shared" si="3"/>
        <v>-0.27319294251565168</v>
      </c>
      <c r="AF22" s="358">
        <f t="shared" si="3"/>
        <v>-8.1283422459893048E-2</v>
      </c>
      <c r="AG22" s="285">
        <f t="shared" si="3"/>
        <v>2.6091494172899632E-2</v>
      </c>
      <c r="AH22" s="112"/>
      <c r="AI22" s="113">
        <f>((AI21-AI20)/AI20)*100</f>
        <v>-0.15955463112122692</v>
      </c>
    </row>
    <row r="23" spans="2:124" hidden="1">
      <c r="B23" s="281"/>
      <c r="C23" s="36" t="s">
        <v>146</v>
      </c>
      <c r="D23" s="37"/>
      <c r="E23" s="38"/>
      <c r="F23" s="103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103"/>
      <c r="AE23" s="39"/>
      <c r="AF23" s="103"/>
      <c r="AG23" s="282"/>
      <c r="AH23" s="107"/>
      <c r="AI23" s="111" t="s">
        <v>18</v>
      </c>
    </row>
    <row r="24" spans="2:124" hidden="1">
      <c r="B24" s="281"/>
      <c r="C24" s="40" t="s">
        <v>8</v>
      </c>
      <c r="D24" s="41"/>
      <c r="E24" s="42" t="s">
        <v>9</v>
      </c>
      <c r="F24" s="356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168910</v>
      </c>
      <c r="V24" s="43">
        <v>159800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356">
        <v>0</v>
      </c>
      <c r="AE24" s="43">
        <v>0</v>
      </c>
      <c r="AF24" s="356">
        <v>0</v>
      </c>
      <c r="AG24" s="283">
        <v>0</v>
      </c>
      <c r="AH24" s="107"/>
      <c r="AI24" s="109">
        <f>SUM(F24:AG24)</f>
        <v>328710</v>
      </c>
    </row>
    <row r="25" spans="2:124" hidden="1">
      <c r="B25" s="281"/>
      <c r="C25" s="40" t="s">
        <v>10</v>
      </c>
      <c r="D25" s="41"/>
      <c r="E25" s="42" t="s">
        <v>9</v>
      </c>
      <c r="F25" s="356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169570</v>
      </c>
      <c r="V25" s="43">
        <v>160340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356">
        <v>0</v>
      </c>
      <c r="AE25" s="43">
        <v>0</v>
      </c>
      <c r="AF25" s="356">
        <v>0</v>
      </c>
      <c r="AG25" s="283">
        <v>0</v>
      </c>
      <c r="AH25" s="107"/>
      <c r="AI25" s="109">
        <f>SUM(F25:AG25)</f>
        <v>329910</v>
      </c>
    </row>
    <row r="26" spans="2:124" hidden="1">
      <c r="B26" s="281"/>
      <c r="C26" s="44" t="s">
        <v>11</v>
      </c>
      <c r="D26" s="45"/>
      <c r="E26" s="46" t="s">
        <v>12</v>
      </c>
      <c r="F26" s="357" t="e">
        <f t="shared" ref="F26:AG26" si="4">((F25-F24)/F24)*100</f>
        <v>#DIV/0!</v>
      </c>
      <c r="G26" s="47" t="e">
        <f t="shared" si="4"/>
        <v>#DIV/0!</v>
      </c>
      <c r="H26" s="47" t="e">
        <f t="shared" si="4"/>
        <v>#DIV/0!</v>
      </c>
      <c r="I26" s="47" t="e">
        <f t="shared" si="4"/>
        <v>#DIV/0!</v>
      </c>
      <c r="J26" s="47" t="e">
        <f t="shared" si="4"/>
        <v>#DIV/0!</v>
      </c>
      <c r="K26" s="47" t="e">
        <f t="shared" si="4"/>
        <v>#DIV/0!</v>
      </c>
      <c r="L26" s="47" t="e">
        <f t="shared" si="4"/>
        <v>#DIV/0!</v>
      </c>
      <c r="M26" s="47" t="e">
        <f t="shared" si="4"/>
        <v>#DIV/0!</v>
      </c>
      <c r="N26" s="47" t="e">
        <f t="shared" si="4"/>
        <v>#DIV/0!</v>
      </c>
      <c r="O26" s="47" t="e">
        <f t="shared" si="4"/>
        <v>#DIV/0!</v>
      </c>
      <c r="P26" s="47" t="e">
        <f t="shared" si="4"/>
        <v>#DIV/0!</v>
      </c>
      <c r="Q26" s="47" t="e">
        <f t="shared" si="4"/>
        <v>#DIV/0!</v>
      </c>
      <c r="R26" s="47" t="e">
        <f t="shared" si="4"/>
        <v>#DIV/0!</v>
      </c>
      <c r="S26" s="47" t="e">
        <f t="shared" si="4"/>
        <v>#DIV/0!</v>
      </c>
      <c r="T26" s="47" t="e">
        <f t="shared" si="4"/>
        <v>#DIV/0!</v>
      </c>
      <c r="U26" s="47">
        <f t="shared" si="4"/>
        <v>0.39074063110532237</v>
      </c>
      <c r="V26" s="47">
        <f t="shared" si="4"/>
        <v>0.3379224030037547</v>
      </c>
      <c r="W26" s="47" t="e">
        <f t="shared" si="4"/>
        <v>#DIV/0!</v>
      </c>
      <c r="X26" s="47" t="e">
        <f t="shared" si="4"/>
        <v>#DIV/0!</v>
      </c>
      <c r="Y26" s="47" t="e">
        <f t="shared" si="4"/>
        <v>#DIV/0!</v>
      </c>
      <c r="Z26" s="47" t="e">
        <f t="shared" si="4"/>
        <v>#DIV/0!</v>
      </c>
      <c r="AA26" s="47" t="e">
        <f t="shared" si="4"/>
        <v>#DIV/0!</v>
      </c>
      <c r="AB26" s="47" t="e">
        <f t="shared" si="4"/>
        <v>#DIV/0!</v>
      </c>
      <c r="AC26" s="47" t="e">
        <f t="shared" si="4"/>
        <v>#DIV/0!</v>
      </c>
      <c r="AD26" s="357" t="e">
        <f t="shared" si="4"/>
        <v>#DIV/0!</v>
      </c>
      <c r="AE26" s="47" t="e">
        <f t="shared" si="4"/>
        <v>#DIV/0!</v>
      </c>
      <c r="AF26" s="357" t="e">
        <f t="shared" si="4"/>
        <v>#DIV/0!</v>
      </c>
      <c r="AG26" s="284" t="e">
        <f t="shared" si="4"/>
        <v>#DIV/0!</v>
      </c>
      <c r="AH26" s="112"/>
      <c r="AI26" s="113">
        <f>((AI25-AI24)/AI24)*100</f>
        <v>0.36506342977092271</v>
      </c>
      <c r="DA26" s="107"/>
    </row>
    <row r="27" spans="2:124" hidden="1">
      <c r="B27" s="281"/>
      <c r="C27" s="50" t="s">
        <v>19</v>
      </c>
      <c r="D27" s="51"/>
      <c r="E27" s="52" t="s">
        <v>9</v>
      </c>
      <c r="F27" s="359">
        <f>SUM(F9,F17,F21)+F13+F25</f>
        <v>834090</v>
      </c>
      <c r="G27" s="53">
        <f t="shared" ref="G27:AG27" si="5">SUM(G9,G17,G21)+G13+G25</f>
        <v>1548560</v>
      </c>
      <c r="H27" s="53">
        <f t="shared" si="5"/>
        <v>2203036</v>
      </c>
      <c r="I27" s="53">
        <f t="shared" si="5"/>
        <v>1459930</v>
      </c>
      <c r="J27" s="53">
        <f t="shared" si="5"/>
        <v>1296180</v>
      </c>
      <c r="K27" s="53">
        <f t="shared" si="5"/>
        <v>640940</v>
      </c>
      <c r="L27" s="53">
        <f t="shared" si="5"/>
        <v>1408690</v>
      </c>
      <c r="M27" s="53">
        <f t="shared" si="5"/>
        <v>2055628</v>
      </c>
      <c r="N27" s="53">
        <f t="shared" si="5"/>
        <v>1244570</v>
      </c>
      <c r="O27" s="53">
        <f t="shared" si="5"/>
        <v>1749410</v>
      </c>
      <c r="P27" s="53">
        <f t="shared" si="5"/>
        <v>1657460</v>
      </c>
      <c r="Q27" s="53">
        <f t="shared" si="5"/>
        <v>2217752</v>
      </c>
      <c r="R27" s="53">
        <f t="shared" si="5"/>
        <v>346680</v>
      </c>
      <c r="S27" s="53">
        <f t="shared" si="5"/>
        <v>1860970</v>
      </c>
      <c r="T27" s="53">
        <f t="shared" si="5"/>
        <v>1340190</v>
      </c>
      <c r="U27" s="53">
        <f t="shared" si="5"/>
        <v>2214810</v>
      </c>
      <c r="V27" s="53">
        <f t="shared" si="5"/>
        <v>2226610</v>
      </c>
      <c r="W27" s="53">
        <f t="shared" si="5"/>
        <v>2308938</v>
      </c>
      <c r="X27" s="53">
        <f t="shared" si="5"/>
        <v>1860240</v>
      </c>
      <c r="Y27" s="53">
        <f>SUM(Y9,Y17,Y21)+Y13+Y25</f>
        <v>1286830</v>
      </c>
      <c r="Z27" s="53">
        <f t="shared" si="5"/>
        <v>2339075</v>
      </c>
      <c r="AA27" s="53">
        <f t="shared" si="5"/>
        <v>1689110</v>
      </c>
      <c r="AB27" s="53">
        <f t="shared" si="5"/>
        <v>2113560</v>
      </c>
      <c r="AC27" s="53">
        <f t="shared" si="5"/>
        <v>2129500</v>
      </c>
      <c r="AD27" s="359">
        <f t="shared" si="5"/>
        <v>863340</v>
      </c>
      <c r="AE27" s="277">
        <f>SUM(AE9,AE17,AE21)+AE13+AE25</f>
        <v>3812407</v>
      </c>
      <c r="AF27" s="359">
        <f t="shared" si="5"/>
        <v>659810</v>
      </c>
      <c r="AG27" s="286">
        <f t="shared" si="5"/>
        <v>923570</v>
      </c>
      <c r="AH27" s="107"/>
      <c r="AI27" s="114">
        <f>SUM(AI9,AI17,AI21)+AI13+AI25</f>
        <v>46291886</v>
      </c>
      <c r="AJ27" s="107"/>
      <c r="AK27" s="29">
        <f>AI27/AI30/1000</f>
        <v>1653.281642857143</v>
      </c>
    </row>
    <row r="28" spans="2:124">
      <c r="B28" s="287">
        <v>2</v>
      </c>
      <c r="C28" s="36" t="s">
        <v>20</v>
      </c>
      <c r="D28" s="55"/>
      <c r="E28" s="5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103"/>
      <c r="AD28" s="56"/>
      <c r="AE28" s="56"/>
      <c r="AF28" s="56"/>
      <c r="AG28" s="288"/>
      <c r="AH28" s="107"/>
      <c r="AI28" s="197" t="s">
        <v>21</v>
      </c>
    </row>
    <row r="29" spans="2:124">
      <c r="B29" s="289"/>
      <c r="C29" s="58" t="s">
        <v>22</v>
      </c>
      <c r="D29" s="37"/>
      <c r="E29" s="38"/>
      <c r="F29" s="56"/>
      <c r="G29" s="231"/>
      <c r="H29" s="59"/>
      <c r="I29" s="59"/>
      <c r="J29" s="100"/>
      <c r="K29" s="59"/>
      <c r="L29" s="59"/>
      <c r="M29" s="59"/>
      <c r="N29" s="59"/>
      <c r="O29" s="59"/>
      <c r="P29" s="59"/>
      <c r="Q29" s="59"/>
      <c r="R29" s="59"/>
      <c r="S29" s="59"/>
      <c r="T29" s="100"/>
      <c r="U29" s="101"/>
      <c r="V29" s="59"/>
      <c r="W29" s="59"/>
      <c r="X29" s="59"/>
      <c r="Y29" s="59"/>
      <c r="Z29" s="59"/>
      <c r="AA29" s="59"/>
      <c r="AB29" s="59"/>
      <c r="AC29" s="59"/>
      <c r="AD29" s="56"/>
      <c r="AE29" s="59"/>
      <c r="AF29" s="56"/>
      <c r="AG29" s="290"/>
      <c r="AH29" s="107"/>
      <c r="AI29" s="115" t="s">
        <v>22</v>
      </c>
    </row>
    <row r="30" spans="2:124">
      <c r="B30" s="289"/>
      <c r="C30" s="40" t="s">
        <v>23</v>
      </c>
      <c r="D30" s="41"/>
      <c r="E30" s="42" t="s">
        <v>24</v>
      </c>
      <c r="F30" s="360">
        <v>1</v>
      </c>
      <c r="G30" s="60">
        <v>1</v>
      </c>
      <c r="H30" s="60">
        <v>1</v>
      </c>
      <c r="I30" s="60">
        <v>1</v>
      </c>
      <c r="J30" s="60">
        <v>1</v>
      </c>
      <c r="K30" s="60">
        <v>1</v>
      </c>
      <c r="L30" s="60">
        <v>1</v>
      </c>
      <c r="M30" s="60">
        <v>1</v>
      </c>
      <c r="N30" s="60">
        <v>1</v>
      </c>
      <c r="O30" s="60">
        <v>1</v>
      </c>
      <c r="P30" s="60">
        <v>1</v>
      </c>
      <c r="Q30" s="60">
        <v>1</v>
      </c>
      <c r="R30" s="60">
        <v>1</v>
      </c>
      <c r="S30" s="60">
        <v>1</v>
      </c>
      <c r="T30" s="60">
        <v>1</v>
      </c>
      <c r="U30" s="60">
        <v>1</v>
      </c>
      <c r="V30" s="60">
        <v>1</v>
      </c>
      <c r="W30" s="60">
        <v>1</v>
      </c>
      <c r="X30" s="60">
        <v>1</v>
      </c>
      <c r="Y30" s="60">
        <v>1</v>
      </c>
      <c r="Z30" s="60">
        <v>1</v>
      </c>
      <c r="AA30" s="60">
        <v>1</v>
      </c>
      <c r="AB30" s="60">
        <v>1</v>
      </c>
      <c r="AC30" s="60">
        <v>1</v>
      </c>
      <c r="AD30" s="360">
        <v>1</v>
      </c>
      <c r="AE30" s="60">
        <v>1</v>
      </c>
      <c r="AF30" s="360">
        <v>1</v>
      </c>
      <c r="AG30" s="291">
        <v>1</v>
      </c>
      <c r="AH30" s="107"/>
      <c r="AI30" s="116">
        <f>SUM(F30:AG30)</f>
        <v>28</v>
      </c>
      <c r="AJ30" s="29"/>
      <c r="AM30" s="253">
        <v>50299.401197604799</v>
      </c>
    </row>
    <row r="31" spans="2:124" s="1" customFormat="1" ht="13.8">
      <c r="B31" s="289"/>
      <c r="C31" s="61" t="s">
        <v>25</v>
      </c>
      <c r="D31" s="62">
        <v>50299401.19760479</v>
      </c>
      <c r="E31" s="63" t="s">
        <v>9</v>
      </c>
      <c r="F31" s="360">
        <f>1215.21*1000</f>
        <v>1215210</v>
      </c>
      <c r="G31" s="64">
        <v>1322720</v>
      </c>
      <c r="H31" s="64">
        <f>1316.49*1000</f>
        <v>1316490</v>
      </c>
      <c r="I31" s="247">
        <f>1227.89*1000</f>
        <v>1227890</v>
      </c>
      <c r="J31" s="247">
        <f>1565.68*1000</f>
        <v>1565680</v>
      </c>
      <c r="K31" s="247">
        <f>1454.18*1000</f>
        <v>1454180</v>
      </c>
      <c r="L31" s="247">
        <f>1322.68*1000</f>
        <v>1322680</v>
      </c>
      <c r="M31" s="247">
        <f>1366.72*1000</f>
        <v>1366720</v>
      </c>
      <c r="N31" s="247">
        <v>1504070</v>
      </c>
      <c r="O31" s="247">
        <f>1829.51*1000</f>
        <v>1829510</v>
      </c>
      <c r="P31" s="247">
        <f>1920.26*1000</f>
        <v>1920260</v>
      </c>
      <c r="Q31" s="64">
        <f>1918.27*1000</f>
        <v>1918270</v>
      </c>
      <c r="R31" s="64">
        <f>1813.16*1000</f>
        <v>1813160</v>
      </c>
      <c r="S31" s="64">
        <f>1215.18*1000</f>
        <v>1215180</v>
      </c>
      <c r="T31" s="64">
        <f>1303.1*1000</f>
        <v>1303100</v>
      </c>
      <c r="U31" s="64">
        <f>1358.66*1000</f>
        <v>1358660</v>
      </c>
      <c r="V31" s="247">
        <f>1440.17*1000</f>
        <v>1440170</v>
      </c>
      <c r="W31" s="247">
        <f>1443.5*1000</f>
        <v>1443500</v>
      </c>
      <c r="X31" s="64">
        <f>1665.61*1000</f>
        <v>1665610</v>
      </c>
      <c r="Y31" s="64">
        <v>1672910</v>
      </c>
      <c r="Z31" s="64">
        <f>1395.5*1000</f>
        <v>1395500</v>
      </c>
      <c r="AA31" s="64">
        <f>1415.1*1000</f>
        <v>1415100</v>
      </c>
      <c r="AB31" s="64">
        <f>1546.84*1000</f>
        <v>1546840</v>
      </c>
      <c r="AC31" s="64">
        <f>1554.71*1000</f>
        <v>1554710</v>
      </c>
      <c r="AD31" s="360">
        <v>1088670</v>
      </c>
      <c r="AE31" s="64">
        <v>1351330</v>
      </c>
      <c r="AF31" s="360">
        <v>1486120</v>
      </c>
      <c r="AG31" s="292">
        <v>1559360</v>
      </c>
      <c r="AH31" s="117"/>
      <c r="AI31" s="116">
        <f>SUM(F31:AG31)</f>
        <v>41273600</v>
      </c>
      <c r="AJ31" s="118"/>
      <c r="AK31" s="118">
        <f>AI31/1000/AI30</f>
        <v>1474.0571428571427</v>
      </c>
      <c r="AM31" s="107">
        <f>AI31/1000</f>
        <v>41273.599999999999</v>
      </c>
      <c r="CM31" s="228"/>
      <c r="DT31" s="227"/>
    </row>
    <row r="32" spans="2:124" s="1" customFormat="1" ht="13.8" hidden="1">
      <c r="B32" s="289"/>
      <c r="C32" s="61" t="s">
        <v>26</v>
      </c>
      <c r="D32" s="62"/>
      <c r="E32" s="63" t="s">
        <v>9</v>
      </c>
      <c r="F32" s="360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360"/>
      <c r="AE32" s="64"/>
      <c r="AF32" s="360"/>
      <c r="AG32" s="292"/>
      <c r="AH32" s="117"/>
      <c r="AI32" s="109">
        <f>SUM(F32:AG32)</f>
        <v>0</v>
      </c>
      <c r="AJ32" s="118"/>
      <c r="AK32" s="118"/>
      <c r="DT32" s="227"/>
    </row>
    <row r="33" spans="1:15137" s="2" customFormat="1" ht="13.8">
      <c r="B33" s="293"/>
      <c r="C33" s="198" t="s">
        <v>27</v>
      </c>
      <c r="D33" s="66">
        <v>5</v>
      </c>
      <c r="E33" s="67" t="s">
        <v>12</v>
      </c>
      <c r="F33" s="361">
        <v>4.26</v>
      </c>
      <c r="G33" s="68">
        <v>4.41</v>
      </c>
      <c r="H33" s="68">
        <v>4.34</v>
      </c>
      <c r="I33" s="68">
        <v>4.28</v>
      </c>
      <c r="J33" s="68">
        <v>4.38</v>
      </c>
      <c r="K33" s="68">
        <v>4.4800000000000004</v>
      </c>
      <c r="L33" s="68">
        <v>4.45</v>
      </c>
      <c r="M33" s="68">
        <v>4.3</v>
      </c>
      <c r="N33" s="68">
        <v>4.3</v>
      </c>
      <c r="O33" s="68">
        <v>4.34</v>
      </c>
      <c r="P33" s="68">
        <v>4.25</v>
      </c>
      <c r="Q33" s="68">
        <v>4.26</v>
      </c>
      <c r="R33" s="68">
        <v>4.34</v>
      </c>
      <c r="S33" s="68">
        <v>4.4000000000000004</v>
      </c>
      <c r="T33" s="68">
        <v>4.29</v>
      </c>
      <c r="U33" s="68">
        <v>4.24</v>
      </c>
      <c r="V33" s="68">
        <v>4.38</v>
      </c>
      <c r="W33" s="68">
        <v>4.3899999999999997</v>
      </c>
      <c r="X33" s="68">
        <v>4.3</v>
      </c>
      <c r="Y33" s="68">
        <v>4.22</v>
      </c>
      <c r="Z33" s="68">
        <v>4.47</v>
      </c>
      <c r="AA33" s="68">
        <v>4.32</v>
      </c>
      <c r="AB33" s="72">
        <v>4.5199999999999996</v>
      </c>
      <c r="AC33" s="68">
        <v>4.55</v>
      </c>
      <c r="AD33" s="361">
        <v>4.49</v>
      </c>
      <c r="AE33" s="68">
        <v>4.38</v>
      </c>
      <c r="AF33" s="361">
        <v>4.47</v>
      </c>
      <c r="AG33" s="294">
        <v>4.18</v>
      </c>
      <c r="AI33" s="119">
        <f>AVERAGE(F33:AG33)</f>
        <v>4.3567857142857127</v>
      </c>
      <c r="AJ33" s="248"/>
      <c r="AK33" s="120"/>
      <c r="AM33" s="254">
        <f>AM31/AM30*100</f>
        <v>82.055847619047611</v>
      </c>
      <c r="AN33" s="262"/>
      <c r="AQ33" s="262"/>
      <c r="DT33" s="248"/>
    </row>
    <row r="34" spans="1:15137" s="1" customFormat="1" ht="13.8">
      <c r="B34" s="289"/>
      <c r="C34" s="199" t="s">
        <v>28</v>
      </c>
      <c r="D34" s="69">
        <v>0.5</v>
      </c>
      <c r="E34" s="70" t="s">
        <v>12</v>
      </c>
      <c r="F34" s="361">
        <v>0.38</v>
      </c>
      <c r="G34" s="68">
        <v>0.38</v>
      </c>
      <c r="H34" s="68">
        <v>0.37</v>
      </c>
      <c r="I34" s="68">
        <v>0.37</v>
      </c>
      <c r="J34" s="68">
        <v>0.4</v>
      </c>
      <c r="K34" s="68">
        <v>0.4</v>
      </c>
      <c r="L34" s="68">
        <v>0.39</v>
      </c>
      <c r="M34" s="68">
        <v>0.4</v>
      </c>
      <c r="N34" s="68">
        <v>0.37</v>
      </c>
      <c r="O34" s="68">
        <v>0.37</v>
      </c>
      <c r="P34" s="68">
        <v>0.37</v>
      </c>
      <c r="Q34" s="68">
        <v>0.38</v>
      </c>
      <c r="R34" s="68">
        <v>0.38</v>
      </c>
      <c r="S34" s="68">
        <v>0.38</v>
      </c>
      <c r="T34" s="68">
        <v>0.37</v>
      </c>
      <c r="U34" s="68">
        <v>0.37</v>
      </c>
      <c r="V34" s="68">
        <v>0.37</v>
      </c>
      <c r="W34" s="68">
        <v>0.38</v>
      </c>
      <c r="X34" s="68">
        <v>0.37</v>
      </c>
      <c r="Y34" s="68">
        <v>0.38</v>
      </c>
      <c r="Z34" s="68">
        <v>0.38</v>
      </c>
      <c r="AA34" s="68">
        <v>0.38</v>
      </c>
      <c r="AB34" s="68">
        <v>0.39</v>
      </c>
      <c r="AC34" s="68">
        <v>0.39</v>
      </c>
      <c r="AD34" s="361">
        <v>0.38</v>
      </c>
      <c r="AE34" s="68">
        <v>0.38</v>
      </c>
      <c r="AF34" s="361">
        <v>0.38</v>
      </c>
      <c r="AG34" s="294">
        <v>0.39</v>
      </c>
      <c r="AH34" s="117"/>
      <c r="AI34" s="119">
        <f>AVERAGE(F34:AD34)</f>
        <v>0.38000000000000006</v>
      </c>
      <c r="AJ34" s="252"/>
      <c r="AK34" s="118"/>
      <c r="AQ34" s="262"/>
      <c r="CM34" s="228"/>
      <c r="DT34" s="227"/>
    </row>
    <row r="35" spans="1:15137" s="1" customFormat="1" ht="13.8">
      <c r="B35" s="289"/>
      <c r="C35" s="199" t="s">
        <v>29</v>
      </c>
      <c r="D35" s="71" t="s">
        <v>30</v>
      </c>
      <c r="E35" s="70" t="s">
        <v>12</v>
      </c>
      <c r="F35" s="361">
        <v>2.2200000000000002</v>
      </c>
      <c r="G35" s="68">
        <v>2.2200000000000002</v>
      </c>
      <c r="H35" s="68">
        <v>2.21</v>
      </c>
      <c r="I35" s="68">
        <v>2.2599999999999998</v>
      </c>
      <c r="J35" s="68">
        <v>2.2400000000000002</v>
      </c>
      <c r="K35" s="72">
        <v>2.21</v>
      </c>
      <c r="L35" s="72">
        <v>2.21</v>
      </c>
      <c r="M35" s="68">
        <v>2.2200000000000002</v>
      </c>
      <c r="N35" s="68">
        <v>2.2200000000000002</v>
      </c>
      <c r="O35" s="72">
        <v>2.2200000000000002</v>
      </c>
      <c r="P35" s="72">
        <v>2.2200000000000002</v>
      </c>
      <c r="Q35" s="72">
        <v>2.2400000000000002</v>
      </c>
      <c r="R35" s="68">
        <v>2.2200000000000002</v>
      </c>
      <c r="S35" s="68">
        <v>2.23</v>
      </c>
      <c r="T35" s="68">
        <v>2.23</v>
      </c>
      <c r="U35" s="72">
        <v>2.23</v>
      </c>
      <c r="V35" s="68">
        <v>2.23</v>
      </c>
      <c r="W35" s="68">
        <v>2.2200000000000002</v>
      </c>
      <c r="X35" s="68">
        <v>2.2200000000000002</v>
      </c>
      <c r="Y35" s="68">
        <v>2.23</v>
      </c>
      <c r="Z35" s="68">
        <v>2.21</v>
      </c>
      <c r="AA35" s="68">
        <v>2.2200000000000002</v>
      </c>
      <c r="AB35" s="68">
        <v>2.21</v>
      </c>
      <c r="AC35" s="68">
        <v>2.21</v>
      </c>
      <c r="AD35" s="361">
        <v>2.21</v>
      </c>
      <c r="AE35" s="68">
        <v>2.2000000000000002</v>
      </c>
      <c r="AF35" s="361">
        <v>2.21</v>
      </c>
      <c r="AG35" s="294">
        <v>2.2200000000000002</v>
      </c>
      <c r="AH35" s="117"/>
      <c r="AI35" s="119">
        <f>AVERAGE(F35:AG35)</f>
        <v>2.2210714285714284</v>
      </c>
      <c r="AJ35" s="248"/>
      <c r="AK35" s="118"/>
      <c r="AM35" s="228">
        <f>AM30-AM31</f>
        <v>9025.8011976048001</v>
      </c>
      <c r="AN35" s="262"/>
      <c r="AQ35" s="262"/>
      <c r="DT35" s="227"/>
    </row>
    <row r="36" spans="1:15137" s="1" customFormat="1">
      <c r="B36" s="289"/>
      <c r="C36" s="73" t="s">
        <v>31</v>
      </c>
      <c r="D36" s="74"/>
      <c r="E36" s="75"/>
      <c r="F36" s="3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360"/>
      <c r="AE36" s="60"/>
      <c r="AF36" s="360"/>
      <c r="AG36" s="291"/>
      <c r="AH36" s="121"/>
      <c r="AI36" s="122" t="s">
        <v>31</v>
      </c>
      <c r="AJ36" s="118"/>
      <c r="AK36" s="118"/>
      <c r="AM36" s="227">
        <f>28-23</f>
        <v>5</v>
      </c>
      <c r="DT36" s="227"/>
    </row>
    <row r="37" spans="1:15137" s="1" customFormat="1">
      <c r="B37" s="295"/>
      <c r="C37" s="200" t="s">
        <v>32</v>
      </c>
      <c r="D37" s="62">
        <f>D55%*D31</f>
        <v>47382035.928143717</v>
      </c>
      <c r="E37" s="201" t="s">
        <v>9</v>
      </c>
      <c r="F37" s="360">
        <f>1152.94*1000</f>
        <v>1152940</v>
      </c>
      <c r="G37" s="64">
        <v>1252760</v>
      </c>
      <c r="H37" s="64">
        <f>1249.85*1000</f>
        <v>1249850</v>
      </c>
      <c r="I37" s="247">
        <f>1167.13*1000</f>
        <v>1167130</v>
      </c>
      <c r="J37" s="247">
        <f>1487.38*1000</f>
        <v>1487380</v>
      </c>
      <c r="K37" s="247">
        <f>1378.36*1000</f>
        <v>1378360</v>
      </c>
      <c r="L37" s="247">
        <f>1253.79*1000</f>
        <v>1253790</v>
      </c>
      <c r="M37" s="247">
        <f>1298.41*1000</f>
        <v>1298410</v>
      </c>
      <c r="N37" s="247">
        <v>1434040</v>
      </c>
      <c r="O37" s="247">
        <f>1739.55*1000</f>
        <v>1739550</v>
      </c>
      <c r="P37" s="247">
        <f>1829.07*1000</f>
        <v>1829070</v>
      </c>
      <c r="Q37" s="64">
        <f>1824.1*1000</f>
        <v>1824100</v>
      </c>
      <c r="R37" s="64">
        <f>1720.1*1000</f>
        <v>1720100</v>
      </c>
      <c r="S37" s="64">
        <f>1154.08*1000</f>
        <v>1154080</v>
      </c>
      <c r="T37" s="64">
        <f>1236.18*1000</f>
        <v>1236180</v>
      </c>
      <c r="U37" s="64">
        <f>1298.97*1000</f>
        <v>1298970</v>
      </c>
      <c r="V37" s="64">
        <f>1366.52*1000</f>
        <v>1366520</v>
      </c>
      <c r="W37" s="64">
        <f>1370.59*1000</f>
        <v>1370590</v>
      </c>
      <c r="X37" s="64">
        <f>1581.36*1000</f>
        <v>1581360</v>
      </c>
      <c r="Y37" s="64">
        <v>1586590</v>
      </c>
      <c r="Z37" s="64">
        <v>1321780</v>
      </c>
      <c r="AA37" s="64">
        <f>1342.83*1000</f>
        <v>1342830</v>
      </c>
      <c r="AB37" s="64">
        <f>1462.77*1000</f>
        <v>1462770</v>
      </c>
      <c r="AC37" s="64">
        <f>1473.64*1000</f>
        <v>1473640</v>
      </c>
      <c r="AD37" s="360">
        <v>1030710</v>
      </c>
      <c r="AE37" s="64">
        <v>1278130</v>
      </c>
      <c r="AF37" s="360">
        <f>1406.68000000001*1000</f>
        <v>1406680.00000001</v>
      </c>
      <c r="AG37" s="292">
        <v>1478170</v>
      </c>
      <c r="AH37" s="117"/>
      <c r="AI37" s="116">
        <f>SUM(F37:AG37)</f>
        <v>39176480.000000007</v>
      </c>
      <c r="AJ37" s="29"/>
      <c r="AK37" s="29"/>
      <c r="AM37" s="228">
        <f>AM35/AM36</f>
        <v>1805.16023952096</v>
      </c>
      <c r="BH37" s="107"/>
      <c r="DT37" s="253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  <c r="VIA37"/>
      <c r="VIB37"/>
      <c r="VIC37"/>
      <c r="VID37"/>
      <c r="VIE37"/>
      <c r="VIF37"/>
      <c r="VIG37"/>
      <c r="VIH37"/>
      <c r="VII37"/>
      <c r="VIJ37"/>
      <c r="VIK37"/>
      <c r="VIL37"/>
      <c r="VIM37"/>
      <c r="VIN37"/>
      <c r="VIO37"/>
      <c r="VIP37"/>
      <c r="VIQ37"/>
      <c r="VIR37"/>
      <c r="VIS37"/>
      <c r="VIT37"/>
      <c r="VIU37"/>
      <c r="VIV37"/>
      <c r="VIW37"/>
      <c r="VIX37"/>
      <c r="VIY37"/>
      <c r="VIZ37"/>
      <c r="VJA37"/>
      <c r="VJB37"/>
      <c r="VJC37"/>
      <c r="VJD37"/>
      <c r="VJE37"/>
    </row>
    <row r="38" spans="1:15137" s="1" customFormat="1">
      <c r="B38" s="295"/>
      <c r="C38" s="200" t="s">
        <v>33</v>
      </c>
      <c r="D38" s="62">
        <f>D56%*D31</f>
        <v>2514970.0598802399</v>
      </c>
      <c r="E38" s="201" t="s">
        <v>9</v>
      </c>
      <c r="F38" s="360">
        <f>52.57*1000</f>
        <v>52570</v>
      </c>
      <c r="G38" s="64">
        <v>59510</v>
      </c>
      <c r="H38" s="64">
        <f>56.31*1000</f>
        <v>56310</v>
      </c>
      <c r="I38" s="247">
        <f>51.16*1000</f>
        <v>51160</v>
      </c>
      <c r="J38" s="247">
        <f>66.07*1000</f>
        <v>66070</v>
      </c>
      <c r="K38" s="247">
        <f>64.21*1000</f>
        <v>64209.999999999993</v>
      </c>
      <c r="L38" s="247">
        <f>60.38*1000</f>
        <v>60380</v>
      </c>
      <c r="M38" s="247">
        <f>59.84*1000</f>
        <v>59840</v>
      </c>
      <c r="N38" s="247">
        <v>58180</v>
      </c>
      <c r="O38" s="247">
        <f>75.72*1000</f>
        <v>75720</v>
      </c>
      <c r="P38" s="247">
        <f>76.1799999999999*1000</f>
        <v>76179.999999999898</v>
      </c>
      <c r="Q38" s="64">
        <f>79.26*1000</f>
        <v>79260</v>
      </c>
      <c r="R38" s="64">
        <f>79.78*1000</f>
        <v>79780</v>
      </c>
      <c r="S38" s="64">
        <f>53.5300000000001*1000</f>
        <v>53530.000000000102</v>
      </c>
      <c r="T38" s="64">
        <f>56.77*1000</f>
        <v>56770</v>
      </c>
      <c r="U38" s="64">
        <f>49.1*1000</f>
        <v>49100</v>
      </c>
      <c r="V38" s="64">
        <f>62.2199999999999*1000</f>
        <v>62219.999999999898</v>
      </c>
      <c r="W38" s="64">
        <f>61.4400000000001*1000</f>
        <v>61440.000000000095</v>
      </c>
      <c r="X38" s="64">
        <f>71.8299999999999*1000</f>
        <v>71829.999999999898</v>
      </c>
      <c r="Y38" s="64">
        <v>73990</v>
      </c>
      <c r="Z38" s="64">
        <f>64.4400000000001*1000</f>
        <v>64440.000000000095</v>
      </c>
      <c r="AA38" s="64">
        <v>61300</v>
      </c>
      <c r="AB38" s="64">
        <f>74.54*1000</f>
        <v>74540</v>
      </c>
      <c r="AC38" s="64">
        <f>71.4200000000001*1000</f>
        <v>71420.000000000102</v>
      </c>
      <c r="AD38" s="360">
        <v>51250</v>
      </c>
      <c r="AE38" s="64">
        <f>64.9100000000001*1000</f>
        <v>64910.000000000095</v>
      </c>
      <c r="AF38" s="360">
        <f>70.1599999999999*1000</f>
        <v>70159.999999999898</v>
      </c>
      <c r="AG38" s="292">
        <v>71500</v>
      </c>
      <c r="AH38" s="117"/>
      <c r="AI38" s="116">
        <f>SUM(F38:AG38)</f>
        <v>1797570</v>
      </c>
      <c r="AJ38" s="29"/>
      <c r="AK38" s="29"/>
      <c r="DT38" s="253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  <c r="VIA38"/>
      <c r="VIB38"/>
      <c r="VIC38"/>
      <c r="VID38"/>
      <c r="VIE38"/>
      <c r="VIF38"/>
      <c r="VIG38"/>
      <c r="VIH38"/>
      <c r="VII38"/>
      <c r="VIJ38"/>
      <c r="VIK38"/>
      <c r="VIL38"/>
      <c r="VIM38"/>
      <c r="VIN38"/>
      <c r="VIO38"/>
      <c r="VIP38"/>
      <c r="VIQ38"/>
      <c r="VIR38"/>
      <c r="VIS38"/>
      <c r="VIT38"/>
      <c r="VIU38"/>
      <c r="VIV38"/>
      <c r="VIW38"/>
      <c r="VIX38"/>
      <c r="VIY38"/>
      <c r="VIZ38"/>
      <c r="VJA38"/>
      <c r="VJB38"/>
      <c r="VJC38"/>
      <c r="VJD38"/>
      <c r="VJE38"/>
    </row>
    <row r="39" spans="1:15137">
      <c r="B39" s="295"/>
      <c r="C39" s="76" t="s">
        <v>34</v>
      </c>
      <c r="D39" s="77"/>
      <c r="E39" s="78"/>
      <c r="F39" s="56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6"/>
      <c r="AE39" s="59"/>
      <c r="AF39" s="56"/>
      <c r="AG39" s="290"/>
      <c r="AH39" s="117"/>
      <c r="AI39" s="123" t="s">
        <v>35</v>
      </c>
      <c r="AJ39" s="29"/>
    </row>
    <row r="40" spans="1:15137" s="1" customFormat="1" ht="13.8">
      <c r="B40" s="295"/>
      <c r="C40" s="200" t="s">
        <v>36</v>
      </c>
      <c r="D40" s="264">
        <f>SUM(D41:D42)</f>
        <v>35138121.688143715</v>
      </c>
      <c r="E40" s="201" t="s">
        <v>9</v>
      </c>
      <c r="F40" s="360">
        <v>0</v>
      </c>
      <c r="G40" s="64">
        <v>0</v>
      </c>
      <c r="H40" s="64">
        <f>SUM(H41:H42)</f>
        <v>1283600.0000000321</v>
      </c>
      <c r="I40" s="64">
        <f t="shared" ref="I40:L40" si="6">SUM(I41:I42)</f>
        <v>937200.00000004005</v>
      </c>
      <c r="J40" s="64">
        <f t="shared" si="6"/>
        <v>100899.9999999651</v>
      </c>
      <c r="K40" s="64">
        <f t="shared" si="6"/>
        <v>461100.00000009302</v>
      </c>
      <c r="L40" s="64">
        <f t="shared" si="6"/>
        <v>543699.999999983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f>SUM(S41:S42)</f>
        <v>658500.00000002887</v>
      </c>
      <c r="T40" s="64">
        <f>SUM(T41:T42)</f>
        <v>1455899.999999936</v>
      </c>
      <c r="U40" s="64">
        <f>SUM(U41:U42)</f>
        <v>1608700.000000034</v>
      </c>
      <c r="V40" s="64">
        <f>SUM(V41:V42)</f>
        <v>1359899.9999999679</v>
      </c>
      <c r="W40" s="360">
        <f t="shared" ref="W40:Z40" si="7">SUM(W41:W42)</f>
        <v>1152900.0000000231</v>
      </c>
      <c r="X40" s="64">
        <f t="shared" si="7"/>
        <v>1505500</v>
      </c>
      <c r="Y40" s="64">
        <f t="shared" si="7"/>
        <v>1072700.0000000121</v>
      </c>
      <c r="Z40" s="64">
        <f t="shared" si="7"/>
        <v>486999.99999994138</v>
      </c>
      <c r="AA40" s="64">
        <v>0</v>
      </c>
      <c r="AB40" s="64">
        <v>0</v>
      </c>
      <c r="AC40" s="64">
        <v>0</v>
      </c>
      <c r="AD40" s="360">
        <v>0</v>
      </c>
      <c r="AE40" s="64">
        <v>0</v>
      </c>
      <c r="AF40" s="360">
        <f>SUM(AF41:AF42)</f>
        <v>1781699.9999999499</v>
      </c>
      <c r="AG40" s="292">
        <f>SUM(AG41:AG42)</f>
        <v>1970999.9999999381</v>
      </c>
      <c r="AH40" s="117"/>
      <c r="AI40" s="116">
        <f>SUM(F40:AG40)</f>
        <v>16380299.999999946</v>
      </c>
      <c r="AJ40" s="118"/>
      <c r="AK40" s="118"/>
      <c r="DT40" s="227"/>
    </row>
    <row r="41" spans="1:15137">
      <c r="B41" s="295"/>
      <c r="C41" s="200" t="s">
        <v>37</v>
      </c>
      <c r="D41" s="264">
        <v>28813259.784277845</v>
      </c>
      <c r="E41" s="201" t="s">
        <v>9</v>
      </c>
      <c r="F41" s="360">
        <v>0</v>
      </c>
      <c r="G41" s="64">
        <v>0</v>
      </c>
      <c r="H41" s="64">
        <f>1070.90000000002*1000</f>
        <v>1070900.00000002</v>
      </c>
      <c r="I41" s="247">
        <f>746.300000000046*1000</f>
        <v>746300.00000004598</v>
      </c>
      <c r="J41" s="247">
        <f>84.5999999999767*1000</f>
        <v>84599.999999976702</v>
      </c>
      <c r="K41" s="247">
        <f>381.100000000093*1000</f>
        <v>381100.00000009302</v>
      </c>
      <c r="L41" s="247">
        <f>419.599999999977*1000</f>
        <v>419599.99999997701</v>
      </c>
      <c r="M41" s="247">
        <v>0</v>
      </c>
      <c r="N41" s="247">
        <v>0</v>
      </c>
      <c r="O41" s="247">
        <v>0</v>
      </c>
      <c r="P41" s="247">
        <v>0</v>
      </c>
      <c r="Q41" s="247">
        <v>0</v>
      </c>
      <c r="R41" s="247">
        <v>0</v>
      </c>
      <c r="S41" s="64">
        <f>573.900000000023*1000</f>
        <v>573900.00000002305</v>
      </c>
      <c r="T41" s="64">
        <f>1186.29999999993*1000</f>
        <v>1186299.9999999299</v>
      </c>
      <c r="U41" s="64">
        <f>1307.30000000004*1000</f>
        <v>1307300.00000004</v>
      </c>
      <c r="V41" s="64">
        <f>1106.09999999998*1000</f>
        <v>1106099.99999998</v>
      </c>
      <c r="W41" s="360">
        <f>939.900000000023*1000</f>
        <v>939900.00000002305</v>
      </c>
      <c r="X41" s="64">
        <v>1224000</v>
      </c>
      <c r="Y41" s="64">
        <v>867500</v>
      </c>
      <c r="Z41" s="64">
        <f>387.699999999953*1000</f>
        <v>387699.99999995297</v>
      </c>
      <c r="AA41" s="64">
        <v>0</v>
      </c>
      <c r="AB41" s="64">
        <v>0</v>
      </c>
      <c r="AC41" s="64">
        <v>0</v>
      </c>
      <c r="AD41" s="360">
        <v>0</v>
      </c>
      <c r="AE41" s="64">
        <v>0</v>
      </c>
      <c r="AF41" s="360">
        <f>1446.69999999995*1000</f>
        <v>1446699.9999999499</v>
      </c>
      <c r="AG41" s="292">
        <f>1576.69999999995*1000</f>
        <v>1576699.9999999499</v>
      </c>
      <c r="AH41" s="117"/>
      <c r="AI41" s="116">
        <f>SUM(F41:AG41)</f>
        <v>13318599.999999961</v>
      </c>
      <c r="AJ41" s="253"/>
      <c r="AM41" s="253">
        <v>39382.035928143712</v>
      </c>
    </row>
    <row r="42" spans="1:15137">
      <c r="B42" s="295"/>
      <c r="C42" s="200" t="s">
        <v>38</v>
      </c>
      <c r="D42" s="264">
        <v>6324861.9038658701</v>
      </c>
      <c r="E42" s="201" t="s">
        <v>9</v>
      </c>
      <c r="F42" s="360">
        <v>0</v>
      </c>
      <c r="G42" s="64">
        <v>0</v>
      </c>
      <c r="H42" s="64">
        <f>212.700000000012*1000</f>
        <v>212700.00000001202</v>
      </c>
      <c r="I42" s="247">
        <f>190.899999999994*1000</f>
        <v>190899.999999994</v>
      </c>
      <c r="J42" s="247">
        <f>16.2999999999884*1000</f>
        <v>16299.9999999884</v>
      </c>
      <c r="K42" s="247">
        <v>80000</v>
      </c>
      <c r="L42" s="247">
        <f>124.100000000006*1000</f>
        <v>124100.00000000601</v>
      </c>
      <c r="M42" s="247">
        <v>0</v>
      </c>
      <c r="N42" s="247">
        <v>0</v>
      </c>
      <c r="O42" s="247">
        <v>0</v>
      </c>
      <c r="P42" s="247">
        <v>0</v>
      </c>
      <c r="Q42" s="247">
        <v>0</v>
      </c>
      <c r="R42" s="247">
        <v>0</v>
      </c>
      <c r="S42" s="64">
        <f>84.6000000000058*1000</f>
        <v>84600.000000005806</v>
      </c>
      <c r="T42" s="64">
        <f>269.600000000006*1000</f>
        <v>269600.000000006</v>
      </c>
      <c r="U42" s="64">
        <f>301.399999999994*1000</f>
        <v>301399.999999994</v>
      </c>
      <c r="V42" s="64">
        <f>253.799999999988*1000</f>
        <v>253799.99999998798</v>
      </c>
      <c r="W42" s="360">
        <v>213000</v>
      </c>
      <c r="X42" s="64">
        <v>281500</v>
      </c>
      <c r="Y42" s="64">
        <f>205.200000000012*1000</f>
        <v>205200.00000001202</v>
      </c>
      <c r="Z42" s="64">
        <f>99.2999999999884*1000</f>
        <v>99299.999999988402</v>
      </c>
      <c r="AA42" s="259">
        <v>0</v>
      </c>
      <c r="AB42" s="259">
        <v>0</v>
      </c>
      <c r="AC42" s="259">
        <v>0</v>
      </c>
      <c r="AD42" s="370">
        <v>0</v>
      </c>
      <c r="AE42" s="259">
        <v>0</v>
      </c>
      <c r="AF42" s="360">
        <v>335000</v>
      </c>
      <c r="AG42" s="292">
        <f>394.299999999988*1000</f>
        <v>394299.99999998801</v>
      </c>
      <c r="AH42" s="117"/>
      <c r="AI42" s="116">
        <f>SUM(F42:AG42)</f>
        <v>3061699.9999999823</v>
      </c>
      <c r="AJ42" s="253"/>
      <c r="AM42" s="107">
        <f>SUM(AI40,AI45,AI50)/1000</f>
        <v>24268.699999999939</v>
      </c>
    </row>
    <row r="43" spans="1:15137">
      <c r="B43" s="295"/>
      <c r="C43" s="76" t="s">
        <v>39</v>
      </c>
      <c r="D43" s="265"/>
      <c r="E43" s="78"/>
      <c r="F43" s="56"/>
      <c r="G43" s="59"/>
      <c r="H43" s="59"/>
      <c r="I43" s="9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6"/>
      <c r="X43" s="59"/>
      <c r="Y43" s="104"/>
      <c r="Z43" s="257"/>
      <c r="AA43" s="258"/>
      <c r="AB43" s="104"/>
      <c r="AC43" s="104"/>
      <c r="AD43" s="377"/>
      <c r="AE43" s="104"/>
      <c r="AF43" s="377"/>
      <c r="AG43" s="296"/>
      <c r="AH43" s="117"/>
      <c r="AI43" s="123" t="s">
        <v>40</v>
      </c>
      <c r="AJ43" s="253"/>
      <c r="AM43" s="255">
        <f>AM42/AM41*100</f>
        <v>61.623782082471564</v>
      </c>
    </row>
    <row r="44" spans="1:15137" s="3" customFormat="1">
      <c r="A44" s="6"/>
      <c r="B44" s="297"/>
      <c r="C44" s="79" t="s">
        <v>25</v>
      </c>
      <c r="D44" s="266"/>
      <c r="E44" s="80" t="s">
        <v>9</v>
      </c>
      <c r="F44" s="360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360"/>
      <c r="X44" s="64"/>
      <c r="Y44" s="64"/>
      <c r="Z44" s="64"/>
      <c r="AA44" s="64"/>
      <c r="AB44" s="64"/>
      <c r="AC44" s="64"/>
      <c r="AD44" s="378"/>
      <c r="AE44" s="105"/>
      <c r="AF44" s="378"/>
      <c r="AG44" s="298"/>
      <c r="AH44" s="124"/>
      <c r="AI44" s="125">
        <f>SUM(F44:AG44)</f>
        <v>0</v>
      </c>
      <c r="AJ44" s="236"/>
      <c r="AK44" s="12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23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  <c r="VFJ44" s="6"/>
      <c r="VFK44" s="6"/>
      <c r="VFL44" s="6"/>
      <c r="VFM44" s="6"/>
      <c r="VFN44" s="6"/>
      <c r="VFO44" s="6"/>
      <c r="VFP44" s="6"/>
      <c r="VFQ44" s="6"/>
      <c r="VFR44" s="6"/>
      <c r="VFS44" s="6"/>
      <c r="VFT44" s="6"/>
      <c r="VFU44" s="6"/>
      <c r="VFV44" s="6"/>
      <c r="VFW44" s="6"/>
      <c r="VFX44" s="6"/>
      <c r="VFY44" s="6"/>
      <c r="VFZ44" s="6"/>
      <c r="VGA44" s="6"/>
      <c r="VGB44" s="6"/>
      <c r="VGC44" s="6"/>
      <c r="VGD44" s="6"/>
      <c r="VGE44" s="6"/>
      <c r="VGF44" s="6"/>
      <c r="VGG44" s="6"/>
      <c r="VGH44" s="6"/>
      <c r="VGI44" s="6"/>
      <c r="VGJ44" s="6"/>
      <c r="VGK44" s="6"/>
      <c r="VGL44" s="6"/>
      <c r="VGM44" s="6"/>
      <c r="VGN44" s="6"/>
      <c r="VGO44" s="6"/>
      <c r="VGP44" s="6"/>
      <c r="VGQ44" s="6"/>
      <c r="VGR44" s="6"/>
      <c r="VGS44" s="6"/>
      <c r="VGT44" s="6"/>
      <c r="VGU44" s="6"/>
      <c r="VGV44" s="6"/>
      <c r="VGW44" s="6"/>
      <c r="VGX44" s="6"/>
      <c r="VGY44" s="6"/>
      <c r="VGZ44" s="6"/>
      <c r="VHA44" s="6"/>
      <c r="VHB44" s="6"/>
      <c r="VHC44" s="6"/>
      <c r="VHD44" s="6"/>
      <c r="VHE44" s="6"/>
      <c r="VHF44" s="6"/>
      <c r="VHG44" s="6"/>
      <c r="VHH44" s="6"/>
      <c r="VHI44" s="6"/>
    </row>
    <row r="45" spans="1:15137" s="1" customFormat="1" ht="13.8">
      <c r="B45" s="295"/>
      <c r="C45" s="200" t="s">
        <v>41</v>
      </c>
      <c r="D45" s="264">
        <f>SUM(D46:D47)</f>
        <v>1001606.9400000002</v>
      </c>
      <c r="E45" s="201" t="s">
        <v>9</v>
      </c>
      <c r="F45" s="360">
        <v>0</v>
      </c>
      <c r="G45" s="64">
        <f>SUM(G46:G47)</f>
        <v>996200</v>
      </c>
      <c r="H45" s="64">
        <f>SUM(H46:H47)</f>
        <v>443599.99999997701</v>
      </c>
      <c r="I45" s="64">
        <f t="shared" ref="I45:K45" si="8">SUM(I46:I47)</f>
        <v>0</v>
      </c>
      <c r="J45" s="64">
        <f t="shared" si="8"/>
        <v>0</v>
      </c>
      <c r="K45" s="64">
        <f t="shared" si="8"/>
        <v>0</v>
      </c>
      <c r="L45" s="64">
        <f t="shared" ref="L45:M45" si="9">SUM(L46:L47)</f>
        <v>0</v>
      </c>
      <c r="M45" s="64">
        <f t="shared" si="9"/>
        <v>0</v>
      </c>
      <c r="N45" s="64">
        <f t="shared" ref="N45:R45" si="10">SUM(N46:N47)</f>
        <v>0</v>
      </c>
      <c r="O45" s="64">
        <f t="shared" si="10"/>
        <v>0</v>
      </c>
      <c r="P45" s="64">
        <f t="shared" si="10"/>
        <v>0</v>
      </c>
      <c r="Q45" s="64">
        <f t="shared" si="10"/>
        <v>0</v>
      </c>
      <c r="R45" s="64">
        <f t="shared" si="10"/>
        <v>0</v>
      </c>
      <c r="S45" s="64">
        <f t="shared" ref="S45:T45" si="11">SUM(S46:S47)</f>
        <v>0</v>
      </c>
      <c r="T45" s="64">
        <f t="shared" si="11"/>
        <v>0</v>
      </c>
      <c r="U45" s="64">
        <f t="shared" ref="U45:V45" si="12">SUM(U46:U47)</f>
        <v>0</v>
      </c>
      <c r="V45" s="64">
        <f t="shared" si="12"/>
        <v>0</v>
      </c>
      <c r="W45" s="360">
        <f t="shared" ref="W45:Y45" si="13">SUM(W46:W47)</f>
        <v>0</v>
      </c>
      <c r="X45" s="64">
        <f t="shared" si="13"/>
        <v>0</v>
      </c>
      <c r="Y45" s="64">
        <f t="shared" si="13"/>
        <v>0</v>
      </c>
      <c r="Z45" s="64">
        <f t="shared" ref="Z45:AA45" si="14">SUM(Z46:Z47)</f>
        <v>0</v>
      </c>
      <c r="AA45" s="64">
        <f t="shared" si="14"/>
        <v>0</v>
      </c>
      <c r="AB45" s="64">
        <f t="shared" ref="AB45:AC45" si="15">SUM(AB46:AB47)</f>
        <v>0</v>
      </c>
      <c r="AC45" s="64">
        <f t="shared" si="15"/>
        <v>0</v>
      </c>
      <c r="AD45" s="360">
        <f t="shared" ref="AD45:AG45" si="16">SUM(AD46:AD47)</f>
        <v>0</v>
      </c>
      <c r="AE45" s="64">
        <f t="shared" si="16"/>
        <v>0</v>
      </c>
      <c r="AF45" s="360">
        <f t="shared" si="16"/>
        <v>0</v>
      </c>
      <c r="AG45" s="292">
        <f t="shared" si="16"/>
        <v>0</v>
      </c>
      <c r="AH45" s="117"/>
      <c r="AI45" s="125">
        <f>SUM(F45:AG45)</f>
        <v>1439799.9999999769</v>
      </c>
      <c r="AJ45" s="227"/>
      <c r="AK45" s="118"/>
      <c r="DT45" s="227"/>
    </row>
    <row r="46" spans="1:15137" s="1" customFormat="1" ht="13.8">
      <c r="B46" s="295"/>
      <c r="C46" s="200" t="s">
        <v>42</v>
      </c>
      <c r="D46" s="264">
        <v>701124.85800000001</v>
      </c>
      <c r="E46" s="201" t="s">
        <v>9</v>
      </c>
      <c r="F46" s="360">
        <v>0</v>
      </c>
      <c r="G46" s="64">
        <v>742800</v>
      </c>
      <c r="H46" s="64">
        <f>319.099999999977*1000</f>
        <v>319099.99999997701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360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360">
        <v>0</v>
      </c>
      <c r="AE46" s="64">
        <v>0</v>
      </c>
      <c r="AF46" s="360">
        <v>0</v>
      </c>
      <c r="AG46" s="292">
        <v>0</v>
      </c>
      <c r="AH46" s="117"/>
      <c r="AI46" s="127">
        <f>SUM(F46:AG46)</f>
        <v>1061899.9999999769</v>
      </c>
      <c r="AJ46" s="227"/>
      <c r="AK46" s="118"/>
      <c r="AM46" s="228">
        <f>AM41-AM42</f>
        <v>15113.335928143773</v>
      </c>
      <c r="DT46" s="227"/>
    </row>
    <row r="47" spans="1:15137" s="1" customFormat="1" ht="13.8">
      <c r="B47" s="295"/>
      <c r="C47" s="61" t="s">
        <v>38</v>
      </c>
      <c r="D47" s="264">
        <v>300482.08200000011</v>
      </c>
      <c r="E47" s="201" t="s">
        <v>9</v>
      </c>
      <c r="F47" s="360">
        <v>0</v>
      </c>
      <c r="G47" s="64">
        <v>253400</v>
      </c>
      <c r="H47" s="64">
        <f>124.5*1000</f>
        <v>124500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360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360">
        <v>0</v>
      </c>
      <c r="AE47" s="64">
        <v>0</v>
      </c>
      <c r="AF47" s="360">
        <v>0</v>
      </c>
      <c r="AG47" s="292">
        <v>0</v>
      </c>
      <c r="AH47" s="117"/>
      <c r="AI47" s="125">
        <f>SUM(F47:AG47)</f>
        <v>377900</v>
      </c>
      <c r="AJ47" s="230"/>
      <c r="AK47" s="118"/>
      <c r="AM47" s="227">
        <f>AM36</f>
        <v>5</v>
      </c>
      <c r="DT47" s="227"/>
    </row>
    <row r="48" spans="1:15137">
      <c r="B48" s="295"/>
      <c r="C48" s="76" t="s">
        <v>43</v>
      </c>
      <c r="D48" s="265"/>
      <c r="E48" s="78"/>
      <c r="F48" s="56"/>
      <c r="G48" s="59"/>
      <c r="H48" s="59"/>
      <c r="I48" s="9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6"/>
      <c r="X48" s="59"/>
      <c r="Y48" s="59"/>
      <c r="Z48" s="59"/>
      <c r="AA48" s="59"/>
      <c r="AB48" s="59"/>
      <c r="AC48" s="59"/>
      <c r="AD48" s="377"/>
      <c r="AE48" s="104"/>
      <c r="AF48" s="377"/>
      <c r="AG48" s="296"/>
      <c r="AH48" s="117"/>
      <c r="AI48" s="123" t="s">
        <v>44</v>
      </c>
      <c r="AM48" s="228">
        <f>AM46/AM47</f>
        <v>3022.6671856287549</v>
      </c>
    </row>
    <row r="49" spans="1:15089" s="3" customFormat="1">
      <c r="A49" s="6"/>
      <c r="B49" s="297"/>
      <c r="C49" s="79" t="s">
        <v>25</v>
      </c>
      <c r="D49" s="266"/>
      <c r="E49" s="80" t="s">
        <v>9</v>
      </c>
      <c r="F49" s="360">
        <f>F31</f>
        <v>1215210</v>
      </c>
      <c r="G49" s="64">
        <f>381.59*1000</f>
        <v>381590</v>
      </c>
      <c r="H49" s="64">
        <v>0</v>
      </c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360"/>
      <c r="X49" s="64"/>
      <c r="Y49" s="64">
        <f>413.64*1000</f>
        <v>413640</v>
      </c>
      <c r="Z49" s="64">
        <f>Z31</f>
        <v>1395500</v>
      </c>
      <c r="AA49" s="64">
        <f>AA31</f>
        <v>1415100</v>
      </c>
      <c r="AB49" s="64">
        <f>AB31</f>
        <v>1546840</v>
      </c>
      <c r="AC49" s="64">
        <f>AC31</f>
        <v>1554710</v>
      </c>
      <c r="AD49" s="378"/>
      <c r="AE49" s="105"/>
      <c r="AF49" s="378"/>
      <c r="AG49" s="298"/>
      <c r="AH49" s="124"/>
      <c r="AI49" s="125">
        <f>SUM(F49:AG49)</f>
        <v>7922590</v>
      </c>
      <c r="AJ49" s="6"/>
      <c r="AK49" s="12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236"/>
      <c r="BI49" s="23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229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23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  <c r="VFJ49" s="6"/>
      <c r="VFK49" s="6"/>
      <c r="VFL49" s="6"/>
      <c r="VFM49" s="6"/>
      <c r="VFN49" s="6"/>
      <c r="VFO49" s="6"/>
      <c r="VFP49" s="6"/>
      <c r="VFQ49" s="6"/>
      <c r="VFR49" s="6"/>
      <c r="VFS49" s="6"/>
      <c r="VFT49" s="6"/>
      <c r="VFU49" s="6"/>
      <c r="VFV49" s="6"/>
      <c r="VFW49" s="6"/>
      <c r="VFX49" s="6"/>
      <c r="VFY49" s="6"/>
      <c r="VFZ49" s="6"/>
      <c r="VGA49" s="6"/>
      <c r="VGB49" s="6"/>
      <c r="VGC49" s="6"/>
      <c r="VGD49" s="6"/>
      <c r="VGE49" s="6"/>
      <c r="VGF49" s="6"/>
      <c r="VGG49" s="6"/>
      <c r="VGH49" s="6"/>
      <c r="VGI49" s="6"/>
      <c r="VGJ49" s="6"/>
      <c r="VGK49" s="6"/>
      <c r="VGL49" s="6"/>
      <c r="VGM49" s="6"/>
      <c r="VGN49" s="6"/>
      <c r="VGO49" s="6"/>
      <c r="VGP49" s="6"/>
      <c r="VGQ49" s="6"/>
      <c r="VGR49" s="6"/>
      <c r="VGS49" s="6"/>
      <c r="VGT49" s="6"/>
      <c r="VGU49" s="6"/>
      <c r="VGV49" s="6"/>
      <c r="VGW49" s="6"/>
      <c r="VGX49" s="6"/>
      <c r="VGY49" s="6"/>
      <c r="VGZ49" s="6"/>
      <c r="VHA49" s="6"/>
      <c r="VHB49" s="6"/>
      <c r="VHC49" s="6"/>
      <c r="VHD49" s="6"/>
      <c r="VHE49" s="6"/>
      <c r="VHF49" s="6"/>
      <c r="VHG49" s="6"/>
      <c r="VHH49" s="6"/>
      <c r="VHI49" s="6"/>
    </row>
    <row r="50" spans="1:15089" s="1" customFormat="1" ht="13.8">
      <c r="B50" s="295"/>
      <c r="C50" s="200" t="s">
        <v>41</v>
      </c>
      <c r="D50" s="264">
        <f>SUM(D52:D53)</f>
        <v>3242307.3</v>
      </c>
      <c r="E50" s="201" t="s">
        <v>9</v>
      </c>
      <c r="F50" s="360">
        <f>SUM(F52:F53)</f>
        <v>995700.00000001199</v>
      </c>
      <c r="G50" s="64">
        <f>SUM(G52:G53)</f>
        <v>225800</v>
      </c>
      <c r="H50" s="64">
        <f t="shared" ref="H50:K50" si="17">SUM(H52:H53)</f>
        <v>0</v>
      </c>
      <c r="I50" s="64">
        <f t="shared" si="17"/>
        <v>38299.999999988402</v>
      </c>
      <c r="J50" s="64">
        <f t="shared" si="17"/>
        <v>315399.99999993603</v>
      </c>
      <c r="K50" s="64">
        <f t="shared" si="17"/>
        <v>0</v>
      </c>
      <c r="L50" s="64">
        <f t="shared" ref="L50:M50" si="18">SUM(L52:L53)</f>
        <v>0</v>
      </c>
      <c r="M50" s="64">
        <f t="shared" si="18"/>
        <v>0</v>
      </c>
      <c r="N50" s="64">
        <f t="shared" ref="N50:R50" si="19">SUM(N52:N53)</f>
        <v>0</v>
      </c>
      <c r="O50" s="64">
        <f t="shared" si="19"/>
        <v>0</v>
      </c>
      <c r="P50" s="64">
        <f t="shared" si="19"/>
        <v>0</v>
      </c>
      <c r="Q50" s="64">
        <f t="shared" si="19"/>
        <v>0</v>
      </c>
      <c r="R50" s="64">
        <f t="shared" si="19"/>
        <v>0</v>
      </c>
      <c r="S50" s="64">
        <f t="shared" ref="S50:T50" si="20">SUM(S52:S53)</f>
        <v>0</v>
      </c>
      <c r="T50" s="64">
        <f t="shared" si="20"/>
        <v>0</v>
      </c>
      <c r="U50" s="64">
        <f t="shared" ref="U50:V50" si="21">SUM(U52:U53)</f>
        <v>0</v>
      </c>
      <c r="V50" s="64">
        <f t="shared" si="21"/>
        <v>0</v>
      </c>
      <c r="W50" s="360">
        <f t="shared" ref="W50:Y50" si="22">SUM(W52:W53)</f>
        <v>0</v>
      </c>
      <c r="X50" s="64">
        <f t="shared" si="22"/>
        <v>0</v>
      </c>
      <c r="Y50" s="64">
        <f t="shared" si="22"/>
        <v>0</v>
      </c>
      <c r="Z50" s="64">
        <f>SUM(Z52:Z53)</f>
        <v>198399.99999999453</v>
      </c>
      <c r="AA50" s="64">
        <f>SUM(AA52:AA53)</f>
        <v>785700.00000004005</v>
      </c>
      <c r="AB50" s="64">
        <f>SUM(AB52:AB53)</f>
        <v>986000</v>
      </c>
      <c r="AC50" s="64">
        <f>SUM(AC52:AC53)</f>
        <v>1121000</v>
      </c>
      <c r="AD50" s="360">
        <f t="shared" ref="AD50:AG50" si="23">SUM(AD52:AD53)</f>
        <v>808799.99999995902</v>
      </c>
      <c r="AE50" s="64">
        <f t="shared" si="23"/>
        <v>885200.00000004005</v>
      </c>
      <c r="AF50" s="360">
        <f t="shared" si="23"/>
        <v>88300.000000046508</v>
      </c>
      <c r="AG50" s="292">
        <f t="shared" si="23"/>
        <v>0</v>
      </c>
      <c r="AH50" s="117"/>
      <c r="AI50" s="116">
        <f>SUM(F50:AG50)</f>
        <v>6448600.0000000168</v>
      </c>
      <c r="AK50" s="118"/>
      <c r="BH50" s="227"/>
      <c r="BI50" s="236"/>
      <c r="CM50" s="230"/>
      <c r="DT50" s="227"/>
    </row>
    <row r="51" spans="1:15089" s="1" customFormat="1" ht="13.8" hidden="1">
      <c r="B51" s="295"/>
      <c r="C51" s="200" t="s">
        <v>45</v>
      </c>
      <c r="D51" s="264"/>
      <c r="E51" s="201" t="s">
        <v>9</v>
      </c>
      <c r="F51" s="360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360"/>
      <c r="X51" s="64"/>
      <c r="Y51" s="64"/>
      <c r="Z51" s="64"/>
      <c r="AA51" s="64"/>
      <c r="AB51" s="64"/>
      <c r="AC51" s="64"/>
      <c r="AD51" s="360"/>
      <c r="AE51" s="64"/>
      <c r="AF51" s="360"/>
      <c r="AG51" s="292"/>
      <c r="AH51" s="117"/>
      <c r="AI51" s="116">
        <f>SUM(F51:AG51)</f>
        <v>0</v>
      </c>
      <c r="AK51" s="118"/>
      <c r="BH51" s="227"/>
      <c r="BI51" s="227"/>
      <c r="DT51" s="227"/>
    </row>
    <row r="52" spans="1:15089" s="1" customFormat="1" ht="13.8">
      <c r="B52" s="295"/>
      <c r="C52" s="200" t="s">
        <v>46</v>
      </c>
      <c r="D52" s="264">
        <v>1945384.38</v>
      </c>
      <c r="E52" s="201" t="s">
        <v>9</v>
      </c>
      <c r="F52" s="360">
        <v>625000</v>
      </c>
      <c r="G52" s="64">
        <f>75800+66400</f>
        <v>142200</v>
      </c>
      <c r="H52" s="64">
        <v>0</v>
      </c>
      <c r="I52" s="64">
        <v>23000</v>
      </c>
      <c r="J52" s="64">
        <f>190.29999999993*1000</f>
        <v>190299.99999993001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360">
        <v>0</v>
      </c>
      <c r="X52" s="64">
        <v>0</v>
      </c>
      <c r="Y52" s="64">
        <v>0</v>
      </c>
      <c r="Z52" s="64">
        <f>119.599999999977*1000</f>
        <v>119599.99999997701</v>
      </c>
      <c r="AA52" s="64">
        <f>455.800000000046*1000</f>
        <v>455800.00000004598</v>
      </c>
      <c r="AB52" s="64">
        <v>597000</v>
      </c>
      <c r="AC52" s="64">
        <v>686000</v>
      </c>
      <c r="AD52" s="360">
        <f>465.699999999953*1000</f>
        <v>465699.99999995297</v>
      </c>
      <c r="AE52" s="64">
        <f>548.300000000046*1000</f>
        <v>548300.00000004598</v>
      </c>
      <c r="AF52" s="360">
        <f>53.3000000000465*1000</f>
        <v>53300.000000046501</v>
      </c>
      <c r="AG52" s="292">
        <v>0</v>
      </c>
      <c r="AH52" s="117"/>
      <c r="AI52" s="116">
        <f>SUM(F52:AG52)</f>
        <v>3906199.9999999986</v>
      </c>
      <c r="AK52" s="118"/>
      <c r="BH52" s="227"/>
      <c r="BI52" s="239"/>
      <c r="CM52" s="227"/>
      <c r="DT52" s="227"/>
    </row>
    <row r="53" spans="1:15089" s="1" customFormat="1" ht="13.8">
      <c r="B53" s="295"/>
      <c r="C53" s="200" t="s">
        <v>47</v>
      </c>
      <c r="D53" s="264">
        <v>1296922.92</v>
      </c>
      <c r="E53" s="201" t="s">
        <v>9</v>
      </c>
      <c r="F53" s="360">
        <f>370.700000000012*1000</f>
        <v>370700.00000001199</v>
      </c>
      <c r="G53" s="64">
        <f>45300+38300</f>
        <v>83600</v>
      </c>
      <c r="H53" s="64">
        <v>0</v>
      </c>
      <c r="I53" s="64">
        <f>15.2999999999884*1000</f>
        <v>15299.999999988398</v>
      </c>
      <c r="J53" s="64">
        <f>125.100000000006*1000</f>
        <v>125100.00000000601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360">
        <v>0</v>
      </c>
      <c r="X53" s="64">
        <v>0</v>
      </c>
      <c r="Y53" s="64">
        <v>0</v>
      </c>
      <c r="Z53" s="64">
        <f>78.8000000000175*1000</f>
        <v>78800.000000017506</v>
      </c>
      <c r="AA53" s="64">
        <f>329.899999999994*1000</f>
        <v>329899.999999994</v>
      </c>
      <c r="AB53" s="64">
        <v>389000</v>
      </c>
      <c r="AC53" s="64">
        <v>435000</v>
      </c>
      <c r="AD53" s="360">
        <f>343.100000000006*1000</f>
        <v>343100.000000006</v>
      </c>
      <c r="AE53" s="64">
        <f>336.899999999994*1000</f>
        <v>336899.999999994</v>
      </c>
      <c r="AF53" s="360">
        <v>35000</v>
      </c>
      <c r="AG53" s="292">
        <v>0</v>
      </c>
      <c r="AH53" s="117"/>
      <c r="AI53" s="116">
        <f>SUM(F53:AG53)</f>
        <v>2542400.0000000177</v>
      </c>
      <c r="AK53" s="118"/>
      <c r="DT53" s="227"/>
    </row>
    <row r="54" spans="1:15089">
      <c r="B54" s="289"/>
      <c r="C54" s="202" t="s">
        <v>48</v>
      </c>
      <c r="D54" s="82"/>
      <c r="E54" s="8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288"/>
      <c r="AH54" s="117"/>
      <c r="AI54" s="203" t="s">
        <v>49</v>
      </c>
    </row>
    <row r="55" spans="1:15089">
      <c r="B55" s="295"/>
      <c r="C55" s="204" t="s">
        <v>50</v>
      </c>
      <c r="D55" s="69">
        <v>94.2</v>
      </c>
      <c r="E55" s="205" t="s">
        <v>12</v>
      </c>
      <c r="F55" s="362">
        <f t="shared" ref="F55:AG55" si="24">(F37/(F31+F32))*100</f>
        <v>94.875782786514264</v>
      </c>
      <c r="G55" s="84">
        <f t="shared" si="24"/>
        <v>94.710898754082493</v>
      </c>
      <c r="H55" s="84">
        <f t="shared" si="24"/>
        <v>94.9380549795289</v>
      </c>
      <c r="I55" s="84">
        <f t="shared" si="24"/>
        <v>95.051674009886881</v>
      </c>
      <c r="J55" s="84">
        <f t="shared" si="24"/>
        <v>94.998978079811963</v>
      </c>
      <c r="K55" s="84">
        <f t="shared" si="24"/>
        <v>94.786064998830952</v>
      </c>
      <c r="L55" s="84">
        <f t="shared" si="24"/>
        <v>94.791635164968085</v>
      </c>
      <c r="M55" s="84">
        <f t="shared" si="24"/>
        <v>95.001902364785764</v>
      </c>
      <c r="N55" s="84">
        <f t="shared" si="24"/>
        <v>95.343966703677353</v>
      </c>
      <c r="O55" s="84">
        <f t="shared" si="24"/>
        <v>95.08283638788528</v>
      </c>
      <c r="P55" s="84">
        <f t="shared" si="24"/>
        <v>95.251163904887875</v>
      </c>
      <c r="Q55" s="84">
        <f t="shared" si="24"/>
        <v>95.090889186610852</v>
      </c>
      <c r="R55" s="84">
        <f t="shared" si="24"/>
        <v>94.867524101568534</v>
      </c>
      <c r="S55" s="84">
        <f t="shared" si="24"/>
        <v>94.971938313665461</v>
      </c>
      <c r="T55" s="84">
        <f t="shared" si="24"/>
        <v>94.864553756426986</v>
      </c>
      <c r="U55" s="84">
        <f t="shared" si="24"/>
        <v>95.60670071982689</v>
      </c>
      <c r="V55" s="84">
        <f t="shared" si="24"/>
        <v>94.886020400369404</v>
      </c>
      <c r="W55" s="362">
        <f t="shared" si="24"/>
        <v>94.949082092137175</v>
      </c>
      <c r="X55" s="84">
        <f t="shared" si="24"/>
        <v>94.941793096823389</v>
      </c>
      <c r="Y55" s="84">
        <f t="shared" si="24"/>
        <v>94.840128877225922</v>
      </c>
      <c r="Z55" s="84">
        <f t="shared" si="24"/>
        <v>94.717305625223929</v>
      </c>
      <c r="AA55" s="84">
        <f t="shared" si="24"/>
        <v>94.892940428238276</v>
      </c>
      <c r="AB55" s="84">
        <f t="shared" si="24"/>
        <v>94.565048744537251</v>
      </c>
      <c r="AC55" s="84">
        <f t="shared" si="24"/>
        <v>94.785522701982998</v>
      </c>
      <c r="AD55" s="362">
        <f t="shared" si="24"/>
        <v>94.676072639091728</v>
      </c>
      <c r="AE55" s="84">
        <f t="shared" si="24"/>
        <v>94.583114413207724</v>
      </c>
      <c r="AF55" s="362">
        <f t="shared" si="24"/>
        <v>94.654536645762789</v>
      </c>
      <c r="AG55" s="299">
        <f t="shared" si="24"/>
        <v>94.793376769956907</v>
      </c>
      <c r="AH55" s="121"/>
      <c r="AI55" s="129">
        <f>AI37/(SUM(AI31:AI32))*100</f>
        <v>94.91897968677317</v>
      </c>
      <c r="AJ55" s="240"/>
    </row>
    <row r="56" spans="1:15089">
      <c r="B56" s="295"/>
      <c r="C56" s="204" t="s">
        <v>33</v>
      </c>
      <c r="D56" s="69">
        <v>5</v>
      </c>
      <c r="E56" s="205" t="s">
        <v>12</v>
      </c>
      <c r="F56" s="362">
        <f t="shared" ref="F56:AG56" si="25">(F38/(F31+F32))*100</f>
        <v>4.3260012672706774</v>
      </c>
      <c r="G56" s="84">
        <f t="shared" si="25"/>
        <v>4.4990625378008948</v>
      </c>
      <c r="H56" s="84">
        <f t="shared" si="25"/>
        <v>4.277282774650776</v>
      </c>
      <c r="I56" s="84">
        <f t="shared" si="25"/>
        <v>4.1664969989168412</v>
      </c>
      <c r="J56" s="84">
        <f t="shared" si="25"/>
        <v>4.219891676460068</v>
      </c>
      <c r="K56" s="84">
        <f t="shared" si="25"/>
        <v>4.4155469061601718</v>
      </c>
      <c r="L56" s="84">
        <f t="shared" si="25"/>
        <v>4.564974143405812</v>
      </c>
      <c r="M56" s="84">
        <f t="shared" si="25"/>
        <v>4.3783657223132755</v>
      </c>
      <c r="N56" s="84">
        <f t="shared" si="25"/>
        <v>3.8681710292739035</v>
      </c>
      <c r="O56" s="84">
        <f t="shared" si="25"/>
        <v>4.1388131248257727</v>
      </c>
      <c r="P56" s="84">
        <f t="shared" si="25"/>
        <v>3.9671711122452118</v>
      </c>
      <c r="Q56" s="84">
        <f t="shared" si="25"/>
        <v>4.1318479671787607</v>
      </c>
      <c r="R56" s="84">
        <f t="shared" si="25"/>
        <v>4.4000529462375075</v>
      </c>
      <c r="S56" s="84">
        <f t="shared" si="25"/>
        <v>4.4051087081749287</v>
      </c>
      <c r="T56" s="84">
        <f t="shared" si="25"/>
        <v>4.3565344179264827</v>
      </c>
      <c r="U56" s="84">
        <f t="shared" si="25"/>
        <v>3.613854827550675</v>
      </c>
      <c r="V56" s="84">
        <f t="shared" si="25"/>
        <v>4.3203232951665358</v>
      </c>
      <c r="W56" s="362">
        <f t="shared" si="25"/>
        <v>4.2563214409421608</v>
      </c>
      <c r="X56" s="84">
        <f t="shared" si="25"/>
        <v>4.3125341466489688</v>
      </c>
      <c r="Y56" s="84">
        <f t="shared" si="25"/>
        <v>4.4228320710618023</v>
      </c>
      <c r="Z56" s="84">
        <f t="shared" si="25"/>
        <v>4.6176997491938439</v>
      </c>
      <c r="AA56" s="84">
        <f t="shared" si="25"/>
        <v>4.3318493392693096</v>
      </c>
      <c r="AB56" s="84">
        <f t="shared" si="25"/>
        <v>4.8188565074603709</v>
      </c>
      <c r="AC56" s="84">
        <f t="shared" si="25"/>
        <v>4.5937827633449393</v>
      </c>
      <c r="AD56" s="362">
        <f t="shared" si="25"/>
        <v>4.707578972507739</v>
      </c>
      <c r="AE56" s="84">
        <f t="shared" si="25"/>
        <v>4.803415893971132</v>
      </c>
      <c r="AF56" s="362">
        <f t="shared" si="25"/>
        <v>4.7210184911043456</v>
      </c>
      <c r="AG56" s="299">
        <f t="shared" si="25"/>
        <v>4.5852144469525955</v>
      </c>
      <c r="AH56" s="121"/>
      <c r="AI56" s="129">
        <f>AI38/(AI31+AI32)*100</f>
        <v>4.3552537215072098</v>
      </c>
      <c r="CI56" s="107"/>
    </row>
    <row r="57" spans="1:15089">
      <c r="B57" s="295"/>
      <c r="C57" s="204" t="s">
        <v>35</v>
      </c>
      <c r="D57" s="69">
        <v>82</v>
      </c>
      <c r="E57" s="205" t="s">
        <v>12</v>
      </c>
      <c r="F57" s="362" t="e">
        <f t="shared" ref="F57:AG57" si="26">(F41/F40)*100</f>
        <v>#DIV/0!</v>
      </c>
      <c r="G57" s="84" t="e">
        <f t="shared" si="26"/>
        <v>#DIV/0!</v>
      </c>
      <c r="H57" s="84">
        <f t="shared" si="26"/>
        <v>83.429417263944629</v>
      </c>
      <c r="I57" s="84">
        <f t="shared" si="26"/>
        <v>79.630815194196984</v>
      </c>
      <c r="J57" s="84">
        <f t="shared" si="26"/>
        <v>83.84539147671552</v>
      </c>
      <c r="K57" s="84">
        <f t="shared" si="26"/>
        <v>82.650184341794869</v>
      </c>
      <c r="L57" s="84">
        <f t="shared" si="26"/>
        <v>77.174912635642841</v>
      </c>
      <c r="M57" s="84" t="e">
        <f t="shared" si="26"/>
        <v>#DIV/0!</v>
      </c>
      <c r="N57" s="84" t="e">
        <f t="shared" si="26"/>
        <v>#DIV/0!</v>
      </c>
      <c r="O57" s="84" t="e">
        <f t="shared" si="26"/>
        <v>#DIV/0!</v>
      </c>
      <c r="P57" s="84" t="e">
        <f t="shared" si="26"/>
        <v>#DIV/0!</v>
      </c>
      <c r="Q57" s="84" t="e">
        <f t="shared" si="26"/>
        <v>#DIV/0!</v>
      </c>
      <c r="R57" s="84" t="e">
        <f t="shared" si="26"/>
        <v>#DIV/0!</v>
      </c>
      <c r="S57" s="84">
        <f t="shared" si="26"/>
        <v>87.152619589976894</v>
      </c>
      <c r="T57" s="84">
        <f t="shared" si="26"/>
        <v>81.482244659659457</v>
      </c>
      <c r="U57" s="84">
        <f t="shared" si="26"/>
        <v>81.264374961149528</v>
      </c>
      <c r="V57" s="84">
        <f t="shared" si="26"/>
        <v>81.336863004633145</v>
      </c>
      <c r="W57" s="362">
        <f t="shared" si="26"/>
        <v>81.524850377309761</v>
      </c>
      <c r="X57" s="84">
        <f t="shared" si="26"/>
        <v>81.301893058784458</v>
      </c>
      <c r="Y57" s="84">
        <f t="shared" si="26"/>
        <v>80.870700102544063</v>
      </c>
      <c r="Z57" s="84">
        <f t="shared" si="26"/>
        <v>79.609856262833603</v>
      </c>
      <c r="AA57" s="84" t="e">
        <f t="shared" si="26"/>
        <v>#DIV/0!</v>
      </c>
      <c r="AB57" s="84" t="e">
        <f t="shared" si="26"/>
        <v>#DIV/0!</v>
      </c>
      <c r="AC57" s="84" t="e">
        <f t="shared" si="26"/>
        <v>#DIV/0!</v>
      </c>
      <c r="AD57" s="362" t="e">
        <f t="shared" si="26"/>
        <v>#DIV/0!</v>
      </c>
      <c r="AE57" s="84" t="e">
        <f t="shared" si="26"/>
        <v>#DIV/0!</v>
      </c>
      <c r="AF57" s="362">
        <f t="shared" si="26"/>
        <v>81.19773250266546</v>
      </c>
      <c r="AG57" s="299">
        <f t="shared" si="26"/>
        <v>79.994926433282572</v>
      </c>
      <c r="AH57" s="121"/>
      <c r="AI57" s="129">
        <f>AI41/AI40*100</f>
        <v>81.308645140809418</v>
      </c>
    </row>
    <row r="58" spans="1:15089">
      <c r="B58" s="295"/>
      <c r="C58" s="204" t="s">
        <v>51</v>
      </c>
      <c r="D58" s="69">
        <v>18</v>
      </c>
      <c r="E58" s="205" t="s">
        <v>12</v>
      </c>
      <c r="F58" s="362" t="e">
        <f t="shared" ref="F58:AG58" si="27">(F42/F40)*100</f>
        <v>#DIV/0!</v>
      </c>
      <c r="G58" s="84" t="e">
        <f t="shared" si="27"/>
        <v>#DIV/0!</v>
      </c>
      <c r="H58" s="84">
        <f t="shared" si="27"/>
        <v>16.570582736055368</v>
      </c>
      <c r="I58" s="84">
        <f t="shared" si="27"/>
        <v>20.369184805803016</v>
      </c>
      <c r="J58" s="84">
        <f t="shared" si="27"/>
        <v>16.154608523284477</v>
      </c>
      <c r="K58" s="84">
        <f t="shared" si="27"/>
        <v>17.349815658205131</v>
      </c>
      <c r="L58" s="84">
        <f t="shared" si="27"/>
        <v>22.825087364357159</v>
      </c>
      <c r="M58" s="84" t="e">
        <f t="shared" si="27"/>
        <v>#DIV/0!</v>
      </c>
      <c r="N58" s="84" t="e">
        <f t="shared" si="27"/>
        <v>#DIV/0!</v>
      </c>
      <c r="O58" s="84" t="e">
        <f t="shared" si="27"/>
        <v>#DIV/0!</v>
      </c>
      <c r="P58" s="84" t="e">
        <f t="shared" si="27"/>
        <v>#DIV/0!</v>
      </c>
      <c r="Q58" s="84" t="e">
        <f t="shared" si="27"/>
        <v>#DIV/0!</v>
      </c>
      <c r="R58" s="84" t="e">
        <f t="shared" si="27"/>
        <v>#DIV/0!</v>
      </c>
      <c r="S58" s="84">
        <f t="shared" si="27"/>
        <v>12.847380410023099</v>
      </c>
      <c r="T58" s="84">
        <f t="shared" si="27"/>
        <v>18.517755340340535</v>
      </c>
      <c r="U58" s="84">
        <f t="shared" si="27"/>
        <v>18.735625038850479</v>
      </c>
      <c r="V58" s="84">
        <f t="shared" si="27"/>
        <v>18.663136995366862</v>
      </c>
      <c r="W58" s="362">
        <f t="shared" si="27"/>
        <v>18.475149622690239</v>
      </c>
      <c r="X58" s="84">
        <f t="shared" si="27"/>
        <v>18.698106941215542</v>
      </c>
      <c r="Y58" s="84">
        <f t="shared" si="27"/>
        <v>19.129299897455926</v>
      </c>
      <c r="Z58" s="84">
        <f t="shared" si="27"/>
        <v>20.390143737166397</v>
      </c>
      <c r="AA58" s="84" t="e">
        <f t="shared" si="27"/>
        <v>#DIV/0!</v>
      </c>
      <c r="AB58" s="84" t="e">
        <f t="shared" si="27"/>
        <v>#DIV/0!</v>
      </c>
      <c r="AC58" s="84" t="e">
        <f t="shared" si="27"/>
        <v>#DIV/0!</v>
      </c>
      <c r="AD58" s="362" t="e">
        <f t="shared" si="27"/>
        <v>#DIV/0!</v>
      </c>
      <c r="AE58" s="84" t="e">
        <f t="shared" si="27"/>
        <v>#DIV/0!</v>
      </c>
      <c r="AF58" s="362">
        <f t="shared" si="27"/>
        <v>18.802267497334533</v>
      </c>
      <c r="AG58" s="299">
        <f t="shared" si="27"/>
        <v>20.005073566717421</v>
      </c>
      <c r="AH58" s="121"/>
      <c r="AI58" s="129">
        <f>AI42/AI40*100</f>
        <v>18.691354859190568</v>
      </c>
    </row>
    <row r="59" spans="1:15089">
      <c r="B59" s="295"/>
      <c r="C59" s="204" t="s">
        <v>40</v>
      </c>
      <c r="D59" s="69">
        <v>70</v>
      </c>
      <c r="E59" s="205" t="s">
        <v>12</v>
      </c>
      <c r="F59" s="362" t="e">
        <f t="shared" ref="F59:AC59" si="28">F46/F45*100</f>
        <v>#DIV/0!</v>
      </c>
      <c r="G59" s="84">
        <f t="shared" si="28"/>
        <v>74.563340694639635</v>
      </c>
      <c r="H59" s="84">
        <f t="shared" si="28"/>
        <v>71.934174932370055</v>
      </c>
      <c r="I59" s="84" t="e">
        <f t="shared" si="28"/>
        <v>#DIV/0!</v>
      </c>
      <c r="J59" s="84" t="e">
        <f t="shared" si="28"/>
        <v>#DIV/0!</v>
      </c>
      <c r="K59" s="84" t="e">
        <f t="shared" si="28"/>
        <v>#DIV/0!</v>
      </c>
      <c r="L59" s="84" t="e">
        <f t="shared" si="28"/>
        <v>#DIV/0!</v>
      </c>
      <c r="M59" s="84" t="e">
        <f t="shared" si="28"/>
        <v>#DIV/0!</v>
      </c>
      <c r="N59" s="84" t="e">
        <f t="shared" si="28"/>
        <v>#DIV/0!</v>
      </c>
      <c r="O59" s="84" t="e">
        <f t="shared" si="28"/>
        <v>#DIV/0!</v>
      </c>
      <c r="P59" s="84" t="e">
        <f t="shared" si="28"/>
        <v>#DIV/0!</v>
      </c>
      <c r="Q59" s="84" t="e">
        <f t="shared" si="28"/>
        <v>#DIV/0!</v>
      </c>
      <c r="R59" s="84" t="e">
        <f t="shared" si="28"/>
        <v>#DIV/0!</v>
      </c>
      <c r="S59" s="84" t="e">
        <f t="shared" si="28"/>
        <v>#DIV/0!</v>
      </c>
      <c r="T59" s="84" t="e">
        <f t="shared" si="28"/>
        <v>#DIV/0!</v>
      </c>
      <c r="U59" s="84" t="e">
        <f t="shared" si="28"/>
        <v>#DIV/0!</v>
      </c>
      <c r="V59" s="84" t="e">
        <f t="shared" si="28"/>
        <v>#DIV/0!</v>
      </c>
      <c r="W59" s="362" t="e">
        <f t="shared" si="28"/>
        <v>#DIV/0!</v>
      </c>
      <c r="X59" s="84" t="e">
        <f t="shared" si="28"/>
        <v>#DIV/0!</v>
      </c>
      <c r="Y59" s="84" t="e">
        <f t="shared" si="28"/>
        <v>#DIV/0!</v>
      </c>
      <c r="Z59" s="84" t="e">
        <f t="shared" si="28"/>
        <v>#DIV/0!</v>
      </c>
      <c r="AA59" s="84" t="e">
        <f t="shared" si="28"/>
        <v>#DIV/0!</v>
      </c>
      <c r="AB59" s="84" t="e">
        <f t="shared" si="28"/>
        <v>#DIV/0!</v>
      </c>
      <c r="AC59" s="84" t="e">
        <f t="shared" si="28"/>
        <v>#DIV/0!</v>
      </c>
      <c r="AD59" s="362" t="e">
        <f t="shared" ref="AD59:AG59" si="29">AD49/AD48*100</f>
        <v>#DIV/0!</v>
      </c>
      <c r="AE59" s="84" t="e">
        <f t="shared" si="29"/>
        <v>#DIV/0!</v>
      </c>
      <c r="AF59" s="362" t="e">
        <f t="shared" si="29"/>
        <v>#DIV/0!</v>
      </c>
      <c r="AG59" s="299" t="e">
        <f t="shared" si="29"/>
        <v>#DIV/0!</v>
      </c>
      <c r="AH59" s="121"/>
      <c r="AI59" s="129">
        <f>AI46/AI45*100</f>
        <v>73.753299069314764</v>
      </c>
      <c r="CI59" s="107"/>
    </row>
    <row r="60" spans="1:15089">
      <c r="B60" s="295"/>
      <c r="C60" s="204" t="s">
        <v>51</v>
      </c>
      <c r="D60" s="69">
        <v>30</v>
      </c>
      <c r="E60" s="205" t="s">
        <v>12</v>
      </c>
      <c r="F60" s="362" t="e">
        <f t="shared" ref="F60:AC60" si="30">F47/F45*100</f>
        <v>#DIV/0!</v>
      </c>
      <c r="G60" s="84">
        <f t="shared" si="30"/>
        <v>25.436659305360372</v>
      </c>
      <c r="H60" s="84">
        <f t="shared" si="30"/>
        <v>28.065825067629952</v>
      </c>
      <c r="I60" s="84" t="e">
        <f t="shared" si="30"/>
        <v>#DIV/0!</v>
      </c>
      <c r="J60" s="84" t="e">
        <f t="shared" si="30"/>
        <v>#DIV/0!</v>
      </c>
      <c r="K60" s="84" t="e">
        <f t="shared" si="30"/>
        <v>#DIV/0!</v>
      </c>
      <c r="L60" s="84" t="e">
        <f t="shared" si="30"/>
        <v>#DIV/0!</v>
      </c>
      <c r="M60" s="84" t="e">
        <f t="shared" si="30"/>
        <v>#DIV/0!</v>
      </c>
      <c r="N60" s="84" t="e">
        <f t="shared" si="30"/>
        <v>#DIV/0!</v>
      </c>
      <c r="O60" s="84" t="e">
        <f t="shared" si="30"/>
        <v>#DIV/0!</v>
      </c>
      <c r="P60" s="84" t="e">
        <f t="shared" si="30"/>
        <v>#DIV/0!</v>
      </c>
      <c r="Q60" s="84" t="e">
        <f t="shared" si="30"/>
        <v>#DIV/0!</v>
      </c>
      <c r="R60" s="84" t="e">
        <f t="shared" si="30"/>
        <v>#DIV/0!</v>
      </c>
      <c r="S60" s="84" t="e">
        <f t="shared" si="30"/>
        <v>#DIV/0!</v>
      </c>
      <c r="T60" s="84" t="e">
        <f t="shared" si="30"/>
        <v>#DIV/0!</v>
      </c>
      <c r="U60" s="84" t="e">
        <f t="shared" si="30"/>
        <v>#DIV/0!</v>
      </c>
      <c r="V60" s="84" t="e">
        <f t="shared" si="30"/>
        <v>#DIV/0!</v>
      </c>
      <c r="W60" s="362" t="e">
        <f t="shared" si="30"/>
        <v>#DIV/0!</v>
      </c>
      <c r="X60" s="84" t="e">
        <f t="shared" si="30"/>
        <v>#DIV/0!</v>
      </c>
      <c r="Y60" s="84" t="e">
        <f t="shared" si="30"/>
        <v>#DIV/0!</v>
      </c>
      <c r="Z60" s="84" t="e">
        <f t="shared" si="30"/>
        <v>#DIV/0!</v>
      </c>
      <c r="AA60" s="84" t="e">
        <f t="shared" si="30"/>
        <v>#DIV/0!</v>
      </c>
      <c r="AB60" s="84" t="e">
        <f t="shared" si="30"/>
        <v>#DIV/0!</v>
      </c>
      <c r="AC60" s="84" t="e">
        <f t="shared" si="30"/>
        <v>#DIV/0!</v>
      </c>
      <c r="AD60" s="362" t="e">
        <f t="shared" ref="AD60:AG60" si="31">AD50/AD48*100</f>
        <v>#DIV/0!</v>
      </c>
      <c r="AE60" s="84" t="e">
        <f t="shared" si="31"/>
        <v>#DIV/0!</v>
      </c>
      <c r="AF60" s="362" t="e">
        <f t="shared" si="31"/>
        <v>#DIV/0!</v>
      </c>
      <c r="AG60" s="299" t="e">
        <f t="shared" si="31"/>
        <v>#DIV/0!</v>
      </c>
      <c r="AH60" s="130"/>
      <c r="AI60" s="129">
        <f>AI47/AI45*100</f>
        <v>26.246700930685236</v>
      </c>
    </row>
    <row r="61" spans="1:15089">
      <c r="B61" s="295"/>
      <c r="C61" s="204" t="s">
        <v>44</v>
      </c>
      <c r="D61" s="69">
        <v>60</v>
      </c>
      <c r="E61" s="205" t="s">
        <v>12</v>
      </c>
      <c r="F61" s="362">
        <f t="shared" ref="F61:AG61" si="32">F52/F50*100</f>
        <v>62.769910615646531</v>
      </c>
      <c r="G61" s="84">
        <f t="shared" si="32"/>
        <v>62.976085031000885</v>
      </c>
      <c r="H61" s="84" t="e">
        <f t="shared" si="32"/>
        <v>#DIV/0!</v>
      </c>
      <c r="I61" s="84">
        <f>I52/I50*100</f>
        <v>60.052219321167009</v>
      </c>
      <c r="J61" s="84">
        <f>J52/J50*100</f>
        <v>60.336081166762398</v>
      </c>
      <c r="K61" s="84" t="e">
        <f>K52/K50*100</f>
        <v>#DIV/0!</v>
      </c>
      <c r="L61" s="84" t="e">
        <f t="shared" si="32"/>
        <v>#DIV/0!</v>
      </c>
      <c r="M61" s="84" t="e">
        <f t="shared" si="32"/>
        <v>#DIV/0!</v>
      </c>
      <c r="N61" s="84" t="e">
        <f t="shared" si="32"/>
        <v>#DIV/0!</v>
      </c>
      <c r="O61" s="84" t="e">
        <f t="shared" si="32"/>
        <v>#DIV/0!</v>
      </c>
      <c r="P61" s="84" t="e">
        <f t="shared" si="32"/>
        <v>#DIV/0!</v>
      </c>
      <c r="Q61" s="84" t="e">
        <f t="shared" si="32"/>
        <v>#DIV/0!</v>
      </c>
      <c r="R61" s="84" t="e">
        <f t="shared" si="32"/>
        <v>#DIV/0!</v>
      </c>
      <c r="S61" s="84" t="e">
        <f t="shared" si="32"/>
        <v>#DIV/0!</v>
      </c>
      <c r="T61" s="84" t="e">
        <f t="shared" ref="T61:W61" si="33">(T52+T51)/T50*100</f>
        <v>#DIV/0!</v>
      </c>
      <c r="U61" s="84" t="e">
        <f t="shared" si="33"/>
        <v>#DIV/0!</v>
      </c>
      <c r="V61" s="84" t="e">
        <f>(V52+V51)/V50*100</f>
        <v>#DIV/0!</v>
      </c>
      <c r="W61" s="362" t="e">
        <f t="shared" si="33"/>
        <v>#DIV/0!</v>
      </c>
      <c r="X61" s="84" t="e">
        <f t="shared" si="32"/>
        <v>#DIV/0!</v>
      </c>
      <c r="Y61" s="84" t="e">
        <f t="shared" si="32"/>
        <v>#DIV/0!</v>
      </c>
      <c r="Z61" s="84">
        <f t="shared" si="32"/>
        <v>60.282258064506202</v>
      </c>
      <c r="AA61" s="84">
        <f t="shared" si="32"/>
        <v>58.011963853891146</v>
      </c>
      <c r="AB61" s="84">
        <f t="shared" si="32"/>
        <v>60.547667342799194</v>
      </c>
      <c r="AC61" s="84">
        <f t="shared" si="32"/>
        <v>61.195361284567355</v>
      </c>
      <c r="AD61" s="362">
        <f t="shared" si="32"/>
        <v>57.579129574675633</v>
      </c>
      <c r="AE61" s="84">
        <f t="shared" si="32"/>
        <v>61.940804338005108</v>
      </c>
      <c r="AF61" s="362">
        <f t="shared" si="32"/>
        <v>60.36240090602314</v>
      </c>
      <c r="AG61" s="299" t="e">
        <f t="shared" si="32"/>
        <v>#DIV/0!</v>
      </c>
      <c r="AH61" s="121"/>
      <c r="AI61" s="129">
        <f>(AI52+AI51)/AI50*100</f>
        <v>60.574388239307574</v>
      </c>
    </row>
    <row r="62" spans="1:15089">
      <c r="B62" s="295"/>
      <c r="C62" s="204" t="s">
        <v>52</v>
      </c>
      <c r="D62" s="69">
        <v>40</v>
      </c>
      <c r="E62" s="205" t="s">
        <v>12</v>
      </c>
      <c r="F62" s="362">
        <f t="shared" ref="F62:AG62" si="34">F53/F50*100</f>
        <v>37.230089384353469</v>
      </c>
      <c r="G62" s="84">
        <f t="shared" si="34"/>
        <v>37.023914968999115</v>
      </c>
      <c r="H62" s="84" t="e">
        <f t="shared" si="34"/>
        <v>#DIV/0!</v>
      </c>
      <c r="I62" s="84">
        <f>I53/I50*100</f>
        <v>39.947780678832977</v>
      </c>
      <c r="J62" s="84">
        <f>J53/J50*100</f>
        <v>39.663918833237602</v>
      </c>
      <c r="K62" s="84" t="e">
        <f>K53/K50*100</f>
        <v>#DIV/0!</v>
      </c>
      <c r="L62" s="84" t="e">
        <f t="shared" si="34"/>
        <v>#DIV/0!</v>
      </c>
      <c r="M62" s="84" t="e">
        <f t="shared" si="34"/>
        <v>#DIV/0!</v>
      </c>
      <c r="N62" s="84" t="e">
        <f t="shared" si="34"/>
        <v>#DIV/0!</v>
      </c>
      <c r="O62" s="84" t="e">
        <f t="shared" si="34"/>
        <v>#DIV/0!</v>
      </c>
      <c r="P62" s="84" t="e">
        <f t="shared" si="34"/>
        <v>#DIV/0!</v>
      </c>
      <c r="Q62" s="84" t="e">
        <f t="shared" si="34"/>
        <v>#DIV/0!</v>
      </c>
      <c r="R62" s="84" t="e">
        <f t="shared" si="34"/>
        <v>#DIV/0!</v>
      </c>
      <c r="S62" s="84" t="e">
        <f t="shared" si="34"/>
        <v>#DIV/0!</v>
      </c>
      <c r="T62" s="84" t="e">
        <f t="shared" si="34"/>
        <v>#DIV/0!</v>
      </c>
      <c r="U62" s="84" t="e">
        <f t="shared" si="34"/>
        <v>#DIV/0!</v>
      </c>
      <c r="V62" s="84" t="e">
        <f t="shared" si="34"/>
        <v>#DIV/0!</v>
      </c>
      <c r="W62" s="362" t="e">
        <f t="shared" si="34"/>
        <v>#DIV/0!</v>
      </c>
      <c r="X62" s="84" t="e">
        <f t="shared" si="34"/>
        <v>#DIV/0!</v>
      </c>
      <c r="Y62" s="84" t="e">
        <f t="shared" si="34"/>
        <v>#DIV/0!</v>
      </c>
      <c r="Z62" s="84">
        <f t="shared" si="34"/>
        <v>39.717741935493791</v>
      </c>
      <c r="AA62" s="84">
        <f t="shared" si="34"/>
        <v>41.98803614610884</v>
      </c>
      <c r="AB62" s="84">
        <f t="shared" si="34"/>
        <v>39.452332657200813</v>
      </c>
      <c r="AC62" s="84">
        <f t="shared" si="34"/>
        <v>38.804638715432645</v>
      </c>
      <c r="AD62" s="362">
        <f t="shared" si="34"/>
        <v>42.420870425324352</v>
      </c>
      <c r="AE62" s="84">
        <f t="shared" si="34"/>
        <v>38.059195661994885</v>
      </c>
      <c r="AF62" s="362">
        <f t="shared" si="34"/>
        <v>39.637599093976853</v>
      </c>
      <c r="AG62" s="299" t="e">
        <f t="shared" si="34"/>
        <v>#DIV/0!</v>
      </c>
      <c r="AH62" s="130"/>
      <c r="AI62" s="129">
        <f>AI53/AI50*100</f>
        <v>39.425611760692412</v>
      </c>
    </row>
    <row r="63" spans="1:15089">
      <c r="B63" s="287">
        <v>3</v>
      </c>
      <c r="C63" s="81" t="s">
        <v>53</v>
      </c>
      <c r="D63" s="82"/>
      <c r="E63" s="82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288"/>
      <c r="AH63" s="117"/>
      <c r="AI63" s="128" t="s">
        <v>54</v>
      </c>
      <c r="AJ63" s="107"/>
    </row>
    <row r="64" spans="1:15089">
      <c r="B64" s="289"/>
      <c r="C64" s="199" t="s">
        <v>55</v>
      </c>
      <c r="D64" s="69">
        <v>8</v>
      </c>
      <c r="E64" s="206" t="s">
        <v>56</v>
      </c>
      <c r="F64" s="360">
        <v>0</v>
      </c>
      <c r="G64" s="60">
        <v>6366</v>
      </c>
      <c r="H64" s="60">
        <v>9860</v>
      </c>
      <c r="I64" s="60">
        <v>9665</v>
      </c>
      <c r="J64" s="60">
        <v>12478</v>
      </c>
      <c r="K64" s="60">
        <v>14999</v>
      </c>
      <c r="L64" s="60">
        <v>13503</v>
      </c>
      <c r="M64" s="60">
        <v>10872</v>
      </c>
      <c r="N64" s="60">
        <v>9440</v>
      </c>
      <c r="O64" s="60">
        <v>11520</v>
      </c>
      <c r="P64" s="60">
        <v>11624</v>
      </c>
      <c r="Q64" s="60">
        <v>11760</v>
      </c>
      <c r="R64" s="60">
        <v>15472</v>
      </c>
      <c r="S64" s="60">
        <v>9000</v>
      </c>
      <c r="T64" s="60">
        <v>8872</v>
      </c>
      <c r="U64" s="60">
        <v>8464</v>
      </c>
      <c r="V64" s="60">
        <v>9648</v>
      </c>
      <c r="W64" s="360">
        <v>11720</v>
      </c>
      <c r="X64" s="60">
        <v>12312</v>
      </c>
      <c r="Y64" s="60">
        <v>8109</v>
      </c>
      <c r="Z64" s="60">
        <v>0</v>
      </c>
      <c r="AA64" s="60">
        <v>0</v>
      </c>
      <c r="AB64" s="60">
        <v>0</v>
      </c>
      <c r="AC64" s="60">
        <v>0</v>
      </c>
      <c r="AD64" s="360">
        <v>8216</v>
      </c>
      <c r="AE64" s="60">
        <v>10800</v>
      </c>
      <c r="AF64" s="360">
        <v>11864</v>
      </c>
      <c r="AG64" s="291">
        <v>12488</v>
      </c>
      <c r="AH64" s="117"/>
      <c r="AI64" s="109">
        <f>SUM(F64:AG64)</f>
        <v>249052</v>
      </c>
      <c r="AJ64" s="107"/>
      <c r="BI64" s="107"/>
    </row>
    <row r="65" spans="2:124 15090:15103">
      <c r="B65" s="295"/>
      <c r="C65" s="85"/>
      <c r="D65" s="74"/>
      <c r="E65" s="206" t="s">
        <v>12</v>
      </c>
      <c r="F65" s="362">
        <f>F64/F31*100</f>
        <v>0</v>
      </c>
      <c r="G65" s="84">
        <f>G64/(G31-G49)*100</f>
        <v>0.6764208982818527</v>
      </c>
      <c r="H65" s="84">
        <f t="shared" ref="H65:M65" si="35">H64/((H31+H32)-H49)*100</f>
        <v>0.74896125302888739</v>
      </c>
      <c r="I65" s="84">
        <f t="shared" si="35"/>
        <v>0.78712262499083785</v>
      </c>
      <c r="J65" s="84">
        <f t="shared" si="35"/>
        <v>0.79697000664248119</v>
      </c>
      <c r="K65" s="261">
        <f>K64/((K31+K32)-K49)*100</f>
        <v>1.0314403994003494</v>
      </c>
      <c r="L65" s="261">
        <f t="shared" si="35"/>
        <v>1.0208818459491336</v>
      </c>
      <c r="M65" s="84">
        <f t="shared" si="35"/>
        <v>0.79548115195504576</v>
      </c>
      <c r="N65" s="84">
        <f>N64/((N31+N32)-(N49+N44))*100</f>
        <v>0.62763036294853303</v>
      </c>
      <c r="O65" s="84">
        <f t="shared" ref="O65:AG65" si="36">O64/((O31+O32)-(O49+O44))*100</f>
        <v>0.6296767987056644</v>
      </c>
      <c r="P65" s="84">
        <f t="shared" si="36"/>
        <v>0.6053346942601523</v>
      </c>
      <c r="Q65" s="84">
        <f t="shared" si="36"/>
        <v>0.61305238574340415</v>
      </c>
      <c r="R65" s="261">
        <f t="shared" si="36"/>
        <v>0.85331686117055305</v>
      </c>
      <c r="S65" s="84">
        <f t="shared" si="36"/>
        <v>0.74063101762701822</v>
      </c>
      <c r="T65" s="84">
        <f t="shared" si="36"/>
        <v>0.68083800168828179</v>
      </c>
      <c r="U65" s="84">
        <f t="shared" si="36"/>
        <v>0.62296674664743201</v>
      </c>
      <c r="V65" s="84">
        <f t="shared" si="36"/>
        <v>0.66992091211454208</v>
      </c>
      <c r="W65" s="362">
        <f t="shared" si="36"/>
        <v>0.81191548320055429</v>
      </c>
      <c r="X65" s="84">
        <f t="shared" si="36"/>
        <v>0.73918864560131126</v>
      </c>
      <c r="Y65" s="84">
        <f t="shared" si="36"/>
        <v>0.64394450753214161</v>
      </c>
      <c r="Z65" s="84" t="e">
        <f t="shared" si="36"/>
        <v>#DIV/0!</v>
      </c>
      <c r="AA65" s="84" t="e">
        <f t="shared" si="36"/>
        <v>#DIV/0!</v>
      </c>
      <c r="AB65" s="274" t="e">
        <f t="shared" si="36"/>
        <v>#DIV/0!</v>
      </c>
      <c r="AC65" s="84" t="e">
        <f t="shared" si="36"/>
        <v>#DIV/0!</v>
      </c>
      <c r="AD65" s="362">
        <f t="shared" si="36"/>
        <v>0.75468231879265524</v>
      </c>
      <c r="AE65" s="84">
        <f t="shared" si="36"/>
        <v>0.7992126275595155</v>
      </c>
      <c r="AF65" s="362">
        <f t="shared" si="36"/>
        <v>0.79832045864398571</v>
      </c>
      <c r="AG65" s="299">
        <f t="shared" si="36"/>
        <v>0.80084137081879747</v>
      </c>
      <c r="AH65" s="117"/>
      <c r="AI65" s="129">
        <f>AI64/((AI31)-(AI44+AI49))*100</f>
        <v>0.74675999317561892</v>
      </c>
      <c r="AJ65" s="16"/>
      <c r="AK65" s="15">
        <f>AI65*10</f>
        <v>7.4675999317561894</v>
      </c>
      <c r="AQ65" s="16"/>
      <c r="CH65" s="240">
        <f>K65*10</f>
        <v>10.314403994003493</v>
      </c>
      <c r="CI65" s="240">
        <f>L65*10</f>
        <v>10.208818459491336</v>
      </c>
    </row>
    <row r="66" spans="2:124 15090:15103" s="1" customFormat="1">
      <c r="B66" s="289"/>
      <c r="C66" s="207" t="s">
        <v>57</v>
      </c>
      <c r="D66" s="86">
        <v>16</v>
      </c>
      <c r="E66" s="208" t="s">
        <v>56</v>
      </c>
      <c r="F66" s="363">
        <v>16098</v>
      </c>
      <c r="G66" s="87">
        <v>5628</v>
      </c>
      <c r="H66" s="87">
        <v>0</v>
      </c>
      <c r="I66" s="87">
        <v>0</v>
      </c>
      <c r="J66" s="87">
        <v>0</v>
      </c>
      <c r="K66" s="87">
        <v>0</v>
      </c>
      <c r="L66" s="87">
        <v>0</v>
      </c>
      <c r="M66" s="87"/>
      <c r="N66" s="87">
        <v>0</v>
      </c>
      <c r="O66" s="87">
        <v>0</v>
      </c>
      <c r="P66" s="87">
        <v>0</v>
      </c>
      <c r="Q66" s="87">
        <v>0</v>
      </c>
      <c r="R66" s="87">
        <v>0</v>
      </c>
      <c r="S66" s="87">
        <v>0</v>
      </c>
      <c r="T66" s="87">
        <v>0</v>
      </c>
      <c r="U66" s="87">
        <v>0</v>
      </c>
      <c r="V66" s="102">
        <v>0</v>
      </c>
      <c r="W66" s="383">
        <v>0</v>
      </c>
      <c r="X66" s="102">
        <v>0</v>
      </c>
      <c r="Y66" s="102">
        <v>6267</v>
      </c>
      <c r="Z66" s="102">
        <v>20904</v>
      </c>
      <c r="AA66" s="87">
        <v>22400</v>
      </c>
      <c r="AB66" s="87">
        <v>27832</v>
      </c>
      <c r="AC66" s="87">
        <v>24072</v>
      </c>
      <c r="AD66" s="363">
        <v>0</v>
      </c>
      <c r="AE66" s="87">
        <v>0</v>
      </c>
      <c r="AF66" s="363">
        <v>0</v>
      </c>
      <c r="AG66" s="300">
        <v>0</v>
      </c>
      <c r="AH66" s="117"/>
      <c r="AI66" s="131">
        <f>SUM(F66:AG66)</f>
        <v>123201</v>
      </c>
      <c r="AJ66" s="240"/>
      <c r="AK66" s="15"/>
      <c r="DT66" s="253"/>
      <c r="VHJ66"/>
      <c r="VHK66"/>
      <c r="VHL66"/>
      <c r="VHM66"/>
      <c r="VHN66"/>
      <c r="VHO66"/>
      <c r="VHP66"/>
      <c r="VHQ66"/>
      <c r="VHR66"/>
      <c r="VHS66"/>
      <c r="VHT66"/>
      <c r="VHU66"/>
      <c r="VHV66"/>
      <c r="VHW66"/>
    </row>
    <row r="67" spans="2:124 15090:15103" s="1" customFormat="1">
      <c r="B67" s="295"/>
      <c r="C67" s="88"/>
      <c r="D67" s="89"/>
      <c r="E67" s="209" t="s">
        <v>12</v>
      </c>
      <c r="F67" s="364">
        <f>F66/F49*100</f>
        <v>1.3247093095020614</v>
      </c>
      <c r="G67" s="90">
        <f>G66/G49*100</f>
        <v>1.4748814172279148</v>
      </c>
      <c r="H67" s="90" t="e">
        <f t="shared" ref="H67:S67" si="37">H66/H49*100</f>
        <v>#DIV/0!</v>
      </c>
      <c r="I67" s="90" t="e">
        <f t="shared" si="37"/>
        <v>#DIV/0!</v>
      </c>
      <c r="J67" s="90" t="e">
        <f t="shared" si="37"/>
        <v>#DIV/0!</v>
      </c>
      <c r="K67" s="90" t="e">
        <f t="shared" si="37"/>
        <v>#DIV/0!</v>
      </c>
      <c r="L67" s="90" t="e">
        <f t="shared" si="37"/>
        <v>#DIV/0!</v>
      </c>
      <c r="M67" s="90" t="e">
        <f t="shared" si="37"/>
        <v>#DIV/0!</v>
      </c>
      <c r="N67" s="90" t="e">
        <f>N66/(N44+N49)*100</f>
        <v>#DIV/0!</v>
      </c>
      <c r="O67" s="90" t="e">
        <f t="shared" si="37"/>
        <v>#DIV/0!</v>
      </c>
      <c r="P67" s="90" t="e">
        <f>P66/(P49+P44)*100</f>
        <v>#DIV/0!</v>
      </c>
      <c r="Q67" s="90" t="e">
        <f>Q66/Q49*100</f>
        <v>#DIV/0!</v>
      </c>
      <c r="R67" s="90" t="e">
        <f>R66/R49*100</f>
        <v>#DIV/0!</v>
      </c>
      <c r="S67" s="90" t="e">
        <f t="shared" si="37"/>
        <v>#DIV/0!</v>
      </c>
      <c r="T67" s="90" t="e">
        <f>T66/(T49+T44)*100</f>
        <v>#DIV/0!</v>
      </c>
      <c r="U67" s="90" t="e">
        <f>U66/U49*100</f>
        <v>#DIV/0!</v>
      </c>
      <c r="V67" s="90" t="e">
        <f t="shared" ref="V67:AB67" si="38">V66/V49*100</f>
        <v>#DIV/0!</v>
      </c>
      <c r="W67" s="364" t="e">
        <f t="shared" si="38"/>
        <v>#DIV/0!</v>
      </c>
      <c r="X67" s="90" t="e">
        <f t="shared" si="38"/>
        <v>#DIV/0!</v>
      </c>
      <c r="Y67" s="90">
        <f t="shared" si="38"/>
        <v>1.5150855816652162</v>
      </c>
      <c r="Z67" s="90">
        <f t="shared" si="38"/>
        <v>1.4979577212468649</v>
      </c>
      <c r="AA67" s="90">
        <f t="shared" si="38"/>
        <v>1.582927001625327</v>
      </c>
      <c r="AB67" s="90">
        <f t="shared" si="38"/>
        <v>1.7992811150474515</v>
      </c>
      <c r="AC67" s="90">
        <f>AC66/(AC49)*100</f>
        <v>1.5483273407902438</v>
      </c>
      <c r="AD67" s="364" t="e">
        <f t="shared" ref="AD67:AG67" si="39">AD66/AD49*100</f>
        <v>#DIV/0!</v>
      </c>
      <c r="AE67" s="90" t="e">
        <f t="shared" si="39"/>
        <v>#DIV/0!</v>
      </c>
      <c r="AF67" s="364" t="e">
        <f t="shared" si="39"/>
        <v>#DIV/0!</v>
      </c>
      <c r="AG67" s="301" t="e">
        <f t="shared" si="39"/>
        <v>#DIV/0!</v>
      </c>
      <c r="AH67" s="117"/>
      <c r="AI67" s="132">
        <f>AI66/(AI49+AI44)*100</f>
        <v>1.5550596458986266</v>
      </c>
      <c r="AJ67" s="16"/>
      <c r="AK67" s="15">
        <f>AI67*10</f>
        <v>15.550596458986266</v>
      </c>
      <c r="DT67" s="253"/>
      <c r="VHJ67"/>
      <c r="VHK67"/>
      <c r="VHL67"/>
      <c r="VHM67"/>
      <c r="VHN67"/>
      <c r="VHO67"/>
      <c r="VHP67"/>
      <c r="VHQ67"/>
      <c r="VHR67"/>
      <c r="VHS67"/>
      <c r="VHT67"/>
      <c r="VHU67"/>
      <c r="VHV67"/>
      <c r="VHW67"/>
    </row>
    <row r="68" spans="2:124 15090:15103">
      <c r="B68" s="295"/>
      <c r="C68" s="199" t="s">
        <v>58</v>
      </c>
      <c r="D68" s="69">
        <v>0.55000000000000004</v>
      </c>
      <c r="E68" s="206" t="s">
        <v>9</v>
      </c>
      <c r="F68" s="360">
        <v>601.6</v>
      </c>
      <c r="G68" s="60">
        <v>672.80000000000007</v>
      </c>
      <c r="H68" s="60">
        <v>626.10000000000014</v>
      </c>
      <c r="I68" s="60">
        <v>594.6</v>
      </c>
      <c r="J68" s="60">
        <v>754.30000000000007</v>
      </c>
      <c r="K68" s="60">
        <v>727.58</v>
      </c>
      <c r="L68" s="60">
        <v>722.9</v>
      </c>
      <c r="M68" s="60">
        <v>686.76999999999987</v>
      </c>
      <c r="N68" s="60">
        <v>775.8</v>
      </c>
      <c r="O68" s="60">
        <v>865.2</v>
      </c>
      <c r="P68" s="60">
        <v>962</v>
      </c>
      <c r="Q68" s="60">
        <v>968.9</v>
      </c>
      <c r="R68" s="60">
        <v>927</v>
      </c>
      <c r="S68" s="60">
        <v>563.20000000000005</v>
      </c>
      <c r="T68" s="60">
        <v>615.70000000000005</v>
      </c>
      <c r="U68" s="60">
        <v>626.1</v>
      </c>
      <c r="V68" s="60">
        <v>653.00000000000011</v>
      </c>
      <c r="W68" s="360">
        <v>662.4</v>
      </c>
      <c r="X68" s="60">
        <v>819.65</v>
      </c>
      <c r="Y68" s="60">
        <v>819.7399999999999</v>
      </c>
      <c r="Z68" s="60">
        <v>747.4</v>
      </c>
      <c r="AA68" s="60">
        <v>804.5</v>
      </c>
      <c r="AB68" s="60">
        <v>830.1</v>
      </c>
      <c r="AC68" s="60">
        <v>815.06</v>
      </c>
      <c r="AD68" s="360">
        <v>556.10000000000014</v>
      </c>
      <c r="AE68" s="60">
        <v>760.2</v>
      </c>
      <c r="AF68" s="360">
        <v>733.40000000000009</v>
      </c>
      <c r="AG68" s="291">
        <v>762.5</v>
      </c>
      <c r="AH68" s="117"/>
      <c r="AI68" s="131">
        <f>SUM(F68:AG68)</f>
        <v>20654.600000000002</v>
      </c>
    </row>
    <row r="69" spans="2:124 15090:15103">
      <c r="B69" s="302"/>
      <c r="C69" s="92"/>
      <c r="D69" s="74"/>
      <c r="E69" s="210" t="s">
        <v>12</v>
      </c>
      <c r="F69" s="365">
        <f t="shared" ref="F69:AG69" si="40">F68/(F31+F32)*100</f>
        <v>4.9505846726080271E-2</v>
      </c>
      <c r="G69" s="93">
        <f t="shared" si="40"/>
        <v>5.0864884480464508E-2</v>
      </c>
      <c r="H69" s="93">
        <f t="shared" si="40"/>
        <v>4.7558279971743049E-2</v>
      </c>
      <c r="I69" s="106">
        <f t="shared" si="40"/>
        <v>4.8424533142219582E-2</v>
      </c>
      <c r="J69" s="93">
        <f t="shared" si="40"/>
        <v>4.8177149864595578E-2</v>
      </c>
      <c r="K69" s="93">
        <f t="shared" si="40"/>
        <v>5.0033695966111486E-2</v>
      </c>
      <c r="L69" s="93">
        <f t="shared" si="40"/>
        <v>5.4654186953760543E-2</v>
      </c>
      <c r="M69" s="93">
        <f t="shared" si="40"/>
        <v>5.0249502458440641E-2</v>
      </c>
      <c r="N69" s="93">
        <f t="shared" si="40"/>
        <v>5.1580046141469472E-2</v>
      </c>
      <c r="O69" s="93">
        <f t="shared" si="40"/>
        <v>4.7291351236123332E-2</v>
      </c>
      <c r="P69" s="93">
        <f t="shared" si="40"/>
        <v>5.0097382646100003E-2</v>
      </c>
      <c r="Q69" s="93">
        <f t="shared" si="40"/>
        <v>5.0509052427447652E-2</v>
      </c>
      <c r="R69" s="93">
        <f t="shared" si="40"/>
        <v>5.1126210593659689E-2</v>
      </c>
      <c r="S69" s="93">
        <f t="shared" si="40"/>
        <v>4.6347043236392965E-2</v>
      </c>
      <c r="T69" s="93">
        <f t="shared" si="40"/>
        <v>4.7248868083800175E-2</v>
      </c>
      <c r="U69" s="93">
        <f t="shared" si="40"/>
        <v>4.608216919611971E-2</v>
      </c>
      <c r="V69" s="93">
        <f t="shared" si="40"/>
        <v>4.5341869362644692E-2</v>
      </c>
      <c r="W69" s="365">
        <f t="shared" si="40"/>
        <v>4.5888465535157602E-2</v>
      </c>
      <c r="X69" s="93">
        <f t="shared" si="40"/>
        <v>4.9210199266334853E-2</v>
      </c>
      <c r="Y69" s="93">
        <f t="shared" si="40"/>
        <v>4.9000842842711195E-2</v>
      </c>
      <c r="Z69" s="93">
        <f t="shared" si="40"/>
        <v>5.355786456467216E-2</v>
      </c>
      <c r="AA69" s="273">
        <f t="shared" si="40"/>
        <v>5.6851105928909615E-2</v>
      </c>
      <c r="AB69" s="93">
        <f t="shared" si="40"/>
        <v>5.3664244524320552E-2</v>
      </c>
      <c r="AC69" s="93">
        <f t="shared" si="40"/>
        <v>5.2425211132622801E-2</v>
      </c>
      <c r="AD69" s="379">
        <f t="shared" si="40"/>
        <v>5.1080676421688863E-2</v>
      </c>
      <c r="AE69" s="273">
        <f t="shared" si="40"/>
        <v>5.6255688839883675E-2</v>
      </c>
      <c r="AF69" s="365">
        <f t="shared" si="40"/>
        <v>4.9349985196350234E-2</v>
      </c>
      <c r="AG69" s="303">
        <f t="shared" si="40"/>
        <v>4.8898265955263698E-2</v>
      </c>
      <c r="AH69" s="2"/>
      <c r="AI69" s="133">
        <f>AI68/(AI31)*100</f>
        <v>5.0043126841370758E-2</v>
      </c>
      <c r="AK69" s="15">
        <f>AI69*10</f>
        <v>0.50043126841370755</v>
      </c>
    </row>
    <row r="70" spans="2:124 15090:15103" s="4" customFormat="1" ht="13.8">
      <c r="B70" s="304">
        <v>4</v>
      </c>
      <c r="C70" s="211" t="s">
        <v>59</v>
      </c>
      <c r="D70" s="95">
        <v>0.8</v>
      </c>
      <c r="E70" s="212" t="s">
        <v>12</v>
      </c>
      <c r="F70" s="366">
        <f t="shared" ref="F70:AG70" si="41">((SUM(F37:F38))-(SUM(F31:F32)))/(SUM(F31:F32))*100</f>
        <v>-0.79821594621505754</v>
      </c>
      <c r="G70" s="96">
        <f t="shared" si="41"/>
        <v>-0.79003870811660826</v>
      </c>
      <c r="H70" s="96">
        <f t="shared" si="41"/>
        <v>-0.78466224582032529</v>
      </c>
      <c r="I70" s="96">
        <f t="shared" si="41"/>
        <v>-0.7818289911962798</v>
      </c>
      <c r="J70" s="96">
        <f t="shared" si="41"/>
        <v>-0.7811302437279648</v>
      </c>
      <c r="K70" s="96">
        <f>((SUM(K37:K38))-(SUM(K31:K32)))/(SUM(K31:K32))*100</f>
        <v>-0.79838809500887098</v>
      </c>
      <c r="L70" s="96">
        <f t="shared" si="41"/>
        <v>-0.64339069162609241</v>
      </c>
      <c r="M70" s="96">
        <f t="shared" si="41"/>
        <v>-0.61973191290095997</v>
      </c>
      <c r="N70" s="96">
        <f t="shared" si="41"/>
        <v>-0.78786226704874107</v>
      </c>
      <c r="O70" s="96">
        <f t="shared" si="41"/>
        <v>-0.77835048728894618</v>
      </c>
      <c r="P70" s="96">
        <f t="shared" si="41"/>
        <v>-0.78166498286690345</v>
      </c>
      <c r="Q70" s="96">
        <f t="shared" si="41"/>
        <v>-0.77726284621038744</v>
      </c>
      <c r="R70" s="96">
        <f t="shared" si="41"/>
        <v>-0.7324229521939597</v>
      </c>
      <c r="S70" s="96">
        <f t="shared" si="41"/>
        <v>-0.62295297815961426</v>
      </c>
      <c r="T70" s="96">
        <f t="shared" si="41"/>
        <v>-0.77891182564653516</v>
      </c>
      <c r="U70" s="96">
        <f t="shared" si="41"/>
        <v>-0.77944445262243678</v>
      </c>
      <c r="V70" s="96">
        <f t="shared" si="41"/>
        <v>-0.79365630446405633</v>
      </c>
      <c r="W70" s="366">
        <f t="shared" si="41"/>
        <v>-0.79459646692067887</v>
      </c>
      <c r="X70" s="96">
        <f t="shared" si="41"/>
        <v>-0.74567275652763854</v>
      </c>
      <c r="Y70" s="96">
        <f t="shared" si="41"/>
        <v>-0.73703905171228579</v>
      </c>
      <c r="Z70" s="96">
        <f t="shared" si="41"/>
        <v>-0.66499462558222855</v>
      </c>
      <c r="AA70" s="96">
        <f t="shared" si="41"/>
        <v>-0.77521023249240328</v>
      </c>
      <c r="AB70" s="96">
        <f t="shared" si="41"/>
        <v>-0.61609474800237907</v>
      </c>
      <c r="AC70" s="96">
        <f t="shared" si="41"/>
        <v>-0.62069453467206104</v>
      </c>
      <c r="AD70" s="366">
        <f>((SUM(AD37:AD38))-(SUM(AD31:AD32)))/(SUM(AD31:AD32))*100</f>
        <v>-0.61634838840052542</v>
      </c>
      <c r="AE70" s="96">
        <f t="shared" si="41"/>
        <v>-0.6134696928211465</v>
      </c>
      <c r="AF70" s="366">
        <f t="shared" si="41"/>
        <v>-0.6244448631328553</v>
      </c>
      <c r="AG70" s="305">
        <f t="shared" si="41"/>
        <v>-0.62140878309049863</v>
      </c>
      <c r="AH70" s="134"/>
      <c r="AI70" s="135">
        <f>((SUM(AI37:AI38))-(SUM(AI31:AI32)))/(SUM(AI31:AI32))*100</f>
        <v>-0.72576659171962843</v>
      </c>
      <c r="AK70" s="136"/>
      <c r="DT70" s="275"/>
    </row>
    <row r="71" spans="2:124 15090:15103" s="4" customFormat="1" ht="13.8">
      <c r="B71" s="306"/>
      <c r="C71" s="204" t="s">
        <v>60</v>
      </c>
      <c r="D71" s="97">
        <v>22</v>
      </c>
      <c r="E71" s="205" t="s">
        <v>12</v>
      </c>
      <c r="F71" s="362">
        <v>21.32</v>
      </c>
      <c r="G71" s="84">
        <v>21.36</v>
      </c>
      <c r="H71" s="84">
        <v>21.4</v>
      </c>
      <c r="I71" s="84">
        <v>21.37</v>
      </c>
      <c r="J71" s="84">
        <v>21.36</v>
      </c>
      <c r="K71" s="84">
        <v>21.41</v>
      </c>
      <c r="L71" s="84">
        <v>21.39</v>
      </c>
      <c r="M71" s="84">
        <v>21.39</v>
      </c>
      <c r="N71" s="84">
        <v>21.42</v>
      </c>
      <c r="O71" s="84">
        <v>21.4</v>
      </c>
      <c r="P71" s="84">
        <v>21.37</v>
      </c>
      <c r="Q71" s="84">
        <v>21.38</v>
      </c>
      <c r="R71" s="84">
        <v>21.39</v>
      </c>
      <c r="S71" s="84">
        <v>21.35</v>
      </c>
      <c r="T71" s="84">
        <v>21.36</v>
      </c>
      <c r="U71" s="84">
        <v>21.37</v>
      </c>
      <c r="V71" s="84">
        <v>21.36</v>
      </c>
      <c r="W71" s="362">
        <v>21.35</v>
      </c>
      <c r="X71" s="84">
        <v>21.33</v>
      </c>
      <c r="Y71" s="84">
        <v>21.34</v>
      </c>
      <c r="Z71" s="84">
        <v>21.31</v>
      </c>
      <c r="AA71" s="84">
        <v>21.32</v>
      </c>
      <c r="AB71" s="84">
        <v>21.33</v>
      </c>
      <c r="AC71" s="84">
        <v>21.3</v>
      </c>
      <c r="AD71" s="362">
        <v>21.3</v>
      </c>
      <c r="AE71" s="84">
        <v>21.31</v>
      </c>
      <c r="AF71" s="362">
        <v>21.28</v>
      </c>
      <c r="AG71" s="299">
        <v>21.32</v>
      </c>
      <c r="AH71" s="121"/>
      <c r="AI71" s="137">
        <f>AVERAGE(F71:AG71)</f>
        <v>21.353214285714284</v>
      </c>
      <c r="AK71" s="136"/>
      <c r="DT71" s="275"/>
    </row>
    <row r="72" spans="2:124 15090:15103" s="4" customFormat="1" ht="13.8">
      <c r="B72" s="307"/>
      <c r="C72" s="213" t="s">
        <v>61</v>
      </c>
      <c r="D72" s="74"/>
      <c r="E72" s="214" t="s">
        <v>9</v>
      </c>
      <c r="F72" s="362">
        <f t="shared" ref="F72:AG72" si="42">SUM(F64,F66)+(F71%*SUM(F64,F66))</f>
        <v>19530.0936</v>
      </c>
      <c r="G72" s="84">
        <f t="shared" si="42"/>
        <v>14555.9184</v>
      </c>
      <c r="H72" s="84">
        <f t="shared" si="42"/>
        <v>11970.04</v>
      </c>
      <c r="I72" s="84">
        <f t="shared" si="42"/>
        <v>11730.4105</v>
      </c>
      <c r="J72" s="84">
        <f>SUM(J64,J66)+(J71%*SUM(J64,J66))</f>
        <v>15143.300800000001</v>
      </c>
      <c r="K72" s="84">
        <f t="shared" si="42"/>
        <v>18210.285899999999</v>
      </c>
      <c r="L72" s="84">
        <f t="shared" si="42"/>
        <v>16391.291700000002</v>
      </c>
      <c r="M72" s="84">
        <f t="shared" si="42"/>
        <v>13197.5208</v>
      </c>
      <c r="N72" s="84">
        <f t="shared" si="42"/>
        <v>11462.048000000001</v>
      </c>
      <c r="O72" s="84">
        <f t="shared" si="42"/>
        <v>13985.279999999999</v>
      </c>
      <c r="P72" s="84">
        <f t="shared" si="42"/>
        <v>14108.0488</v>
      </c>
      <c r="Q72" s="84">
        <f t="shared" si="42"/>
        <v>14274.288</v>
      </c>
      <c r="R72" s="84">
        <f t="shared" si="42"/>
        <v>18781.460800000001</v>
      </c>
      <c r="S72" s="84">
        <f t="shared" si="42"/>
        <v>10921.5</v>
      </c>
      <c r="T72" s="84">
        <f t="shared" si="42"/>
        <v>10767.0592</v>
      </c>
      <c r="U72" s="84">
        <f t="shared" si="42"/>
        <v>10272.756799999999</v>
      </c>
      <c r="V72" s="84">
        <f t="shared" si="42"/>
        <v>11708.8128</v>
      </c>
      <c r="W72" s="362">
        <f t="shared" si="42"/>
        <v>14222.220000000001</v>
      </c>
      <c r="X72" s="84">
        <f t="shared" si="42"/>
        <v>14938.149600000001</v>
      </c>
      <c r="Y72" s="84">
        <f>SUM(Y64,Y66)+(Y71%*SUM(Y64,Y66))</f>
        <v>17443.838400000001</v>
      </c>
      <c r="Z72" s="84">
        <f t="shared" si="42"/>
        <v>25358.642400000001</v>
      </c>
      <c r="AA72" s="84">
        <f t="shared" si="42"/>
        <v>27175.68</v>
      </c>
      <c r="AB72" s="84">
        <f t="shared" si="42"/>
        <v>33768.565600000002</v>
      </c>
      <c r="AC72" s="84">
        <f t="shared" si="42"/>
        <v>29199.335999999999</v>
      </c>
      <c r="AD72" s="362">
        <f t="shared" si="42"/>
        <v>9966.0079999999998</v>
      </c>
      <c r="AE72" s="84">
        <f t="shared" si="42"/>
        <v>13101.48</v>
      </c>
      <c r="AF72" s="362">
        <f t="shared" si="42"/>
        <v>14388.6592</v>
      </c>
      <c r="AG72" s="299">
        <f t="shared" si="42"/>
        <v>15150.4416</v>
      </c>
      <c r="AH72" s="121"/>
      <c r="AI72" s="137">
        <f>SUM(AI64,AI66)+(AI71%*SUM(AI64,AI66))</f>
        <v>451740.980775</v>
      </c>
      <c r="AJ72" s="243"/>
      <c r="AK72" s="136"/>
      <c r="DT72" s="275"/>
    </row>
    <row r="73" spans="2:124 15090:15103" hidden="1">
      <c r="B73" s="287">
        <v>5</v>
      </c>
      <c r="C73" s="36" t="s">
        <v>62</v>
      </c>
      <c r="D73" s="55"/>
      <c r="E73" s="55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103"/>
      <c r="AD73" s="56"/>
      <c r="AE73" s="56"/>
      <c r="AF73" s="56"/>
      <c r="AG73" s="288"/>
      <c r="AH73" s="107"/>
      <c r="AI73" s="203" t="s">
        <v>63</v>
      </c>
    </row>
    <row r="74" spans="2:124 15090:15103" s="5" customFormat="1" ht="13.8" hidden="1">
      <c r="B74" s="289"/>
      <c r="C74" s="139" t="s">
        <v>64</v>
      </c>
      <c r="D74" s="140"/>
      <c r="E74" s="141" t="s">
        <v>9</v>
      </c>
      <c r="F74" s="367">
        <v>118901</v>
      </c>
      <c r="G74" s="142">
        <v>123201</v>
      </c>
      <c r="H74" s="142">
        <v>125607</v>
      </c>
      <c r="I74" s="142">
        <v>90725</v>
      </c>
      <c r="J74" s="142">
        <v>81607</v>
      </c>
      <c r="K74" s="142">
        <v>61652</v>
      </c>
      <c r="L74" s="142">
        <v>82182</v>
      </c>
      <c r="M74" s="142">
        <v>128307</v>
      </c>
      <c r="N74" s="142">
        <v>105125</v>
      </c>
      <c r="O74" s="142">
        <v>99951</v>
      </c>
      <c r="P74" s="142">
        <v>87093</v>
      </c>
      <c r="Q74" s="142">
        <v>102254</v>
      </c>
      <c r="R74" s="142">
        <v>87476</v>
      </c>
      <c r="S74" s="142">
        <v>73283</v>
      </c>
      <c r="T74" s="142">
        <v>109788</v>
      </c>
      <c r="U74" s="142">
        <v>115405</v>
      </c>
      <c r="V74" s="142">
        <v>116667</v>
      </c>
      <c r="W74" s="367">
        <v>134040</v>
      </c>
      <c r="X74" s="142">
        <v>77205</v>
      </c>
      <c r="Y74" s="142">
        <v>80253</v>
      </c>
      <c r="Z74" s="142">
        <v>72748</v>
      </c>
      <c r="AA74" s="142">
        <v>118107</v>
      </c>
      <c r="AB74" s="142">
        <v>103066</v>
      </c>
      <c r="AC74" s="142">
        <v>120978</v>
      </c>
      <c r="AD74" s="367">
        <v>98665</v>
      </c>
      <c r="AE74" s="142">
        <v>115135</v>
      </c>
      <c r="AF74" s="367">
        <v>86954</v>
      </c>
      <c r="AG74" s="308">
        <v>127270</v>
      </c>
      <c r="AH74" s="155"/>
      <c r="AI74" s="156">
        <f>SUM(F74:AG74)</f>
        <v>2843645</v>
      </c>
      <c r="AJ74" s="328"/>
      <c r="AK74" s="157"/>
      <c r="BZ74" s="155"/>
      <c r="DT74" s="239"/>
    </row>
    <row r="75" spans="2:124 15090:15103" s="1" customFormat="1" ht="13.8" hidden="1">
      <c r="B75" s="295"/>
      <c r="C75" s="215" t="s">
        <v>65</v>
      </c>
      <c r="D75" s="143"/>
      <c r="E75" s="216" t="s">
        <v>9</v>
      </c>
      <c r="F75" s="361">
        <v>115678.015</v>
      </c>
      <c r="G75" s="233">
        <v>115688.875</v>
      </c>
      <c r="H75" s="68">
        <v>114178.42499999999</v>
      </c>
      <c r="I75" s="68">
        <v>0</v>
      </c>
      <c r="J75" s="235">
        <v>71757.45</v>
      </c>
      <c r="K75" s="68">
        <v>58649.43</v>
      </c>
      <c r="L75" s="68">
        <v>115666.245</v>
      </c>
      <c r="M75" s="68">
        <v>115688.875</v>
      </c>
      <c r="N75" s="234">
        <v>110595.535</v>
      </c>
      <c r="O75" s="234">
        <v>78805.59</v>
      </c>
      <c r="P75" s="68">
        <v>38010</v>
      </c>
      <c r="Q75" s="68">
        <v>77111.429999999993</v>
      </c>
      <c r="R75" s="68">
        <v>58648.525000000001</v>
      </c>
      <c r="S75" s="235">
        <v>115678.015</v>
      </c>
      <c r="T75" s="68">
        <v>115699.735</v>
      </c>
      <c r="U75" s="233">
        <v>115667.155</v>
      </c>
      <c r="V75" s="68">
        <v>115699.72500000001</v>
      </c>
      <c r="W75" s="382">
        <v>0</v>
      </c>
      <c r="X75" s="68">
        <v>77144.009999999995</v>
      </c>
      <c r="Y75" s="68">
        <v>58649.43</v>
      </c>
      <c r="Z75" s="68">
        <v>116003.815</v>
      </c>
      <c r="AA75" s="68">
        <v>115687.965</v>
      </c>
      <c r="AB75" s="233">
        <v>115678.015</v>
      </c>
      <c r="AC75" s="68">
        <v>115678.015</v>
      </c>
      <c r="AD75" s="361">
        <v>0</v>
      </c>
      <c r="AE75" s="68">
        <v>77122.289999999994</v>
      </c>
      <c r="AF75" s="361">
        <v>91753.43</v>
      </c>
      <c r="AG75" s="294">
        <v>115699.735</v>
      </c>
      <c r="AH75" s="158"/>
      <c r="AI75" s="156">
        <f>SUM(F75:AG75)</f>
        <v>2416639.73</v>
      </c>
      <c r="AJ75" s="240"/>
      <c r="AK75" s="118"/>
      <c r="DT75" s="227"/>
    </row>
    <row r="76" spans="2:124 15090:15103" s="1" customFormat="1" hidden="1">
      <c r="B76" s="295"/>
      <c r="C76" s="217" t="s">
        <v>66</v>
      </c>
      <c r="D76" s="74"/>
      <c r="E76" s="206" t="s">
        <v>9</v>
      </c>
      <c r="F76" s="362">
        <f t="shared" ref="F76:AG76" si="43">SUM(F80:F81)*10.86</f>
        <v>115669.86</v>
      </c>
      <c r="G76" s="84">
        <f t="shared" si="43"/>
        <v>115680.72</v>
      </c>
      <c r="H76" s="84">
        <f t="shared" si="43"/>
        <v>114171.18</v>
      </c>
      <c r="I76" s="84">
        <f t="shared" si="43"/>
        <v>0</v>
      </c>
      <c r="J76" s="84">
        <f t="shared" si="43"/>
        <v>71752.01999999999</v>
      </c>
      <c r="K76" s="84">
        <f t="shared" si="43"/>
        <v>58644</v>
      </c>
      <c r="L76" s="84">
        <f t="shared" si="43"/>
        <v>115659</v>
      </c>
      <c r="M76" s="84">
        <f t="shared" si="43"/>
        <v>115680.72</v>
      </c>
      <c r="N76" s="84">
        <f t="shared" si="43"/>
        <v>110587.37999999999</v>
      </c>
      <c r="O76" s="84">
        <f t="shared" si="43"/>
        <v>78800.159999999989</v>
      </c>
      <c r="P76" s="84">
        <f t="shared" si="43"/>
        <v>38010</v>
      </c>
      <c r="Q76" s="84">
        <f t="shared" si="43"/>
        <v>77106</v>
      </c>
      <c r="R76" s="84">
        <f t="shared" si="43"/>
        <v>58644</v>
      </c>
      <c r="S76" s="84">
        <f t="shared" si="43"/>
        <v>115669.86</v>
      </c>
      <c r="T76" s="84">
        <f t="shared" si="43"/>
        <v>115691.57999999999</v>
      </c>
      <c r="U76" s="84">
        <f t="shared" si="43"/>
        <v>115659</v>
      </c>
      <c r="V76" s="84">
        <f t="shared" si="43"/>
        <v>115691.57999999999</v>
      </c>
      <c r="W76" s="362">
        <f t="shared" si="43"/>
        <v>0</v>
      </c>
      <c r="X76" s="84">
        <f t="shared" si="43"/>
        <v>77138.58</v>
      </c>
      <c r="Y76" s="84">
        <f t="shared" si="43"/>
        <v>58644</v>
      </c>
      <c r="Z76" s="84">
        <f t="shared" si="43"/>
        <v>115995.65999999999</v>
      </c>
      <c r="AA76" s="84">
        <f t="shared" si="43"/>
        <v>115680.72</v>
      </c>
      <c r="AB76" s="84">
        <f t="shared" si="43"/>
        <v>115669.86</v>
      </c>
      <c r="AC76" s="84">
        <f t="shared" si="43"/>
        <v>115669.86</v>
      </c>
      <c r="AD76" s="362">
        <f t="shared" si="43"/>
        <v>0</v>
      </c>
      <c r="AE76" s="84">
        <f t="shared" si="43"/>
        <v>77116.86</v>
      </c>
      <c r="AF76" s="381">
        <f t="shared" si="43"/>
        <v>91745.279999999999</v>
      </c>
      <c r="AG76" s="299">
        <f t="shared" si="43"/>
        <v>115691.57999999999</v>
      </c>
      <c r="AH76" s="117"/>
      <c r="AI76" s="119">
        <f>SUM(F76:AG76)</f>
        <v>2416469.46</v>
      </c>
      <c r="AJ76" s="16"/>
      <c r="AK76" s="118"/>
      <c r="DT76" s="227"/>
    </row>
    <row r="77" spans="2:124 15090:15103" s="1" customFormat="1" hidden="1">
      <c r="B77" s="295"/>
      <c r="C77" s="217" t="s">
        <v>67</v>
      </c>
      <c r="D77" s="74"/>
      <c r="E77" s="206" t="s">
        <v>9</v>
      </c>
      <c r="F77" s="362">
        <f>F75-F76</f>
        <v>8.1549999999988358</v>
      </c>
      <c r="G77" s="84">
        <f t="shared" ref="G77:AG77" si="44">G75-G76</f>
        <v>8.1549999999988358</v>
      </c>
      <c r="H77" s="84">
        <f t="shared" si="44"/>
        <v>7.2449999999953434</v>
      </c>
      <c r="I77" s="84">
        <f t="shared" si="44"/>
        <v>0</v>
      </c>
      <c r="J77" s="84">
        <f t="shared" si="44"/>
        <v>5.430000000007567</v>
      </c>
      <c r="K77" s="84">
        <f t="shared" si="44"/>
        <v>5.430000000000291</v>
      </c>
      <c r="L77" s="84">
        <f t="shared" si="44"/>
        <v>7.2449999999953434</v>
      </c>
      <c r="M77" s="84">
        <f t="shared" si="44"/>
        <v>8.1549999999988358</v>
      </c>
      <c r="N77" s="84">
        <f t="shared" si="44"/>
        <v>8.1550000000133878</v>
      </c>
      <c r="O77" s="84">
        <f t="shared" si="44"/>
        <v>5.430000000007567</v>
      </c>
      <c r="P77" s="84">
        <f t="shared" si="44"/>
        <v>0</v>
      </c>
      <c r="Q77" s="84">
        <f t="shared" si="44"/>
        <v>5.4299999999930151</v>
      </c>
      <c r="R77" s="84">
        <f t="shared" si="44"/>
        <v>4.5250000000014552</v>
      </c>
      <c r="S77" s="84">
        <f t="shared" si="44"/>
        <v>8.1549999999988358</v>
      </c>
      <c r="T77" s="84">
        <f t="shared" si="44"/>
        <v>8.1550000000133878</v>
      </c>
      <c r="U77" s="84">
        <f t="shared" si="44"/>
        <v>8.1549999999988358</v>
      </c>
      <c r="V77" s="84">
        <f t="shared" si="44"/>
        <v>8.1450000000186265</v>
      </c>
      <c r="W77" s="362">
        <f t="shared" si="44"/>
        <v>0</v>
      </c>
      <c r="X77" s="84">
        <f t="shared" si="44"/>
        <v>5.4299999999930151</v>
      </c>
      <c r="Y77" s="84">
        <f t="shared" si="44"/>
        <v>5.430000000000291</v>
      </c>
      <c r="Z77" s="84">
        <f t="shared" si="44"/>
        <v>8.1550000000133878</v>
      </c>
      <c r="AA77" s="84">
        <f t="shared" si="44"/>
        <v>7.2449999999953434</v>
      </c>
      <c r="AB77" s="84">
        <f t="shared" si="44"/>
        <v>8.1549999999988358</v>
      </c>
      <c r="AC77" s="84">
        <f t="shared" si="44"/>
        <v>8.1549999999988358</v>
      </c>
      <c r="AD77" s="362">
        <f t="shared" si="44"/>
        <v>0</v>
      </c>
      <c r="AE77" s="84">
        <f t="shared" si="44"/>
        <v>5.4299999999930151</v>
      </c>
      <c r="AF77" s="362">
        <f t="shared" si="44"/>
        <v>8.1499999999941792</v>
      </c>
      <c r="AG77" s="299">
        <f t="shared" si="44"/>
        <v>8.1550000000133878</v>
      </c>
      <c r="AH77" s="117"/>
      <c r="AI77" s="119">
        <f>SUM(F77:AG77)</f>
        <v>170.27000000004045</v>
      </c>
      <c r="AK77" s="118"/>
      <c r="DT77" s="227"/>
    </row>
    <row r="78" spans="2:124 15090:15103" s="1" customFormat="1" hidden="1">
      <c r="B78" s="295"/>
      <c r="C78" s="217" t="s">
        <v>139</v>
      </c>
      <c r="D78" s="74"/>
      <c r="E78" s="70" t="s">
        <v>9</v>
      </c>
      <c r="F78" s="362">
        <v>0</v>
      </c>
      <c r="G78" s="84">
        <v>102.26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6.56</v>
      </c>
      <c r="T78" s="84">
        <v>0</v>
      </c>
      <c r="U78" s="84">
        <v>0</v>
      </c>
      <c r="V78" s="84">
        <v>0</v>
      </c>
      <c r="W78" s="362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362">
        <v>0</v>
      </c>
      <c r="AE78" s="84">
        <v>460</v>
      </c>
      <c r="AF78" s="362">
        <v>0</v>
      </c>
      <c r="AG78" s="299">
        <v>0</v>
      </c>
      <c r="AH78" s="117"/>
      <c r="AI78" s="119">
        <f>SUM(F78:AG78)</f>
        <v>568.82000000000005</v>
      </c>
      <c r="AK78" s="118"/>
      <c r="DT78" s="227"/>
    </row>
    <row r="79" spans="2:124 15090:15103" s="1" customFormat="1" hidden="1">
      <c r="B79" s="295"/>
      <c r="C79" s="217" t="s">
        <v>68</v>
      </c>
      <c r="D79" s="74"/>
      <c r="E79" s="70"/>
      <c r="F79" s="3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360"/>
      <c r="X79" s="60"/>
      <c r="Y79" s="60"/>
      <c r="Z79" s="60"/>
      <c r="AA79" s="60"/>
      <c r="AB79" s="60"/>
      <c r="AC79" s="60"/>
      <c r="AD79" s="360"/>
      <c r="AE79" s="60"/>
      <c r="AF79" s="360"/>
      <c r="AG79" s="291"/>
      <c r="AH79" s="117"/>
      <c r="AI79" s="122" t="s">
        <v>68</v>
      </c>
      <c r="AK79" s="118"/>
      <c r="DT79" s="227"/>
    </row>
    <row r="80" spans="2:124 15090:15103" s="6" customFormat="1" ht="13.8" hidden="1">
      <c r="B80" s="297"/>
      <c r="C80" s="218" t="s">
        <v>69</v>
      </c>
      <c r="D80" s="41"/>
      <c r="E80" s="219" t="s">
        <v>70</v>
      </c>
      <c r="F80" s="368">
        <v>3550</v>
      </c>
      <c r="G80" s="145">
        <v>3550</v>
      </c>
      <c r="H80" s="145">
        <v>3412</v>
      </c>
      <c r="I80" s="145">
        <v>0</v>
      </c>
      <c r="J80" s="145">
        <v>6607</v>
      </c>
      <c r="K80" s="145">
        <v>0</v>
      </c>
      <c r="L80" s="145">
        <v>3550</v>
      </c>
      <c r="M80" s="145">
        <v>3550</v>
      </c>
      <c r="N80" s="145">
        <v>3082</v>
      </c>
      <c r="O80" s="145">
        <v>7256</v>
      </c>
      <c r="P80" s="145">
        <v>0</v>
      </c>
      <c r="Q80" s="145">
        <v>7100</v>
      </c>
      <c r="R80" s="145">
        <v>0</v>
      </c>
      <c r="S80" s="145">
        <v>3551</v>
      </c>
      <c r="T80" s="145">
        <v>3550</v>
      </c>
      <c r="U80" s="145">
        <v>3550</v>
      </c>
      <c r="V80" s="145">
        <v>3550</v>
      </c>
      <c r="W80" s="368">
        <v>0</v>
      </c>
      <c r="X80" s="145">
        <v>7103</v>
      </c>
      <c r="Y80" s="145">
        <v>0</v>
      </c>
      <c r="Z80" s="145">
        <v>3550</v>
      </c>
      <c r="AA80" s="145">
        <v>3550</v>
      </c>
      <c r="AB80" s="145">
        <v>3550</v>
      </c>
      <c r="AC80" s="145">
        <v>3550</v>
      </c>
      <c r="AD80" s="368">
        <v>0</v>
      </c>
      <c r="AE80" s="145">
        <v>7101</v>
      </c>
      <c r="AF80" s="368">
        <v>0</v>
      </c>
      <c r="AG80" s="309">
        <v>3552</v>
      </c>
      <c r="AH80" s="124"/>
      <c r="AI80" s="116">
        <f>SUM(F80:AG80)</f>
        <v>87814</v>
      </c>
      <c r="AK80" s="159"/>
      <c r="DT80" s="270"/>
    </row>
    <row r="81" spans="2:124" s="6" customFormat="1" ht="13.8" hidden="1">
      <c r="B81" s="297"/>
      <c r="C81" s="218" t="s">
        <v>71</v>
      </c>
      <c r="D81" s="41"/>
      <c r="E81" s="219" t="s">
        <v>70</v>
      </c>
      <c r="F81" s="368">
        <v>7101</v>
      </c>
      <c r="G81" s="145">
        <v>7102</v>
      </c>
      <c r="H81" s="145">
        <v>7101</v>
      </c>
      <c r="I81" s="145">
        <v>0</v>
      </c>
      <c r="J81" s="145">
        <v>0</v>
      </c>
      <c r="K81" s="145">
        <v>5400</v>
      </c>
      <c r="L81" s="145">
        <v>7100</v>
      </c>
      <c r="M81" s="145">
        <v>7102</v>
      </c>
      <c r="N81" s="145">
        <v>7101</v>
      </c>
      <c r="O81" s="145">
        <v>0</v>
      </c>
      <c r="P81" s="145">
        <v>3500</v>
      </c>
      <c r="Q81" s="145">
        <v>0</v>
      </c>
      <c r="R81" s="145">
        <v>5400</v>
      </c>
      <c r="S81" s="145">
        <v>7100</v>
      </c>
      <c r="T81" s="145">
        <v>7103</v>
      </c>
      <c r="U81" s="145">
        <v>7100</v>
      </c>
      <c r="V81" s="145">
        <v>7103</v>
      </c>
      <c r="W81" s="368">
        <v>0</v>
      </c>
      <c r="X81" s="145">
        <v>0</v>
      </c>
      <c r="Y81" s="145">
        <v>5400</v>
      </c>
      <c r="Z81" s="145">
        <v>7131</v>
      </c>
      <c r="AA81" s="145">
        <v>7102</v>
      </c>
      <c r="AB81" s="145">
        <v>7101</v>
      </c>
      <c r="AC81" s="145">
        <v>7101</v>
      </c>
      <c r="AD81" s="368">
        <v>0</v>
      </c>
      <c r="AE81" s="145">
        <v>0</v>
      </c>
      <c r="AF81" s="368">
        <v>8448</v>
      </c>
      <c r="AG81" s="309">
        <v>7101</v>
      </c>
      <c r="AH81" s="124"/>
      <c r="AI81" s="116">
        <f>SUM(F81:AG81)</f>
        <v>134697</v>
      </c>
      <c r="AK81" s="159"/>
      <c r="DT81" s="270"/>
    </row>
    <row r="82" spans="2:124" s="1" customFormat="1" hidden="1">
      <c r="B82" s="295"/>
      <c r="C82" s="217" t="s">
        <v>72</v>
      </c>
      <c r="D82" s="74"/>
      <c r="E82" s="70"/>
      <c r="F82" s="3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360"/>
      <c r="X82" s="60"/>
      <c r="Y82" s="60"/>
      <c r="Z82" s="60"/>
      <c r="AA82" s="60"/>
      <c r="AB82" s="60"/>
      <c r="AC82" s="60"/>
      <c r="AD82" s="360"/>
      <c r="AE82" s="60"/>
      <c r="AF82" s="360"/>
      <c r="AG82" s="291"/>
      <c r="AH82" s="117"/>
      <c r="AI82" s="122" t="s">
        <v>72</v>
      </c>
      <c r="AK82" s="118"/>
      <c r="DT82" s="227"/>
    </row>
    <row r="83" spans="2:124" s="1" customFormat="1" ht="13.8" hidden="1">
      <c r="B83" s="295"/>
      <c r="C83" s="199" t="s">
        <v>69</v>
      </c>
      <c r="D83" s="74"/>
      <c r="E83" s="206" t="s">
        <v>72</v>
      </c>
      <c r="F83" s="360">
        <f t="shared" ref="F83:AG83" si="45">F80*12</f>
        <v>42600</v>
      </c>
      <c r="G83" s="60">
        <f t="shared" si="45"/>
        <v>42600</v>
      </c>
      <c r="H83" s="60">
        <f t="shared" si="45"/>
        <v>40944</v>
      </c>
      <c r="I83" s="60">
        <f t="shared" si="45"/>
        <v>0</v>
      </c>
      <c r="J83" s="60">
        <f t="shared" si="45"/>
        <v>79284</v>
      </c>
      <c r="K83" s="60">
        <f t="shared" si="45"/>
        <v>0</v>
      </c>
      <c r="L83" s="60">
        <f t="shared" si="45"/>
        <v>42600</v>
      </c>
      <c r="M83" s="60">
        <f t="shared" si="45"/>
        <v>42600</v>
      </c>
      <c r="N83" s="60">
        <f t="shared" si="45"/>
        <v>36984</v>
      </c>
      <c r="O83" s="60">
        <f t="shared" si="45"/>
        <v>87072</v>
      </c>
      <c r="P83" s="60">
        <f t="shared" si="45"/>
        <v>0</v>
      </c>
      <c r="Q83" s="60">
        <f t="shared" si="45"/>
        <v>85200</v>
      </c>
      <c r="R83" s="60">
        <f t="shared" si="45"/>
        <v>0</v>
      </c>
      <c r="S83" s="60">
        <f t="shared" si="45"/>
        <v>42612</v>
      </c>
      <c r="T83" s="60">
        <f t="shared" si="45"/>
        <v>42600</v>
      </c>
      <c r="U83" s="60">
        <f t="shared" si="45"/>
        <v>42600</v>
      </c>
      <c r="V83" s="60">
        <f t="shared" si="45"/>
        <v>42600</v>
      </c>
      <c r="W83" s="360">
        <f t="shared" si="45"/>
        <v>0</v>
      </c>
      <c r="X83" s="60">
        <f t="shared" si="45"/>
        <v>85236</v>
      </c>
      <c r="Y83" s="60">
        <f t="shared" si="45"/>
        <v>0</v>
      </c>
      <c r="Z83" s="60">
        <f t="shared" si="45"/>
        <v>42600</v>
      </c>
      <c r="AA83" s="60">
        <f t="shared" si="45"/>
        <v>42600</v>
      </c>
      <c r="AB83" s="60">
        <f t="shared" si="45"/>
        <v>42600</v>
      </c>
      <c r="AC83" s="60">
        <f t="shared" si="45"/>
        <v>42600</v>
      </c>
      <c r="AD83" s="360">
        <f t="shared" si="45"/>
        <v>0</v>
      </c>
      <c r="AE83" s="60">
        <f t="shared" si="45"/>
        <v>85212</v>
      </c>
      <c r="AF83" s="360">
        <f t="shared" si="45"/>
        <v>0</v>
      </c>
      <c r="AG83" s="291">
        <f t="shared" si="45"/>
        <v>42624</v>
      </c>
      <c r="AH83" s="117"/>
      <c r="AI83" s="116">
        <f>AI80*12</f>
        <v>1053768</v>
      </c>
      <c r="AK83" s="118"/>
      <c r="DT83" s="227"/>
    </row>
    <row r="84" spans="2:124" s="1" customFormat="1" ht="13.8" hidden="1">
      <c r="B84" s="295"/>
      <c r="C84" s="199" t="s">
        <v>71</v>
      </c>
      <c r="D84" s="74"/>
      <c r="E84" s="206" t="s">
        <v>72</v>
      </c>
      <c r="F84" s="360">
        <f t="shared" ref="F84:AG84" si="46">F81*6</f>
        <v>42606</v>
      </c>
      <c r="G84" s="60">
        <f t="shared" si="46"/>
        <v>42612</v>
      </c>
      <c r="H84" s="60">
        <v>0</v>
      </c>
      <c r="I84" s="60">
        <f t="shared" si="46"/>
        <v>0</v>
      </c>
      <c r="J84" s="60">
        <f t="shared" si="46"/>
        <v>0</v>
      </c>
      <c r="K84" s="60">
        <f t="shared" si="46"/>
        <v>32400</v>
      </c>
      <c r="L84" s="60">
        <f t="shared" si="46"/>
        <v>42600</v>
      </c>
      <c r="M84" s="60">
        <f t="shared" si="46"/>
        <v>42612</v>
      </c>
      <c r="N84" s="60">
        <f t="shared" si="46"/>
        <v>42606</v>
      </c>
      <c r="O84" s="60">
        <f t="shared" si="46"/>
        <v>0</v>
      </c>
      <c r="P84" s="60">
        <f t="shared" si="46"/>
        <v>21000</v>
      </c>
      <c r="Q84" s="60">
        <f t="shared" si="46"/>
        <v>0</v>
      </c>
      <c r="R84" s="60">
        <f t="shared" si="46"/>
        <v>32400</v>
      </c>
      <c r="S84" s="60">
        <f t="shared" si="46"/>
        <v>42600</v>
      </c>
      <c r="T84" s="60">
        <f t="shared" si="46"/>
        <v>42618</v>
      </c>
      <c r="U84" s="60">
        <f t="shared" si="46"/>
        <v>42600</v>
      </c>
      <c r="V84" s="60">
        <f t="shared" si="46"/>
        <v>42618</v>
      </c>
      <c r="W84" s="360">
        <f t="shared" si="46"/>
        <v>0</v>
      </c>
      <c r="X84" s="60">
        <f t="shared" si="46"/>
        <v>0</v>
      </c>
      <c r="Y84" s="60">
        <f t="shared" si="46"/>
        <v>32400</v>
      </c>
      <c r="Z84" s="60">
        <f t="shared" si="46"/>
        <v>42786</v>
      </c>
      <c r="AA84" s="60">
        <f t="shared" si="46"/>
        <v>42612</v>
      </c>
      <c r="AB84" s="60">
        <f t="shared" si="46"/>
        <v>42606</v>
      </c>
      <c r="AC84" s="60">
        <f t="shared" si="46"/>
        <v>42606</v>
      </c>
      <c r="AD84" s="360">
        <f t="shared" si="46"/>
        <v>0</v>
      </c>
      <c r="AE84" s="60">
        <f t="shared" si="46"/>
        <v>0</v>
      </c>
      <c r="AF84" s="360">
        <f t="shared" si="46"/>
        <v>50688</v>
      </c>
      <c r="AG84" s="291">
        <f t="shared" si="46"/>
        <v>42606</v>
      </c>
      <c r="AH84" s="117"/>
      <c r="AI84" s="116">
        <f>AI81*6</f>
        <v>808182</v>
      </c>
      <c r="AK84" s="118"/>
      <c r="DT84" s="227"/>
    </row>
    <row r="85" spans="2:124" s="1" customFormat="1" hidden="1">
      <c r="B85" s="295"/>
      <c r="C85" s="217" t="s">
        <v>73</v>
      </c>
      <c r="D85" s="74"/>
      <c r="E85" s="206" t="s">
        <v>74</v>
      </c>
      <c r="F85" s="369">
        <f>(F75*45)/1700</f>
        <v>3062.0651029411765</v>
      </c>
      <c r="G85" s="146">
        <f>(G75*45)/1700</f>
        <v>3062.352573529412</v>
      </c>
      <c r="H85" s="146">
        <f t="shared" ref="H85:AF85" si="47">(H75*45)/1700</f>
        <v>3022.370073529411</v>
      </c>
      <c r="I85" s="146">
        <f t="shared" si="47"/>
        <v>0</v>
      </c>
      <c r="J85" s="146">
        <f t="shared" si="47"/>
        <v>1899.461911764706</v>
      </c>
      <c r="K85" s="146">
        <f t="shared" si="47"/>
        <v>1552.4849117647059</v>
      </c>
      <c r="L85" s="146">
        <f t="shared" si="47"/>
        <v>3061.7535441176469</v>
      </c>
      <c r="M85" s="146">
        <f t="shared" si="47"/>
        <v>3062.352573529412</v>
      </c>
      <c r="N85" s="146">
        <f t="shared" si="47"/>
        <v>2927.5288676470591</v>
      </c>
      <c r="O85" s="146">
        <f t="shared" si="47"/>
        <v>2086.0303235294118</v>
      </c>
      <c r="P85" s="146">
        <f t="shared" si="47"/>
        <v>1006.1470588235294</v>
      </c>
      <c r="Q85" s="146">
        <f t="shared" si="47"/>
        <v>2041.1849117647057</v>
      </c>
      <c r="R85" s="146">
        <f t="shared" si="47"/>
        <v>1552.4609558823529</v>
      </c>
      <c r="S85" s="146">
        <f t="shared" si="47"/>
        <v>3062.0651029411765</v>
      </c>
      <c r="T85" s="146">
        <f t="shared" si="47"/>
        <v>3062.640044117647</v>
      </c>
      <c r="U85" s="146">
        <f t="shared" si="47"/>
        <v>3061.7776323529411</v>
      </c>
      <c r="V85" s="146">
        <f t="shared" si="47"/>
        <v>3062.6397794117647</v>
      </c>
      <c r="W85" s="369">
        <f t="shared" si="47"/>
        <v>0</v>
      </c>
      <c r="X85" s="146">
        <f t="shared" si="47"/>
        <v>2042.0473235294116</v>
      </c>
      <c r="Y85" s="146">
        <f t="shared" si="47"/>
        <v>1552.4849117647059</v>
      </c>
      <c r="Z85" s="146">
        <f t="shared" si="47"/>
        <v>3070.689220588235</v>
      </c>
      <c r="AA85" s="146">
        <f t="shared" si="47"/>
        <v>3062.3284852941174</v>
      </c>
      <c r="AB85" s="146">
        <f t="shared" si="47"/>
        <v>3062.0651029411765</v>
      </c>
      <c r="AC85" s="146">
        <f t="shared" si="47"/>
        <v>3062.0651029411765</v>
      </c>
      <c r="AD85" s="369">
        <f>(AD75*45)/1700</f>
        <v>0</v>
      </c>
      <c r="AE85" s="146">
        <f t="shared" si="47"/>
        <v>2041.4723823529412</v>
      </c>
      <c r="AF85" s="369">
        <f t="shared" si="47"/>
        <v>2428.7672647058821</v>
      </c>
      <c r="AG85" s="310">
        <f>(AG75*45)/1700</f>
        <v>3062.640044117647</v>
      </c>
      <c r="AH85" s="117"/>
      <c r="AI85" s="116">
        <f>SUM(F85:AG85)</f>
        <v>63969.875205882337</v>
      </c>
      <c r="AK85" s="118"/>
      <c r="DT85" s="227"/>
    </row>
    <row r="86" spans="2:124" s="1" customFormat="1" hidden="1">
      <c r="B86" s="295"/>
      <c r="C86" s="217" t="s">
        <v>75</v>
      </c>
      <c r="D86" s="74"/>
      <c r="E86" s="206" t="s">
        <v>76</v>
      </c>
      <c r="F86" s="360">
        <f t="shared" ref="F86:AG86" si="48">SUM(F80:F81)/500</f>
        <v>21.302</v>
      </c>
      <c r="G86" s="60">
        <f t="shared" si="48"/>
        <v>21.303999999999998</v>
      </c>
      <c r="H86" s="60">
        <f t="shared" si="48"/>
        <v>21.026</v>
      </c>
      <c r="I86" s="60">
        <f t="shared" si="48"/>
        <v>0</v>
      </c>
      <c r="J86" s="60">
        <f t="shared" si="48"/>
        <v>13.214</v>
      </c>
      <c r="K86" s="60">
        <f t="shared" si="48"/>
        <v>10.8</v>
      </c>
      <c r="L86" s="60">
        <f t="shared" si="48"/>
        <v>21.3</v>
      </c>
      <c r="M86" s="60">
        <f t="shared" si="48"/>
        <v>21.303999999999998</v>
      </c>
      <c r="N86" s="60">
        <f t="shared" si="48"/>
        <v>20.366</v>
      </c>
      <c r="O86" s="60">
        <f t="shared" si="48"/>
        <v>14.512</v>
      </c>
      <c r="P86" s="60">
        <f t="shared" si="48"/>
        <v>7</v>
      </c>
      <c r="Q86" s="60">
        <f t="shared" si="48"/>
        <v>14.2</v>
      </c>
      <c r="R86" s="60">
        <f t="shared" si="48"/>
        <v>10.8</v>
      </c>
      <c r="S86" s="60">
        <f t="shared" si="48"/>
        <v>21.302</v>
      </c>
      <c r="T86" s="60">
        <f t="shared" si="48"/>
        <v>21.306000000000001</v>
      </c>
      <c r="U86" s="60">
        <f t="shared" si="48"/>
        <v>21.3</v>
      </c>
      <c r="V86" s="60">
        <f t="shared" si="48"/>
        <v>21.306000000000001</v>
      </c>
      <c r="W86" s="360">
        <f t="shared" si="48"/>
        <v>0</v>
      </c>
      <c r="X86" s="60">
        <f t="shared" si="48"/>
        <v>14.206</v>
      </c>
      <c r="Y86" s="60">
        <f t="shared" si="48"/>
        <v>10.8</v>
      </c>
      <c r="Z86" s="60">
        <f t="shared" si="48"/>
        <v>21.361999999999998</v>
      </c>
      <c r="AA86" s="60">
        <f t="shared" si="48"/>
        <v>21.303999999999998</v>
      </c>
      <c r="AB86" s="60">
        <f t="shared" si="48"/>
        <v>21.302</v>
      </c>
      <c r="AC86" s="60">
        <f t="shared" si="48"/>
        <v>21.302</v>
      </c>
      <c r="AD86" s="360">
        <f t="shared" si="48"/>
        <v>0</v>
      </c>
      <c r="AE86" s="60">
        <f t="shared" si="48"/>
        <v>14.202</v>
      </c>
      <c r="AF86" s="360">
        <f t="shared" si="48"/>
        <v>16.896000000000001</v>
      </c>
      <c r="AG86" s="291">
        <f t="shared" si="48"/>
        <v>21.306000000000001</v>
      </c>
      <c r="AH86" s="117"/>
      <c r="AI86" s="116">
        <f>SUM(F86:AG86)</f>
        <v>445.02200000000005</v>
      </c>
      <c r="AK86" s="118"/>
      <c r="DT86" s="227"/>
    </row>
    <row r="87" spans="2:124" hidden="1">
      <c r="B87" s="289"/>
      <c r="C87" s="36" t="s">
        <v>77</v>
      </c>
      <c r="D87" s="55"/>
      <c r="E87" s="55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103"/>
      <c r="AD87" s="56"/>
      <c r="AE87" s="56"/>
      <c r="AF87" s="56"/>
      <c r="AG87" s="288"/>
      <c r="AH87" s="107"/>
      <c r="AI87" s="203" t="s">
        <v>78</v>
      </c>
    </row>
    <row r="88" spans="2:124" s="1" customFormat="1" hidden="1">
      <c r="B88" s="295"/>
      <c r="C88" s="217" t="s">
        <v>68</v>
      </c>
      <c r="D88" s="74"/>
      <c r="E88" s="70"/>
      <c r="F88" s="3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360"/>
      <c r="X88" s="60"/>
      <c r="Y88" s="60"/>
      <c r="Z88" s="60"/>
      <c r="AA88" s="60"/>
      <c r="AB88" s="60"/>
      <c r="AC88" s="60"/>
      <c r="AD88" s="360"/>
      <c r="AE88" s="60"/>
      <c r="AF88" s="360"/>
      <c r="AG88" s="291"/>
      <c r="AH88" s="117"/>
      <c r="AI88" s="122" t="s">
        <v>68</v>
      </c>
      <c r="AK88" s="118"/>
      <c r="DT88" s="227"/>
    </row>
    <row r="89" spans="2:124" s="1" customFormat="1" ht="13.8" hidden="1">
      <c r="B89" s="295"/>
      <c r="C89" s="199" t="s">
        <v>69</v>
      </c>
      <c r="D89" s="74"/>
      <c r="E89" s="206" t="s">
        <v>70</v>
      </c>
      <c r="F89" s="360">
        <v>9</v>
      </c>
      <c r="G89" s="60">
        <v>2</v>
      </c>
      <c r="H89" s="60">
        <v>4</v>
      </c>
      <c r="I89" s="60">
        <v>0</v>
      </c>
      <c r="J89" s="60">
        <v>14</v>
      </c>
      <c r="K89" s="60">
        <v>0</v>
      </c>
      <c r="L89" s="60">
        <v>19</v>
      </c>
      <c r="M89" s="60">
        <v>12</v>
      </c>
      <c r="N89" s="60">
        <v>8</v>
      </c>
      <c r="O89" s="60">
        <v>11</v>
      </c>
      <c r="P89" s="60">
        <v>0</v>
      </c>
      <c r="Q89" s="60">
        <v>8</v>
      </c>
      <c r="R89" s="60">
        <v>0</v>
      </c>
      <c r="S89" s="60">
        <v>5</v>
      </c>
      <c r="T89" s="60">
        <v>16</v>
      </c>
      <c r="U89" s="60">
        <v>21</v>
      </c>
      <c r="V89" s="60">
        <v>22</v>
      </c>
      <c r="W89" s="360">
        <v>0</v>
      </c>
      <c r="X89" s="60">
        <v>10</v>
      </c>
      <c r="Y89" s="60">
        <v>0</v>
      </c>
      <c r="Z89" s="60">
        <v>11</v>
      </c>
      <c r="AA89" s="60">
        <v>5</v>
      </c>
      <c r="AB89" s="60">
        <v>16</v>
      </c>
      <c r="AC89" s="60">
        <v>5</v>
      </c>
      <c r="AD89" s="360">
        <v>0</v>
      </c>
      <c r="AE89" s="60">
        <v>18</v>
      </c>
      <c r="AF89" s="360">
        <v>0</v>
      </c>
      <c r="AG89" s="291">
        <v>8</v>
      </c>
      <c r="AH89" s="117"/>
      <c r="AI89" s="116">
        <f>SUM(F89:AG89)</f>
        <v>224</v>
      </c>
      <c r="AK89" s="118"/>
      <c r="DT89" s="227"/>
    </row>
    <row r="90" spans="2:124" s="1" customFormat="1" ht="13.8" hidden="1">
      <c r="B90" s="295"/>
      <c r="C90" s="199" t="s">
        <v>71</v>
      </c>
      <c r="D90" s="74"/>
      <c r="E90" s="206" t="s">
        <v>70</v>
      </c>
      <c r="F90" s="360">
        <v>7</v>
      </c>
      <c r="G90" s="60">
        <v>30</v>
      </c>
      <c r="H90" s="60">
        <v>6</v>
      </c>
      <c r="I90" s="60">
        <v>0</v>
      </c>
      <c r="J90" s="60">
        <v>0</v>
      </c>
      <c r="K90" s="60">
        <v>8</v>
      </c>
      <c r="L90" s="60">
        <v>4</v>
      </c>
      <c r="M90" s="60">
        <v>6</v>
      </c>
      <c r="N90" s="60">
        <v>3</v>
      </c>
      <c r="O90" s="60">
        <v>0</v>
      </c>
      <c r="P90" s="60">
        <v>2</v>
      </c>
      <c r="Q90" s="60">
        <v>0</v>
      </c>
      <c r="R90" s="60">
        <v>3</v>
      </c>
      <c r="S90" s="60">
        <v>6</v>
      </c>
      <c r="T90" s="60">
        <v>7</v>
      </c>
      <c r="U90" s="60">
        <v>15</v>
      </c>
      <c r="V90" s="60">
        <v>11</v>
      </c>
      <c r="W90" s="360">
        <v>0</v>
      </c>
      <c r="X90" s="60">
        <v>0</v>
      </c>
      <c r="Y90" s="60">
        <v>4</v>
      </c>
      <c r="Z90" s="60">
        <v>2</v>
      </c>
      <c r="AA90" s="60">
        <v>12</v>
      </c>
      <c r="AB90" s="60">
        <v>3</v>
      </c>
      <c r="AC90" s="60">
        <v>2</v>
      </c>
      <c r="AD90" s="360">
        <v>0</v>
      </c>
      <c r="AE90" s="60">
        <v>0</v>
      </c>
      <c r="AF90" s="360">
        <v>6</v>
      </c>
      <c r="AG90" s="291">
        <v>3</v>
      </c>
      <c r="AH90" s="117"/>
      <c r="AI90" s="116">
        <f>SUM(F90:AG90)</f>
        <v>140</v>
      </c>
      <c r="AK90" s="118"/>
      <c r="DT90" s="227"/>
    </row>
    <row r="91" spans="2:124" s="1" customFormat="1" hidden="1">
      <c r="B91" s="295"/>
      <c r="C91" s="217" t="s">
        <v>72</v>
      </c>
      <c r="D91" s="74"/>
      <c r="E91" s="70"/>
      <c r="F91" s="3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360"/>
      <c r="X91" s="60"/>
      <c r="Y91" s="60"/>
      <c r="Z91" s="60"/>
      <c r="AA91" s="60"/>
      <c r="AB91" s="60"/>
      <c r="AC91" s="60"/>
      <c r="AD91" s="360"/>
      <c r="AE91" s="60"/>
      <c r="AF91" s="360"/>
      <c r="AG91" s="291"/>
      <c r="AH91" s="117"/>
      <c r="AI91" s="122" t="s">
        <v>72</v>
      </c>
      <c r="AK91" s="118"/>
      <c r="DB91" s="227"/>
      <c r="DC91" s="227"/>
      <c r="DD91" s="227"/>
      <c r="DE91" s="227"/>
      <c r="DF91" s="227"/>
      <c r="DG91" s="227"/>
      <c r="DH91" s="227"/>
      <c r="DI91" s="227"/>
      <c r="DJ91" s="227"/>
      <c r="DK91" s="227"/>
      <c r="DT91" s="227"/>
    </row>
    <row r="92" spans="2:124" s="1" customFormat="1" ht="13.8" hidden="1">
      <c r="B92" s="295"/>
      <c r="C92" s="199" t="s">
        <v>69</v>
      </c>
      <c r="D92" s="74"/>
      <c r="E92" s="206" t="s">
        <v>72</v>
      </c>
      <c r="F92" s="360">
        <v>53</v>
      </c>
      <c r="G92" s="60">
        <v>16</v>
      </c>
      <c r="H92" s="145">
        <v>53</v>
      </c>
      <c r="I92" s="60">
        <v>0</v>
      </c>
      <c r="J92" s="60">
        <v>156</v>
      </c>
      <c r="K92" s="60">
        <v>0</v>
      </c>
      <c r="L92" s="60">
        <v>43</v>
      </c>
      <c r="M92" s="60">
        <v>26</v>
      </c>
      <c r="N92" s="151">
        <v>61</v>
      </c>
      <c r="O92" s="60">
        <v>98</v>
      </c>
      <c r="P92" s="60">
        <v>0</v>
      </c>
      <c r="Q92" s="60">
        <v>90</v>
      </c>
      <c r="R92" s="60">
        <v>0</v>
      </c>
      <c r="S92" s="60">
        <v>38</v>
      </c>
      <c r="T92" s="60">
        <v>28</v>
      </c>
      <c r="U92" s="151">
        <v>40</v>
      </c>
      <c r="V92" s="60">
        <v>31</v>
      </c>
      <c r="W92" s="360">
        <v>0</v>
      </c>
      <c r="X92" s="60">
        <v>62</v>
      </c>
      <c r="Y92" s="60">
        <v>0</v>
      </c>
      <c r="Z92" s="60">
        <v>35</v>
      </c>
      <c r="AA92" s="60">
        <v>24</v>
      </c>
      <c r="AB92" s="151">
        <v>20</v>
      </c>
      <c r="AC92" s="60">
        <v>26</v>
      </c>
      <c r="AD92" s="360">
        <v>0</v>
      </c>
      <c r="AE92" s="60">
        <v>38</v>
      </c>
      <c r="AF92" s="360">
        <v>0</v>
      </c>
      <c r="AG92" s="309">
        <v>27</v>
      </c>
      <c r="AH92" s="117"/>
      <c r="AI92" s="116">
        <f>SUM(F92:AG92)</f>
        <v>965</v>
      </c>
      <c r="AK92" s="118"/>
      <c r="DB92" s="239"/>
      <c r="DC92" s="227"/>
      <c r="DD92" s="227"/>
      <c r="DE92" s="227"/>
      <c r="DF92" s="272"/>
      <c r="DG92" s="227"/>
      <c r="DH92" s="227"/>
      <c r="DI92" s="227"/>
      <c r="DJ92" s="227"/>
      <c r="DK92" s="227"/>
      <c r="DT92" s="227"/>
    </row>
    <row r="93" spans="2:124" s="1" customFormat="1" ht="13.8" hidden="1">
      <c r="B93" s="295"/>
      <c r="C93" s="199" t="s">
        <v>71</v>
      </c>
      <c r="D93" s="74"/>
      <c r="E93" s="206" t="s">
        <v>72</v>
      </c>
      <c r="F93" s="370">
        <v>4</v>
      </c>
      <c r="G93" s="241">
        <v>8</v>
      </c>
      <c r="H93" s="145">
        <v>10</v>
      </c>
      <c r="I93" s="145">
        <v>0</v>
      </c>
      <c r="J93" s="145">
        <v>0</v>
      </c>
      <c r="K93" s="60">
        <v>42</v>
      </c>
      <c r="L93" s="60">
        <v>8</v>
      </c>
      <c r="M93" s="60">
        <v>18</v>
      </c>
      <c r="N93" s="60">
        <v>7</v>
      </c>
      <c r="O93" s="60">
        <v>0</v>
      </c>
      <c r="P93" s="60">
        <v>4</v>
      </c>
      <c r="Q93" s="60">
        <v>0</v>
      </c>
      <c r="R93" s="60">
        <v>16</v>
      </c>
      <c r="S93" s="60">
        <v>7</v>
      </c>
      <c r="T93" s="60">
        <v>6</v>
      </c>
      <c r="U93" s="151">
        <v>4</v>
      </c>
      <c r="V93" s="60">
        <v>5</v>
      </c>
      <c r="W93" s="360">
        <v>0</v>
      </c>
      <c r="X93" s="60">
        <v>0</v>
      </c>
      <c r="Y93" s="60">
        <v>19</v>
      </c>
      <c r="Z93" s="60">
        <v>37</v>
      </c>
      <c r="AA93" s="60">
        <v>8</v>
      </c>
      <c r="AB93" s="151">
        <v>3</v>
      </c>
      <c r="AC93" s="60">
        <v>5</v>
      </c>
      <c r="AD93" s="360">
        <v>0</v>
      </c>
      <c r="AE93" s="60">
        <v>0</v>
      </c>
      <c r="AF93" s="360">
        <v>35</v>
      </c>
      <c r="AG93" s="311">
        <v>2</v>
      </c>
      <c r="AH93" s="117"/>
      <c r="AI93" s="116">
        <f>SUM(F93:AG93)</f>
        <v>248</v>
      </c>
      <c r="AK93" s="118"/>
      <c r="DB93" s="253"/>
      <c r="DC93" s="227"/>
      <c r="DD93" s="227"/>
      <c r="DE93" s="227"/>
      <c r="DF93" s="227"/>
      <c r="DG93" s="227"/>
      <c r="DH93" s="227"/>
      <c r="DI93" s="227"/>
      <c r="DJ93" s="227"/>
      <c r="DK93" s="227"/>
      <c r="DT93" s="227"/>
    </row>
    <row r="94" spans="2:124" hidden="1">
      <c r="B94" s="289"/>
      <c r="C94" s="36" t="s">
        <v>79</v>
      </c>
      <c r="D94" s="55"/>
      <c r="E94" s="55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103"/>
      <c r="AD94" s="56"/>
      <c r="AE94" s="56"/>
      <c r="AF94" s="56"/>
      <c r="AG94" s="288"/>
      <c r="AH94" s="107"/>
      <c r="AI94" s="203" t="s">
        <v>78</v>
      </c>
      <c r="DB94" s="253"/>
      <c r="DC94" s="253"/>
      <c r="DD94" s="253"/>
      <c r="DE94" s="253"/>
      <c r="DF94" s="253"/>
      <c r="DG94" s="253"/>
      <c r="DH94" s="253"/>
      <c r="DI94" s="253"/>
      <c r="DJ94" s="253"/>
      <c r="DK94" s="253"/>
    </row>
    <row r="95" spans="2:124" s="1" customFormat="1" hidden="1">
      <c r="B95" s="295"/>
      <c r="C95" s="217" t="s">
        <v>68</v>
      </c>
      <c r="D95" s="74"/>
      <c r="E95" s="70"/>
      <c r="F95" s="3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360"/>
      <c r="X95" s="60"/>
      <c r="Y95" s="60"/>
      <c r="Z95" s="60"/>
      <c r="AA95" s="60"/>
      <c r="AB95" s="60"/>
      <c r="AC95" s="60"/>
      <c r="AD95" s="360"/>
      <c r="AE95" s="60"/>
      <c r="AF95" s="360"/>
      <c r="AG95" s="291"/>
      <c r="AH95" s="117"/>
      <c r="AI95" s="122" t="s">
        <v>68</v>
      </c>
      <c r="AK95" s="118"/>
      <c r="DB95" s="227"/>
      <c r="DC95" s="227"/>
      <c r="DD95" s="227"/>
      <c r="DE95" s="227"/>
      <c r="DF95" s="227"/>
      <c r="DG95" s="227"/>
      <c r="DH95" s="227"/>
      <c r="DI95" s="227"/>
      <c r="DJ95" s="227"/>
      <c r="DK95" s="227"/>
      <c r="DT95" s="227"/>
    </row>
    <row r="96" spans="2:124" s="1" customFormat="1" ht="13.8" hidden="1">
      <c r="B96" s="295"/>
      <c r="C96" s="199" t="s">
        <v>69</v>
      </c>
      <c r="D96" s="69">
        <v>0.3</v>
      </c>
      <c r="E96" s="206" t="s">
        <v>12</v>
      </c>
      <c r="F96" s="362">
        <f t="shared" ref="F96:AG97" si="49">F89/F80*100</f>
        <v>0.25352112676056338</v>
      </c>
      <c r="G96" s="84">
        <f t="shared" si="49"/>
        <v>5.6338028169014086E-2</v>
      </c>
      <c r="H96" s="84">
        <f t="shared" si="49"/>
        <v>0.11723329425556857</v>
      </c>
      <c r="I96" s="84" t="e">
        <f t="shared" si="49"/>
        <v>#DIV/0!</v>
      </c>
      <c r="J96" s="84">
        <f t="shared" si="49"/>
        <v>0.21189647343726353</v>
      </c>
      <c r="K96" s="84" t="e">
        <f t="shared" si="49"/>
        <v>#DIV/0!</v>
      </c>
      <c r="L96" s="84">
        <f t="shared" si="49"/>
        <v>0.53521126760563376</v>
      </c>
      <c r="M96" s="84">
        <f t="shared" si="49"/>
        <v>0.3380281690140845</v>
      </c>
      <c r="N96" s="84">
        <f t="shared" si="49"/>
        <v>0.25957170668397145</v>
      </c>
      <c r="O96" s="84">
        <f t="shared" si="49"/>
        <v>0.15159867695700111</v>
      </c>
      <c r="P96" s="84" t="e">
        <f t="shared" si="49"/>
        <v>#DIV/0!</v>
      </c>
      <c r="Q96" s="84">
        <f t="shared" si="49"/>
        <v>0.11267605633802817</v>
      </c>
      <c r="R96" s="84" t="e">
        <f t="shared" si="49"/>
        <v>#DIV/0!</v>
      </c>
      <c r="S96" s="84">
        <f t="shared" si="49"/>
        <v>0.14080540692762603</v>
      </c>
      <c r="T96" s="84">
        <f t="shared" si="49"/>
        <v>0.45070422535211269</v>
      </c>
      <c r="U96" s="84">
        <f t="shared" si="49"/>
        <v>0.59154929577464788</v>
      </c>
      <c r="V96" s="84">
        <f t="shared" si="49"/>
        <v>0.61971830985915488</v>
      </c>
      <c r="W96" s="362" t="e">
        <f t="shared" si="49"/>
        <v>#DIV/0!</v>
      </c>
      <c r="X96" s="84">
        <f t="shared" si="49"/>
        <v>0.14078558355624385</v>
      </c>
      <c r="Y96" s="84" t="e">
        <f t="shared" si="49"/>
        <v>#DIV/0!</v>
      </c>
      <c r="Z96" s="84">
        <f t="shared" si="49"/>
        <v>0.30985915492957744</v>
      </c>
      <c r="AA96" s="84">
        <f t="shared" si="49"/>
        <v>0.14084507042253522</v>
      </c>
      <c r="AB96" s="84">
        <f t="shared" si="49"/>
        <v>0.45070422535211269</v>
      </c>
      <c r="AC96" s="84">
        <f t="shared" si="49"/>
        <v>0.14084507042253522</v>
      </c>
      <c r="AD96" s="362" t="e">
        <f t="shared" si="49"/>
        <v>#DIV/0!</v>
      </c>
      <c r="AE96" s="84">
        <f>AE89/AE80*100</f>
        <v>0.25348542458808615</v>
      </c>
      <c r="AF96" s="362" t="e">
        <f t="shared" si="49"/>
        <v>#DIV/0!</v>
      </c>
      <c r="AG96" s="299">
        <f t="shared" si="49"/>
        <v>0.22522522522522523</v>
      </c>
      <c r="AH96" s="117"/>
      <c r="AI96" s="119">
        <f>AI89/AI80*100</f>
        <v>0.25508461065433757</v>
      </c>
      <c r="AK96" s="118"/>
      <c r="DB96" s="227"/>
      <c r="DC96" s="227"/>
      <c r="DD96" s="227"/>
      <c r="DE96" s="227"/>
      <c r="DF96" s="227"/>
      <c r="DG96" s="227"/>
      <c r="DH96" s="227"/>
      <c r="DI96" s="227"/>
      <c r="DJ96" s="227"/>
      <c r="DK96" s="227"/>
      <c r="DT96" s="227"/>
    </row>
    <row r="97" spans="2:124 15090:15482" s="1" customFormat="1" ht="13.8" hidden="1">
      <c r="B97" s="295"/>
      <c r="C97" s="199" t="s">
        <v>71</v>
      </c>
      <c r="D97" s="69">
        <v>0.3</v>
      </c>
      <c r="E97" s="206" t="s">
        <v>12</v>
      </c>
      <c r="F97" s="362">
        <f t="shared" si="49"/>
        <v>9.8577665117589086E-2</v>
      </c>
      <c r="G97" s="84">
        <f t="shared" si="49"/>
        <v>0.42241622078287805</v>
      </c>
      <c r="H97" s="84">
        <f t="shared" si="49"/>
        <v>8.4495141529362064E-2</v>
      </c>
      <c r="I97" s="84" t="e">
        <f t="shared" si="49"/>
        <v>#DIV/0!</v>
      </c>
      <c r="J97" s="84" t="e">
        <f t="shared" si="49"/>
        <v>#DIV/0!</v>
      </c>
      <c r="K97" s="84">
        <f t="shared" si="49"/>
        <v>0.14814814814814814</v>
      </c>
      <c r="L97" s="84">
        <f t="shared" si="49"/>
        <v>5.6338028169014086E-2</v>
      </c>
      <c r="M97" s="84">
        <f t="shared" si="49"/>
        <v>8.4483244156575613E-2</v>
      </c>
      <c r="N97" s="84">
        <f t="shared" si="49"/>
        <v>4.2247570764681032E-2</v>
      </c>
      <c r="O97" s="84" t="e">
        <f t="shared" si="49"/>
        <v>#DIV/0!</v>
      </c>
      <c r="P97" s="84">
        <f t="shared" si="49"/>
        <v>5.7142857142857148E-2</v>
      </c>
      <c r="Q97" s="84" t="e">
        <f t="shared" si="49"/>
        <v>#DIV/0!</v>
      </c>
      <c r="R97" s="84">
        <f t="shared" si="49"/>
        <v>5.5555555555555552E-2</v>
      </c>
      <c r="S97" s="84">
        <f t="shared" si="49"/>
        <v>8.4507042253521125E-2</v>
      </c>
      <c r="T97" s="84">
        <f t="shared" si="49"/>
        <v>9.8549908489370674E-2</v>
      </c>
      <c r="U97" s="84">
        <f t="shared" si="49"/>
        <v>0.21126760563380279</v>
      </c>
      <c r="V97" s="84">
        <f t="shared" si="49"/>
        <v>0.1548641419118682</v>
      </c>
      <c r="W97" s="362" t="e">
        <f t="shared" si="49"/>
        <v>#DIV/0!</v>
      </c>
      <c r="X97" s="84" t="e">
        <f t="shared" si="49"/>
        <v>#DIV/0!</v>
      </c>
      <c r="Y97" s="84">
        <f t="shared" si="49"/>
        <v>7.407407407407407E-2</v>
      </c>
      <c r="Z97" s="84">
        <f t="shared" si="49"/>
        <v>2.8046557285093251E-2</v>
      </c>
      <c r="AA97" s="84">
        <f t="shared" si="49"/>
        <v>0.16896648831315123</v>
      </c>
      <c r="AB97" s="84">
        <f t="shared" si="49"/>
        <v>4.2247570764681032E-2</v>
      </c>
      <c r="AC97" s="84">
        <f t="shared" si="49"/>
        <v>2.8165047176454017E-2</v>
      </c>
      <c r="AD97" s="362" t="e">
        <f t="shared" si="49"/>
        <v>#DIV/0!</v>
      </c>
      <c r="AE97" s="84" t="e">
        <f t="shared" si="49"/>
        <v>#DIV/0!</v>
      </c>
      <c r="AF97" s="362">
        <f t="shared" si="49"/>
        <v>7.1022727272727279E-2</v>
      </c>
      <c r="AG97" s="299">
        <f t="shared" si="49"/>
        <v>4.2247570764681032E-2</v>
      </c>
      <c r="AH97" s="117"/>
      <c r="AI97" s="119">
        <f>AI90/AI81*100</f>
        <v>0.1039369844911171</v>
      </c>
      <c r="AK97" s="118"/>
      <c r="DB97" s="227"/>
      <c r="DC97" s="227"/>
      <c r="DD97" s="227"/>
      <c r="DE97" s="227"/>
      <c r="DF97" s="227"/>
      <c r="DG97" s="227"/>
      <c r="DH97" s="227"/>
      <c r="DI97" s="227"/>
      <c r="DJ97" s="227"/>
      <c r="DK97" s="227"/>
      <c r="DT97" s="227"/>
    </row>
    <row r="98" spans="2:124 15090:15482" s="1" customFormat="1" hidden="1">
      <c r="B98" s="295"/>
      <c r="C98" s="217" t="s">
        <v>72</v>
      </c>
      <c r="D98" s="69"/>
      <c r="E98" s="70"/>
      <c r="F98" s="362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362"/>
      <c r="X98" s="84"/>
      <c r="Y98" s="84"/>
      <c r="Z98" s="84"/>
      <c r="AA98" s="84"/>
      <c r="AB98" s="84"/>
      <c r="AC98" s="84"/>
      <c r="AD98" s="362"/>
      <c r="AE98" s="84"/>
      <c r="AF98" s="362"/>
      <c r="AG98" s="299"/>
      <c r="AH98" s="117"/>
      <c r="AI98" s="122" t="s">
        <v>72</v>
      </c>
      <c r="AK98" s="118"/>
      <c r="DB98" s="227"/>
      <c r="DC98" s="227"/>
      <c r="DD98" s="227"/>
      <c r="DE98" s="227"/>
      <c r="DF98" s="227"/>
      <c r="DG98" s="227"/>
      <c r="DH98" s="227"/>
      <c r="DI98" s="227"/>
      <c r="DJ98" s="227"/>
      <c r="DK98" s="227"/>
      <c r="DT98" s="227"/>
    </row>
    <row r="99" spans="2:124 15090:15482" s="1" customFormat="1" ht="13.8" hidden="1">
      <c r="B99" s="295"/>
      <c r="C99" s="199" t="s">
        <v>69</v>
      </c>
      <c r="D99" s="69">
        <v>0.5</v>
      </c>
      <c r="E99" s="206" t="s">
        <v>12</v>
      </c>
      <c r="F99" s="362">
        <f t="shared" ref="F99:AG100" si="50">F92/F83*100</f>
        <v>0.12441314553990609</v>
      </c>
      <c r="G99" s="84">
        <f t="shared" si="50"/>
        <v>3.7558685446009391E-2</v>
      </c>
      <c r="H99" s="84">
        <f t="shared" si="50"/>
        <v>0.12944509574052365</v>
      </c>
      <c r="I99" s="84" t="e">
        <f t="shared" si="50"/>
        <v>#DIV/0!</v>
      </c>
      <c r="J99" s="84">
        <f t="shared" si="50"/>
        <v>0.19676101104888752</v>
      </c>
      <c r="K99" s="84" t="e">
        <f t="shared" si="50"/>
        <v>#DIV/0!</v>
      </c>
      <c r="L99" s="84">
        <f t="shared" si="50"/>
        <v>0.10093896713615022</v>
      </c>
      <c r="M99" s="84">
        <f t="shared" si="50"/>
        <v>6.1032863849765258E-2</v>
      </c>
      <c r="N99" s="84">
        <f t="shared" si="50"/>
        <v>0.16493618862210685</v>
      </c>
      <c r="O99" s="84">
        <f t="shared" si="50"/>
        <v>0.11255053289231901</v>
      </c>
      <c r="P99" s="84" t="e">
        <f t="shared" si="50"/>
        <v>#DIV/0!</v>
      </c>
      <c r="Q99" s="84">
        <f t="shared" si="50"/>
        <v>0.10563380281690139</v>
      </c>
      <c r="R99" s="84" t="e">
        <f t="shared" si="50"/>
        <v>#DIV/0!</v>
      </c>
      <c r="S99" s="84">
        <f t="shared" si="50"/>
        <v>8.9176757720829808E-2</v>
      </c>
      <c r="T99" s="84">
        <f t="shared" si="50"/>
        <v>6.5727699530516423E-2</v>
      </c>
      <c r="U99" s="84">
        <f t="shared" si="50"/>
        <v>9.3896713615023469E-2</v>
      </c>
      <c r="V99" s="84">
        <f t="shared" si="50"/>
        <v>7.2769953051643188E-2</v>
      </c>
      <c r="W99" s="362" t="e">
        <f t="shared" si="50"/>
        <v>#DIV/0!</v>
      </c>
      <c r="X99" s="84">
        <f t="shared" si="50"/>
        <v>7.2739218170725983E-2</v>
      </c>
      <c r="Y99" s="84" t="e">
        <f t="shared" si="50"/>
        <v>#DIV/0!</v>
      </c>
      <c r="Z99" s="84">
        <f t="shared" si="50"/>
        <v>8.2159624413145532E-2</v>
      </c>
      <c r="AA99" s="84">
        <f t="shared" si="50"/>
        <v>5.6338028169014086E-2</v>
      </c>
      <c r="AB99" s="84">
        <f t="shared" si="50"/>
        <v>4.6948356807511735E-2</v>
      </c>
      <c r="AC99" s="84">
        <f t="shared" si="50"/>
        <v>6.1032863849765258E-2</v>
      </c>
      <c r="AD99" s="362" t="e">
        <f t="shared" si="50"/>
        <v>#DIV/0!</v>
      </c>
      <c r="AE99" s="84">
        <f t="shared" si="50"/>
        <v>4.4594658029385531E-2</v>
      </c>
      <c r="AF99" s="362" t="e">
        <f t="shared" si="50"/>
        <v>#DIV/0!</v>
      </c>
      <c r="AG99" s="299">
        <f t="shared" si="50"/>
        <v>6.33445945945946E-2</v>
      </c>
      <c r="AH99" s="117"/>
      <c r="AI99" s="119">
        <f>AI92/AI83*100</f>
        <v>9.157613440529605E-2</v>
      </c>
      <c r="AK99" s="118"/>
      <c r="DB99" s="227"/>
      <c r="DC99" s="227"/>
      <c r="DD99" s="227"/>
      <c r="DE99" s="227"/>
      <c r="DF99" s="227"/>
      <c r="DG99" s="227"/>
      <c r="DH99" s="227"/>
      <c r="DI99" s="227"/>
      <c r="DJ99" s="227"/>
      <c r="DK99" s="227"/>
      <c r="DT99" s="227"/>
    </row>
    <row r="100" spans="2:124 15090:15482" s="1" customFormat="1" ht="13.8" hidden="1">
      <c r="B100" s="295"/>
      <c r="C100" s="199" t="s">
        <v>71</v>
      </c>
      <c r="D100" s="69">
        <v>0.5</v>
      </c>
      <c r="E100" s="206" t="s">
        <v>12</v>
      </c>
      <c r="F100" s="362">
        <f t="shared" si="50"/>
        <v>9.3883490588180067E-3</v>
      </c>
      <c r="G100" s="84">
        <f t="shared" si="50"/>
        <v>1.8774054257016802E-2</v>
      </c>
      <c r="H100" s="84" t="e">
        <f t="shared" si="50"/>
        <v>#DIV/0!</v>
      </c>
      <c r="I100" s="84" t="e">
        <f t="shared" si="50"/>
        <v>#DIV/0!</v>
      </c>
      <c r="J100" s="84" t="e">
        <f t="shared" si="50"/>
        <v>#DIV/0!</v>
      </c>
      <c r="K100" s="84">
        <f t="shared" si="50"/>
        <v>0.12962962962962962</v>
      </c>
      <c r="L100" s="84">
        <f t="shared" si="50"/>
        <v>1.8779342723004695E-2</v>
      </c>
      <c r="M100" s="84">
        <f t="shared" si="50"/>
        <v>4.2241622078287806E-2</v>
      </c>
      <c r="N100" s="84">
        <f t="shared" si="50"/>
        <v>1.6429610852931511E-2</v>
      </c>
      <c r="O100" s="84" t="e">
        <f t="shared" si="50"/>
        <v>#DIV/0!</v>
      </c>
      <c r="P100" s="84">
        <f t="shared" si="50"/>
        <v>1.9047619047619049E-2</v>
      </c>
      <c r="Q100" s="84" t="e">
        <f t="shared" si="50"/>
        <v>#DIV/0!</v>
      </c>
      <c r="R100" s="84">
        <f t="shared" si="50"/>
        <v>4.938271604938272E-2</v>
      </c>
      <c r="S100" s="84">
        <f t="shared" si="50"/>
        <v>1.6431924882629106E-2</v>
      </c>
      <c r="T100" s="84">
        <f t="shared" si="50"/>
        <v>1.4078558355624384E-2</v>
      </c>
      <c r="U100" s="84">
        <f t="shared" si="50"/>
        <v>9.3896713615023476E-3</v>
      </c>
      <c r="V100" s="84">
        <f t="shared" si="50"/>
        <v>1.173213196302032E-2</v>
      </c>
      <c r="W100" s="362" t="e">
        <f t="shared" si="50"/>
        <v>#DIV/0!</v>
      </c>
      <c r="X100" s="84" t="e">
        <f t="shared" si="50"/>
        <v>#DIV/0!</v>
      </c>
      <c r="Y100" s="84">
        <f t="shared" si="50"/>
        <v>5.8641975308641972E-2</v>
      </c>
      <c r="Z100" s="84">
        <f t="shared" si="50"/>
        <v>8.6476884962370867E-2</v>
      </c>
      <c r="AA100" s="84">
        <f t="shared" si="50"/>
        <v>1.8774054257016802E-2</v>
      </c>
      <c r="AB100" s="84">
        <f t="shared" si="50"/>
        <v>7.0412617941135042E-3</v>
      </c>
      <c r="AC100" s="84">
        <f t="shared" si="50"/>
        <v>1.1735436323522509E-2</v>
      </c>
      <c r="AD100" s="362" t="e">
        <f t="shared" si="50"/>
        <v>#DIV/0!</v>
      </c>
      <c r="AE100" s="84" t="e">
        <f t="shared" si="50"/>
        <v>#DIV/0!</v>
      </c>
      <c r="AF100" s="362">
        <f t="shared" si="50"/>
        <v>6.9049873737373743E-2</v>
      </c>
      <c r="AG100" s="299">
        <f t="shared" si="50"/>
        <v>4.6941745294090034E-3</v>
      </c>
      <c r="AH100" s="117"/>
      <c r="AI100" s="119">
        <f>AI93/AI84*100</f>
        <v>3.0686157325948857E-2</v>
      </c>
      <c r="AK100" s="118"/>
      <c r="DB100" s="227"/>
      <c r="DC100" s="227"/>
      <c r="DD100" s="227"/>
      <c r="DE100" s="227"/>
      <c r="DF100" s="227"/>
      <c r="DG100" s="227"/>
      <c r="DH100" s="227"/>
      <c r="DI100" s="227"/>
      <c r="DJ100" s="227"/>
      <c r="DK100" s="227"/>
      <c r="DT100" s="227"/>
    </row>
    <row r="101" spans="2:124 15090:15482" s="1" customFormat="1" hidden="1">
      <c r="B101" s="287">
        <v>6</v>
      </c>
      <c r="C101" s="36" t="s">
        <v>80</v>
      </c>
      <c r="D101" s="55"/>
      <c r="E101" s="55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103"/>
      <c r="AD101" s="56"/>
      <c r="AE101" s="56"/>
      <c r="AF101" s="56"/>
      <c r="AG101" s="288"/>
      <c r="AH101" s="107"/>
      <c r="AI101" s="203" t="s">
        <v>63</v>
      </c>
      <c r="AK101" s="29"/>
      <c r="DB101" s="253"/>
      <c r="DC101" s="253"/>
      <c r="DD101" s="227"/>
      <c r="DE101" s="227"/>
      <c r="DF101" s="253"/>
      <c r="DG101" s="227"/>
      <c r="DH101" s="253"/>
      <c r="DI101" s="253"/>
      <c r="DJ101" s="253"/>
      <c r="DK101" s="253"/>
      <c r="DT101" s="253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  <c r="VUR101"/>
      <c r="VUS101"/>
      <c r="VUT101"/>
      <c r="VUU101"/>
      <c r="VUV101"/>
      <c r="VUW101"/>
      <c r="VUX101"/>
      <c r="VUY101"/>
      <c r="VUZ101"/>
      <c r="VVA101"/>
      <c r="VVB101"/>
      <c r="VVC101"/>
      <c r="VVD101"/>
      <c r="VVE101"/>
      <c r="VVF101"/>
      <c r="VVG101"/>
      <c r="VVH101"/>
      <c r="VVI101"/>
      <c r="VVJ101"/>
      <c r="VVK101"/>
      <c r="VVL101"/>
      <c r="VVM101"/>
      <c r="VVN101"/>
      <c r="VVO101"/>
      <c r="VVP101"/>
      <c r="VVQ101"/>
      <c r="VVR101"/>
      <c r="VVS101"/>
      <c r="VVT101"/>
      <c r="VVU101"/>
      <c r="VVV101"/>
      <c r="VVW101"/>
      <c r="VVX101"/>
      <c r="VVY101"/>
      <c r="VVZ101"/>
      <c r="VWA101"/>
      <c r="VWB101"/>
      <c r="VWC101"/>
      <c r="VWD101"/>
      <c r="VWE101"/>
      <c r="VWF101"/>
      <c r="VWG101"/>
      <c r="VWH101"/>
      <c r="VWI101"/>
      <c r="VWJ101"/>
      <c r="VWK101"/>
      <c r="VWL101"/>
    </row>
    <row r="102" spans="2:124 15090:15482" s="1" customFormat="1" ht="13.8" hidden="1">
      <c r="B102" s="295"/>
      <c r="C102" s="215" t="s">
        <v>65</v>
      </c>
      <c r="D102" s="143"/>
      <c r="E102" s="216" t="s">
        <v>9</v>
      </c>
      <c r="F102" s="368">
        <v>0</v>
      </c>
      <c r="G102" s="145">
        <v>0</v>
      </c>
      <c r="H102" s="145">
        <v>0</v>
      </c>
      <c r="I102" s="144">
        <v>111605.515</v>
      </c>
      <c r="J102" s="145">
        <v>0</v>
      </c>
      <c r="K102" s="145">
        <v>0</v>
      </c>
      <c r="L102" s="145">
        <v>0</v>
      </c>
      <c r="M102" s="145">
        <v>0</v>
      </c>
      <c r="N102" s="145">
        <v>0</v>
      </c>
      <c r="O102" s="145">
        <v>0</v>
      </c>
      <c r="P102" s="144">
        <v>73607.285000000003</v>
      </c>
      <c r="Q102" s="145">
        <v>0</v>
      </c>
      <c r="R102" s="145">
        <v>0</v>
      </c>
      <c r="S102" s="145">
        <v>0</v>
      </c>
      <c r="T102" s="145">
        <v>0</v>
      </c>
      <c r="U102" s="145">
        <v>0</v>
      </c>
      <c r="V102" s="145">
        <v>0</v>
      </c>
      <c r="W102" s="371">
        <v>111605.515</v>
      </c>
      <c r="X102" s="145">
        <v>0</v>
      </c>
      <c r="Y102" s="145">
        <v>0</v>
      </c>
      <c r="Z102" s="145">
        <v>0</v>
      </c>
      <c r="AA102" s="145">
        <v>0</v>
      </c>
      <c r="AB102" s="145">
        <v>0</v>
      </c>
      <c r="AC102" s="145">
        <v>0</v>
      </c>
      <c r="AD102" s="371">
        <v>111627.235</v>
      </c>
      <c r="AE102" s="145">
        <v>0</v>
      </c>
      <c r="AF102" s="368">
        <v>0</v>
      </c>
      <c r="AG102" s="309">
        <v>0</v>
      </c>
      <c r="AH102" s="158"/>
      <c r="AI102" s="156">
        <f>SUM(AI103:AI104)</f>
        <v>408445.55000000005</v>
      </c>
      <c r="AK102" s="118"/>
      <c r="DB102" s="253"/>
      <c r="DC102" s="227"/>
      <c r="DD102" s="227"/>
      <c r="DE102" s="227"/>
      <c r="DF102" s="253"/>
      <c r="DG102" s="227"/>
      <c r="DH102" s="227"/>
      <c r="DI102" s="227"/>
      <c r="DJ102" s="227"/>
      <c r="DK102" s="227"/>
      <c r="DT102" s="227"/>
    </row>
    <row r="103" spans="2:124 15090:15482" s="1" customFormat="1" hidden="1">
      <c r="B103" s="295"/>
      <c r="C103" s="217" t="s">
        <v>66</v>
      </c>
      <c r="D103" s="74"/>
      <c r="E103" s="206" t="s">
        <v>9</v>
      </c>
      <c r="F103" s="362">
        <f t="shared" ref="F103:AG103" si="51">SUM(F106:F107)*10.86</f>
        <v>0</v>
      </c>
      <c r="G103" s="84">
        <f t="shared" si="51"/>
        <v>0</v>
      </c>
      <c r="H103" s="84">
        <f t="shared" si="51"/>
        <v>0</v>
      </c>
      <c r="I103" s="84">
        <f t="shared" si="51"/>
        <v>111597.36</v>
      </c>
      <c r="J103" s="84">
        <f t="shared" si="51"/>
        <v>0</v>
      </c>
      <c r="K103" s="84">
        <f t="shared" si="51"/>
        <v>0</v>
      </c>
      <c r="L103" s="84">
        <f t="shared" si="51"/>
        <v>0</v>
      </c>
      <c r="M103" s="84">
        <f t="shared" si="51"/>
        <v>0</v>
      </c>
      <c r="N103" s="84">
        <f t="shared" si="51"/>
        <v>0</v>
      </c>
      <c r="O103" s="84">
        <f t="shared" si="51"/>
        <v>0</v>
      </c>
      <c r="P103" s="84">
        <f t="shared" si="51"/>
        <v>73598.22</v>
      </c>
      <c r="Q103" s="84">
        <f>SUM(Q106:Q107)*10.86</f>
        <v>0</v>
      </c>
      <c r="R103" s="84">
        <f t="shared" si="51"/>
        <v>0</v>
      </c>
      <c r="S103" s="84">
        <f t="shared" si="51"/>
        <v>0</v>
      </c>
      <c r="T103" s="84">
        <f t="shared" si="51"/>
        <v>0</v>
      </c>
      <c r="U103" s="84">
        <f t="shared" si="51"/>
        <v>0</v>
      </c>
      <c r="V103" s="84">
        <f t="shared" si="51"/>
        <v>0</v>
      </c>
      <c r="W103" s="362">
        <f t="shared" si="51"/>
        <v>111597.36</v>
      </c>
      <c r="X103" s="84">
        <f t="shared" si="51"/>
        <v>0</v>
      </c>
      <c r="Y103" s="84">
        <f t="shared" si="51"/>
        <v>0</v>
      </c>
      <c r="Z103" s="84">
        <f t="shared" si="51"/>
        <v>0</v>
      </c>
      <c r="AA103" s="84">
        <f t="shared" si="51"/>
        <v>0</v>
      </c>
      <c r="AB103" s="145">
        <v>0</v>
      </c>
      <c r="AC103" s="145">
        <v>0</v>
      </c>
      <c r="AD103" s="362">
        <f t="shared" si="51"/>
        <v>111619.07999999999</v>
      </c>
      <c r="AE103" s="84">
        <f t="shared" si="51"/>
        <v>0</v>
      </c>
      <c r="AF103" s="362">
        <f t="shared" si="51"/>
        <v>0</v>
      </c>
      <c r="AG103" s="299">
        <f t="shared" si="51"/>
        <v>0</v>
      </c>
      <c r="AH103" s="117"/>
      <c r="AI103" s="119">
        <f>SUM(F103:AG103)</f>
        <v>408412.02</v>
      </c>
      <c r="AK103" s="118"/>
      <c r="DB103" s="271"/>
      <c r="DC103" s="239"/>
      <c r="DD103" s="239"/>
      <c r="DE103" s="239"/>
      <c r="DF103" s="239"/>
      <c r="DG103" s="239"/>
      <c r="DH103" s="227"/>
      <c r="DI103" s="227"/>
      <c r="DJ103" s="227"/>
      <c r="DK103" s="227"/>
      <c r="DT103" s="227"/>
    </row>
    <row r="104" spans="2:124 15090:15482" s="1" customFormat="1" hidden="1">
      <c r="B104" s="295"/>
      <c r="C104" s="217" t="s">
        <v>67</v>
      </c>
      <c r="D104" s="74"/>
      <c r="E104" s="206" t="s">
        <v>9</v>
      </c>
      <c r="F104" s="362">
        <f t="shared" ref="F104:AG104" si="52">F102-F103</f>
        <v>0</v>
      </c>
      <c r="G104" s="84">
        <f t="shared" si="52"/>
        <v>0</v>
      </c>
      <c r="H104" s="84">
        <f t="shared" si="52"/>
        <v>0</v>
      </c>
      <c r="I104" s="84">
        <f t="shared" si="52"/>
        <v>8.1549999999988358</v>
      </c>
      <c r="J104" s="84">
        <f t="shared" si="52"/>
        <v>0</v>
      </c>
      <c r="K104" s="84">
        <f t="shared" si="52"/>
        <v>0</v>
      </c>
      <c r="L104" s="84">
        <f t="shared" si="52"/>
        <v>0</v>
      </c>
      <c r="M104" s="84">
        <f t="shared" si="52"/>
        <v>0</v>
      </c>
      <c r="N104" s="84">
        <f t="shared" si="52"/>
        <v>0</v>
      </c>
      <c r="O104" s="84">
        <f t="shared" si="52"/>
        <v>0</v>
      </c>
      <c r="P104" s="84">
        <f t="shared" si="52"/>
        <v>9.0650000000023283</v>
      </c>
      <c r="Q104" s="84">
        <f t="shared" si="52"/>
        <v>0</v>
      </c>
      <c r="R104" s="84">
        <f t="shared" si="52"/>
        <v>0</v>
      </c>
      <c r="S104" s="84">
        <f t="shared" si="52"/>
        <v>0</v>
      </c>
      <c r="T104" s="84">
        <f t="shared" si="52"/>
        <v>0</v>
      </c>
      <c r="U104" s="84">
        <f t="shared" si="52"/>
        <v>0</v>
      </c>
      <c r="V104" s="84">
        <f t="shared" si="52"/>
        <v>0</v>
      </c>
      <c r="W104" s="362">
        <f t="shared" si="52"/>
        <v>8.1549999999988358</v>
      </c>
      <c r="X104" s="84">
        <f t="shared" si="52"/>
        <v>0</v>
      </c>
      <c r="Y104" s="84">
        <f t="shared" si="52"/>
        <v>0</v>
      </c>
      <c r="Z104" s="84">
        <f t="shared" si="52"/>
        <v>0</v>
      </c>
      <c r="AA104" s="84">
        <f t="shared" si="52"/>
        <v>0</v>
      </c>
      <c r="AB104" s="84">
        <f t="shared" si="52"/>
        <v>0</v>
      </c>
      <c r="AC104" s="84">
        <f t="shared" si="52"/>
        <v>0</v>
      </c>
      <c r="AD104" s="362">
        <f t="shared" si="52"/>
        <v>8.1550000000133878</v>
      </c>
      <c r="AE104" s="84">
        <f t="shared" si="52"/>
        <v>0</v>
      </c>
      <c r="AF104" s="362">
        <f t="shared" si="52"/>
        <v>0</v>
      </c>
      <c r="AG104" s="299">
        <f t="shared" si="52"/>
        <v>0</v>
      </c>
      <c r="AH104" s="117"/>
      <c r="AI104" s="119">
        <f>SUM(F104:AG104)</f>
        <v>33.530000000013388</v>
      </c>
      <c r="AK104" s="118"/>
      <c r="DB104" s="227"/>
      <c r="DC104" s="227"/>
      <c r="DD104" s="227"/>
      <c r="DE104" s="227"/>
      <c r="DF104" s="227"/>
      <c r="DG104" s="227"/>
      <c r="DH104" s="227"/>
      <c r="DI104" s="227"/>
      <c r="DJ104" s="227"/>
      <c r="DK104" s="227"/>
      <c r="DT104" s="227"/>
    </row>
    <row r="105" spans="2:124 15090:15482" s="1" customFormat="1" hidden="1">
      <c r="B105" s="295"/>
      <c r="C105" s="217" t="s">
        <v>68</v>
      </c>
      <c r="D105" s="74"/>
      <c r="E105" s="70"/>
      <c r="F105" s="3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360"/>
      <c r="X105" s="60"/>
      <c r="Y105" s="60"/>
      <c r="Z105" s="60"/>
      <c r="AA105" s="60"/>
      <c r="AB105" s="60"/>
      <c r="AC105" s="60"/>
      <c r="AD105" s="360"/>
      <c r="AE105" s="60"/>
      <c r="AF105" s="360"/>
      <c r="AG105" s="291"/>
      <c r="AH105" s="117"/>
      <c r="AI105" s="122" t="s">
        <v>68</v>
      </c>
      <c r="AK105" s="118"/>
      <c r="DB105" s="227"/>
      <c r="DC105" s="227"/>
      <c r="DD105" s="227"/>
      <c r="DE105" s="227"/>
      <c r="DF105" s="227"/>
      <c r="DG105" s="227"/>
      <c r="DH105" s="227"/>
      <c r="DI105" s="227"/>
      <c r="DJ105" s="227"/>
      <c r="DK105" s="227"/>
      <c r="DT105" s="227"/>
    </row>
    <row r="106" spans="2:124 15090:15482" s="6" customFormat="1" ht="13.8" hidden="1">
      <c r="B106" s="297"/>
      <c r="C106" s="40" t="s">
        <v>81</v>
      </c>
      <c r="D106" s="41"/>
      <c r="E106" s="219" t="s">
        <v>70</v>
      </c>
      <c r="F106" s="368">
        <v>0</v>
      </c>
      <c r="G106" s="145">
        <v>0</v>
      </c>
      <c r="H106" s="145">
        <v>0</v>
      </c>
      <c r="I106" s="145">
        <v>3426</v>
      </c>
      <c r="J106" s="145">
        <v>0</v>
      </c>
      <c r="K106" s="145">
        <v>0</v>
      </c>
      <c r="L106" s="145">
        <v>0</v>
      </c>
      <c r="M106" s="145">
        <v>0</v>
      </c>
      <c r="N106" s="145">
        <v>0</v>
      </c>
      <c r="O106" s="145">
        <v>0</v>
      </c>
      <c r="P106" s="145">
        <v>3427</v>
      </c>
      <c r="Q106" s="145">
        <v>0</v>
      </c>
      <c r="R106" s="145">
        <v>0</v>
      </c>
      <c r="S106" s="145">
        <v>0</v>
      </c>
      <c r="T106" s="145">
        <v>0</v>
      </c>
      <c r="U106" s="145">
        <v>0</v>
      </c>
      <c r="V106" s="145">
        <v>0</v>
      </c>
      <c r="W106" s="368">
        <v>3426</v>
      </c>
      <c r="X106" s="145">
        <v>0</v>
      </c>
      <c r="Y106" s="145">
        <v>0</v>
      </c>
      <c r="Z106" s="145">
        <v>0</v>
      </c>
      <c r="AA106" s="145">
        <v>0</v>
      </c>
      <c r="AB106" s="145">
        <v>0</v>
      </c>
      <c r="AC106" s="145">
        <v>0</v>
      </c>
      <c r="AD106" s="368">
        <v>3427</v>
      </c>
      <c r="AE106" s="145">
        <v>0</v>
      </c>
      <c r="AF106" s="368">
        <v>0</v>
      </c>
      <c r="AG106" s="309">
        <v>0</v>
      </c>
      <c r="AH106" s="124"/>
      <c r="AI106" s="125">
        <f>SUM(F106:AG106)</f>
        <v>13706</v>
      </c>
      <c r="AK106" s="159"/>
      <c r="DB106" s="270"/>
      <c r="DC106" s="270"/>
      <c r="DD106" s="270"/>
      <c r="DE106" s="270"/>
      <c r="DF106" s="270"/>
      <c r="DG106" s="270"/>
      <c r="DH106" s="270"/>
      <c r="DI106" s="270"/>
      <c r="DJ106" s="270"/>
      <c r="DK106" s="270"/>
      <c r="DT106" s="270"/>
    </row>
    <row r="107" spans="2:124 15090:15482" s="6" customFormat="1" ht="13.8" hidden="1">
      <c r="B107" s="297"/>
      <c r="C107" s="40" t="s">
        <v>82</v>
      </c>
      <c r="D107" s="41"/>
      <c r="E107" s="219" t="s">
        <v>70</v>
      </c>
      <c r="F107" s="368">
        <v>0</v>
      </c>
      <c r="G107" s="145">
        <v>0</v>
      </c>
      <c r="H107" s="145">
        <v>0</v>
      </c>
      <c r="I107" s="145">
        <v>6850</v>
      </c>
      <c r="J107" s="145">
        <v>0</v>
      </c>
      <c r="K107" s="145">
        <v>0</v>
      </c>
      <c r="L107" s="145">
        <v>0</v>
      </c>
      <c r="M107" s="145">
        <v>0</v>
      </c>
      <c r="N107" s="145">
        <v>0</v>
      </c>
      <c r="O107" s="145">
        <v>0</v>
      </c>
      <c r="P107" s="145">
        <v>3350</v>
      </c>
      <c r="Q107" s="145">
        <v>0</v>
      </c>
      <c r="R107" s="145">
        <v>0</v>
      </c>
      <c r="S107" s="145">
        <v>0</v>
      </c>
      <c r="T107" s="145">
        <v>0</v>
      </c>
      <c r="U107" s="145">
        <v>0</v>
      </c>
      <c r="V107" s="145">
        <v>0</v>
      </c>
      <c r="W107" s="368">
        <v>6850</v>
      </c>
      <c r="X107" s="145">
        <v>0</v>
      </c>
      <c r="Y107" s="145">
        <v>0</v>
      </c>
      <c r="Z107" s="145">
        <v>0</v>
      </c>
      <c r="AA107" s="145">
        <v>0</v>
      </c>
      <c r="AB107" s="145">
        <v>0</v>
      </c>
      <c r="AC107" s="145">
        <v>0</v>
      </c>
      <c r="AD107" s="360">
        <v>6851</v>
      </c>
      <c r="AE107" s="145">
        <v>0</v>
      </c>
      <c r="AF107" s="368">
        <v>0</v>
      </c>
      <c r="AG107" s="309">
        <v>0</v>
      </c>
      <c r="AH107" s="124"/>
      <c r="AI107" s="125">
        <f>SUM(F107:AG107)</f>
        <v>23901</v>
      </c>
      <c r="AK107" s="159"/>
      <c r="DB107" s="270"/>
      <c r="DC107" s="270"/>
      <c r="DD107" s="270"/>
      <c r="DE107" s="270"/>
      <c r="DF107" s="270"/>
      <c r="DG107" s="270"/>
      <c r="DH107" s="270"/>
      <c r="DI107" s="270"/>
      <c r="DJ107" s="270"/>
      <c r="DK107" s="270"/>
      <c r="DT107" s="270"/>
    </row>
    <row r="108" spans="2:124 15090:15482" s="1" customFormat="1" hidden="1">
      <c r="B108" s="295"/>
      <c r="C108" s="217" t="s">
        <v>72</v>
      </c>
      <c r="D108" s="74"/>
      <c r="E108" s="70"/>
      <c r="F108" s="3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360"/>
      <c r="X108" s="60"/>
      <c r="Y108" s="60"/>
      <c r="Z108" s="60"/>
      <c r="AA108" s="60"/>
      <c r="AB108" s="60"/>
      <c r="AC108" s="60"/>
      <c r="AD108" s="360"/>
      <c r="AE108" s="60"/>
      <c r="AF108" s="360"/>
      <c r="AG108" s="291"/>
      <c r="AH108" s="117"/>
      <c r="AI108" s="122" t="s">
        <v>72</v>
      </c>
      <c r="AK108" s="118"/>
      <c r="DB108" s="227"/>
      <c r="DC108" s="227"/>
      <c r="DD108" s="227"/>
      <c r="DE108" s="227"/>
      <c r="DF108" s="227"/>
      <c r="DG108" s="227"/>
      <c r="DH108" s="227"/>
      <c r="DI108" s="227"/>
      <c r="DJ108" s="227"/>
      <c r="DK108" s="227"/>
      <c r="DT108" s="227"/>
    </row>
    <row r="109" spans="2:124 15090:15482" s="1" customFormat="1" ht="13.8" hidden="1">
      <c r="B109" s="295"/>
      <c r="C109" s="40" t="s">
        <v>81</v>
      </c>
      <c r="D109" s="74"/>
      <c r="E109" s="206" t="s">
        <v>72</v>
      </c>
      <c r="F109" s="360">
        <f t="shared" ref="F109:AG109" si="53">F106*12</f>
        <v>0</v>
      </c>
      <c r="G109" s="60">
        <f t="shared" si="53"/>
        <v>0</v>
      </c>
      <c r="H109" s="60">
        <f t="shared" si="53"/>
        <v>0</v>
      </c>
      <c r="I109" s="60">
        <f t="shared" si="53"/>
        <v>41112</v>
      </c>
      <c r="J109" s="60">
        <f t="shared" si="53"/>
        <v>0</v>
      </c>
      <c r="K109" s="60">
        <f t="shared" si="53"/>
        <v>0</v>
      </c>
      <c r="L109" s="60">
        <f t="shared" si="53"/>
        <v>0</v>
      </c>
      <c r="M109" s="60">
        <f t="shared" si="53"/>
        <v>0</v>
      </c>
      <c r="N109" s="60">
        <f t="shared" si="53"/>
        <v>0</v>
      </c>
      <c r="O109" s="60">
        <f t="shared" si="53"/>
        <v>0</v>
      </c>
      <c r="P109" s="60">
        <f t="shared" si="53"/>
        <v>41124</v>
      </c>
      <c r="Q109" s="60">
        <f t="shared" si="53"/>
        <v>0</v>
      </c>
      <c r="R109" s="60">
        <f t="shared" si="53"/>
        <v>0</v>
      </c>
      <c r="S109" s="60">
        <f t="shared" si="53"/>
        <v>0</v>
      </c>
      <c r="T109" s="60">
        <f t="shared" si="53"/>
        <v>0</v>
      </c>
      <c r="U109" s="60">
        <f t="shared" si="53"/>
        <v>0</v>
      </c>
      <c r="V109" s="60">
        <f t="shared" si="53"/>
        <v>0</v>
      </c>
      <c r="W109" s="360">
        <f t="shared" si="53"/>
        <v>41112</v>
      </c>
      <c r="X109" s="60">
        <f t="shared" si="53"/>
        <v>0</v>
      </c>
      <c r="Y109" s="60">
        <f t="shared" si="53"/>
        <v>0</v>
      </c>
      <c r="Z109" s="60">
        <f t="shared" si="53"/>
        <v>0</v>
      </c>
      <c r="AA109" s="60">
        <f t="shared" si="53"/>
        <v>0</v>
      </c>
      <c r="AB109" s="60">
        <f t="shared" si="53"/>
        <v>0</v>
      </c>
      <c r="AC109" s="60">
        <f t="shared" si="53"/>
        <v>0</v>
      </c>
      <c r="AD109" s="360">
        <f t="shared" si="53"/>
        <v>41124</v>
      </c>
      <c r="AE109" s="60">
        <f t="shared" si="53"/>
        <v>0</v>
      </c>
      <c r="AF109" s="360">
        <f t="shared" si="53"/>
        <v>0</v>
      </c>
      <c r="AG109" s="291">
        <f t="shared" si="53"/>
        <v>0</v>
      </c>
      <c r="AH109" s="117"/>
      <c r="AI109" s="116">
        <f>AI106*12</f>
        <v>164472</v>
      </c>
      <c r="AK109" s="118"/>
      <c r="DB109" s="227"/>
      <c r="DC109" s="227"/>
      <c r="DD109" s="227"/>
      <c r="DE109" s="227"/>
      <c r="DF109" s="227"/>
      <c r="DG109" s="227"/>
      <c r="DH109" s="227"/>
      <c r="DI109" s="227"/>
      <c r="DJ109" s="227"/>
      <c r="DK109" s="227"/>
      <c r="DT109" s="227"/>
    </row>
    <row r="110" spans="2:124 15090:15482" s="1" customFormat="1" ht="13.8" hidden="1">
      <c r="B110" s="295"/>
      <c r="C110" s="40" t="s">
        <v>82</v>
      </c>
      <c r="D110" s="74"/>
      <c r="E110" s="206" t="s">
        <v>72</v>
      </c>
      <c r="F110" s="360">
        <f t="shared" ref="F110:AG110" si="54">F107*6</f>
        <v>0</v>
      </c>
      <c r="G110" s="60">
        <f t="shared" si="54"/>
        <v>0</v>
      </c>
      <c r="H110" s="60">
        <f t="shared" si="54"/>
        <v>0</v>
      </c>
      <c r="I110" s="60">
        <f t="shared" si="54"/>
        <v>41100</v>
      </c>
      <c r="J110" s="60">
        <f t="shared" si="54"/>
        <v>0</v>
      </c>
      <c r="K110" s="60">
        <f t="shared" si="54"/>
        <v>0</v>
      </c>
      <c r="L110" s="60">
        <f t="shared" si="54"/>
        <v>0</v>
      </c>
      <c r="M110" s="60">
        <f t="shared" si="54"/>
        <v>0</v>
      </c>
      <c r="N110" s="60">
        <f t="shared" si="54"/>
        <v>0</v>
      </c>
      <c r="O110" s="60">
        <f t="shared" si="54"/>
        <v>0</v>
      </c>
      <c r="P110" s="60">
        <f t="shared" si="54"/>
        <v>20100</v>
      </c>
      <c r="Q110" s="60">
        <f t="shared" si="54"/>
        <v>0</v>
      </c>
      <c r="R110" s="60">
        <f t="shared" si="54"/>
        <v>0</v>
      </c>
      <c r="S110" s="60">
        <f t="shared" si="54"/>
        <v>0</v>
      </c>
      <c r="T110" s="60">
        <f t="shared" si="54"/>
        <v>0</v>
      </c>
      <c r="U110" s="60">
        <f t="shared" si="54"/>
        <v>0</v>
      </c>
      <c r="V110" s="60">
        <f t="shared" si="54"/>
        <v>0</v>
      </c>
      <c r="W110" s="360">
        <f t="shared" si="54"/>
        <v>41100</v>
      </c>
      <c r="X110" s="60">
        <f t="shared" si="54"/>
        <v>0</v>
      </c>
      <c r="Y110" s="60">
        <f t="shared" si="54"/>
        <v>0</v>
      </c>
      <c r="Z110" s="60">
        <f t="shared" si="54"/>
        <v>0</v>
      </c>
      <c r="AA110" s="60">
        <f t="shared" si="54"/>
        <v>0</v>
      </c>
      <c r="AB110" s="60">
        <f t="shared" si="54"/>
        <v>0</v>
      </c>
      <c r="AC110" s="60">
        <f t="shared" si="54"/>
        <v>0</v>
      </c>
      <c r="AD110" s="360">
        <f t="shared" si="54"/>
        <v>41106</v>
      </c>
      <c r="AE110" s="60">
        <f t="shared" si="54"/>
        <v>0</v>
      </c>
      <c r="AF110" s="360">
        <f t="shared" si="54"/>
        <v>0</v>
      </c>
      <c r="AG110" s="291">
        <f t="shared" si="54"/>
        <v>0</v>
      </c>
      <c r="AH110" s="117"/>
      <c r="AI110" s="116">
        <f>AI107*6</f>
        <v>143406</v>
      </c>
      <c r="AK110" s="118"/>
      <c r="DB110" s="227"/>
      <c r="DC110" s="227"/>
      <c r="DD110" s="227"/>
      <c r="DE110" s="227"/>
      <c r="DF110" s="227"/>
      <c r="DG110" s="227"/>
      <c r="DH110" s="227"/>
      <c r="DI110" s="227"/>
      <c r="DJ110" s="227"/>
      <c r="DK110" s="227"/>
      <c r="DT110" s="227"/>
    </row>
    <row r="111" spans="2:124 15090:15482" s="1" customFormat="1" hidden="1">
      <c r="B111" s="295"/>
      <c r="C111" s="217" t="s">
        <v>73</v>
      </c>
      <c r="D111" s="74"/>
      <c r="E111" s="206" t="s">
        <v>74</v>
      </c>
      <c r="F111" s="360">
        <v>0</v>
      </c>
      <c r="G111" s="60">
        <f>(G102*45)/1700</f>
        <v>0</v>
      </c>
      <c r="H111" s="60">
        <f t="shared" ref="H111:Y111" si="55">(H102*45)/1700</f>
        <v>0</v>
      </c>
      <c r="I111" s="60">
        <f t="shared" si="55"/>
        <v>2954.2636323529409</v>
      </c>
      <c r="J111" s="60">
        <f t="shared" si="55"/>
        <v>0</v>
      </c>
      <c r="K111" s="60">
        <f t="shared" si="55"/>
        <v>0</v>
      </c>
      <c r="L111" s="60">
        <f t="shared" si="55"/>
        <v>0</v>
      </c>
      <c r="M111" s="60">
        <f t="shared" si="55"/>
        <v>0</v>
      </c>
      <c r="N111" s="60">
        <f t="shared" si="55"/>
        <v>0</v>
      </c>
      <c r="O111" s="60">
        <f t="shared" si="55"/>
        <v>0</v>
      </c>
      <c r="P111" s="60">
        <f t="shared" si="55"/>
        <v>1948.4281323529412</v>
      </c>
      <c r="Q111" s="60">
        <f t="shared" si="55"/>
        <v>0</v>
      </c>
      <c r="R111" s="60">
        <f t="shared" si="55"/>
        <v>0</v>
      </c>
      <c r="S111" s="60">
        <f t="shared" si="55"/>
        <v>0</v>
      </c>
      <c r="T111" s="60">
        <f t="shared" si="55"/>
        <v>0</v>
      </c>
      <c r="U111" s="60">
        <f t="shared" si="55"/>
        <v>0</v>
      </c>
      <c r="V111" s="60">
        <f t="shared" si="55"/>
        <v>0</v>
      </c>
      <c r="W111" s="360">
        <f t="shared" si="55"/>
        <v>2954.2636323529409</v>
      </c>
      <c r="X111" s="60">
        <f t="shared" si="55"/>
        <v>0</v>
      </c>
      <c r="Y111" s="60">
        <f t="shared" si="55"/>
        <v>0</v>
      </c>
      <c r="Z111" s="60">
        <f t="shared" ref="Z111:AG111" si="56">Z102*45/1700</f>
        <v>0</v>
      </c>
      <c r="AA111" s="60">
        <f t="shared" si="56"/>
        <v>0</v>
      </c>
      <c r="AB111" s="60">
        <f t="shared" si="56"/>
        <v>0</v>
      </c>
      <c r="AC111" s="60">
        <f t="shared" si="56"/>
        <v>0</v>
      </c>
      <c r="AD111" s="360">
        <f t="shared" si="56"/>
        <v>2954.8385735294119</v>
      </c>
      <c r="AE111" s="60">
        <f t="shared" si="56"/>
        <v>0</v>
      </c>
      <c r="AF111" s="360">
        <f t="shared" si="56"/>
        <v>0</v>
      </c>
      <c r="AG111" s="291">
        <f t="shared" si="56"/>
        <v>0</v>
      </c>
      <c r="AH111" s="117"/>
      <c r="AI111" s="116">
        <f>SUM(F111:AG111)</f>
        <v>10811.793970588235</v>
      </c>
      <c r="AK111" s="118"/>
      <c r="DB111" s="227"/>
      <c r="DC111" s="227"/>
      <c r="DD111" s="227"/>
      <c r="DE111" s="227"/>
      <c r="DF111" s="227"/>
      <c r="DG111" s="227"/>
      <c r="DH111" s="227"/>
      <c r="DI111" s="227"/>
      <c r="DJ111" s="227"/>
      <c r="DK111" s="227"/>
      <c r="DT111" s="227"/>
    </row>
    <row r="112" spans="2:124 15090:15482" s="1" customFormat="1" hidden="1">
      <c r="B112" s="295"/>
      <c r="C112" s="217" t="s">
        <v>75</v>
      </c>
      <c r="D112" s="74"/>
      <c r="E112" s="206" t="s">
        <v>76</v>
      </c>
      <c r="F112" s="360">
        <f t="shared" ref="F112:AG112" si="57">SUM(F106:F107)/500</f>
        <v>0</v>
      </c>
      <c r="G112" s="60">
        <f t="shared" si="57"/>
        <v>0</v>
      </c>
      <c r="H112" s="60">
        <f t="shared" si="57"/>
        <v>0</v>
      </c>
      <c r="I112" s="60">
        <f t="shared" si="57"/>
        <v>20.552</v>
      </c>
      <c r="J112" s="60">
        <f t="shared" si="57"/>
        <v>0</v>
      </c>
      <c r="K112" s="60">
        <f t="shared" si="57"/>
        <v>0</v>
      </c>
      <c r="L112" s="60">
        <f t="shared" si="57"/>
        <v>0</v>
      </c>
      <c r="M112" s="60">
        <f t="shared" si="57"/>
        <v>0</v>
      </c>
      <c r="N112" s="60">
        <f t="shared" si="57"/>
        <v>0</v>
      </c>
      <c r="O112" s="60">
        <f t="shared" si="57"/>
        <v>0</v>
      </c>
      <c r="P112" s="60">
        <f t="shared" si="57"/>
        <v>13.554</v>
      </c>
      <c r="Q112" s="60">
        <f t="shared" si="57"/>
        <v>0</v>
      </c>
      <c r="R112" s="60">
        <f t="shared" si="57"/>
        <v>0</v>
      </c>
      <c r="S112" s="60">
        <f t="shared" si="57"/>
        <v>0</v>
      </c>
      <c r="T112" s="60">
        <f t="shared" si="57"/>
        <v>0</v>
      </c>
      <c r="U112" s="60">
        <f t="shared" si="57"/>
        <v>0</v>
      </c>
      <c r="V112" s="60">
        <f t="shared" si="57"/>
        <v>0</v>
      </c>
      <c r="W112" s="360">
        <f t="shared" si="57"/>
        <v>20.552</v>
      </c>
      <c r="X112" s="60">
        <f t="shared" si="57"/>
        <v>0</v>
      </c>
      <c r="Y112" s="60">
        <f t="shared" si="57"/>
        <v>0</v>
      </c>
      <c r="Z112" s="60">
        <f t="shared" si="57"/>
        <v>0</v>
      </c>
      <c r="AA112" s="60">
        <f t="shared" si="57"/>
        <v>0</v>
      </c>
      <c r="AB112" s="60">
        <f t="shared" si="57"/>
        <v>0</v>
      </c>
      <c r="AC112" s="60">
        <f t="shared" si="57"/>
        <v>0</v>
      </c>
      <c r="AD112" s="360">
        <f t="shared" si="57"/>
        <v>20.556000000000001</v>
      </c>
      <c r="AE112" s="60">
        <f t="shared" si="57"/>
        <v>0</v>
      </c>
      <c r="AF112" s="382">
        <f t="shared" si="57"/>
        <v>0</v>
      </c>
      <c r="AG112" s="291">
        <f t="shared" si="57"/>
        <v>0</v>
      </c>
      <c r="AH112" s="117"/>
      <c r="AI112" s="116">
        <f>SUM(F112:AG112)</f>
        <v>75.213999999999999</v>
      </c>
      <c r="AK112" s="118"/>
      <c r="DB112" s="227"/>
      <c r="DC112" s="227"/>
      <c r="DD112" s="227"/>
      <c r="DE112" s="227"/>
      <c r="DF112" s="227"/>
      <c r="DG112" s="227"/>
      <c r="DH112" s="227"/>
      <c r="DI112" s="227"/>
      <c r="DJ112" s="227"/>
      <c r="DK112" s="227"/>
      <c r="DT112" s="227"/>
    </row>
    <row r="113" spans="2:124 15090:15482" s="1" customFormat="1" hidden="1">
      <c r="B113" s="289"/>
      <c r="C113" s="36" t="s">
        <v>77</v>
      </c>
      <c r="D113" s="55"/>
      <c r="E113" s="55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103"/>
      <c r="AD113" s="56"/>
      <c r="AE113" s="56"/>
      <c r="AF113" s="56"/>
      <c r="AG113" s="288"/>
      <c r="AH113" s="107"/>
      <c r="AI113" s="203" t="s">
        <v>78</v>
      </c>
      <c r="AK113" s="29"/>
      <c r="DB113" s="253"/>
      <c r="DC113" s="253"/>
      <c r="DD113" s="253"/>
      <c r="DE113" s="253"/>
      <c r="DF113" s="253"/>
      <c r="DG113" s="253"/>
      <c r="DH113" s="253"/>
      <c r="DI113" s="253"/>
      <c r="DJ113" s="253"/>
      <c r="DK113" s="253"/>
      <c r="DT113" s="25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  <c r="VUR113"/>
      <c r="VUS113"/>
      <c r="VUT113"/>
      <c r="VUU113"/>
      <c r="VUV113"/>
      <c r="VUW113"/>
      <c r="VUX113"/>
      <c r="VUY113"/>
      <c r="VUZ113"/>
      <c r="VVA113"/>
      <c r="VVB113"/>
      <c r="VVC113"/>
      <c r="VVD113"/>
      <c r="VVE113"/>
      <c r="VVF113"/>
      <c r="VVG113"/>
      <c r="VVH113"/>
      <c r="VVI113"/>
      <c r="VVJ113"/>
      <c r="VVK113"/>
      <c r="VVL113"/>
      <c r="VVM113"/>
      <c r="VVN113"/>
      <c r="VVO113"/>
      <c r="VVP113"/>
      <c r="VVQ113"/>
      <c r="VVR113"/>
      <c r="VVS113"/>
      <c r="VVT113"/>
      <c r="VVU113"/>
      <c r="VVV113"/>
      <c r="VVW113"/>
      <c r="VVX113"/>
      <c r="VVY113"/>
      <c r="VVZ113"/>
      <c r="VWA113"/>
      <c r="VWB113"/>
      <c r="VWC113"/>
      <c r="VWD113"/>
      <c r="VWE113"/>
      <c r="VWF113"/>
      <c r="VWG113"/>
      <c r="VWH113"/>
      <c r="VWI113"/>
      <c r="VWJ113"/>
      <c r="VWK113"/>
      <c r="VWL113"/>
    </row>
    <row r="114" spans="2:124 15090:15482" s="1" customFormat="1" hidden="1">
      <c r="B114" s="295"/>
      <c r="C114" s="217" t="s">
        <v>68</v>
      </c>
      <c r="D114" s="74"/>
      <c r="E114" s="70"/>
      <c r="F114" s="3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360"/>
      <c r="X114" s="60"/>
      <c r="Y114" s="60"/>
      <c r="Z114" s="60"/>
      <c r="AA114" s="60"/>
      <c r="AB114" s="60"/>
      <c r="AC114" s="60"/>
      <c r="AD114" s="360"/>
      <c r="AE114" s="60"/>
      <c r="AF114" s="360"/>
      <c r="AG114" s="291"/>
      <c r="AH114" s="117"/>
      <c r="AI114" s="122" t="s">
        <v>68</v>
      </c>
      <c r="AK114" s="118"/>
      <c r="DT114" s="227"/>
    </row>
    <row r="115" spans="2:124 15090:15482" s="1" customFormat="1" ht="13.8" hidden="1">
      <c r="B115" s="295"/>
      <c r="C115" s="40" t="s">
        <v>81</v>
      </c>
      <c r="D115" s="74"/>
      <c r="E115" s="206" t="s">
        <v>70</v>
      </c>
      <c r="F115" s="368">
        <v>0</v>
      </c>
      <c r="G115" s="145">
        <v>0</v>
      </c>
      <c r="H115" s="145">
        <v>0</v>
      </c>
      <c r="I115" s="60">
        <v>3</v>
      </c>
      <c r="J115" s="145">
        <v>0</v>
      </c>
      <c r="K115" s="145">
        <v>0</v>
      </c>
      <c r="L115" s="145">
        <v>0</v>
      </c>
      <c r="M115" s="145">
        <v>0</v>
      </c>
      <c r="N115" s="145">
        <v>0</v>
      </c>
      <c r="O115" s="145">
        <v>0</v>
      </c>
      <c r="P115" s="60">
        <v>8</v>
      </c>
      <c r="Q115" s="145">
        <v>0</v>
      </c>
      <c r="R115" s="145">
        <v>0</v>
      </c>
      <c r="S115" s="145">
        <v>0</v>
      </c>
      <c r="T115" s="145">
        <v>0</v>
      </c>
      <c r="U115" s="145">
        <v>0</v>
      </c>
      <c r="V115" s="145">
        <v>0</v>
      </c>
      <c r="W115" s="360">
        <v>8</v>
      </c>
      <c r="X115" s="145">
        <v>0</v>
      </c>
      <c r="Y115" s="145">
        <v>0</v>
      </c>
      <c r="Z115" s="145">
        <v>0</v>
      </c>
      <c r="AA115" s="145">
        <v>0</v>
      </c>
      <c r="AB115" s="145">
        <v>0</v>
      </c>
      <c r="AC115" s="145">
        <v>0</v>
      </c>
      <c r="AD115" s="360">
        <v>3</v>
      </c>
      <c r="AE115" s="145">
        <v>0</v>
      </c>
      <c r="AF115" s="368">
        <v>0</v>
      </c>
      <c r="AG115" s="309">
        <v>0</v>
      </c>
      <c r="AH115" s="117"/>
      <c r="AI115" s="116">
        <f>SUM(F115:AG115)</f>
        <v>22</v>
      </c>
      <c r="AK115" s="118"/>
      <c r="DT115" s="227"/>
    </row>
    <row r="116" spans="2:124 15090:15482" s="1" customFormat="1" ht="13.8" hidden="1">
      <c r="B116" s="295"/>
      <c r="C116" s="40" t="s">
        <v>82</v>
      </c>
      <c r="D116" s="74"/>
      <c r="E116" s="206" t="s">
        <v>70</v>
      </c>
      <c r="F116" s="368">
        <v>0</v>
      </c>
      <c r="G116" s="145">
        <v>0</v>
      </c>
      <c r="H116" s="145">
        <v>0</v>
      </c>
      <c r="I116" s="60">
        <v>4</v>
      </c>
      <c r="J116" s="145">
        <v>0</v>
      </c>
      <c r="K116" s="145">
        <v>0</v>
      </c>
      <c r="L116" s="145">
        <v>0</v>
      </c>
      <c r="M116" s="145">
        <v>0</v>
      </c>
      <c r="N116" s="145">
        <v>0</v>
      </c>
      <c r="O116" s="145">
        <v>0</v>
      </c>
      <c r="P116" s="60">
        <v>4</v>
      </c>
      <c r="Q116" s="145">
        <v>0</v>
      </c>
      <c r="R116" s="145">
        <v>0</v>
      </c>
      <c r="S116" s="145">
        <v>0</v>
      </c>
      <c r="T116" s="145">
        <v>0</v>
      </c>
      <c r="U116" s="145">
        <v>0</v>
      </c>
      <c r="V116" s="145">
        <v>0</v>
      </c>
      <c r="W116" s="360">
        <v>10</v>
      </c>
      <c r="X116" s="145">
        <v>0</v>
      </c>
      <c r="Y116" s="145">
        <v>0</v>
      </c>
      <c r="Z116" s="145">
        <v>0</v>
      </c>
      <c r="AA116" s="145">
        <v>0</v>
      </c>
      <c r="AB116" s="145">
        <v>0</v>
      </c>
      <c r="AC116" s="145">
        <v>0</v>
      </c>
      <c r="AD116" s="360">
        <v>5</v>
      </c>
      <c r="AE116" s="145">
        <v>0</v>
      </c>
      <c r="AF116" s="368">
        <v>0</v>
      </c>
      <c r="AG116" s="309">
        <v>0</v>
      </c>
      <c r="AH116" s="117"/>
      <c r="AI116" s="116">
        <f>SUM(F116:AG116)</f>
        <v>23</v>
      </c>
      <c r="AK116" s="118"/>
      <c r="DT116" s="227"/>
    </row>
    <row r="117" spans="2:124 15090:15482" s="1" customFormat="1" hidden="1">
      <c r="B117" s="295"/>
      <c r="C117" s="217" t="s">
        <v>72</v>
      </c>
      <c r="D117" s="74"/>
      <c r="E117" s="70"/>
      <c r="F117" s="3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360"/>
      <c r="X117" s="60"/>
      <c r="Y117" s="60"/>
      <c r="Z117" s="60"/>
      <c r="AA117" s="60"/>
      <c r="AB117" s="60"/>
      <c r="AC117" s="60"/>
      <c r="AD117" s="360"/>
      <c r="AE117" s="60"/>
      <c r="AF117" s="360"/>
      <c r="AG117" s="291"/>
      <c r="AH117" s="117"/>
      <c r="AI117" s="122" t="s">
        <v>72</v>
      </c>
      <c r="AK117" s="118"/>
      <c r="DT117" s="227"/>
    </row>
    <row r="118" spans="2:124 15090:15482" s="1" customFormat="1" ht="13.8" hidden="1">
      <c r="B118" s="295"/>
      <c r="C118" s="40" t="s">
        <v>81</v>
      </c>
      <c r="D118" s="74"/>
      <c r="E118" s="206" t="s">
        <v>72</v>
      </c>
      <c r="F118" s="360">
        <v>0</v>
      </c>
      <c r="G118" s="60">
        <f>(G109*45)/1700</f>
        <v>0</v>
      </c>
      <c r="H118" s="60">
        <f t="shared" ref="H118:K118" si="58">(H109*45)/1700</f>
        <v>0</v>
      </c>
      <c r="I118" s="60">
        <v>35</v>
      </c>
      <c r="J118" s="60">
        <f t="shared" si="58"/>
        <v>0</v>
      </c>
      <c r="K118" s="60">
        <f t="shared" si="58"/>
        <v>0</v>
      </c>
      <c r="L118" s="60">
        <f t="shared" ref="L118:N118" si="59">(L109*45)/1700</f>
        <v>0</v>
      </c>
      <c r="M118" s="60">
        <f t="shared" si="59"/>
        <v>0</v>
      </c>
      <c r="N118" s="60">
        <f t="shared" si="59"/>
        <v>0</v>
      </c>
      <c r="O118" s="60">
        <f t="shared" ref="O118:R118" si="60">(O109*45)/1700</f>
        <v>0</v>
      </c>
      <c r="P118" s="60">
        <v>25</v>
      </c>
      <c r="Q118" s="60">
        <f t="shared" si="60"/>
        <v>0</v>
      </c>
      <c r="R118" s="60">
        <f t="shared" si="60"/>
        <v>0</v>
      </c>
      <c r="S118" s="60">
        <f t="shared" ref="S118:T118" si="61">(S109*45)/1700</f>
        <v>0</v>
      </c>
      <c r="T118" s="60">
        <f t="shared" si="61"/>
        <v>0</v>
      </c>
      <c r="U118" s="60">
        <f t="shared" ref="U118:V118" si="62">(U109*45)/1700</f>
        <v>0</v>
      </c>
      <c r="V118" s="60">
        <f t="shared" si="62"/>
        <v>0</v>
      </c>
      <c r="W118" s="360">
        <v>7</v>
      </c>
      <c r="X118" s="60">
        <f t="shared" ref="X118:Y118" si="63">(X109*45)/1700</f>
        <v>0</v>
      </c>
      <c r="Y118" s="60">
        <f t="shared" si="63"/>
        <v>0</v>
      </c>
      <c r="Z118" s="60">
        <f t="shared" ref="Z118:AA118" si="64">(Z109*45)/1700</f>
        <v>0</v>
      </c>
      <c r="AA118" s="60">
        <f t="shared" si="64"/>
        <v>0</v>
      </c>
      <c r="AB118" s="60">
        <f t="shared" ref="AB118:AC118" si="65">(AB109*45)/1700</f>
        <v>0</v>
      </c>
      <c r="AC118" s="60">
        <f t="shared" si="65"/>
        <v>0</v>
      </c>
      <c r="AD118" s="360">
        <v>50</v>
      </c>
      <c r="AE118" s="60">
        <f t="shared" ref="AE118:AG118" si="66">(AE109*45)/1700</f>
        <v>0</v>
      </c>
      <c r="AF118" s="360">
        <f t="shared" si="66"/>
        <v>0</v>
      </c>
      <c r="AG118" s="291">
        <f t="shared" si="66"/>
        <v>0</v>
      </c>
      <c r="AH118" s="117"/>
      <c r="AI118" s="116">
        <f>SUM(F118:AG118)</f>
        <v>117</v>
      </c>
      <c r="AK118" s="118"/>
      <c r="DT118" s="227"/>
    </row>
    <row r="119" spans="2:124 15090:15482" s="1" customFormat="1" ht="13.8" hidden="1">
      <c r="B119" s="295"/>
      <c r="C119" s="40" t="s">
        <v>82</v>
      </c>
      <c r="D119" s="74"/>
      <c r="E119" s="206" t="s">
        <v>72</v>
      </c>
      <c r="F119" s="360">
        <f t="shared" ref="F119:H119" si="67">SUM(F113:F114)/500</f>
        <v>0</v>
      </c>
      <c r="G119" s="60">
        <f t="shared" si="67"/>
        <v>0</v>
      </c>
      <c r="H119" s="60">
        <f t="shared" si="67"/>
        <v>0</v>
      </c>
      <c r="I119" s="60">
        <v>9</v>
      </c>
      <c r="J119" s="60">
        <f t="shared" ref="J119:K119" si="68">SUM(J113:J114)/500</f>
        <v>0</v>
      </c>
      <c r="K119" s="60">
        <f t="shared" si="68"/>
        <v>0</v>
      </c>
      <c r="L119" s="60">
        <f t="shared" ref="L119:N119" si="69">SUM(L113:L114)/500</f>
        <v>0</v>
      </c>
      <c r="M119" s="60">
        <f t="shared" si="69"/>
        <v>0</v>
      </c>
      <c r="N119" s="60">
        <f t="shared" si="69"/>
        <v>0</v>
      </c>
      <c r="O119" s="60">
        <f t="shared" ref="O119:R119" si="70">SUM(O113:O114)/500</f>
        <v>0</v>
      </c>
      <c r="P119" s="60">
        <v>7</v>
      </c>
      <c r="Q119" s="60">
        <f t="shared" si="70"/>
        <v>0</v>
      </c>
      <c r="R119" s="60">
        <f t="shared" si="70"/>
        <v>0</v>
      </c>
      <c r="S119" s="60">
        <f t="shared" ref="S119:T119" si="71">SUM(S113:S114)/500</f>
        <v>0</v>
      </c>
      <c r="T119" s="60">
        <f t="shared" si="71"/>
        <v>0</v>
      </c>
      <c r="U119" s="60">
        <f t="shared" ref="U119:V119" si="72">SUM(U113:U114)/500</f>
        <v>0</v>
      </c>
      <c r="V119" s="60">
        <f t="shared" si="72"/>
        <v>0</v>
      </c>
      <c r="W119" s="360">
        <v>9</v>
      </c>
      <c r="X119" s="60">
        <f t="shared" ref="X119:Y119" si="73">SUM(X113:X114)/500</f>
        <v>0</v>
      </c>
      <c r="Y119" s="60">
        <f t="shared" si="73"/>
        <v>0</v>
      </c>
      <c r="Z119" s="60">
        <f t="shared" ref="Z119:AA119" si="74">SUM(Z113:Z114)/500</f>
        <v>0</v>
      </c>
      <c r="AA119" s="60">
        <f t="shared" si="74"/>
        <v>0</v>
      </c>
      <c r="AB119" s="60">
        <f t="shared" ref="AB119:AC119" si="75">SUM(AB113:AB114)/500</f>
        <v>0</v>
      </c>
      <c r="AC119" s="60">
        <f t="shared" si="75"/>
        <v>0</v>
      </c>
      <c r="AD119" s="360">
        <v>12</v>
      </c>
      <c r="AE119" s="60">
        <f t="shared" ref="AE119:AG119" si="76">SUM(AE113:AE114)/500</f>
        <v>0</v>
      </c>
      <c r="AF119" s="360">
        <f t="shared" si="76"/>
        <v>0</v>
      </c>
      <c r="AG119" s="291">
        <f t="shared" si="76"/>
        <v>0</v>
      </c>
      <c r="AH119" s="117"/>
      <c r="AI119" s="116">
        <f>SUM(F119:AG119)</f>
        <v>37</v>
      </c>
      <c r="AK119" s="118"/>
      <c r="DT119" s="227"/>
    </row>
    <row r="120" spans="2:124 15090:15482" s="1" customFormat="1" hidden="1">
      <c r="B120" s="289"/>
      <c r="C120" s="36" t="s">
        <v>79</v>
      </c>
      <c r="D120" s="55"/>
      <c r="E120" s="55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103"/>
      <c r="AD120" s="56"/>
      <c r="AE120" s="56"/>
      <c r="AF120" s="56"/>
      <c r="AG120" s="288"/>
      <c r="AH120" s="107"/>
      <c r="AI120" s="203" t="s">
        <v>78</v>
      </c>
      <c r="AK120" s="29"/>
      <c r="DT120" s="253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  <c r="VUR120"/>
      <c r="VUS120"/>
      <c r="VUT120"/>
      <c r="VUU120"/>
      <c r="VUV120"/>
      <c r="VUW120"/>
      <c r="VUX120"/>
      <c r="VUY120"/>
      <c r="VUZ120"/>
      <c r="VVA120"/>
      <c r="VVB120"/>
      <c r="VVC120"/>
      <c r="VVD120"/>
      <c r="VVE120"/>
      <c r="VVF120"/>
      <c r="VVG120"/>
      <c r="VVH120"/>
      <c r="VVI120"/>
      <c r="VVJ120"/>
      <c r="VVK120"/>
      <c r="VVL120"/>
      <c r="VVM120"/>
      <c r="VVN120"/>
      <c r="VVO120"/>
      <c r="VVP120"/>
      <c r="VVQ120"/>
      <c r="VVR120"/>
      <c r="VVS120"/>
      <c r="VVT120"/>
      <c r="VVU120"/>
      <c r="VVV120"/>
      <c r="VVW120"/>
      <c r="VVX120"/>
      <c r="VVY120"/>
      <c r="VVZ120"/>
      <c r="VWA120"/>
      <c r="VWB120"/>
      <c r="VWC120"/>
      <c r="VWD120"/>
      <c r="VWE120"/>
      <c r="VWF120"/>
      <c r="VWG120"/>
      <c r="VWH120"/>
      <c r="VWI120"/>
      <c r="VWJ120"/>
      <c r="VWK120"/>
      <c r="VWL120"/>
    </row>
    <row r="121" spans="2:124 15090:15482" s="1" customFormat="1" hidden="1">
      <c r="B121" s="295"/>
      <c r="C121" s="217" t="s">
        <v>68</v>
      </c>
      <c r="D121" s="74"/>
      <c r="E121" s="70"/>
      <c r="F121" s="3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360"/>
      <c r="X121" s="60"/>
      <c r="Y121" s="60"/>
      <c r="Z121" s="60"/>
      <c r="AA121" s="60"/>
      <c r="AB121" s="60"/>
      <c r="AC121" s="60"/>
      <c r="AD121" s="360"/>
      <c r="AE121" s="60"/>
      <c r="AF121" s="360"/>
      <c r="AG121" s="291"/>
      <c r="AH121" s="117"/>
      <c r="AI121" s="122" t="s">
        <v>68</v>
      </c>
      <c r="AK121" s="118"/>
      <c r="DT121" s="227"/>
    </row>
    <row r="122" spans="2:124 15090:15482" s="1" customFormat="1" ht="13.8" hidden="1">
      <c r="B122" s="295"/>
      <c r="C122" s="40" t="s">
        <v>81</v>
      </c>
      <c r="D122" s="69">
        <v>0.3</v>
      </c>
      <c r="E122" s="206" t="s">
        <v>12</v>
      </c>
      <c r="F122" s="362" t="e">
        <f t="shared" ref="F122:AG123" si="77">F115/F106*100</f>
        <v>#DIV/0!</v>
      </c>
      <c r="G122" s="84" t="e">
        <f t="shared" si="77"/>
        <v>#DIV/0!</v>
      </c>
      <c r="H122" s="84" t="e">
        <f t="shared" si="77"/>
        <v>#DIV/0!</v>
      </c>
      <c r="I122" s="84">
        <f t="shared" si="77"/>
        <v>8.7565674255691769E-2</v>
      </c>
      <c r="J122" s="84" t="e">
        <f t="shared" si="77"/>
        <v>#DIV/0!</v>
      </c>
      <c r="K122" s="84" t="e">
        <f t="shared" si="77"/>
        <v>#DIV/0!</v>
      </c>
      <c r="L122" s="84" t="e">
        <f t="shared" si="77"/>
        <v>#DIV/0!</v>
      </c>
      <c r="M122" s="84" t="e">
        <f t="shared" si="77"/>
        <v>#DIV/0!</v>
      </c>
      <c r="N122" s="84" t="e">
        <f t="shared" si="77"/>
        <v>#DIV/0!</v>
      </c>
      <c r="O122" s="84" t="e">
        <f t="shared" si="77"/>
        <v>#DIV/0!</v>
      </c>
      <c r="P122" s="84">
        <f t="shared" si="77"/>
        <v>0.23344032681645752</v>
      </c>
      <c r="Q122" s="84" t="e">
        <f t="shared" si="77"/>
        <v>#DIV/0!</v>
      </c>
      <c r="R122" s="84" t="e">
        <f t="shared" si="77"/>
        <v>#DIV/0!</v>
      </c>
      <c r="S122" s="84" t="e">
        <f t="shared" si="77"/>
        <v>#DIV/0!</v>
      </c>
      <c r="T122" s="84" t="e">
        <f t="shared" si="77"/>
        <v>#DIV/0!</v>
      </c>
      <c r="U122" s="84" t="e">
        <f t="shared" si="77"/>
        <v>#DIV/0!</v>
      </c>
      <c r="V122" s="84" t="e">
        <f t="shared" si="77"/>
        <v>#DIV/0!</v>
      </c>
      <c r="W122" s="362">
        <f t="shared" si="77"/>
        <v>0.23350846468184472</v>
      </c>
      <c r="X122" s="84" t="e">
        <f t="shared" si="77"/>
        <v>#DIV/0!</v>
      </c>
      <c r="Y122" s="84" t="e">
        <f t="shared" si="77"/>
        <v>#DIV/0!</v>
      </c>
      <c r="Z122" s="84" t="e">
        <f t="shared" si="77"/>
        <v>#DIV/0!</v>
      </c>
      <c r="AA122" s="84" t="e">
        <f t="shared" si="77"/>
        <v>#DIV/0!</v>
      </c>
      <c r="AB122" s="84" t="e">
        <f t="shared" si="77"/>
        <v>#DIV/0!</v>
      </c>
      <c r="AC122" s="84" t="e">
        <f t="shared" si="77"/>
        <v>#DIV/0!</v>
      </c>
      <c r="AD122" s="362">
        <f t="shared" si="77"/>
        <v>8.7540122556171579E-2</v>
      </c>
      <c r="AE122" s="84" t="e">
        <f t="shared" si="77"/>
        <v>#DIV/0!</v>
      </c>
      <c r="AF122" s="362" t="e">
        <f t="shared" si="77"/>
        <v>#DIV/0!</v>
      </c>
      <c r="AG122" s="299" t="e">
        <f t="shared" si="77"/>
        <v>#DIV/0!</v>
      </c>
      <c r="AH122" s="117"/>
      <c r="AI122" s="119">
        <f>AI115/AI106*100</f>
        <v>0.16051364365971107</v>
      </c>
      <c r="AK122" s="118"/>
      <c r="DT122" s="227"/>
    </row>
    <row r="123" spans="2:124 15090:15482" s="1" customFormat="1" ht="13.8" hidden="1">
      <c r="B123" s="295"/>
      <c r="C123" s="40" t="s">
        <v>82</v>
      </c>
      <c r="D123" s="69">
        <v>0.3</v>
      </c>
      <c r="E123" s="206" t="s">
        <v>12</v>
      </c>
      <c r="F123" s="362" t="e">
        <f t="shared" si="77"/>
        <v>#DIV/0!</v>
      </c>
      <c r="G123" s="84" t="e">
        <f t="shared" si="77"/>
        <v>#DIV/0!</v>
      </c>
      <c r="H123" s="84" t="e">
        <f t="shared" si="77"/>
        <v>#DIV/0!</v>
      </c>
      <c r="I123" s="84">
        <f t="shared" si="77"/>
        <v>5.8394160583941611E-2</v>
      </c>
      <c r="J123" s="84" t="e">
        <f t="shared" si="77"/>
        <v>#DIV/0!</v>
      </c>
      <c r="K123" s="84" t="e">
        <f t="shared" si="77"/>
        <v>#DIV/0!</v>
      </c>
      <c r="L123" s="84" t="e">
        <f t="shared" si="77"/>
        <v>#DIV/0!</v>
      </c>
      <c r="M123" s="84" t="e">
        <f t="shared" si="77"/>
        <v>#DIV/0!</v>
      </c>
      <c r="N123" s="84" t="e">
        <f t="shared" si="77"/>
        <v>#DIV/0!</v>
      </c>
      <c r="O123" s="84" t="e">
        <f t="shared" si="77"/>
        <v>#DIV/0!</v>
      </c>
      <c r="P123" s="84">
        <f t="shared" si="77"/>
        <v>0.11940298507462686</v>
      </c>
      <c r="Q123" s="84" t="e">
        <f t="shared" si="77"/>
        <v>#DIV/0!</v>
      </c>
      <c r="R123" s="84" t="e">
        <f t="shared" si="77"/>
        <v>#DIV/0!</v>
      </c>
      <c r="S123" s="84" t="e">
        <f t="shared" si="77"/>
        <v>#DIV/0!</v>
      </c>
      <c r="T123" s="84" t="e">
        <f t="shared" si="77"/>
        <v>#DIV/0!</v>
      </c>
      <c r="U123" s="84" t="e">
        <f t="shared" si="77"/>
        <v>#DIV/0!</v>
      </c>
      <c r="V123" s="84" t="e">
        <f t="shared" si="77"/>
        <v>#DIV/0!</v>
      </c>
      <c r="W123" s="362">
        <f t="shared" si="77"/>
        <v>0.145985401459854</v>
      </c>
      <c r="X123" s="84" t="e">
        <f t="shared" si="77"/>
        <v>#DIV/0!</v>
      </c>
      <c r="Y123" s="84" t="e">
        <f t="shared" si="77"/>
        <v>#DIV/0!</v>
      </c>
      <c r="Z123" s="84" t="e">
        <f t="shared" si="77"/>
        <v>#DIV/0!</v>
      </c>
      <c r="AA123" s="84" t="e">
        <f t="shared" si="77"/>
        <v>#DIV/0!</v>
      </c>
      <c r="AB123" s="84" t="e">
        <f t="shared" si="77"/>
        <v>#DIV/0!</v>
      </c>
      <c r="AC123" s="84" t="e">
        <f t="shared" si="77"/>
        <v>#DIV/0!</v>
      </c>
      <c r="AD123" s="362">
        <f t="shared" si="77"/>
        <v>7.2982046416581528E-2</v>
      </c>
      <c r="AE123" s="84" t="e">
        <f t="shared" si="77"/>
        <v>#DIV/0!</v>
      </c>
      <c r="AF123" s="362" t="e">
        <f t="shared" si="77"/>
        <v>#DIV/0!</v>
      </c>
      <c r="AG123" s="299" t="e">
        <f t="shared" si="77"/>
        <v>#DIV/0!</v>
      </c>
      <c r="AH123" s="117"/>
      <c r="AI123" s="119">
        <f>AI116/AI107*100</f>
        <v>9.623028325174679E-2</v>
      </c>
      <c r="AK123" s="118"/>
      <c r="DT123" s="227"/>
    </row>
    <row r="124" spans="2:124 15090:15482" s="1" customFormat="1" hidden="1">
      <c r="B124" s="295"/>
      <c r="C124" s="217" t="s">
        <v>72</v>
      </c>
      <c r="D124" s="69"/>
      <c r="E124" s="70"/>
      <c r="F124" s="362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362"/>
      <c r="X124" s="84"/>
      <c r="Y124" s="84"/>
      <c r="Z124" s="84"/>
      <c r="AA124" s="84"/>
      <c r="AB124" s="84"/>
      <c r="AC124" s="84"/>
      <c r="AD124" s="362"/>
      <c r="AE124" s="84"/>
      <c r="AF124" s="362"/>
      <c r="AG124" s="299"/>
      <c r="AH124" s="117"/>
      <c r="AI124" s="122" t="s">
        <v>72</v>
      </c>
      <c r="AK124" s="118"/>
      <c r="DT124" s="227"/>
    </row>
    <row r="125" spans="2:124 15090:15482" s="1" customFormat="1" ht="13.8" hidden="1">
      <c r="B125" s="295"/>
      <c r="C125" s="40" t="s">
        <v>81</v>
      </c>
      <c r="D125" s="69">
        <v>0.5</v>
      </c>
      <c r="E125" s="206" t="s">
        <v>12</v>
      </c>
      <c r="F125" s="362" t="e">
        <f t="shared" ref="F125:AG126" si="78">F118/F109*100</f>
        <v>#DIV/0!</v>
      </c>
      <c r="G125" s="84" t="e">
        <f t="shared" si="78"/>
        <v>#DIV/0!</v>
      </c>
      <c r="H125" s="84" t="e">
        <f t="shared" si="78"/>
        <v>#DIV/0!</v>
      </c>
      <c r="I125" s="84">
        <f t="shared" si="78"/>
        <v>8.5133294415255883E-2</v>
      </c>
      <c r="J125" s="84" t="e">
        <f t="shared" si="78"/>
        <v>#DIV/0!</v>
      </c>
      <c r="K125" s="84" t="e">
        <f t="shared" si="78"/>
        <v>#DIV/0!</v>
      </c>
      <c r="L125" s="84" t="e">
        <f t="shared" si="78"/>
        <v>#DIV/0!</v>
      </c>
      <c r="M125" s="84" t="e">
        <f t="shared" si="78"/>
        <v>#DIV/0!</v>
      </c>
      <c r="N125" s="84" t="e">
        <f t="shared" si="78"/>
        <v>#DIV/0!</v>
      </c>
      <c r="O125" s="84" t="e">
        <f t="shared" si="78"/>
        <v>#DIV/0!</v>
      </c>
      <c r="P125" s="84">
        <f t="shared" si="78"/>
        <v>6.0791751775119154E-2</v>
      </c>
      <c r="Q125" s="84" t="e">
        <f t="shared" si="78"/>
        <v>#DIV/0!</v>
      </c>
      <c r="R125" s="84" t="e">
        <f t="shared" si="78"/>
        <v>#DIV/0!</v>
      </c>
      <c r="S125" s="84" t="e">
        <f t="shared" si="78"/>
        <v>#DIV/0!</v>
      </c>
      <c r="T125" s="84" t="e">
        <f t="shared" si="78"/>
        <v>#DIV/0!</v>
      </c>
      <c r="U125" s="84" t="e">
        <f t="shared" si="78"/>
        <v>#DIV/0!</v>
      </c>
      <c r="V125" s="84" t="e">
        <f t="shared" si="78"/>
        <v>#DIV/0!</v>
      </c>
      <c r="W125" s="362">
        <f t="shared" si="78"/>
        <v>1.7026658883051177E-2</v>
      </c>
      <c r="X125" s="84" t="e">
        <f t="shared" si="78"/>
        <v>#DIV/0!</v>
      </c>
      <c r="Y125" s="84" t="e">
        <f t="shared" si="78"/>
        <v>#DIV/0!</v>
      </c>
      <c r="Z125" s="84" t="e">
        <f t="shared" si="78"/>
        <v>#DIV/0!</v>
      </c>
      <c r="AA125" s="84" t="e">
        <f t="shared" si="78"/>
        <v>#DIV/0!</v>
      </c>
      <c r="AB125" s="84" t="e">
        <f t="shared" si="78"/>
        <v>#DIV/0!</v>
      </c>
      <c r="AC125" s="84" t="e">
        <f t="shared" si="78"/>
        <v>#DIV/0!</v>
      </c>
      <c r="AD125" s="362">
        <f t="shared" si="78"/>
        <v>0.12158350355023831</v>
      </c>
      <c r="AE125" s="84" t="e">
        <f t="shared" si="78"/>
        <v>#DIV/0!</v>
      </c>
      <c r="AF125" s="362" t="e">
        <f t="shared" si="78"/>
        <v>#DIV/0!</v>
      </c>
      <c r="AG125" s="299" t="e">
        <f t="shared" si="78"/>
        <v>#DIV/0!</v>
      </c>
      <c r="AH125" s="117"/>
      <c r="AI125" s="119">
        <f>AI118/AI109*100</f>
        <v>7.1136728440099231E-2</v>
      </c>
      <c r="AK125" s="118"/>
      <c r="DT125" s="227"/>
    </row>
    <row r="126" spans="2:124 15090:15482" s="1" customFormat="1" ht="13.8" hidden="1">
      <c r="B126" s="295"/>
      <c r="C126" s="40" t="s">
        <v>82</v>
      </c>
      <c r="D126" s="69">
        <v>0.5</v>
      </c>
      <c r="E126" s="206" t="s">
        <v>12</v>
      </c>
      <c r="F126" s="362" t="e">
        <f t="shared" si="78"/>
        <v>#DIV/0!</v>
      </c>
      <c r="G126" s="84" t="e">
        <f t="shared" si="78"/>
        <v>#DIV/0!</v>
      </c>
      <c r="H126" s="84" t="e">
        <f t="shared" si="78"/>
        <v>#DIV/0!</v>
      </c>
      <c r="I126" s="84">
        <f t="shared" si="78"/>
        <v>2.18978102189781E-2</v>
      </c>
      <c r="J126" s="84" t="e">
        <f t="shared" si="78"/>
        <v>#DIV/0!</v>
      </c>
      <c r="K126" s="84" t="e">
        <f t="shared" si="78"/>
        <v>#DIV/0!</v>
      </c>
      <c r="L126" s="84" t="e">
        <f t="shared" si="78"/>
        <v>#DIV/0!</v>
      </c>
      <c r="M126" s="84" t="e">
        <f t="shared" si="78"/>
        <v>#DIV/0!</v>
      </c>
      <c r="N126" s="84" t="e">
        <f t="shared" si="78"/>
        <v>#DIV/0!</v>
      </c>
      <c r="O126" s="84" t="e">
        <f t="shared" si="78"/>
        <v>#DIV/0!</v>
      </c>
      <c r="P126" s="84">
        <f t="shared" si="78"/>
        <v>3.482587064676617E-2</v>
      </c>
      <c r="Q126" s="84" t="e">
        <f t="shared" si="78"/>
        <v>#DIV/0!</v>
      </c>
      <c r="R126" s="84" t="e">
        <f t="shared" si="78"/>
        <v>#DIV/0!</v>
      </c>
      <c r="S126" s="84" t="e">
        <f t="shared" si="78"/>
        <v>#DIV/0!</v>
      </c>
      <c r="T126" s="84" t="e">
        <f t="shared" si="78"/>
        <v>#DIV/0!</v>
      </c>
      <c r="U126" s="84" t="e">
        <f t="shared" si="78"/>
        <v>#DIV/0!</v>
      </c>
      <c r="V126" s="84" t="e">
        <f t="shared" si="78"/>
        <v>#DIV/0!</v>
      </c>
      <c r="W126" s="362">
        <f t="shared" si="78"/>
        <v>2.18978102189781E-2</v>
      </c>
      <c r="X126" s="84" t="e">
        <f t="shared" si="78"/>
        <v>#DIV/0!</v>
      </c>
      <c r="Y126" s="84" t="e">
        <f t="shared" si="78"/>
        <v>#DIV/0!</v>
      </c>
      <c r="Z126" s="84" t="e">
        <f t="shared" si="78"/>
        <v>#DIV/0!</v>
      </c>
      <c r="AA126" s="84" t="e">
        <f t="shared" si="78"/>
        <v>#DIV/0!</v>
      </c>
      <c r="AB126" s="84" t="e">
        <f t="shared" si="78"/>
        <v>#DIV/0!</v>
      </c>
      <c r="AC126" s="84" t="e">
        <f t="shared" si="78"/>
        <v>#DIV/0!</v>
      </c>
      <c r="AD126" s="362">
        <f t="shared" si="78"/>
        <v>2.9192818566632608E-2</v>
      </c>
      <c r="AE126" s="84" t="e">
        <f t="shared" si="78"/>
        <v>#DIV/0!</v>
      </c>
      <c r="AF126" s="362" t="e">
        <f t="shared" si="78"/>
        <v>#DIV/0!</v>
      </c>
      <c r="AG126" s="299" t="e">
        <f t="shared" si="78"/>
        <v>#DIV/0!</v>
      </c>
      <c r="AH126" s="117"/>
      <c r="AI126" s="119">
        <f>AI119/AI110*100</f>
        <v>2.5800873045758194E-2</v>
      </c>
      <c r="AK126" s="118"/>
      <c r="DT126" s="227"/>
    </row>
    <row r="127" spans="2:124 15090:15482" s="1" customFormat="1" hidden="1">
      <c r="B127" s="287">
        <v>7</v>
      </c>
      <c r="C127" s="36" t="s">
        <v>134</v>
      </c>
      <c r="D127" s="55"/>
      <c r="E127" s="55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103"/>
      <c r="AD127" s="56"/>
      <c r="AE127" s="56"/>
      <c r="AF127" s="56"/>
      <c r="AG127" s="288"/>
      <c r="AH127" s="107"/>
      <c r="AI127" s="203" t="s">
        <v>63</v>
      </c>
      <c r="AK127" s="29"/>
      <c r="DT127" s="253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  <c r="VUM127"/>
      <c r="VUN127"/>
      <c r="VUO127"/>
      <c r="VUP127"/>
      <c r="VUQ127"/>
      <c r="VUR127"/>
      <c r="VUS127"/>
      <c r="VUT127"/>
      <c r="VUU127"/>
      <c r="VUV127"/>
      <c r="VUW127"/>
      <c r="VUX127"/>
      <c r="VUY127"/>
      <c r="VUZ127"/>
      <c r="VVA127"/>
      <c r="VVB127"/>
      <c r="VVC127"/>
      <c r="VVD127"/>
      <c r="VVE127"/>
      <c r="VVF127"/>
      <c r="VVG127"/>
      <c r="VVH127"/>
      <c r="VVI127"/>
      <c r="VVJ127"/>
      <c r="VVK127"/>
      <c r="VVL127"/>
      <c r="VVM127"/>
      <c r="VVN127"/>
      <c r="VVO127"/>
      <c r="VVP127"/>
      <c r="VVQ127"/>
      <c r="VVR127"/>
      <c r="VVS127"/>
      <c r="VVT127"/>
      <c r="VVU127"/>
      <c r="VVV127"/>
      <c r="VVW127"/>
      <c r="VVX127"/>
      <c r="VVY127"/>
      <c r="VVZ127"/>
      <c r="VWA127"/>
      <c r="VWB127"/>
      <c r="VWC127"/>
      <c r="VWD127"/>
      <c r="VWE127"/>
      <c r="VWF127"/>
      <c r="VWG127"/>
      <c r="VWH127"/>
      <c r="VWI127"/>
      <c r="VWJ127"/>
      <c r="VWK127"/>
      <c r="VWL127"/>
    </row>
    <row r="128" spans="2:124 15090:15482" s="1" customFormat="1" ht="13.8" hidden="1">
      <c r="B128" s="295"/>
      <c r="C128" s="215" t="s">
        <v>138</v>
      </c>
      <c r="D128" s="143"/>
      <c r="E128" s="216" t="s">
        <v>9</v>
      </c>
      <c r="F128" s="371">
        <v>0</v>
      </c>
      <c r="G128" s="144">
        <v>0</v>
      </c>
      <c r="H128" s="144">
        <v>0</v>
      </c>
      <c r="I128" s="144">
        <v>0</v>
      </c>
      <c r="J128" s="144">
        <v>86403</v>
      </c>
      <c r="K128" s="144">
        <v>0</v>
      </c>
      <c r="L128" s="144">
        <v>0</v>
      </c>
      <c r="M128" s="144">
        <v>0</v>
      </c>
      <c r="N128" s="144">
        <v>0</v>
      </c>
      <c r="O128" s="144">
        <v>0</v>
      </c>
      <c r="P128" s="144">
        <v>39673</v>
      </c>
      <c r="Q128" s="144">
        <v>51904</v>
      </c>
      <c r="R128" s="144">
        <v>0</v>
      </c>
      <c r="S128" s="144">
        <v>0</v>
      </c>
      <c r="T128" s="144">
        <v>0</v>
      </c>
      <c r="U128" s="144">
        <v>38158</v>
      </c>
      <c r="V128" s="144">
        <v>32730</v>
      </c>
      <c r="W128" s="371">
        <v>0</v>
      </c>
      <c r="X128" s="144">
        <v>80344</v>
      </c>
      <c r="Y128" s="144">
        <v>0</v>
      </c>
      <c r="Z128" s="144">
        <v>0</v>
      </c>
      <c r="AA128" s="144">
        <v>0</v>
      </c>
      <c r="AB128" s="144">
        <v>35685</v>
      </c>
      <c r="AC128" s="144">
        <v>31186</v>
      </c>
      <c r="AD128" s="371">
        <v>0</v>
      </c>
      <c r="AE128" s="144">
        <v>55376</v>
      </c>
      <c r="AF128" s="371">
        <v>38977</v>
      </c>
      <c r="AG128" s="312">
        <v>0</v>
      </c>
      <c r="AH128" s="158"/>
      <c r="AI128" s="156">
        <f>SUM(F128:AG128)</f>
        <v>490436</v>
      </c>
      <c r="AK128" s="118"/>
      <c r="BE128" s="240"/>
      <c r="DT128" s="227"/>
    </row>
    <row r="129" spans="2:124 15090:15482" s="1" customFormat="1" ht="13.8" hidden="1">
      <c r="B129" s="295"/>
      <c r="C129" s="215" t="s">
        <v>135</v>
      </c>
      <c r="D129" s="143"/>
      <c r="E129" s="216" t="s">
        <v>9</v>
      </c>
      <c r="F129" s="371">
        <v>4878.0491000000002</v>
      </c>
      <c r="G129" s="144">
        <v>4878.0491000000002</v>
      </c>
      <c r="H129" s="144">
        <v>4878.0491000000002</v>
      </c>
      <c r="I129" s="144">
        <v>14632.839</v>
      </c>
      <c r="J129" s="144">
        <v>4878.0491000000002</v>
      </c>
      <c r="K129" s="144">
        <v>39205.19212</v>
      </c>
      <c r="L129" s="144">
        <v>5853.3971000000001</v>
      </c>
      <c r="M129" s="144">
        <v>5854.3001999999997</v>
      </c>
      <c r="N129" s="144">
        <v>5853.3971000000001</v>
      </c>
      <c r="O129" s="144">
        <v>16828.275099999999</v>
      </c>
      <c r="P129" s="144">
        <v>16828.275099999999</v>
      </c>
      <c r="Q129" s="144">
        <v>17072.112099999998</v>
      </c>
      <c r="R129" s="144">
        <v>39223.078079999999</v>
      </c>
      <c r="S129" s="144">
        <v>5853.3971000000001</v>
      </c>
      <c r="T129" s="144">
        <v>5854.3001999999997</v>
      </c>
      <c r="U129" s="144">
        <v>17072.111999999997</v>
      </c>
      <c r="V129" s="144">
        <v>25822.789660000002</v>
      </c>
      <c r="W129" s="371">
        <v>24934.320079999998</v>
      </c>
      <c r="X129" s="144">
        <v>27276.05818</v>
      </c>
      <c r="Y129" s="144">
        <v>42158.87556</v>
      </c>
      <c r="Z129" s="144">
        <v>7805.8993000000009</v>
      </c>
      <c r="AA129" s="144">
        <v>7804.9962000000005</v>
      </c>
      <c r="AB129" s="144">
        <v>25364.376099999998</v>
      </c>
      <c r="AC129" s="144">
        <v>25364.376099999998</v>
      </c>
      <c r="AD129" s="371">
        <v>25364.376099999998</v>
      </c>
      <c r="AE129" s="144">
        <v>25364.376099999998</v>
      </c>
      <c r="AF129" s="371">
        <v>13208.741020000001</v>
      </c>
      <c r="AG129" s="312">
        <v>7813.8465800000013</v>
      </c>
      <c r="AH129" s="158"/>
      <c r="AI129" s="156">
        <f>SUM(AI130:AI131)</f>
        <v>467920.25847999996</v>
      </c>
      <c r="AK129" s="118"/>
      <c r="DT129" s="227"/>
    </row>
    <row r="130" spans="2:124 15090:15482" s="1" customFormat="1" hidden="1">
      <c r="B130" s="295"/>
      <c r="C130" s="217" t="s">
        <v>66</v>
      </c>
      <c r="D130" s="74"/>
      <c r="E130" s="206" t="s">
        <v>9</v>
      </c>
      <c r="F130" s="362">
        <f>SUM(F133:F135)*9.75348</f>
        <v>4876.74</v>
      </c>
      <c r="G130" s="84">
        <f t="shared" ref="G130:T130" si="79">SUM(G133:G135)*9.75348</f>
        <v>4876.74</v>
      </c>
      <c r="H130" s="84">
        <f t="shared" si="79"/>
        <v>4876.74</v>
      </c>
      <c r="I130" s="84">
        <f t="shared" si="79"/>
        <v>14630.22</v>
      </c>
      <c r="J130" s="84">
        <f t="shared" si="79"/>
        <v>4876.74</v>
      </c>
      <c r="K130" s="84">
        <f t="shared" si="79"/>
        <v>39199.236120000001</v>
      </c>
      <c r="L130" s="84">
        <f t="shared" si="79"/>
        <v>5852.0879999999997</v>
      </c>
      <c r="M130" s="84">
        <f t="shared" si="79"/>
        <v>5852.0879999999997</v>
      </c>
      <c r="N130" s="84">
        <f t="shared" si="79"/>
        <v>5852.0879999999997</v>
      </c>
      <c r="O130" s="84">
        <f t="shared" si="79"/>
        <v>16824.753000000001</v>
      </c>
      <c r="P130" s="84">
        <f t="shared" si="79"/>
        <v>16824.753000000001</v>
      </c>
      <c r="Q130" s="84">
        <f t="shared" si="79"/>
        <v>17068.59</v>
      </c>
      <c r="R130" s="84">
        <f t="shared" si="79"/>
        <v>39218.74308</v>
      </c>
      <c r="S130" s="84">
        <f t="shared" si="79"/>
        <v>5852.0879999999997</v>
      </c>
      <c r="T130" s="84">
        <f t="shared" si="79"/>
        <v>5852.0879999999997</v>
      </c>
      <c r="U130" s="84">
        <f t="shared" ref="U130:AG130" si="80">SUM(U133:U135)*9.75348</f>
        <v>17068.59</v>
      </c>
      <c r="V130" s="84">
        <f t="shared" si="80"/>
        <v>25817.46156</v>
      </c>
      <c r="W130" s="362">
        <f t="shared" si="80"/>
        <v>24929.89488</v>
      </c>
      <c r="X130" s="84">
        <f t="shared" si="80"/>
        <v>27270.730079999998</v>
      </c>
      <c r="Y130" s="84">
        <f t="shared" si="80"/>
        <v>42154.540560000001</v>
      </c>
      <c r="Z130" s="84">
        <f t="shared" si="80"/>
        <v>7802.7839999999997</v>
      </c>
      <c r="AA130" s="84">
        <f t="shared" si="80"/>
        <v>7802.7839999999997</v>
      </c>
      <c r="AB130" s="84">
        <f t="shared" si="80"/>
        <v>25359.047999999999</v>
      </c>
      <c r="AC130" s="84">
        <f t="shared" si="80"/>
        <v>25359.047999999999</v>
      </c>
      <c r="AD130" s="362">
        <f t="shared" si="80"/>
        <v>25359.047999999999</v>
      </c>
      <c r="AE130" s="84">
        <f t="shared" si="80"/>
        <v>25359.047999999999</v>
      </c>
      <c r="AF130" s="362">
        <f t="shared" si="80"/>
        <v>13206.21192</v>
      </c>
      <c r="AG130" s="299">
        <f t="shared" si="80"/>
        <v>7812.53748</v>
      </c>
      <c r="AH130" s="117"/>
      <c r="AI130" s="119">
        <f>SUM(F130:AG130)</f>
        <v>467835.42167999997</v>
      </c>
      <c r="AK130" s="118"/>
      <c r="DT130" s="227"/>
    </row>
    <row r="131" spans="2:124 15090:15482" s="1" customFormat="1" hidden="1">
      <c r="B131" s="295"/>
      <c r="C131" s="217" t="s">
        <v>67</v>
      </c>
      <c r="D131" s="74"/>
      <c r="E131" s="206" t="s">
        <v>9</v>
      </c>
      <c r="F131" s="362">
        <f t="shared" ref="F131:AG131" si="81">F129-F130</f>
        <v>1.3091000000003987</v>
      </c>
      <c r="G131" s="84">
        <f t="shared" si="81"/>
        <v>1.3091000000003987</v>
      </c>
      <c r="H131" s="84">
        <f t="shared" si="81"/>
        <v>1.3091000000003987</v>
      </c>
      <c r="I131" s="84">
        <f t="shared" si="81"/>
        <v>2.6190000000005966</v>
      </c>
      <c r="J131" s="84">
        <f t="shared" si="81"/>
        <v>1.3091000000003987</v>
      </c>
      <c r="K131" s="84">
        <f t="shared" si="81"/>
        <v>5.955999999998312</v>
      </c>
      <c r="L131" s="84">
        <f t="shared" si="81"/>
        <v>1.3091000000003987</v>
      </c>
      <c r="M131" s="84">
        <f t="shared" si="81"/>
        <v>2.2121999999999389</v>
      </c>
      <c r="N131" s="84">
        <f t="shared" si="81"/>
        <v>1.3091000000003987</v>
      </c>
      <c r="O131" s="84">
        <f t="shared" si="81"/>
        <v>3.5220999999983178</v>
      </c>
      <c r="P131" s="84">
        <f t="shared" si="81"/>
        <v>3.5220999999983178</v>
      </c>
      <c r="Q131" s="84">
        <f t="shared" si="81"/>
        <v>3.5220999999983178</v>
      </c>
      <c r="R131" s="60">
        <v>0</v>
      </c>
      <c r="S131" s="60">
        <v>0</v>
      </c>
      <c r="T131" s="84">
        <f t="shared" si="81"/>
        <v>2.2121999999999389</v>
      </c>
      <c r="U131" s="84">
        <f t="shared" si="81"/>
        <v>3.521999999997206</v>
      </c>
      <c r="V131" s="84">
        <f t="shared" si="81"/>
        <v>5.3281000000024505</v>
      </c>
      <c r="W131" s="362">
        <f t="shared" si="81"/>
        <v>4.425199999997858</v>
      </c>
      <c r="X131" s="84">
        <f t="shared" si="81"/>
        <v>5.3281000000024505</v>
      </c>
      <c r="Y131" s="84">
        <f t="shared" si="81"/>
        <v>4.3349999999991269</v>
      </c>
      <c r="Z131" s="84">
        <f t="shared" si="81"/>
        <v>3.115300000001298</v>
      </c>
      <c r="AA131" s="84">
        <f t="shared" si="81"/>
        <v>2.2122000000008484</v>
      </c>
      <c r="AB131" s="84">
        <f t="shared" si="81"/>
        <v>5.3280999999988126</v>
      </c>
      <c r="AC131" s="84">
        <f t="shared" si="81"/>
        <v>5.3280999999988126</v>
      </c>
      <c r="AD131" s="362">
        <f t="shared" si="81"/>
        <v>5.3280999999988126</v>
      </c>
      <c r="AE131" s="84">
        <f t="shared" si="81"/>
        <v>5.3280999999988126</v>
      </c>
      <c r="AF131" s="362">
        <f t="shared" si="81"/>
        <v>2.5291000000015629</v>
      </c>
      <c r="AG131" s="299">
        <f t="shared" si="81"/>
        <v>1.3091000000013082</v>
      </c>
      <c r="AH131" s="117"/>
      <c r="AI131" s="119">
        <f>SUM(F131:AG131)</f>
        <v>84.836799999995492</v>
      </c>
      <c r="AK131" s="244"/>
      <c r="DT131" s="227"/>
    </row>
    <row r="132" spans="2:124 15090:15482" s="1" customFormat="1" hidden="1">
      <c r="B132" s="295"/>
      <c r="C132" s="217" t="s">
        <v>68</v>
      </c>
      <c r="D132" s="74"/>
      <c r="E132" s="70"/>
      <c r="F132" s="3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360"/>
      <c r="X132" s="60"/>
      <c r="Y132" s="60"/>
      <c r="Z132" s="60"/>
      <c r="AA132" s="60"/>
      <c r="AB132" s="60"/>
      <c r="AC132" s="60"/>
      <c r="AD132" s="360"/>
      <c r="AE132" s="60"/>
      <c r="AF132" s="360"/>
      <c r="AG132" s="291"/>
      <c r="AH132" s="117"/>
      <c r="AI132" s="122" t="s">
        <v>68</v>
      </c>
      <c r="AK132" s="118"/>
      <c r="DT132" s="227"/>
    </row>
    <row r="133" spans="2:124 15090:15482" s="6" customFormat="1" ht="13.8" hidden="1">
      <c r="B133" s="297"/>
      <c r="C133" s="40" t="s">
        <v>136</v>
      </c>
      <c r="D133" s="41"/>
      <c r="E133" s="219" t="s">
        <v>70</v>
      </c>
      <c r="F133" s="368">
        <v>500</v>
      </c>
      <c r="G133" s="145">
        <v>500</v>
      </c>
      <c r="H133" s="145">
        <v>500</v>
      </c>
      <c r="I133" s="145">
        <v>0</v>
      </c>
      <c r="J133" s="145">
        <v>500</v>
      </c>
      <c r="K133" s="145">
        <v>0</v>
      </c>
      <c r="L133" s="145">
        <v>600</v>
      </c>
      <c r="M133" s="145">
        <v>600</v>
      </c>
      <c r="N133" s="145">
        <v>600</v>
      </c>
      <c r="O133" s="145">
        <v>0</v>
      </c>
      <c r="P133" s="145">
        <v>0</v>
      </c>
      <c r="Q133" s="145">
        <v>0</v>
      </c>
      <c r="R133" s="145">
        <v>0</v>
      </c>
      <c r="S133" s="145">
        <v>600</v>
      </c>
      <c r="T133" s="145">
        <v>600</v>
      </c>
      <c r="U133" s="145">
        <v>0</v>
      </c>
      <c r="V133" s="145">
        <v>0</v>
      </c>
      <c r="W133" s="368">
        <v>0</v>
      </c>
      <c r="X133" s="145">
        <v>0</v>
      </c>
      <c r="Y133" s="145">
        <v>0</v>
      </c>
      <c r="Z133" s="145">
        <v>800</v>
      </c>
      <c r="AA133" s="145">
        <v>800</v>
      </c>
      <c r="AB133" s="145">
        <v>0</v>
      </c>
      <c r="AC133" s="145">
        <v>0</v>
      </c>
      <c r="AD133" s="368">
        <v>0</v>
      </c>
      <c r="AE133" s="145">
        <v>0</v>
      </c>
      <c r="AF133" s="368">
        <v>0</v>
      </c>
      <c r="AG133" s="309">
        <v>801</v>
      </c>
      <c r="AH133" s="124"/>
      <c r="AI133" s="125">
        <f>SUM(F133:AG133)</f>
        <v>7401</v>
      </c>
      <c r="AK133" s="159"/>
      <c r="DT133" s="270"/>
    </row>
    <row r="134" spans="2:124 15090:15482" s="6" customFormat="1" ht="13.8" hidden="1">
      <c r="B134" s="297"/>
      <c r="C134" s="40" t="s">
        <v>137</v>
      </c>
      <c r="D134" s="41"/>
      <c r="E134" s="219" t="s">
        <v>70</v>
      </c>
      <c r="F134" s="368">
        <v>0</v>
      </c>
      <c r="G134" s="145">
        <v>0</v>
      </c>
      <c r="H134" s="145">
        <v>0</v>
      </c>
      <c r="I134" s="145">
        <v>1500</v>
      </c>
      <c r="J134" s="145">
        <v>0</v>
      </c>
      <c r="K134" s="145">
        <v>0</v>
      </c>
      <c r="L134" s="145">
        <v>0</v>
      </c>
      <c r="M134" s="145">
        <v>0</v>
      </c>
      <c r="N134" s="145">
        <v>0</v>
      </c>
      <c r="O134" s="145">
        <v>1725</v>
      </c>
      <c r="P134" s="145">
        <v>1725</v>
      </c>
      <c r="Q134" s="145">
        <v>1750</v>
      </c>
      <c r="R134" s="145">
        <v>0</v>
      </c>
      <c r="S134" s="145">
        <v>0</v>
      </c>
      <c r="T134" s="145">
        <v>0</v>
      </c>
      <c r="U134" s="145">
        <v>1750</v>
      </c>
      <c r="V134" s="145">
        <v>2647</v>
      </c>
      <c r="W134" s="368">
        <v>2556</v>
      </c>
      <c r="X134" s="145">
        <v>2796</v>
      </c>
      <c r="Y134" s="145">
        <v>0</v>
      </c>
      <c r="Z134" s="145">
        <v>0</v>
      </c>
      <c r="AA134" s="145">
        <v>0</v>
      </c>
      <c r="AB134" s="145">
        <v>2600</v>
      </c>
      <c r="AC134" s="145">
        <v>2600</v>
      </c>
      <c r="AD134" s="368">
        <v>2600</v>
      </c>
      <c r="AE134" s="145">
        <v>2600</v>
      </c>
      <c r="AF134" s="368">
        <v>0</v>
      </c>
      <c r="AG134" s="309">
        <v>0</v>
      </c>
      <c r="AH134" s="124"/>
      <c r="AI134" s="125">
        <f>SUM(F134:AG134)</f>
        <v>26849</v>
      </c>
      <c r="AK134" s="159"/>
      <c r="DT134" s="270"/>
    </row>
    <row r="135" spans="2:124 15090:15482" s="6" customFormat="1" ht="13.8" hidden="1">
      <c r="B135" s="297"/>
      <c r="C135" s="40" t="s">
        <v>142</v>
      </c>
      <c r="D135" s="41"/>
      <c r="E135" s="219" t="s">
        <v>70</v>
      </c>
      <c r="F135" s="368">
        <v>0</v>
      </c>
      <c r="G135" s="145">
        <v>0</v>
      </c>
      <c r="H135" s="145">
        <v>0</v>
      </c>
      <c r="I135" s="145">
        <v>0</v>
      </c>
      <c r="J135" s="145">
        <v>0</v>
      </c>
      <c r="K135" s="145">
        <v>4019</v>
      </c>
      <c r="L135" s="145">
        <v>0</v>
      </c>
      <c r="M135" s="145">
        <v>0</v>
      </c>
      <c r="N135" s="145">
        <v>0</v>
      </c>
      <c r="O135" s="145">
        <v>0</v>
      </c>
      <c r="P135" s="145">
        <v>0</v>
      </c>
      <c r="Q135" s="145">
        <v>0</v>
      </c>
      <c r="R135" s="145">
        <v>4021</v>
      </c>
      <c r="S135" s="145">
        <v>0</v>
      </c>
      <c r="T135" s="145">
        <v>0</v>
      </c>
      <c r="U135" s="145">
        <v>0</v>
      </c>
      <c r="V135" s="145">
        <v>0</v>
      </c>
      <c r="W135" s="368">
        <v>0</v>
      </c>
      <c r="X135" s="145">
        <v>0</v>
      </c>
      <c r="Y135" s="145">
        <v>4322</v>
      </c>
      <c r="Z135" s="145">
        <v>0</v>
      </c>
      <c r="AA135" s="145">
        <v>0</v>
      </c>
      <c r="AB135" s="145">
        <v>0</v>
      </c>
      <c r="AC135" s="145">
        <v>0</v>
      </c>
      <c r="AD135" s="368">
        <v>0</v>
      </c>
      <c r="AE135" s="145">
        <v>0</v>
      </c>
      <c r="AF135" s="368">
        <v>1354</v>
      </c>
      <c r="AG135" s="309">
        <v>0</v>
      </c>
      <c r="AH135" s="124"/>
      <c r="AI135" s="125">
        <f>SUM(F135:AG135)</f>
        <v>13716</v>
      </c>
      <c r="AK135" s="159"/>
      <c r="DT135" s="270"/>
    </row>
    <row r="136" spans="2:124 15090:15482" s="1" customFormat="1" hidden="1">
      <c r="B136" s="295"/>
      <c r="C136" s="217" t="s">
        <v>72</v>
      </c>
      <c r="D136" s="74"/>
      <c r="E136" s="70"/>
      <c r="F136" s="3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360"/>
      <c r="X136" s="60"/>
      <c r="Y136" s="60"/>
      <c r="Z136" s="60"/>
      <c r="AA136" s="60"/>
      <c r="AB136" s="60"/>
      <c r="AC136" s="60"/>
      <c r="AD136" s="360"/>
      <c r="AE136" s="60"/>
      <c r="AF136" s="360"/>
      <c r="AG136" s="291"/>
      <c r="AH136" s="117"/>
      <c r="AI136" s="122" t="s">
        <v>72</v>
      </c>
      <c r="AK136" s="118"/>
      <c r="DT136" s="227"/>
    </row>
    <row r="137" spans="2:124 15090:15482" s="1" customFormat="1" ht="13.8" hidden="1">
      <c r="B137" s="295"/>
      <c r="C137" s="40" t="s">
        <v>136</v>
      </c>
      <c r="D137" s="74"/>
      <c r="E137" s="206" t="s">
        <v>72</v>
      </c>
      <c r="F137" s="360">
        <f>F133*24</f>
        <v>12000</v>
      </c>
      <c r="G137" s="60">
        <f t="shared" ref="G137:AG137" si="82">G133*24</f>
        <v>12000</v>
      </c>
      <c r="H137" s="60">
        <f t="shared" si="82"/>
        <v>12000</v>
      </c>
      <c r="I137" s="60">
        <f t="shared" si="82"/>
        <v>0</v>
      </c>
      <c r="J137" s="60">
        <f t="shared" si="82"/>
        <v>12000</v>
      </c>
      <c r="K137" s="60">
        <f t="shared" si="82"/>
        <v>0</v>
      </c>
      <c r="L137" s="60">
        <f t="shared" si="82"/>
        <v>14400</v>
      </c>
      <c r="M137" s="60">
        <f t="shared" si="82"/>
        <v>14400</v>
      </c>
      <c r="N137" s="60">
        <f t="shared" si="82"/>
        <v>14400</v>
      </c>
      <c r="O137" s="60">
        <f t="shared" si="82"/>
        <v>0</v>
      </c>
      <c r="P137" s="60">
        <f t="shared" si="82"/>
        <v>0</v>
      </c>
      <c r="Q137" s="60">
        <f t="shared" si="82"/>
        <v>0</v>
      </c>
      <c r="R137" s="60">
        <f t="shared" si="82"/>
        <v>0</v>
      </c>
      <c r="S137" s="60">
        <f t="shared" si="82"/>
        <v>14400</v>
      </c>
      <c r="T137" s="60">
        <f t="shared" si="82"/>
        <v>14400</v>
      </c>
      <c r="U137" s="60">
        <f t="shared" si="82"/>
        <v>0</v>
      </c>
      <c r="V137" s="60">
        <f t="shared" si="82"/>
        <v>0</v>
      </c>
      <c r="W137" s="360">
        <f t="shared" si="82"/>
        <v>0</v>
      </c>
      <c r="X137" s="60">
        <f t="shared" si="82"/>
        <v>0</v>
      </c>
      <c r="Y137" s="60">
        <f t="shared" si="82"/>
        <v>0</v>
      </c>
      <c r="Z137" s="60">
        <f t="shared" si="82"/>
        <v>19200</v>
      </c>
      <c r="AA137" s="60">
        <f t="shared" si="82"/>
        <v>19200</v>
      </c>
      <c r="AB137" s="60">
        <f t="shared" si="82"/>
        <v>0</v>
      </c>
      <c r="AC137" s="60">
        <f t="shared" si="82"/>
        <v>0</v>
      </c>
      <c r="AD137" s="360">
        <f t="shared" si="82"/>
        <v>0</v>
      </c>
      <c r="AE137" s="60">
        <f t="shared" si="82"/>
        <v>0</v>
      </c>
      <c r="AF137" s="360">
        <f t="shared" si="82"/>
        <v>0</v>
      </c>
      <c r="AG137" s="291">
        <f t="shared" si="82"/>
        <v>19224</v>
      </c>
      <c r="AH137" s="117"/>
      <c r="AI137" s="116">
        <f>AI133*24</f>
        <v>177624</v>
      </c>
      <c r="AK137" s="244"/>
      <c r="DT137" s="227"/>
    </row>
    <row r="138" spans="2:124 15090:15482" s="1" customFormat="1" ht="13.8" hidden="1">
      <c r="B138" s="295"/>
      <c r="C138" s="40" t="s">
        <v>137</v>
      </c>
      <c r="D138" s="74"/>
      <c r="E138" s="206" t="s">
        <v>72</v>
      </c>
      <c r="F138" s="360">
        <f>F134*12</f>
        <v>0</v>
      </c>
      <c r="G138" s="60">
        <f t="shared" ref="G138:AG139" si="83">G134*12</f>
        <v>0</v>
      </c>
      <c r="H138" s="60">
        <f t="shared" si="83"/>
        <v>0</v>
      </c>
      <c r="I138" s="60">
        <f t="shared" si="83"/>
        <v>18000</v>
      </c>
      <c r="J138" s="60">
        <f t="shared" si="83"/>
        <v>0</v>
      </c>
      <c r="K138" s="60">
        <f t="shared" si="83"/>
        <v>0</v>
      </c>
      <c r="L138" s="60">
        <f t="shared" si="83"/>
        <v>0</v>
      </c>
      <c r="M138" s="60">
        <f t="shared" si="83"/>
        <v>0</v>
      </c>
      <c r="N138" s="60">
        <f t="shared" si="83"/>
        <v>0</v>
      </c>
      <c r="O138" s="60">
        <f t="shared" si="83"/>
        <v>20700</v>
      </c>
      <c r="P138" s="60">
        <f t="shared" si="83"/>
        <v>20700</v>
      </c>
      <c r="Q138" s="60">
        <f t="shared" si="83"/>
        <v>21000</v>
      </c>
      <c r="R138" s="60">
        <f t="shared" si="83"/>
        <v>0</v>
      </c>
      <c r="S138" s="60">
        <f t="shared" si="83"/>
        <v>0</v>
      </c>
      <c r="T138" s="60">
        <f t="shared" si="83"/>
        <v>0</v>
      </c>
      <c r="U138" s="60">
        <f t="shared" si="83"/>
        <v>21000</v>
      </c>
      <c r="V138" s="60">
        <f t="shared" si="83"/>
        <v>31764</v>
      </c>
      <c r="W138" s="360">
        <f t="shared" si="83"/>
        <v>30672</v>
      </c>
      <c r="X138" s="60">
        <f t="shared" si="83"/>
        <v>33552</v>
      </c>
      <c r="Y138" s="60">
        <f t="shared" si="83"/>
        <v>0</v>
      </c>
      <c r="Z138" s="60">
        <f t="shared" si="83"/>
        <v>0</v>
      </c>
      <c r="AA138" s="60">
        <f t="shared" si="83"/>
        <v>0</v>
      </c>
      <c r="AB138" s="60">
        <f t="shared" si="83"/>
        <v>31200</v>
      </c>
      <c r="AC138" s="60">
        <f t="shared" si="83"/>
        <v>31200</v>
      </c>
      <c r="AD138" s="360">
        <f t="shared" si="83"/>
        <v>31200</v>
      </c>
      <c r="AE138" s="60">
        <f t="shared" si="83"/>
        <v>31200</v>
      </c>
      <c r="AF138" s="360">
        <f t="shared" si="83"/>
        <v>0</v>
      </c>
      <c r="AG138" s="291">
        <f t="shared" si="83"/>
        <v>0</v>
      </c>
      <c r="AH138" s="117"/>
      <c r="AI138" s="116">
        <f>AI134*12</f>
        <v>322188</v>
      </c>
      <c r="AK138" s="118"/>
      <c r="DT138" s="227"/>
    </row>
    <row r="139" spans="2:124 15090:15482" s="1" customFormat="1" ht="13.8" hidden="1">
      <c r="B139" s="295"/>
      <c r="C139" s="40" t="s">
        <v>142</v>
      </c>
      <c r="D139" s="74"/>
      <c r="E139" s="206" t="s">
        <v>72</v>
      </c>
      <c r="F139" s="360">
        <f>F135*6</f>
        <v>0</v>
      </c>
      <c r="G139" s="60">
        <f t="shared" ref="G139:AC139" si="84">G135*6</f>
        <v>0</v>
      </c>
      <c r="H139" s="60">
        <f t="shared" si="84"/>
        <v>0</v>
      </c>
      <c r="I139" s="60">
        <f t="shared" si="84"/>
        <v>0</v>
      </c>
      <c r="J139" s="60">
        <f t="shared" si="84"/>
        <v>0</v>
      </c>
      <c r="K139" s="60">
        <f t="shared" si="84"/>
        <v>24114</v>
      </c>
      <c r="L139" s="60">
        <f t="shared" si="84"/>
        <v>0</v>
      </c>
      <c r="M139" s="60">
        <f t="shared" si="84"/>
        <v>0</v>
      </c>
      <c r="N139" s="60">
        <f t="shared" si="84"/>
        <v>0</v>
      </c>
      <c r="O139" s="60">
        <f t="shared" si="84"/>
        <v>0</v>
      </c>
      <c r="P139" s="60">
        <f t="shared" si="84"/>
        <v>0</v>
      </c>
      <c r="Q139" s="60">
        <f t="shared" si="84"/>
        <v>0</v>
      </c>
      <c r="R139" s="60">
        <f t="shared" si="84"/>
        <v>24126</v>
      </c>
      <c r="S139" s="60">
        <f t="shared" si="84"/>
        <v>0</v>
      </c>
      <c r="T139" s="60">
        <f t="shared" si="84"/>
        <v>0</v>
      </c>
      <c r="U139" s="60">
        <f t="shared" si="84"/>
        <v>0</v>
      </c>
      <c r="V139" s="60">
        <f t="shared" si="84"/>
        <v>0</v>
      </c>
      <c r="W139" s="360">
        <f t="shared" si="84"/>
        <v>0</v>
      </c>
      <c r="X139" s="60">
        <f t="shared" si="84"/>
        <v>0</v>
      </c>
      <c r="Y139" s="60">
        <f t="shared" si="84"/>
        <v>25932</v>
      </c>
      <c r="Z139" s="60">
        <f t="shared" si="84"/>
        <v>0</v>
      </c>
      <c r="AA139" s="60">
        <f t="shared" si="84"/>
        <v>0</v>
      </c>
      <c r="AB139" s="60">
        <f t="shared" si="84"/>
        <v>0</v>
      </c>
      <c r="AC139" s="60">
        <f t="shared" si="84"/>
        <v>0</v>
      </c>
      <c r="AD139" s="360">
        <f t="shared" si="83"/>
        <v>0</v>
      </c>
      <c r="AE139" s="60">
        <f t="shared" si="83"/>
        <v>0</v>
      </c>
      <c r="AF139" s="360">
        <f t="shared" si="83"/>
        <v>16248</v>
      </c>
      <c r="AG139" s="291">
        <f t="shared" si="83"/>
        <v>0</v>
      </c>
      <c r="AH139" s="117"/>
      <c r="AI139" s="116">
        <f>AI135*6</f>
        <v>82296</v>
      </c>
      <c r="AK139" s="118"/>
      <c r="DT139" s="227"/>
    </row>
    <row r="140" spans="2:124 15090:15482" s="1" customFormat="1" hidden="1">
      <c r="B140" s="295"/>
      <c r="C140" s="217" t="s">
        <v>73</v>
      </c>
      <c r="D140" s="74"/>
      <c r="E140" s="206" t="s">
        <v>74</v>
      </c>
      <c r="F140" s="360">
        <f>F129*45/1700</f>
        <v>129.12482911764707</v>
      </c>
      <c r="G140" s="60">
        <f t="shared" ref="G140:AG140" si="85">G129*45/1700</f>
        <v>129.12482911764707</v>
      </c>
      <c r="H140" s="60">
        <f t="shared" si="85"/>
        <v>129.12482911764707</v>
      </c>
      <c r="I140" s="60">
        <f t="shared" si="85"/>
        <v>387.33985588235294</v>
      </c>
      <c r="J140" s="60">
        <f t="shared" si="85"/>
        <v>129.12482911764707</v>
      </c>
      <c r="K140" s="60">
        <f t="shared" si="85"/>
        <v>1037.7844972941177</v>
      </c>
      <c r="L140" s="60">
        <f t="shared" si="85"/>
        <v>154.94286441176473</v>
      </c>
      <c r="M140" s="60">
        <f t="shared" si="85"/>
        <v>154.96676999999997</v>
      </c>
      <c r="N140" s="60">
        <f t="shared" si="85"/>
        <v>154.94286441176473</v>
      </c>
      <c r="O140" s="60">
        <f t="shared" si="85"/>
        <v>445.45434088235288</v>
      </c>
      <c r="P140" s="60">
        <f t="shared" si="85"/>
        <v>445.45434088235288</v>
      </c>
      <c r="Q140" s="60">
        <f t="shared" si="85"/>
        <v>451.90884970588235</v>
      </c>
      <c r="R140" s="60">
        <f t="shared" si="85"/>
        <v>1038.2579491764704</v>
      </c>
      <c r="S140" s="60">
        <f t="shared" si="85"/>
        <v>154.94286441176473</v>
      </c>
      <c r="T140" s="60">
        <f t="shared" si="85"/>
        <v>154.96676999999997</v>
      </c>
      <c r="U140" s="60">
        <f t="shared" si="85"/>
        <v>451.90884705882348</v>
      </c>
      <c r="V140" s="60">
        <f t="shared" si="85"/>
        <v>683.54443217647065</v>
      </c>
      <c r="W140" s="360">
        <f t="shared" si="85"/>
        <v>660.02611976470575</v>
      </c>
      <c r="X140" s="60">
        <f>X129*45/1700</f>
        <v>722.01330476470594</v>
      </c>
      <c r="Y140" s="60">
        <f>Y129*45/1700</f>
        <v>1115.9702354117646</v>
      </c>
      <c r="Z140" s="60">
        <f t="shared" si="85"/>
        <v>206.62674617647059</v>
      </c>
      <c r="AA140" s="60">
        <f t="shared" si="85"/>
        <v>206.60284058823532</v>
      </c>
      <c r="AB140" s="60">
        <f t="shared" si="85"/>
        <v>671.40995558823522</v>
      </c>
      <c r="AC140" s="60">
        <f t="shared" si="85"/>
        <v>671.40995558823522</v>
      </c>
      <c r="AD140" s="360">
        <f t="shared" si="85"/>
        <v>671.40995558823522</v>
      </c>
      <c r="AE140" s="60">
        <f t="shared" si="85"/>
        <v>671.40995558823522</v>
      </c>
      <c r="AF140" s="360">
        <f t="shared" si="85"/>
        <v>349.64314464705888</v>
      </c>
      <c r="AG140" s="291">
        <f t="shared" si="85"/>
        <v>206.83711535294123</v>
      </c>
      <c r="AH140" s="117"/>
      <c r="AI140" s="116">
        <f>SUM(F140:AG140)</f>
        <v>12386.27389182353</v>
      </c>
      <c r="AK140" s="118"/>
      <c r="DT140" s="227"/>
    </row>
    <row r="141" spans="2:124 15090:15482" s="1" customFormat="1" hidden="1">
      <c r="B141" s="295"/>
      <c r="C141" s="217" t="s">
        <v>75</v>
      </c>
      <c r="D141" s="74"/>
      <c r="E141" s="206" t="s">
        <v>76</v>
      </c>
      <c r="F141" s="360">
        <f t="shared" ref="F141:AG141" si="86">SUM(F133:F135)/500</f>
        <v>1</v>
      </c>
      <c r="G141" s="60">
        <f t="shared" si="86"/>
        <v>1</v>
      </c>
      <c r="H141" s="60">
        <f t="shared" si="86"/>
        <v>1</v>
      </c>
      <c r="I141" s="60">
        <f t="shared" si="86"/>
        <v>3</v>
      </c>
      <c r="J141" s="60">
        <f t="shared" si="86"/>
        <v>1</v>
      </c>
      <c r="K141" s="60">
        <f t="shared" si="86"/>
        <v>8.0380000000000003</v>
      </c>
      <c r="L141" s="60">
        <f t="shared" si="86"/>
        <v>1.2</v>
      </c>
      <c r="M141" s="60">
        <f t="shared" si="86"/>
        <v>1.2</v>
      </c>
      <c r="N141" s="60">
        <f t="shared" si="86"/>
        <v>1.2</v>
      </c>
      <c r="O141" s="60">
        <f t="shared" si="86"/>
        <v>3.45</v>
      </c>
      <c r="P141" s="60">
        <f>SUM(P133:P135)/500</f>
        <v>3.45</v>
      </c>
      <c r="Q141" s="60">
        <f t="shared" si="86"/>
        <v>3.5</v>
      </c>
      <c r="R141" s="60">
        <f t="shared" si="86"/>
        <v>8.0419999999999998</v>
      </c>
      <c r="S141" s="60">
        <f t="shared" si="86"/>
        <v>1.2</v>
      </c>
      <c r="T141" s="60">
        <f t="shared" si="86"/>
        <v>1.2</v>
      </c>
      <c r="U141" s="60">
        <f t="shared" si="86"/>
        <v>3.5</v>
      </c>
      <c r="V141" s="60">
        <f>SUM(V133:V135)/500</f>
        <v>5.2939999999999996</v>
      </c>
      <c r="W141" s="360">
        <f t="shared" si="86"/>
        <v>5.1120000000000001</v>
      </c>
      <c r="X141" s="60">
        <f>SUM(X133:X135)/500</f>
        <v>5.5919999999999996</v>
      </c>
      <c r="Y141" s="60">
        <f t="shared" si="86"/>
        <v>8.6440000000000001</v>
      </c>
      <c r="Z141" s="60">
        <f t="shared" si="86"/>
        <v>1.6</v>
      </c>
      <c r="AA141" s="60">
        <f t="shared" si="86"/>
        <v>1.6</v>
      </c>
      <c r="AB141" s="60">
        <f t="shared" si="86"/>
        <v>5.2</v>
      </c>
      <c r="AC141" s="60">
        <f t="shared" si="86"/>
        <v>5.2</v>
      </c>
      <c r="AD141" s="360">
        <f t="shared" si="86"/>
        <v>5.2</v>
      </c>
      <c r="AE141" s="60">
        <f t="shared" si="86"/>
        <v>5.2</v>
      </c>
      <c r="AF141" s="360">
        <f t="shared" si="86"/>
        <v>2.7080000000000002</v>
      </c>
      <c r="AG141" s="291">
        <f t="shared" si="86"/>
        <v>1.6020000000000001</v>
      </c>
      <c r="AH141" s="117"/>
      <c r="AI141" s="116">
        <f>SUM(F141:AG141)</f>
        <v>95.932000000000002</v>
      </c>
      <c r="AK141" s="118"/>
      <c r="DT141" s="227"/>
    </row>
    <row r="142" spans="2:124 15090:15482" s="1" customFormat="1" hidden="1">
      <c r="B142" s="289"/>
      <c r="C142" s="36" t="s">
        <v>77</v>
      </c>
      <c r="D142" s="55"/>
      <c r="E142" s="55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103"/>
      <c r="AD142" s="56"/>
      <c r="AE142" s="56"/>
      <c r="AF142" s="56"/>
      <c r="AG142" s="288"/>
      <c r="AH142" s="107"/>
      <c r="AI142" s="203" t="s">
        <v>78</v>
      </c>
      <c r="AK142" s="29"/>
      <c r="DT142" s="253"/>
      <c r="VHJ142"/>
      <c r="VHK142"/>
      <c r="VHL142"/>
      <c r="VHM142"/>
      <c r="VHN142"/>
      <c r="VHO142"/>
      <c r="VHP142"/>
      <c r="VHQ142"/>
      <c r="VHR142"/>
      <c r="VHS142"/>
      <c r="VHT142"/>
      <c r="VHU142"/>
      <c r="VHV142"/>
      <c r="VHW142"/>
      <c r="VHX142"/>
      <c r="VHY142"/>
      <c r="VHZ142"/>
      <c r="VIA142"/>
      <c r="VIB142"/>
      <c r="VIC142"/>
      <c r="VID142"/>
      <c r="VIE142"/>
      <c r="VIF142"/>
      <c r="VIG142"/>
      <c r="VIH142"/>
      <c r="VII142"/>
      <c r="VIJ142"/>
      <c r="VIK142"/>
      <c r="VIL142"/>
      <c r="VIM142"/>
      <c r="VIN142"/>
      <c r="VIO142"/>
      <c r="VIP142"/>
      <c r="VIQ142"/>
      <c r="VIR142"/>
      <c r="VIS142"/>
      <c r="VIT142"/>
      <c r="VIU142"/>
      <c r="VIV142"/>
      <c r="VIW142"/>
      <c r="VIX142"/>
      <c r="VIY142"/>
      <c r="VIZ142"/>
      <c r="VJA142"/>
      <c r="VJB142"/>
      <c r="VJC142"/>
      <c r="VJD142"/>
      <c r="VJE142"/>
      <c r="VJF142"/>
      <c r="VJG142"/>
      <c r="VJH142"/>
      <c r="VJI142"/>
      <c r="VJJ142"/>
      <c r="VJK142"/>
      <c r="VJL142"/>
      <c r="VJM142"/>
      <c r="VJN142"/>
      <c r="VJO142"/>
      <c r="VJP142"/>
      <c r="VJQ142"/>
      <c r="VJR142"/>
      <c r="VJS142"/>
      <c r="VJT142"/>
      <c r="VJU142"/>
      <c r="VJV142"/>
      <c r="VJW142"/>
      <c r="VJX142"/>
      <c r="VJY142"/>
      <c r="VJZ142"/>
      <c r="VKA142"/>
      <c r="VKB142"/>
      <c r="VKC142"/>
      <c r="VKD142"/>
      <c r="VKE142"/>
      <c r="VKF142"/>
      <c r="VKG142"/>
      <c r="VKH142"/>
      <c r="VKI142"/>
      <c r="VKJ142"/>
      <c r="VKK142"/>
      <c r="VKL142"/>
      <c r="VKM142"/>
      <c r="VKN142"/>
      <c r="VKO142"/>
      <c r="VKP142"/>
      <c r="VKQ142"/>
      <c r="VKR142"/>
      <c r="VKS142"/>
      <c r="VKT142"/>
      <c r="VKU142"/>
      <c r="VKV142"/>
      <c r="VKW142"/>
      <c r="VKX142"/>
      <c r="VKY142"/>
      <c r="VKZ142"/>
      <c r="VLA142"/>
      <c r="VLB142"/>
      <c r="VLC142"/>
      <c r="VLD142"/>
      <c r="VLE142"/>
      <c r="VLF142"/>
      <c r="VLG142"/>
      <c r="VLH142"/>
      <c r="VLI142"/>
      <c r="VLJ142"/>
      <c r="VLK142"/>
      <c r="VLL142"/>
      <c r="VLM142"/>
      <c r="VLN142"/>
      <c r="VLO142"/>
      <c r="VLP142"/>
      <c r="VLQ142"/>
      <c r="VLR142"/>
      <c r="VLS142"/>
      <c r="VLT142"/>
      <c r="VLU142"/>
      <c r="VLV142"/>
      <c r="VLW142"/>
      <c r="VLX142"/>
      <c r="VLY142"/>
      <c r="VLZ142"/>
      <c r="VMA142"/>
      <c r="VMB142"/>
      <c r="VMC142"/>
      <c r="VMD142"/>
      <c r="VME142"/>
      <c r="VMF142"/>
      <c r="VMG142"/>
      <c r="VMH142"/>
      <c r="VMI142"/>
      <c r="VMJ142"/>
      <c r="VMK142"/>
      <c r="VML142"/>
      <c r="VMM142"/>
      <c r="VMN142"/>
      <c r="VMO142"/>
      <c r="VMP142"/>
      <c r="VMQ142"/>
      <c r="VMR142"/>
      <c r="VMS142"/>
      <c r="VMT142"/>
      <c r="VMU142"/>
      <c r="VMV142"/>
      <c r="VMW142"/>
      <c r="VMX142"/>
      <c r="VMY142"/>
      <c r="VMZ142"/>
      <c r="VNA142"/>
      <c r="VNB142"/>
      <c r="VNC142"/>
      <c r="VND142"/>
      <c r="VNE142"/>
      <c r="VNF142"/>
      <c r="VNG142"/>
      <c r="VNH142"/>
      <c r="VNI142"/>
      <c r="VNJ142"/>
      <c r="VNK142"/>
      <c r="VNL142"/>
      <c r="VNM142"/>
      <c r="VNN142"/>
      <c r="VNO142"/>
      <c r="VNP142"/>
      <c r="VNQ142"/>
      <c r="VNR142"/>
      <c r="VNS142"/>
      <c r="VNT142"/>
      <c r="VNU142"/>
      <c r="VNV142"/>
      <c r="VNW142"/>
      <c r="VNX142"/>
      <c r="VNY142"/>
      <c r="VNZ142"/>
      <c r="VOA142"/>
      <c r="VOB142"/>
      <c r="VOC142"/>
      <c r="VOD142"/>
      <c r="VOE142"/>
      <c r="VOF142"/>
      <c r="VOG142"/>
      <c r="VOH142"/>
      <c r="VOI142"/>
      <c r="VOJ142"/>
      <c r="VOK142"/>
      <c r="VOL142"/>
      <c r="VOM142"/>
      <c r="VON142"/>
      <c r="VOO142"/>
      <c r="VOP142"/>
      <c r="VOQ142"/>
      <c r="VOR142"/>
      <c r="VOS142"/>
      <c r="VOT142"/>
      <c r="VOU142"/>
      <c r="VOV142"/>
      <c r="VOW142"/>
      <c r="VOX142"/>
      <c r="VOY142"/>
      <c r="VOZ142"/>
      <c r="VPA142"/>
      <c r="VPB142"/>
      <c r="VPC142"/>
      <c r="VPD142"/>
      <c r="VPE142"/>
      <c r="VPF142"/>
      <c r="VPG142"/>
      <c r="VPH142"/>
      <c r="VPI142"/>
      <c r="VPJ142"/>
      <c r="VPK142"/>
      <c r="VPL142"/>
      <c r="VPM142"/>
      <c r="VPN142"/>
      <c r="VPO142"/>
      <c r="VPP142"/>
      <c r="VPQ142"/>
      <c r="VPR142"/>
      <c r="VPS142"/>
      <c r="VPT142"/>
      <c r="VPU142"/>
      <c r="VPV142"/>
      <c r="VPW142"/>
      <c r="VPX142"/>
      <c r="VPY142"/>
      <c r="VPZ142"/>
      <c r="VQA142"/>
      <c r="VQB142"/>
      <c r="VQC142"/>
      <c r="VQD142"/>
      <c r="VQE142"/>
      <c r="VQF142"/>
      <c r="VQG142"/>
      <c r="VQH142"/>
      <c r="VQI142"/>
      <c r="VQJ142"/>
      <c r="VQK142"/>
      <c r="VQL142"/>
      <c r="VQM142"/>
      <c r="VQN142"/>
      <c r="VQO142"/>
      <c r="VQP142"/>
      <c r="VQQ142"/>
      <c r="VQR142"/>
      <c r="VQS142"/>
      <c r="VQT142"/>
      <c r="VQU142"/>
      <c r="VQV142"/>
      <c r="VQW142"/>
      <c r="VQX142"/>
      <c r="VQY142"/>
      <c r="VQZ142"/>
      <c r="VRA142"/>
      <c r="VRB142"/>
      <c r="VRC142"/>
      <c r="VRD142"/>
      <c r="VRE142"/>
      <c r="VRF142"/>
      <c r="VRG142"/>
      <c r="VRH142"/>
      <c r="VRI142"/>
      <c r="VRJ142"/>
      <c r="VRK142"/>
      <c r="VRL142"/>
      <c r="VRM142"/>
      <c r="VRN142"/>
      <c r="VRO142"/>
      <c r="VRP142"/>
      <c r="VRQ142"/>
      <c r="VRR142"/>
      <c r="VRS142"/>
      <c r="VRT142"/>
      <c r="VRU142"/>
      <c r="VRV142"/>
      <c r="VRW142"/>
      <c r="VRX142"/>
      <c r="VRY142"/>
      <c r="VRZ142"/>
      <c r="VSA142"/>
      <c r="VSB142"/>
      <c r="VSC142"/>
      <c r="VSD142"/>
      <c r="VSE142"/>
      <c r="VSF142"/>
      <c r="VSG142"/>
      <c r="VSH142"/>
      <c r="VSI142"/>
      <c r="VSJ142"/>
      <c r="VSK142"/>
      <c r="VSL142"/>
      <c r="VSM142"/>
      <c r="VSN142"/>
      <c r="VSO142"/>
      <c r="VSP142"/>
      <c r="VSQ142"/>
      <c r="VSR142"/>
      <c r="VSS142"/>
      <c r="VST142"/>
      <c r="VSU142"/>
      <c r="VSV142"/>
      <c r="VSW142"/>
      <c r="VSX142"/>
      <c r="VSY142"/>
      <c r="VSZ142"/>
      <c r="VTA142"/>
      <c r="VTB142"/>
      <c r="VTC142"/>
      <c r="VTD142"/>
      <c r="VTE142"/>
      <c r="VTF142"/>
      <c r="VTG142"/>
      <c r="VTH142"/>
      <c r="VTI142"/>
      <c r="VTJ142"/>
      <c r="VTK142"/>
      <c r="VTL142"/>
      <c r="VTM142"/>
      <c r="VTN142"/>
      <c r="VTO142"/>
      <c r="VTP142"/>
      <c r="VTQ142"/>
      <c r="VTR142"/>
      <c r="VTS142"/>
      <c r="VTT142"/>
      <c r="VTU142"/>
      <c r="VTV142"/>
      <c r="VTW142"/>
      <c r="VTX142"/>
      <c r="VTY142"/>
      <c r="VTZ142"/>
      <c r="VUA142"/>
      <c r="VUB142"/>
      <c r="VUC142"/>
      <c r="VUD142"/>
      <c r="VUE142"/>
      <c r="VUF142"/>
      <c r="VUG142"/>
      <c r="VUH142"/>
      <c r="VUI142"/>
      <c r="VUJ142"/>
      <c r="VUK142"/>
      <c r="VUL142"/>
      <c r="VUM142"/>
      <c r="VUN142"/>
      <c r="VUO142"/>
      <c r="VUP142"/>
      <c r="VUQ142"/>
      <c r="VUR142"/>
      <c r="VUS142"/>
      <c r="VUT142"/>
      <c r="VUU142"/>
      <c r="VUV142"/>
      <c r="VUW142"/>
      <c r="VUX142"/>
      <c r="VUY142"/>
      <c r="VUZ142"/>
      <c r="VVA142"/>
      <c r="VVB142"/>
      <c r="VVC142"/>
      <c r="VVD142"/>
      <c r="VVE142"/>
      <c r="VVF142"/>
      <c r="VVG142"/>
      <c r="VVH142"/>
      <c r="VVI142"/>
      <c r="VVJ142"/>
      <c r="VVK142"/>
      <c r="VVL142"/>
      <c r="VVM142"/>
      <c r="VVN142"/>
      <c r="VVO142"/>
      <c r="VVP142"/>
      <c r="VVQ142"/>
      <c r="VVR142"/>
      <c r="VVS142"/>
      <c r="VVT142"/>
      <c r="VVU142"/>
      <c r="VVV142"/>
      <c r="VVW142"/>
      <c r="VVX142"/>
      <c r="VVY142"/>
      <c r="VVZ142"/>
      <c r="VWA142"/>
      <c r="VWB142"/>
      <c r="VWC142"/>
      <c r="VWD142"/>
      <c r="VWE142"/>
      <c r="VWF142"/>
      <c r="VWG142"/>
      <c r="VWH142"/>
      <c r="VWI142"/>
      <c r="VWJ142"/>
      <c r="VWK142"/>
      <c r="VWL142"/>
    </row>
    <row r="143" spans="2:124 15090:15482" s="1" customFormat="1" hidden="1">
      <c r="B143" s="295"/>
      <c r="C143" s="217" t="s">
        <v>68</v>
      </c>
      <c r="D143" s="74"/>
      <c r="E143" s="70"/>
      <c r="F143" s="3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360"/>
      <c r="X143" s="60"/>
      <c r="Y143" s="60"/>
      <c r="Z143" s="60"/>
      <c r="AA143" s="60"/>
      <c r="AB143" s="60"/>
      <c r="AC143" s="60"/>
      <c r="AD143" s="360"/>
      <c r="AE143" s="60"/>
      <c r="AF143" s="360"/>
      <c r="AG143" s="291"/>
      <c r="AH143" s="117"/>
      <c r="AI143" s="122" t="s">
        <v>68</v>
      </c>
      <c r="AK143" s="118"/>
      <c r="DT143" s="227"/>
    </row>
    <row r="144" spans="2:124 15090:15482" s="1" customFormat="1" ht="13.8" hidden="1">
      <c r="B144" s="295"/>
      <c r="C144" s="40" t="s">
        <v>136</v>
      </c>
      <c r="D144" s="74"/>
      <c r="E144" s="206" t="s">
        <v>70</v>
      </c>
      <c r="F144" s="360">
        <v>0</v>
      </c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360"/>
      <c r="X144" s="60"/>
      <c r="Y144" s="60"/>
      <c r="Z144" s="60"/>
      <c r="AA144" s="60"/>
      <c r="AB144" s="60"/>
      <c r="AC144" s="60"/>
      <c r="AD144" s="360"/>
      <c r="AE144" s="60"/>
      <c r="AF144" s="360"/>
      <c r="AG144" s="291"/>
      <c r="AH144" s="117"/>
      <c r="AI144" s="116">
        <f>SUM(F144:AG144)</f>
        <v>0</v>
      </c>
      <c r="AK144" s="118"/>
      <c r="DT144" s="227"/>
    </row>
    <row r="145" spans="2:124 15090:15482" s="1" customFormat="1" ht="13.8" hidden="1">
      <c r="B145" s="295"/>
      <c r="C145" s="40" t="s">
        <v>137</v>
      </c>
      <c r="D145" s="74"/>
      <c r="E145" s="206" t="s">
        <v>70</v>
      </c>
      <c r="F145" s="360">
        <v>0</v>
      </c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360"/>
      <c r="X145" s="60"/>
      <c r="Y145" s="60"/>
      <c r="Z145" s="60"/>
      <c r="AA145" s="60"/>
      <c r="AB145" s="60"/>
      <c r="AC145" s="60"/>
      <c r="AD145" s="360"/>
      <c r="AE145" s="60"/>
      <c r="AF145" s="360"/>
      <c r="AG145" s="291"/>
      <c r="AH145" s="117"/>
      <c r="AI145" s="116">
        <f>SUM(F145:AG145)</f>
        <v>0</v>
      </c>
      <c r="AK145" s="118"/>
      <c r="DT145" s="227"/>
    </row>
    <row r="146" spans="2:124 15090:15482" s="1" customFormat="1" hidden="1">
      <c r="B146" s="295"/>
      <c r="C146" s="217" t="s">
        <v>72</v>
      </c>
      <c r="D146" s="74"/>
      <c r="E146" s="70"/>
      <c r="F146" s="3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360"/>
      <c r="X146" s="60"/>
      <c r="Y146" s="60"/>
      <c r="Z146" s="60"/>
      <c r="AA146" s="60"/>
      <c r="AB146" s="60"/>
      <c r="AC146" s="60"/>
      <c r="AD146" s="360"/>
      <c r="AE146" s="60"/>
      <c r="AF146" s="360"/>
      <c r="AG146" s="291"/>
      <c r="AH146" s="117"/>
      <c r="AI146" s="122" t="s">
        <v>72</v>
      </c>
      <c r="AK146" s="118"/>
      <c r="DT146" s="227"/>
    </row>
    <row r="147" spans="2:124 15090:15482" s="1" customFormat="1" ht="13.8" hidden="1">
      <c r="B147" s="295"/>
      <c r="C147" s="40" t="s">
        <v>136</v>
      </c>
      <c r="D147" s="74"/>
      <c r="E147" s="206" t="s">
        <v>72</v>
      </c>
      <c r="F147" s="360">
        <v>0</v>
      </c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360"/>
      <c r="X147" s="60"/>
      <c r="Y147" s="60"/>
      <c r="Z147" s="60"/>
      <c r="AA147" s="60"/>
      <c r="AB147" s="60"/>
      <c r="AC147" s="60"/>
      <c r="AD147" s="360"/>
      <c r="AE147" s="60"/>
      <c r="AF147" s="360"/>
      <c r="AG147" s="291"/>
      <c r="AH147" s="117"/>
      <c r="AI147" s="116">
        <f>SUM(F147:AG147)</f>
        <v>0</v>
      </c>
      <c r="AK147" s="118"/>
      <c r="DT147" s="227"/>
    </row>
    <row r="148" spans="2:124 15090:15482" s="1" customFormat="1" ht="13.8" hidden="1">
      <c r="B148" s="295"/>
      <c r="C148" s="40" t="s">
        <v>137</v>
      </c>
      <c r="D148" s="74"/>
      <c r="E148" s="206" t="s">
        <v>72</v>
      </c>
      <c r="F148" s="360">
        <v>0</v>
      </c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360"/>
      <c r="X148" s="60"/>
      <c r="Y148" s="60"/>
      <c r="Z148" s="60"/>
      <c r="AA148" s="60"/>
      <c r="AB148" s="60"/>
      <c r="AC148" s="60"/>
      <c r="AD148" s="360"/>
      <c r="AE148" s="60"/>
      <c r="AF148" s="360"/>
      <c r="AG148" s="291"/>
      <c r="AH148" s="117"/>
      <c r="AI148" s="116">
        <f>SUM(F148:AG148)</f>
        <v>0</v>
      </c>
      <c r="AK148" s="118"/>
      <c r="DT148" s="227"/>
    </row>
    <row r="149" spans="2:124 15090:15482" s="1" customFormat="1" hidden="1">
      <c r="B149" s="289"/>
      <c r="C149" s="36" t="s">
        <v>79</v>
      </c>
      <c r="D149" s="55"/>
      <c r="E149" s="55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103"/>
      <c r="AD149" s="56"/>
      <c r="AE149" s="56"/>
      <c r="AF149" s="56"/>
      <c r="AG149" s="288"/>
      <c r="AH149" s="107"/>
      <c r="AI149" s="203" t="s">
        <v>78</v>
      </c>
      <c r="AK149" s="29"/>
      <c r="DT149" s="253"/>
      <c r="VHJ149"/>
      <c r="VHK149"/>
      <c r="VHL149"/>
      <c r="VHM149"/>
      <c r="VHN149"/>
      <c r="VHO149"/>
      <c r="VHP149"/>
      <c r="VHQ149"/>
      <c r="VHR149"/>
      <c r="VHS149"/>
      <c r="VHT149"/>
      <c r="VHU149"/>
      <c r="VHV149"/>
      <c r="VHW149"/>
      <c r="VHX149"/>
      <c r="VHY149"/>
      <c r="VHZ149"/>
      <c r="VIA149"/>
      <c r="VIB149"/>
      <c r="VIC149"/>
      <c r="VID149"/>
      <c r="VIE149"/>
      <c r="VIF149"/>
      <c r="VIG149"/>
      <c r="VIH149"/>
      <c r="VII149"/>
      <c r="VIJ149"/>
      <c r="VIK149"/>
      <c r="VIL149"/>
      <c r="VIM149"/>
      <c r="VIN149"/>
      <c r="VIO149"/>
      <c r="VIP149"/>
      <c r="VIQ149"/>
      <c r="VIR149"/>
      <c r="VIS149"/>
      <c r="VIT149"/>
      <c r="VIU149"/>
      <c r="VIV149"/>
      <c r="VIW149"/>
      <c r="VIX149"/>
      <c r="VIY149"/>
      <c r="VIZ149"/>
      <c r="VJA149"/>
      <c r="VJB149"/>
      <c r="VJC149"/>
      <c r="VJD149"/>
      <c r="VJE149"/>
      <c r="VJF149"/>
      <c r="VJG149"/>
      <c r="VJH149"/>
      <c r="VJI149"/>
      <c r="VJJ149"/>
      <c r="VJK149"/>
      <c r="VJL149"/>
      <c r="VJM149"/>
      <c r="VJN149"/>
      <c r="VJO149"/>
      <c r="VJP149"/>
      <c r="VJQ149"/>
      <c r="VJR149"/>
      <c r="VJS149"/>
      <c r="VJT149"/>
      <c r="VJU149"/>
      <c r="VJV149"/>
      <c r="VJW149"/>
      <c r="VJX149"/>
      <c r="VJY149"/>
      <c r="VJZ149"/>
      <c r="VKA149"/>
      <c r="VKB149"/>
      <c r="VKC149"/>
      <c r="VKD149"/>
      <c r="VKE149"/>
      <c r="VKF149"/>
      <c r="VKG149"/>
      <c r="VKH149"/>
      <c r="VKI149"/>
      <c r="VKJ149"/>
      <c r="VKK149"/>
      <c r="VKL149"/>
      <c r="VKM149"/>
      <c r="VKN149"/>
      <c r="VKO149"/>
      <c r="VKP149"/>
      <c r="VKQ149"/>
      <c r="VKR149"/>
      <c r="VKS149"/>
      <c r="VKT149"/>
      <c r="VKU149"/>
      <c r="VKV149"/>
      <c r="VKW149"/>
      <c r="VKX149"/>
      <c r="VKY149"/>
      <c r="VKZ149"/>
      <c r="VLA149"/>
      <c r="VLB149"/>
      <c r="VLC149"/>
      <c r="VLD149"/>
      <c r="VLE149"/>
      <c r="VLF149"/>
      <c r="VLG149"/>
      <c r="VLH149"/>
      <c r="VLI149"/>
      <c r="VLJ149"/>
      <c r="VLK149"/>
      <c r="VLL149"/>
      <c r="VLM149"/>
      <c r="VLN149"/>
      <c r="VLO149"/>
      <c r="VLP149"/>
      <c r="VLQ149"/>
      <c r="VLR149"/>
      <c r="VLS149"/>
      <c r="VLT149"/>
      <c r="VLU149"/>
      <c r="VLV149"/>
      <c r="VLW149"/>
      <c r="VLX149"/>
      <c r="VLY149"/>
      <c r="VLZ149"/>
      <c r="VMA149"/>
      <c r="VMB149"/>
      <c r="VMC149"/>
      <c r="VMD149"/>
      <c r="VME149"/>
      <c r="VMF149"/>
      <c r="VMG149"/>
      <c r="VMH149"/>
      <c r="VMI149"/>
      <c r="VMJ149"/>
      <c r="VMK149"/>
      <c r="VML149"/>
      <c r="VMM149"/>
      <c r="VMN149"/>
      <c r="VMO149"/>
      <c r="VMP149"/>
      <c r="VMQ149"/>
      <c r="VMR149"/>
      <c r="VMS149"/>
      <c r="VMT149"/>
      <c r="VMU149"/>
      <c r="VMV149"/>
      <c r="VMW149"/>
      <c r="VMX149"/>
      <c r="VMY149"/>
      <c r="VMZ149"/>
      <c r="VNA149"/>
      <c r="VNB149"/>
      <c r="VNC149"/>
      <c r="VND149"/>
      <c r="VNE149"/>
      <c r="VNF149"/>
      <c r="VNG149"/>
      <c r="VNH149"/>
      <c r="VNI149"/>
      <c r="VNJ149"/>
      <c r="VNK149"/>
      <c r="VNL149"/>
      <c r="VNM149"/>
      <c r="VNN149"/>
      <c r="VNO149"/>
      <c r="VNP149"/>
      <c r="VNQ149"/>
      <c r="VNR149"/>
      <c r="VNS149"/>
      <c r="VNT149"/>
      <c r="VNU149"/>
      <c r="VNV149"/>
      <c r="VNW149"/>
      <c r="VNX149"/>
      <c r="VNY149"/>
      <c r="VNZ149"/>
      <c r="VOA149"/>
      <c r="VOB149"/>
      <c r="VOC149"/>
      <c r="VOD149"/>
      <c r="VOE149"/>
      <c r="VOF149"/>
      <c r="VOG149"/>
      <c r="VOH149"/>
      <c r="VOI149"/>
      <c r="VOJ149"/>
      <c r="VOK149"/>
      <c r="VOL149"/>
      <c r="VOM149"/>
      <c r="VON149"/>
      <c r="VOO149"/>
      <c r="VOP149"/>
      <c r="VOQ149"/>
      <c r="VOR149"/>
      <c r="VOS149"/>
      <c r="VOT149"/>
      <c r="VOU149"/>
      <c r="VOV149"/>
      <c r="VOW149"/>
      <c r="VOX149"/>
      <c r="VOY149"/>
      <c r="VOZ149"/>
      <c r="VPA149"/>
      <c r="VPB149"/>
      <c r="VPC149"/>
      <c r="VPD149"/>
      <c r="VPE149"/>
      <c r="VPF149"/>
      <c r="VPG149"/>
      <c r="VPH149"/>
      <c r="VPI149"/>
      <c r="VPJ149"/>
      <c r="VPK149"/>
      <c r="VPL149"/>
      <c r="VPM149"/>
      <c r="VPN149"/>
      <c r="VPO149"/>
      <c r="VPP149"/>
      <c r="VPQ149"/>
      <c r="VPR149"/>
      <c r="VPS149"/>
      <c r="VPT149"/>
      <c r="VPU149"/>
      <c r="VPV149"/>
      <c r="VPW149"/>
      <c r="VPX149"/>
      <c r="VPY149"/>
      <c r="VPZ149"/>
      <c r="VQA149"/>
      <c r="VQB149"/>
      <c r="VQC149"/>
      <c r="VQD149"/>
      <c r="VQE149"/>
      <c r="VQF149"/>
      <c r="VQG149"/>
      <c r="VQH149"/>
      <c r="VQI149"/>
      <c r="VQJ149"/>
      <c r="VQK149"/>
      <c r="VQL149"/>
      <c r="VQM149"/>
      <c r="VQN149"/>
      <c r="VQO149"/>
      <c r="VQP149"/>
      <c r="VQQ149"/>
      <c r="VQR149"/>
      <c r="VQS149"/>
      <c r="VQT149"/>
      <c r="VQU149"/>
      <c r="VQV149"/>
      <c r="VQW149"/>
      <c r="VQX149"/>
      <c r="VQY149"/>
      <c r="VQZ149"/>
      <c r="VRA149"/>
      <c r="VRB149"/>
      <c r="VRC149"/>
      <c r="VRD149"/>
      <c r="VRE149"/>
      <c r="VRF149"/>
      <c r="VRG149"/>
      <c r="VRH149"/>
      <c r="VRI149"/>
      <c r="VRJ149"/>
      <c r="VRK149"/>
      <c r="VRL149"/>
      <c r="VRM149"/>
      <c r="VRN149"/>
      <c r="VRO149"/>
      <c r="VRP149"/>
      <c r="VRQ149"/>
      <c r="VRR149"/>
      <c r="VRS149"/>
      <c r="VRT149"/>
      <c r="VRU149"/>
      <c r="VRV149"/>
      <c r="VRW149"/>
      <c r="VRX149"/>
      <c r="VRY149"/>
      <c r="VRZ149"/>
      <c r="VSA149"/>
      <c r="VSB149"/>
      <c r="VSC149"/>
      <c r="VSD149"/>
      <c r="VSE149"/>
      <c r="VSF149"/>
      <c r="VSG149"/>
      <c r="VSH149"/>
      <c r="VSI149"/>
      <c r="VSJ149"/>
      <c r="VSK149"/>
      <c r="VSL149"/>
      <c r="VSM149"/>
      <c r="VSN149"/>
      <c r="VSO149"/>
      <c r="VSP149"/>
      <c r="VSQ149"/>
      <c r="VSR149"/>
      <c r="VSS149"/>
      <c r="VST149"/>
      <c r="VSU149"/>
      <c r="VSV149"/>
      <c r="VSW149"/>
      <c r="VSX149"/>
      <c r="VSY149"/>
      <c r="VSZ149"/>
      <c r="VTA149"/>
      <c r="VTB149"/>
      <c r="VTC149"/>
      <c r="VTD149"/>
      <c r="VTE149"/>
      <c r="VTF149"/>
      <c r="VTG149"/>
      <c r="VTH149"/>
      <c r="VTI149"/>
      <c r="VTJ149"/>
      <c r="VTK149"/>
      <c r="VTL149"/>
      <c r="VTM149"/>
      <c r="VTN149"/>
      <c r="VTO149"/>
      <c r="VTP149"/>
      <c r="VTQ149"/>
      <c r="VTR149"/>
      <c r="VTS149"/>
      <c r="VTT149"/>
      <c r="VTU149"/>
      <c r="VTV149"/>
      <c r="VTW149"/>
      <c r="VTX149"/>
      <c r="VTY149"/>
      <c r="VTZ149"/>
      <c r="VUA149"/>
      <c r="VUB149"/>
      <c r="VUC149"/>
      <c r="VUD149"/>
      <c r="VUE149"/>
      <c r="VUF149"/>
      <c r="VUG149"/>
      <c r="VUH149"/>
      <c r="VUI149"/>
      <c r="VUJ149"/>
      <c r="VUK149"/>
      <c r="VUL149"/>
      <c r="VUM149"/>
      <c r="VUN149"/>
      <c r="VUO149"/>
      <c r="VUP149"/>
      <c r="VUQ149"/>
      <c r="VUR149"/>
      <c r="VUS149"/>
      <c r="VUT149"/>
      <c r="VUU149"/>
      <c r="VUV149"/>
      <c r="VUW149"/>
      <c r="VUX149"/>
      <c r="VUY149"/>
      <c r="VUZ149"/>
      <c r="VVA149"/>
      <c r="VVB149"/>
      <c r="VVC149"/>
      <c r="VVD149"/>
      <c r="VVE149"/>
      <c r="VVF149"/>
      <c r="VVG149"/>
      <c r="VVH149"/>
      <c r="VVI149"/>
      <c r="VVJ149"/>
      <c r="VVK149"/>
      <c r="VVL149"/>
      <c r="VVM149"/>
      <c r="VVN149"/>
      <c r="VVO149"/>
      <c r="VVP149"/>
      <c r="VVQ149"/>
      <c r="VVR149"/>
      <c r="VVS149"/>
      <c r="VVT149"/>
      <c r="VVU149"/>
      <c r="VVV149"/>
      <c r="VVW149"/>
      <c r="VVX149"/>
      <c r="VVY149"/>
      <c r="VVZ149"/>
      <c r="VWA149"/>
      <c r="VWB149"/>
      <c r="VWC149"/>
      <c r="VWD149"/>
      <c r="VWE149"/>
      <c r="VWF149"/>
      <c r="VWG149"/>
      <c r="VWH149"/>
      <c r="VWI149"/>
      <c r="VWJ149"/>
      <c r="VWK149"/>
      <c r="VWL149"/>
    </row>
    <row r="150" spans="2:124 15090:15482" s="1" customFormat="1" hidden="1">
      <c r="B150" s="295"/>
      <c r="C150" s="217" t="s">
        <v>68</v>
      </c>
      <c r="D150" s="74"/>
      <c r="E150" s="70"/>
      <c r="F150" s="3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360"/>
      <c r="X150" s="60"/>
      <c r="Y150" s="60"/>
      <c r="Z150" s="60"/>
      <c r="AA150" s="60"/>
      <c r="AB150" s="60"/>
      <c r="AC150" s="60"/>
      <c r="AD150" s="360"/>
      <c r="AE150" s="60"/>
      <c r="AF150" s="360"/>
      <c r="AG150" s="291"/>
      <c r="AH150" s="117"/>
      <c r="AI150" s="122" t="s">
        <v>68</v>
      </c>
      <c r="AK150" s="118"/>
      <c r="DT150" s="227"/>
    </row>
    <row r="151" spans="2:124 15090:15482" s="1" customFormat="1" ht="13.8" hidden="1">
      <c r="B151" s="295"/>
      <c r="C151" s="40" t="s">
        <v>136</v>
      </c>
      <c r="D151" s="69">
        <v>0.3</v>
      </c>
      <c r="E151" s="206" t="s">
        <v>12</v>
      </c>
      <c r="F151" s="362">
        <f t="shared" ref="F151:AG151" si="87">F144/F133*100</f>
        <v>0</v>
      </c>
      <c r="G151" s="84">
        <f t="shared" si="87"/>
        <v>0</v>
      </c>
      <c r="H151" s="84">
        <f t="shared" si="87"/>
        <v>0</v>
      </c>
      <c r="I151" s="84" t="e">
        <f t="shared" si="87"/>
        <v>#DIV/0!</v>
      </c>
      <c r="J151" s="84">
        <f t="shared" si="87"/>
        <v>0</v>
      </c>
      <c r="K151" s="84" t="e">
        <f t="shared" si="87"/>
        <v>#DIV/0!</v>
      </c>
      <c r="L151" s="84">
        <f t="shared" si="87"/>
        <v>0</v>
      </c>
      <c r="M151" s="84">
        <f t="shared" si="87"/>
        <v>0</v>
      </c>
      <c r="N151" s="84">
        <f t="shared" si="87"/>
        <v>0</v>
      </c>
      <c r="O151" s="84" t="e">
        <f t="shared" si="87"/>
        <v>#DIV/0!</v>
      </c>
      <c r="P151" s="84" t="e">
        <f t="shared" si="87"/>
        <v>#DIV/0!</v>
      </c>
      <c r="Q151" s="84" t="e">
        <f t="shared" si="87"/>
        <v>#DIV/0!</v>
      </c>
      <c r="R151" s="84" t="e">
        <f t="shared" si="87"/>
        <v>#DIV/0!</v>
      </c>
      <c r="S151" s="84">
        <f t="shared" si="87"/>
        <v>0</v>
      </c>
      <c r="T151" s="84">
        <f t="shared" si="87"/>
        <v>0</v>
      </c>
      <c r="U151" s="84" t="e">
        <f t="shared" si="87"/>
        <v>#DIV/0!</v>
      </c>
      <c r="V151" s="84" t="e">
        <f t="shared" si="87"/>
        <v>#DIV/0!</v>
      </c>
      <c r="W151" s="362" t="e">
        <f t="shared" si="87"/>
        <v>#DIV/0!</v>
      </c>
      <c r="X151" s="84" t="e">
        <f t="shared" si="87"/>
        <v>#DIV/0!</v>
      </c>
      <c r="Y151" s="84" t="e">
        <f t="shared" si="87"/>
        <v>#DIV/0!</v>
      </c>
      <c r="Z151" s="84">
        <f t="shared" si="87"/>
        <v>0</v>
      </c>
      <c r="AA151" s="84">
        <f t="shared" si="87"/>
        <v>0</v>
      </c>
      <c r="AB151" s="84" t="e">
        <f t="shared" si="87"/>
        <v>#DIV/0!</v>
      </c>
      <c r="AC151" s="84" t="e">
        <f t="shared" si="87"/>
        <v>#DIV/0!</v>
      </c>
      <c r="AD151" s="362" t="e">
        <f t="shared" si="87"/>
        <v>#DIV/0!</v>
      </c>
      <c r="AE151" s="84" t="e">
        <f t="shared" si="87"/>
        <v>#DIV/0!</v>
      </c>
      <c r="AF151" s="362" t="e">
        <f t="shared" si="87"/>
        <v>#DIV/0!</v>
      </c>
      <c r="AG151" s="299">
        <f t="shared" si="87"/>
        <v>0</v>
      </c>
      <c r="AH151" s="117"/>
      <c r="AI151" s="119">
        <f>AI144/AI133*100</f>
        <v>0</v>
      </c>
      <c r="AK151" s="118"/>
      <c r="DT151" s="227"/>
    </row>
    <row r="152" spans="2:124 15090:15482" s="1" customFormat="1" ht="13.8" hidden="1">
      <c r="B152" s="295"/>
      <c r="C152" s="40" t="s">
        <v>137</v>
      </c>
      <c r="D152" s="69">
        <v>0.3</v>
      </c>
      <c r="E152" s="206" t="s">
        <v>12</v>
      </c>
      <c r="F152" s="362" t="e">
        <f t="shared" ref="F152:AG152" si="88">F145/F135*100</f>
        <v>#DIV/0!</v>
      </c>
      <c r="G152" s="84" t="e">
        <f t="shared" si="88"/>
        <v>#DIV/0!</v>
      </c>
      <c r="H152" s="84" t="e">
        <f t="shared" si="88"/>
        <v>#DIV/0!</v>
      </c>
      <c r="I152" s="84" t="e">
        <f t="shared" si="88"/>
        <v>#DIV/0!</v>
      </c>
      <c r="J152" s="84" t="e">
        <f t="shared" si="88"/>
        <v>#DIV/0!</v>
      </c>
      <c r="K152" s="84">
        <f t="shared" si="88"/>
        <v>0</v>
      </c>
      <c r="L152" s="84" t="e">
        <f t="shared" si="88"/>
        <v>#DIV/0!</v>
      </c>
      <c r="M152" s="84" t="e">
        <f t="shared" si="88"/>
        <v>#DIV/0!</v>
      </c>
      <c r="N152" s="84" t="e">
        <f t="shared" si="88"/>
        <v>#DIV/0!</v>
      </c>
      <c r="O152" s="84" t="e">
        <f t="shared" si="88"/>
        <v>#DIV/0!</v>
      </c>
      <c r="P152" s="84" t="e">
        <f t="shared" si="88"/>
        <v>#DIV/0!</v>
      </c>
      <c r="Q152" s="84" t="e">
        <f t="shared" si="88"/>
        <v>#DIV/0!</v>
      </c>
      <c r="R152" s="84">
        <f t="shared" si="88"/>
        <v>0</v>
      </c>
      <c r="S152" s="84" t="e">
        <f t="shared" si="88"/>
        <v>#DIV/0!</v>
      </c>
      <c r="T152" s="84" t="e">
        <f t="shared" si="88"/>
        <v>#DIV/0!</v>
      </c>
      <c r="U152" s="84" t="e">
        <f t="shared" si="88"/>
        <v>#DIV/0!</v>
      </c>
      <c r="V152" s="84" t="e">
        <f t="shared" si="88"/>
        <v>#DIV/0!</v>
      </c>
      <c r="W152" s="362" t="e">
        <f t="shared" si="88"/>
        <v>#DIV/0!</v>
      </c>
      <c r="X152" s="84" t="e">
        <f t="shared" si="88"/>
        <v>#DIV/0!</v>
      </c>
      <c r="Y152" s="84">
        <f t="shared" si="88"/>
        <v>0</v>
      </c>
      <c r="Z152" s="84" t="e">
        <f t="shared" si="88"/>
        <v>#DIV/0!</v>
      </c>
      <c r="AA152" s="84" t="e">
        <f t="shared" si="88"/>
        <v>#DIV/0!</v>
      </c>
      <c r="AB152" s="84" t="e">
        <f t="shared" si="88"/>
        <v>#DIV/0!</v>
      </c>
      <c r="AC152" s="84" t="e">
        <f t="shared" si="88"/>
        <v>#DIV/0!</v>
      </c>
      <c r="AD152" s="362" t="e">
        <f t="shared" si="88"/>
        <v>#DIV/0!</v>
      </c>
      <c r="AE152" s="84" t="e">
        <f t="shared" si="88"/>
        <v>#DIV/0!</v>
      </c>
      <c r="AF152" s="362">
        <f t="shared" si="88"/>
        <v>0</v>
      </c>
      <c r="AG152" s="299" t="e">
        <f t="shared" si="88"/>
        <v>#DIV/0!</v>
      </c>
      <c r="AH152" s="117"/>
      <c r="AI152" s="119">
        <f>AI145/AI135*100</f>
        <v>0</v>
      </c>
      <c r="AK152" s="118"/>
      <c r="DT152" s="227"/>
    </row>
    <row r="153" spans="2:124 15090:15482" s="1" customFormat="1" hidden="1">
      <c r="B153" s="295"/>
      <c r="C153" s="217" t="s">
        <v>72</v>
      </c>
      <c r="D153" s="69"/>
      <c r="E153" s="70"/>
      <c r="F153" s="362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362"/>
      <c r="X153" s="84"/>
      <c r="Y153" s="84"/>
      <c r="Z153" s="84"/>
      <c r="AA153" s="84"/>
      <c r="AB153" s="84"/>
      <c r="AC153" s="84"/>
      <c r="AD153" s="362"/>
      <c r="AE153" s="84"/>
      <c r="AF153" s="362"/>
      <c r="AG153" s="299"/>
      <c r="AH153" s="117"/>
      <c r="AI153" s="122" t="s">
        <v>72</v>
      </c>
      <c r="AK153" s="118"/>
      <c r="DT153" s="227"/>
    </row>
    <row r="154" spans="2:124 15090:15482" s="1" customFormat="1" ht="13.8" hidden="1">
      <c r="B154" s="295"/>
      <c r="C154" s="40" t="s">
        <v>136</v>
      </c>
      <c r="D154" s="69">
        <v>0.5</v>
      </c>
      <c r="E154" s="206" t="s">
        <v>12</v>
      </c>
      <c r="F154" s="362">
        <f t="shared" ref="F154:AG154" si="89">F147/F137*100</f>
        <v>0</v>
      </c>
      <c r="G154" s="84">
        <f t="shared" si="89"/>
        <v>0</v>
      </c>
      <c r="H154" s="84">
        <f t="shared" si="89"/>
        <v>0</v>
      </c>
      <c r="I154" s="84" t="e">
        <f t="shared" si="89"/>
        <v>#DIV/0!</v>
      </c>
      <c r="J154" s="84">
        <f t="shared" si="89"/>
        <v>0</v>
      </c>
      <c r="K154" s="84" t="e">
        <f t="shared" si="89"/>
        <v>#DIV/0!</v>
      </c>
      <c r="L154" s="84">
        <f t="shared" si="89"/>
        <v>0</v>
      </c>
      <c r="M154" s="84">
        <f t="shared" si="89"/>
        <v>0</v>
      </c>
      <c r="N154" s="84">
        <f t="shared" si="89"/>
        <v>0</v>
      </c>
      <c r="O154" s="84" t="e">
        <f t="shared" si="89"/>
        <v>#DIV/0!</v>
      </c>
      <c r="P154" s="84" t="e">
        <f t="shared" si="89"/>
        <v>#DIV/0!</v>
      </c>
      <c r="Q154" s="84" t="e">
        <f t="shared" si="89"/>
        <v>#DIV/0!</v>
      </c>
      <c r="R154" s="84" t="e">
        <f t="shared" si="89"/>
        <v>#DIV/0!</v>
      </c>
      <c r="S154" s="84">
        <f t="shared" si="89"/>
        <v>0</v>
      </c>
      <c r="T154" s="84">
        <f t="shared" si="89"/>
        <v>0</v>
      </c>
      <c r="U154" s="84" t="e">
        <f t="shared" si="89"/>
        <v>#DIV/0!</v>
      </c>
      <c r="V154" s="84" t="e">
        <f t="shared" si="89"/>
        <v>#DIV/0!</v>
      </c>
      <c r="W154" s="362" t="e">
        <f t="shared" si="89"/>
        <v>#DIV/0!</v>
      </c>
      <c r="X154" s="84" t="e">
        <f t="shared" si="89"/>
        <v>#DIV/0!</v>
      </c>
      <c r="Y154" s="84" t="e">
        <f t="shared" si="89"/>
        <v>#DIV/0!</v>
      </c>
      <c r="Z154" s="84">
        <f t="shared" si="89"/>
        <v>0</v>
      </c>
      <c r="AA154" s="84">
        <f t="shared" si="89"/>
        <v>0</v>
      </c>
      <c r="AB154" s="84" t="e">
        <f t="shared" si="89"/>
        <v>#DIV/0!</v>
      </c>
      <c r="AC154" s="84" t="e">
        <f t="shared" si="89"/>
        <v>#DIV/0!</v>
      </c>
      <c r="AD154" s="362" t="e">
        <f t="shared" si="89"/>
        <v>#DIV/0!</v>
      </c>
      <c r="AE154" s="84" t="e">
        <f t="shared" si="89"/>
        <v>#DIV/0!</v>
      </c>
      <c r="AF154" s="362" t="e">
        <f t="shared" si="89"/>
        <v>#DIV/0!</v>
      </c>
      <c r="AG154" s="299">
        <f t="shared" si="89"/>
        <v>0</v>
      </c>
      <c r="AH154" s="117"/>
      <c r="AI154" s="119">
        <f>AI147/AI137*100</f>
        <v>0</v>
      </c>
      <c r="AK154" s="118"/>
      <c r="DT154" s="227"/>
    </row>
    <row r="155" spans="2:124 15090:15482" s="1" customFormat="1" ht="13.8" hidden="1">
      <c r="B155" s="295"/>
      <c r="C155" s="40" t="s">
        <v>137</v>
      </c>
      <c r="D155" s="69">
        <v>0.5</v>
      </c>
      <c r="E155" s="206" t="s">
        <v>12</v>
      </c>
      <c r="F155" s="362" t="e">
        <f t="shared" ref="F155:AG155" si="90">F148/F139*100</f>
        <v>#DIV/0!</v>
      </c>
      <c r="G155" s="84" t="e">
        <f t="shared" si="90"/>
        <v>#DIV/0!</v>
      </c>
      <c r="H155" s="84" t="e">
        <f t="shared" si="90"/>
        <v>#DIV/0!</v>
      </c>
      <c r="I155" s="84" t="e">
        <f t="shared" si="90"/>
        <v>#DIV/0!</v>
      </c>
      <c r="J155" s="84" t="e">
        <f t="shared" si="90"/>
        <v>#DIV/0!</v>
      </c>
      <c r="K155" s="84">
        <f t="shared" si="90"/>
        <v>0</v>
      </c>
      <c r="L155" s="84" t="e">
        <f t="shared" si="90"/>
        <v>#DIV/0!</v>
      </c>
      <c r="M155" s="84" t="e">
        <f t="shared" si="90"/>
        <v>#DIV/0!</v>
      </c>
      <c r="N155" s="84" t="e">
        <f t="shared" si="90"/>
        <v>#DIV/0!</v>
      </c>
      <c r="O155" s="84" t="e">
        <f t="shared" si="90"/>
        <v>#DIV/0!</v>
      </c>
      <c r="P155" s="84" t="e">
        <f t="shared" si="90"/>
        <v>#DIV/0!</v>
      </c>
      <c r="Q155" s="84" t="e">
        <f t="shared" si="90"/>
        <v>#DIV/0!</v>
      </c>
      <c r="R155" s="84">
        <f t="shared" si="90"/>
        <v>0</v>
      </c>
      <c r="S155" s="84" t="e">
        <f t="shared" si="90"/>
        <v>#DIV/0!</v>
      </c>
      <c r="T155" s="84" t="e">
        <f t="shared" si="90"/>
        <v>#DIV/0!</v>
      </c>
      <c r="U155" s="84" t="e">
        <f t="shared" si="90"/>
        <v>#DIV/0!</v>
      </c>
      <c r="V155" s="84" t="e">
        <f t="shared" si="90"/>
        <v>#DIV/0!</v>
      </c>
      <c r="W155" s="362" t="e">
        <f t="shared" si="90"/>
        <v>#DIV/0!</v>
      </c>
      <c r="X155" s="84" t="e">
        <f t="shared" si="90"/>
        <v>#DIV/0!</v>
      </c>
      <c r="Y155" s="84">
        <f t="shared" si="90"/>
        <v>0</v>
      </c>
      <c r="Z155" s="84" t="e">
        <f t="shared" si="90"/>
        <v>#DIV/0!</v>
      </c>
      <c r="AA155" s="84" t="e">
        <f t="shared" si="90"/>
        <v>#DIV/0!</v>
      </c>
      <c r="AB155" s="84" t="e">
        <f t="shared" si="90"/>
        <v>#DIV/0!</v>
      </c>
      <c r="AC155" s="84" t="e">
        <f t="shared" si="90"/>
        <v>#DIV/0!</v>
      </c>
      <c r="AD155" s="362" t="e">
        <f t="shared" si="90"/>
        <v>#DIV/0!</v>
      </c>
      <c r="AE155" s="84" t="e">
        <f t="shared" si="90"/>
        <v>#DIV/0!</v>
      </c>
      <c r="AF155" s="362">
        <f t="shared" si="90"/>
        <v>0</v>
      </c>
      <c r="AG155" s="299" t="e">
        <f t="shared" si="90"/>
        <v>#DIV/0!</v>
      </c>
      <c r="AH155" s="117"/>
      <c r="AI155" s="119">
        <f>AI148/AI139*100</f>
        <v>0</v>
      </c>
      <c r="AK155" s="118"/>
      <c r="DT155" s="227"/>
    </row>
    <row r="156" spans="2:124 15090:15482">
      <c r="B156" s="287">
        <v>8</v>
      </c>
      <c r="C156" s="202" t="s">
        <v>83</v>
      </c>
      <c r="D156" s="55"/>
      <c r="E156" s="82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288"/>
      <c r="AH156" s="117"/>
      <c r="AI156" s="128" t="s">
        <v>84</v>
      </c>
    </row>
    <row r="157" spans="2:124 15090:15482" s="1" customFormat="1" ht="13.8">
      <c r="B157" s="289"/>
      <c r="C157" s="199" t="s">
        <v>85</v>
      </c>
      <c r="D157" s="74"/>
      <c r="E157" s="206" t="s">
        <v>86</v>
      </c>
      <c r="F157" s="372">
        <v>1316.8175000000001</v>
      </c>
      <c r="G157" s="150">
        <v>1274.9664</v>
      </c>
      <c r="H157" s="148">
        <v>1275.4942000000001</v>
      </c>
      <c r="I157" s="154">
        <v>1245.4572000000001</v>
      </c>
      <c r="J157" s="154">
        <v>1141.9149</v>
      </c>
      <c r="K157" s="154">
        <v>1147.1781000000001</v>
      </c>
      <c r="L157" s="154">
        <v>1188.8083999999999</v>
      </c>
      <c r="M157" s="154">
        <v>1166.4378999999999</v>
      </c>
      <c r="N157" s="154">
        <v>986.64269999999999</v>
      </c>
      <c r="O157" s="154">
        <v>939.70429999999999</v>
      </c>
      <c r="P157" s="154">
        <v>1084.3939</v>
      </c>
      <c r="Q157" s="154">
        <v>1133.4585999999999</v>
      </c>
      <c r="R157" s="154">
        <v>1148.3124</v>
      </c>
      <c r="S157" s="154">
        <v>1087.3325</v>
      </c>
      <c r="T157" s="154">
        <v>1074.2156</v>
      </c>
      <c r="U157" s="152">
        <v>1283.8045999999999</v>
      </c>
      <c r="V157" s="152">
        <v>1315.6758</v>
      </c>
      <c r="W157" s="380">
        <v>1313.1415</v>
      </c>
      <c r="X157" s="154">
        <v>1232.8719000000001</v>
      </c>
      <c r="Y157" s="154">
        <v>1281.4013</v>
      </c>
      <c r="Z157" s="154">
        <v>1298.0369000000001</v>
      </c>
      <c r="AA157" s="154">
        <v>1253.9921999999999</v>
      </c>
      <c r="AB157" s="154">
        <v>1228.5183999999999</v>
      </c>
      <c r="AC157" s="152">
        <v>1359.4848</v>
      </c>
      <c r="AD157" s="380">
        <v>1340.4683</v>
      </c>
      <c r="AE157" s="154">
        <v>1165.0117</v>
      </c>
      <c r="AF157" s="380">
        <v>1379.6092000000001</v>
      </c>
      <c r="AG157" s="313">
        <v>1398.3487</v>
      </c>
      <c r="AH157" s="117"/>
      <c r="AI157" s="160">
        <f>SUM(F157:AG157)</f>
        <v>34061.499900000003</v>
      </c>
      <c r="AK157" s="118"/>
      <c r="DT157" s="227"/>
    </row>
    <row r="158" spans="2:124 15090:15482" s="4" customFormat="1" ht="13.8">
      <c r="B158" s="306"/>
      <c r="C158" s="204" t="s">
        <v>87</v>
      </c>
      <c r="D158" s="149">
        <v>1269.566</v>
      </c>
      <c r="E158" s="205" t="s">
        <v>86</v>
      </c>
      <c r="F158" s="372">
        <v>1198.0534</v>
      </c>
      <c r="G158" s="150">
        <v>1176.9907000000001</v>
      </c>
      <c r="H158" s="150">
        <v>1147.5136</v>
      </c>
      <c r="I158" s="154">
        <v>1045.079</v>
      </c>
      <c r="J158" s="150">
        <v>1065.1786999999999</v>
      </c>
      <c r="K158" s="153">
        <v>1105.2739999999999</v>
      </c>
      <c r="L158" s="153">
        <v>1086.6853000000001</v>
      </c>
      <c r="M158" s="154">
        <v>887.04129999999998</v>
      </c>
      <c r="N158" s="154">
        <v>842.87049999999999</v>
      </c>
      <c r="O158" s="154">
        <v>995.79300000000001</v>
      </c>
      <c r="P158" s="154">
        <v>1055.2779</v>
      </c>
      <c r="Q158" s="154">
        <v>1061.5201999999999</v>
      </c>
      <c r="R158" s="154">
        <v>1003.2886</v>
      </c>
      <c r="S158" s="154">
        <v>984.59199999999998</v>
      </c>
      <c r="T158" s="154">
        <v>1196.9776999999999</v>
      </c>
      <c r="U158" s="154">
        <v>1224.472</v>
      </c>
      <c r="V158" s="154">
        <v>1231.5256999999999</v>
      </c>
      <c r="W158" s="372">
        <v>1159.1369999999999</v>
      </c>
      <c r="X158" s="154">
        <v>1212.0939000000001</v>
      </c>
      <c r="Y158" s="154">
        <v>1229.4039</v>
      </c>
      <c r="Z158" s="154">
        <v>1187.473</v>
      </c>
      <c r="AA158" s="154">
        <v>1164.3416</v>
      </c>
      <c r="AB158" s="152">
        <v>1282.3951999999999</v>
      </c>
      <c r="AC158" s="152">
        <v>1271.1186</v>
      </c>
      <c r="AD158" s="372">
        <v>1061.7046</v>
      </c>
      <c r="AE158" s="152">
        <v>1309.7714000000001</v>
      </c>
      <c r="AF158" s="380">
        <v>1325.9411</v>
      </c>
      <c r="AG158" s="314">
        <v>1425.3791000000001</v>
      </c>
      <c r="AI158" s="161">
        <f>SUM(F158:AG158)</f>
        <v>31936.893000000004</v>
      </c>
      <c r="AK158" s="256">
        <f>AI158/AI30</f>
        <v>1140.6033214285715</v>
      </c>
      <c r="DT158" s="275"/>
    </row>
    <row r="159" spans="2:124 15090:15482">
      <c r="B159" s="295"/>
      <c r="C159" s="215" t="s">
        <v>88</v>
      </c>
      <c r="D159" s="74"/>
      <c r="E159" s="70"/>
      <c r="F159" s="372"/>
      <c r="G159" s="150"/>
      <c r="H159" s="150"/>
      <c r="I159" s="60"/>
      <c r="J159" s="150"/>
      <c r="K159" s="153"/>
      <c r="L159" s="153"/>
      <c r="M159" s="60"/>
      <c r="N159" s="60"/>
      <c r="O159" s="60"/>
      <c r="P159" s="60"/>
      <c r="Q159" s="173"/>
      <c r="R159" s="173"/>
      <c r="S159" s="60"/>
      <c r="T159" s="60"/>
      <c r="U159" s="60"/>
      <c r="V159" s="60"/>
      <c r="W159" s="360"/>
      <c r="X159" s="60"/>
      <c r="Y159" s="60"/>
      <c r="Z159" s="60"/>
      <c r="AA159" s="60"/>
      <c r="AB159" s="60"/>
      <c r="AC159" s="84"/>
      <c r="AD159" s="362"/>
      <c r="AE159" s="84"/>
      <c r="AF159" s="362"/>
      <c r="AG159" s="299"/>
      <c r="AH159" s="117"/>
      <c r="AI159" s="182" t="s">
        <v>88</v>
      </c>
      <c r="AJ159" s="237"/>
    </row>
    <row r="160" spans="2:124 15090:15482">
      <c r="B160" s="295"/>
      <c r="C160" s="199" t="s">
        <v>89</v>
      </c>
      <c r="D160" s="69">
        <v>253.91319999999999</v>
      </c>
      <c r="E160" s="206" t="s">
        <v>86</v>
      </c>
      <c r="F160" s="372">
        <v>158.78074819495706</v>
      </c>
      <c r="G160" s="268">
        <v>172.75297319624255</v>
      </c>
      <c r="H160" s="150">
        <v>170.65536674008402</v>
      </c>
      <c r="I160" s="154">
        <v>168.85582323642902</v>
      </c>
      <c r="J160" s="150">
        <v>193.18940247880417</v>
      </c>
      <c r="K160" s="153">
        <v>186.53956402408255</v>
      </c>
      <c r="L160" s="153">
        <v>170.47487707402638</v>
      </c>
      <c r="M160" s="154">
        <v>168.82192172951378</v>
      </c>
      <c r="N160" s="154">
        <v>182.84206760810844</v>
      </c>
      <c r="O160" s="154">
        <v>228.38522305766466</v>
      </c>
      <c r="P160" s="154">
        <v>250.56932203892481</v>
      </c>
      <c r="Q160" s="154">
        <v>252.78686275312751</v>
      </c>
      <c r="R160" s="154">
        <v>235.93274144857736</v>
      </c>
      <c r="S160" s="154">
        <v>164.54271765635417</v>
      </c>
      <c r="T160" s="154">
        <v>169.47437223476925</v>
      </c>
      <c r="U160" s="154">
        <v>180.12637858172329</v>
      </c>
      <c r="V160" s="154">
        <v>190.93993099301281</v>
      </c>
      <c r="W160" s="372">
        <v>198.80014187259377</v>
      </c>
      <c r="X160" s="154">
        <v>217.4131618346172</v>
      </c>
      <c r="Y160" s="154">
        <v>218.44445632026665</v>
      </c>
      <c r="Z160" s="154">
        <v>182.78782858938521</v>
      </c>
      <c r="AA160" s="154">
        <v>187.90311229240078</v>
      </c>
      <c r="AB160" s="154">
        <v>195.43903371796992</v>
      </c>
      <c r="AC160" s="154">
        <v>195.65470262072205</v>
      </c>
      <c r="AD160" s="372">
        <v>165.45115473920174</v>
      </c>
      <c r="AE160" s="154">
        <v>178.90308395759308</v>
      </c>
      <c r="AF160" s="372">
        <v>193.31911436490827</v>
      </c>
      <c r="AG160" s="315">
        <v>200.15576216859719</v>
      </c>
      <c r="AH160" s="117"/>
      <c r="AI160" s="183">
        <f>SUM(F160:AG160)</f>
        <v>5379.9418455246587</v>
      </c>
      <c r="AJ160" s="237"/>
      <c r="BE160" s="237"/>
      <c r="DS160" s="237"/>
    </row>
    <row r="161" spans="2:124">
      <c r="B161" s="295"/>
      <c r="C161" s="199" t="s">
        <v>90</v>
      </c>
      <c r="D161" s="69">
        <v>1015.6528</v>
      </c>
      <c r="E161" s="206" t="s">
        <v>86</v>
      </c>
      <c r="F161" s="372">
        <f t="shared" ref="F161:AG161" si="91">F162-F160</f>
        <v>1039.2726518050429</v>
      </c>
      <c r="G161" s="150">
        <f t="shared" si="91"/>
        <v>1004.2377268037575</v>
      </c>
      <c r="H161" s="150">
        <f t="shared" si="91"/>
        <v>976.85823325991601</v>
      </c>
      <c r="I161" s="154">
        <f t="shared" si="91"/>
        <v>876.2231767635709</v>
      </c>
      <c r="J161" s="150">
        <f t="shared" si="91"/>
        <v>871.98929752119579</v>
      </c>
      <c r="K161" s="153">
        <f t="shared" si="91"/>
        <v>918.73443597591734</v>
      </c>
      <c r="L161" s="153">
        <f t="shared" si="91"/>
        <v>916.21042292597372</v>
      </c>
      <c r="M161" s="154">
        <f t="shared" si="91"/>
        <v>718.21937827048623</v>
      </c>
      <c r="N161" s="154">
        <f t="shared" si="91"/>
        <v>660.02843239189156</v>
      </c>
      <c r="O161" s="154">
        <f t="shared" si="91"/>
        <v>767.40777694233532</v>
      </c>
      <c r="P161" s="154">
        <f t="shared" si="91"/>
        <v>804.70857796107521</v>
      </c>
      <c r="Q161" s="154">
        <f t="shared" si="91"/>
        <v>808.73333724687245</v>
      </c>
      <c r="R161" s="154">
        <f t="shared" si="91"/>
        <v>767.35585855142267</v>
      </c>
      <c r="S161" s="154">
        <f t="shared" si="91"/>
        <v>820.04928234364581</v>
      </c>
      <c r="T161" s="154">
        <f t="shared" si="91"/>
        <v>1027.5033277652306</v>
      </c>
      <c r="U161" s="154">
        <f t="shared" si="91"/>
        <v>1044.3456214182768</v>
      </c>
      <c r="V161" s="154">
        <f t="shared" si="91"/>
        <v>1040.585769006987</v>
      </c>
      <c r="W161" s="372">
        <f t="shared" si="91"/>
        <v>960.33685812740623</v>
      </c>
      <c r="X161" s="154">
        <f t="shared" si="91"/>
        <v>994.68073816538288</v>
      </c>
      <c r="Y161" s="154">
        <f t="shared" si="91"/>
        <v>1010.9594436797333</v>
      </c>
      <c r="Z161" s="154">
        <f t="shared" si="91"/>
        <v>1004.6851714106148</v>
      </c>
      <c r="AA161" s="154">
        <f t="shared" si="91"/>
        <v>976.43848770759917</v>
      </c>
      <c r="AB161" s="154">
        <f t="shared" si="91"/>
        <v>1086.9561662820299</v>
      </c>
      <c r="AC161" s="154">
        <f t="shared" si="91"/>
        <v>1075.463897379278</v>
      </c>
      <c r="AD161" s="372">
        <f t="shared" si="91"/>
        <v>896.25344526079834</v>
      </c>
      <c r="AE161" s="154">
        <f t="shared" si="91"/>
        <v>1130.8683160424071</v>
      </c>
      <c r="AF161" s="372">
        <f t="shared" si="91"/>
        <v>1132.6219856350917</v>
      </c>
      <c r="AG161" s="315">
        <f t="shared" si="91"/>
        <v>1225.2233378314029</v>
      </c>
      <c r="AH161" s="117"/>
      <c r="AI161" s="183">
        <f>SUM(F161:AG161)</f>
        <v>26556.951154475344</v>
      </c>
      <c r="AJ161" s="237"/>
    </row>
    <row r="162" spans="2:124" s="5" customFormat="1" ht="13.8">
      <c r="B162" s="316"/>
      <c r="C162" s="220" t="s">
        <v>91</v>
      </c>
      <c r="D162" s="163">
        <f>SUM(D160:D161)</f>
        <v>1269.566</v>
      </c>
      <c r="E162" s="221" t="s">
        <v>86</v>
      </c>
      <c r="F162" s="373">
        <f t="shared" ref="F162:AG162" si="92">F158</f>
        <v>1198.0534</v>
      </c>
      <c r="G162" s="164">
        <f t="shared" si="92"/>
        <v>1176.9907000000001</v>
      </c>
      <c r="H162" s="164">
        <f t="shared" si="92"/>
        <v>1147.5136</v>
      </c>
      <c r="I162" s="179">
        <f t="shared" si="92"/>
        <v>1045.079</v>
      </c>
      <c r="J162" s="179">
        <f t="shared" si="92"/>
        <v>1065.1786999999999</v>
      </c>
      <c r="K162" s="179">
        <f t="shared" si="92"/>
        <v>1105.2739999999999</v>
      </c>
      <c r="L162" s="179">
        <f t="shared" si="92"/>
        <v>1086.6853000000001</v>
      </c>
      <c r="M162" s="179">
        <f t="shared" si="92"/>
        <v>887.04129999999998</v>
      </c>
      <c r="N162" s="179">
        <f t="shared" si="92"/>
        <v>842.87049999999999</v>
      </c>
      <c r="O162" s="179">
        <f t="shared" si="92"/>
        <v>995.79300000000001</v>
      </c>
      <c r="P162" s="179">
        <f t="shared" si="92"/>
        <v>1055.2779</v>
      </c>
      <c r="Q162" s="179">
        <f t="shared" si="92"/>
        <v>1061.5201999999999</v>
      </c>
      <c r="R162" s="179">
        <f t="shared" si="92"/>
        <v>1003.2886</v>
      </c>
      <c r="S162" s="179">
        <f t="shared" si="92"/>
        <v>984.59199999999998</v>
      </c>
      <c r="T162" s="179">
        <f t="shared" si="92"/>
        <v>1196.9776999999999</v>
      </c>
      <c r="U162" s="179">
        <f t="shared" si="92"/>
        <v>1224.472</v>
      </c>
      <c r="V162" s="179">
        <f t="shared" si="92"/>
        <v>1231.5256999999999</v>
      </c>
      <c r="W162" s="373">
        <f t="shared" si="92"/>
        <v>1159.1369999999999</v>
      </c>
      <c r="X162" s="179">
        <f t="shared" si="92"/>
        <v>1212.0939000000001</v>
      </c>
      <c r="Y162" s="179">
        <f t="shared" si="92"/>
        <v>1229.4039</v>
      </c>
      <c r="Z162" s="179">
        <f t="shared" si="92"/>
        <v>1187.473</v>
      </c>
      <c r="AA162" s="179">
        <f t="shared" si="92"/>
        <v>1164.3416</v>
      </c>
      <c r="AB162" s="179">
        <f t="shared" si="92"/>
        <v>1282.3951999999999</v>
      </c>
      <c r="AC162" s="179">
        <f t="shared" si="92"/>
        <v>1271.1186</v>
      </c>
      <c r="AD162" s="373">
        <f t="shared" si="92"/>
        <v>1061.7046</v>
      </c>
      <c r="AE162" s="179">
        <f t="shared" si="92"/>
        <v>1309.7714000000001</v>
      </c>
      <c r="AF162" s="373">
        <f t="shared" si="92"/>
        <v>1325.9411</v>
      </c>
      <c r="AG162" s="317">
        <f t="shared" si="92"/>
        <v>1425.3791000000001</v>
      </c>
      <c r="AH162" s="158"/>
      <c r="AI162" s="184">
        <f>SUM(AI160:AI161)</f>
        <v>31936.893000000004</v>
      </c>
      <c r="AK162" s="185"/>
      <c r="BE162" s="238"/>
      <c r="DT162" s="276"/>
    </row>
    <row r="163" spans="2:124" s="5" customFormat="1" ht="13.8">
      <c r="B163" s="289">
        <v>9</v>
      </c>
      <c r="C163" s="222" t="s">
        <v>92</v>
      </c>
      <c r="D163" s="165"/>
      <c r="E163" s="165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318"/>
      <c r="AH163" s="158"/>
      <c r="AI163" s="186" t="s">
        <v>93</v>
      </c>
      <c r="AK163" s="185"/>
      <c r="DT163" s="276"/>
    </row>
    <row r="164" spans="2:124" s="5" customFormat="1" ht="13.8">
      <c r="B164" s="289"/>
      <c r="C164" s="199" t="s">
        <v>94</v>
      </c>
      <c r="D164" s="62">
        <f>17000*24</f>
        <v>408000</v>
      </c>
      <c r="E164" s="206" t="s">
        <v>9</v>
      </c>
      <c r="F164" s="367">
        <v>303840</v>
      </c>
      <c r="G164" s="142">
        <v>306480</v>
      </c>
      <c r="H164" s="142">
        <v>311760</v>
      </c>
      <c r="I164" s="142">
        <v>240460</v>
      </c>
      <c r="J164" s="142">
        <v>272160</v>
      </c>
      <c r="K164" s="142">
        <v>283200</v>
      </c>
      <c r="L164" s="142">
        <v>273360</v>
      </c>
      <c r="M164" s="142">
        <v>212880</v>
      </c>
      <c r="N164" s="142">
        <v>208080</v>
      </c>
      <c r="O164" s="142">
        <v>240000</v>
      </c>
      <c r="P164" s="142">
        <v>233280</v>
      </c>
      <c r="Q164" s="142">
        <v>255360</v>
      </c>
      <c r="R164" s="142">
        <v>219600</v>
      </c>
      <c r="S164" s="142">
        <v>271200</v>
      </c>
      <c r="T164" s="142">
        <v>326712</v>
      </c>
      <c r="U164" s="142">
        <v>315024</v>
      </c>
      <c r="V164" s="142">
        <v>307032</v>
      </c>
      <c r="W164" s="367">
        <v>296400</v>
      </c>
      <c r="X164" s="142">
        <v>306240</v>
      </c>
      <c r="Y164" s="142">
        <v>307440</v>
      </c>
      <c r="Z164" s="142">
        <v>302160</v>
      </c>
      <c r="AA164" s="142">
        <v>321600</v>
      </c>
      <c r="AB164" s="142">
        <v>339360</v>
      </c>
      <c r="AC164" s="142">
        <v>327120</v>
      </c>
      <c r="AD164" s="367">
        <v>276135</v>
      </c>
      <c r="AE164" s="142">
        <v>341760</v>
      </c>
      <c r="AF164" s="367">
        <v>363165</v>
      </c>
      <c r="AG164" s="308">
        <v>347280</v>
      </c>
      <c r="AH164" s="158"/>
      <c r="AI164" s="187">
        <f>SUM(F164:AG164)</f>
        <v>8109088</v>
      </c>
      <c r="AJ164" s="155"/>
      <c r="AK164" s="185">
        <f>AI164/AI30</f>
        <v>289610.28571428574</v>
      </c>
      <c r="DT164" s="276"/>
    </row>
    <row r="165" spans="2:124" s="5" customFormat="1">
      <c r="B165" s="289"/>
      <c r="C165" s="217" t="s">
        <v>95</v>
      </c>
      <c r="D165" s="143"/>
      <c r="E165" s="57"/>
      <c r="F165" s="367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367"/>
      <c r="X165" s="142"/>
      <c r="Y165" s="142"/>
      <c r="Z165" s="142"/>
      <c r="AA165" s="142"/>
      <c r="AB165" s="142"/>
      <c r="AC165" s="142"/>
      <c r="AD165" s="367"/>
      <c r="AE165" s="142"/>
      <c r="AF165" s="367"/>
      <c r="AG165" s="308"/>
      <c r="AH165" s="158"/>
      <c r="AI165" s="188" t="s">
        <v>95</v>
      </c>
      <c r="AJ165" s="155"/>
      <c r="AK165" s="185">
        <f>AK164/24</f>
        <v>12067.095238095239</v>
      </c>
      <c r="DT165" s="276"/>
    </row>
    <row r="166" spans="2:124" s="5" customFormat="1">
      <c r="B166" s="289"/>
      <c r="C166" s="217"/>
      <c r="D166" s="143"/>
      <c r="E166" s="57"/>
      <c r="F166" s="367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367"/>
      <c r="X166" s="142"/>
      <c r="Y166" s="142"/>
      <c r="Z166" s="142"/>
      <c r="AA166" s="142"/>
      <c r="AB166" s="142"/>
      <c r="AC166" s="142"/>
      <c r="AD166" s="367">
        <f>AD167/AD31*1000</f>
        <v>121.74488136900989</v>
      </c>
      <c r="AE166" s="142"/>
      <c r="AF166" s="367"/>
      <c r="AG166" s="308"/>
      <c r="AH166" s="158"/>
      <c r="AI166" s="188"/>
      <c r="AJ166" s="155"/>
      <c r="AK166" s="185"/>
      <c r="DT166" s="276"/>
    </row>
    <row r="167" spans="2:124">
      <c r="B167" s="295"/>
      <c r="C167" s="199" t="s">
        <v>22</v>
      </c>
      <c r="D167" s="62">
        <v>180000</v>
      </c>
      <c r="E167" s="206" t="s">
        <v>9</v>
      </c>
      <c r="F167" s="360">
        <v>133300</v>
      </c>
      <c r="G167" s="60">
        <v>133900</v>
      </c>
      <c r="H167" s="60">
        <v>129100.00000000003</v>
      </c>
      <c r="I167" s="60">
        <v>129599.99999999997</v>
      </c>
      <c r="J167" s="60">
        <v>154399.99999999997</v>
      </c>
      <c r="K167" s="60">
        <v>143300.00000000006</v>
      </c>
      <c r="L167" s="60">
        <v>140260</v>
      </c>
      <c r="M167" s="60">
        <v>140239.99999999988</v>
      </c>
      <c r="N167" s="60">
        <v>143400.00000000009</v>
      </c>
      <c r="O167" s="60">
        <v>149410.00000000009</v>
      </c>
      <c r="P167" s="60">
        <v>151299.99999999994</v>
      </c>
      <c r="Q167" s="60">
        <v>155440.00000000006</v>
      </c>
      <c r="R167" s="60">
        <v>160349.99999999991</v>
      </c>
      <c r="S167" s="60">
        <v>137200.00000000006</v>
      </c>
      <c r="T167" s="60">
        <v>147439.99999999983</v>
      </c>
      <c r="U167" s="60">
        <v>146059.99999999994</v>
      </c>
      <c r="V167" s="60">
        <v>147900.00000000009</v>
      </c>
      <c r="W167" s="360">
        <v>142019.99999999997</v>
      </c>
      <c r="X167" s="60">
        <v>159680.00000000029</v>
      </c>
      <c r="Y167" s="60">
        <v>162199.99999999983</v>
      </c>
      <c r="Z167" s="60">
        <v>151159.99999999985</v>
      </c>
      <c r="AA167" s="60">
        <v>148840.00000000015</v>
      </c>
      <c r="AB167" s="60">
        <v>154199.99999999983</v>
      </c>
      <c r="AC167" s="60">
        <v>155650.00000000009</v>
      </c>
      <c r="AD167" s="360">
        <v>132540</v>
      </c>
      <c r="AE167" s="60">
        <v>157360</v>
      </c>
      <c r="AF167" s="360">
        <v>154350</v>
      </c>
      <c r="AG167" s="291">
        <v>153460</v>
      </c>
      <c r="AH167" s="117"/>
      <c r="AI167" s="116">
        <f>SUM(F167:AG167)</f>
        <v>4114060.0000000005</v>
      </c>
    </row>
    <row r="168" spans="2:124">
      <c r="B168" s="295"/>
      <c r="C168" s="199"/>
      <c r="D168" s="62"/>
      <c r="E168" s="206"/>
      <c r="F168" s="3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360">
        <f>W169/W40*1000</f>
        <v>58.461271576019456</v>
      </c>
      <c r="X168" s="60"/>
      <c r="Y168" s="60"/>
      <c r="Z168" s="60"/>
      <c r="AA168" s="60"/>
      <c r="AB168" s="60"/>
      <c r="AC168" s="60"/>
      <c r="AD168" s="360"/>
      <c r="AE168" s="60"/>
      <c r="AF168" s="360">
        <f>AF169/AF40*1000</f>
        <v>58.707975528990822</v>
      </c>
      <c r="AG168" s="291"/>
      <c r="AH168" s="117"/>
      <c r="AI168" s="116"/>
    </row>
    <row r="169" spans="2:124">
      <c r="B169" s="295"/>
      <c r="C169" s="199" t="s">
        <v>96</v>
      </c>
      <c r="D169" s="62">
        <v>122000</v>
      </c>
      <c r="E169" s="206" t="s">
        <v>9</v>
      </c>
      <c r="F169" s="360">
        <v>90600</v>
      </c>
      <c r="G169" s="60">
        <v>93200</v>
      </c>
      <c r="H169" s="60">
        <v>102900.00000000146</v>
      </c>
      <c r="I169" s="60">
        <v>57599.999999998545</v>
      </c>
      <c r="J169" s="60">
        <v>38199.99999999709</v>
      </c>
      <c r="K169" s="60">
        <v>37300.00000000291</v>
      </c>
      <c r="L169" s="60">
        <v>37000</v>
      </c>
      <c r="M169" s="60">
        <v>0</v>
      </c>
      <c r="N169" s="60">
        <v>0</v>
      </c>
      <c r="O169" s="60">
        <v>0</v>
      </c>
      <c r="P169" s="60">
        <v>0</v>
      </c>
      <c r="Q169" s="60">
        <v>0</v>
      </c>
      <c r="R169" s="60">
        <v>0</v>
      </c>
      <c r="S169" s="60">
        <v>63199.99999999709</v>
      </c>
      <c r="T169" s="60">
        <v>91500</v>
      </c>
      <c r="U169" s="60">
        <v>89599.999999998545</v>
      </c>
      <c r="V169" s="60">
        <v>64100.000000005821</v>
      </c>
      <c r="W169" s="360">
        <v>67399.999999994179</v>
      </c>
      <c r="X169" s="60">
        <v>75200.000000004366</v>
      </c>
      <c r="Y169" s="60">
        <v>61500</v>
      </c>
      <c r="Z169" s="60">
        <v>58400.000000001455</v>
      </c>
      <c r="AA169" s="60">
        <v>76699.99999999709</v>
      </c>
      <c r="AB169" s="60">
        <v>90300.00000000291</v>
      </c>
      <c r="AC169" s="60">
        <v>94500</v>
      </c>
      <c r="AD169" s="360">
        <v>76400</v>
      </c>
      <c r="AE169" s="60">
        <v>85300</v>
      </c>
      <c r="AF169" s="360">
        <v>104600</v>
      </c>
      <c r="AG169" s="291">
        <v>104700</v>
      </c>
      <c r="AH169" s="117"/>
      <c r="AI169" s="116">
        <f>SUM(F169:AG169)</f>
        <v>1660200.0000000014</v>
      </c>
    </row>
    <row r="170" spans="2:124">
      <c r="B170" s="295"/>
      <c r="C170" s="199" t="s">
        <v>97</v>
      </c>
      <c r="D170" s="62">
        <f>D164-D167-D169</f>
        <v>106000</v>
      </c>
      <c r="E170" s="206" t="s">
        <v>9</v>
      </c>
      <c r="F170" s="360">
        <f t="shared" ref="F170:AG170" si="93">F164-F167-F169</f>
        <v>79940</v>
      </c>
      <c r="G170" s="60">
        <f t="shared" si="93"/>
        <v>79380</v>
      </c>
      <c r="H170" s="60">
        <f t="shared" si="93"/>
        <v>79759.999999998516</v>
      </c>
      <c r="I170" s="60">
        <f t="shared" si="93"/>
        <v>53260.000000001484</v>
      </c>
      <c r="J170" s="60">
        <f t="shared" si="93"/>
        <v>79560.000000002939</v>
      </c>
      <c r="K170" s="60">
        <f t="shared" si="93"/>
        <v>102599.99999999703</v>
      </c>
      <c r="L170" s="60">
        <f t="shared" si="93"/>
        <v>96100</v>
      </c>
      <c r="M170" s="60">
        <f t="shared" si="93"/>
        <v>72640.000000000116</v>
      </c>
      <c r="N170" s="60">
        <f t="shared" si="93"/>
        <v>64679.999999999913</v>
      </c>
      <c r="O170" s="60">
        <f t="shared" si="93"/>
        <v>90589.999999999913</v>
      </c>
      <c r="P170" s="60">
        <f t="shared" si="93"/>
        <v>81980.000000000058</v>
      </c>
      <c r="Q170" s="60">
        <f t="shared" si="93"/>
        <v>99919.999999999942</v>
      </c>
      <c r="R170" s="60">
        <f t="shared" si="93"/>
        <v>59250.000000000087</v>
      </c>
      <c r="S170" s="60">
        <f t="shared" si="93"/>
        <v>70800.000000002852</v>
      </c>
      <c r="T170" s="60">
        <f t="shared" si="93"/>
        <v>87772.000000000175</v>
      </c>
      <c r="U170" s="60">
        <f t="shared" si="93"/>
        <v>79364.000000001513</v>
      </c>
      <c r="V170" s="60">
        <f t="shared" si="93"/>
        <v>95031.999999994092</v>
      </c>
      <c r="W170" s="360">
        <f t="shared" si="93"/>
        <v>86980.00000000585</v>
      </c>
      <c r="X170" s="60">
        <f t="shared" si="93"/>
        <v>71359.999999995343</v>
      </c>
      <c r="Y170" s="60">
        <f t="shared" si="93"/>
        <v>83740.000000000175</v>
      </c>
      <c r="Z170" s="60">
        <f t="shared" si="93"/>
        <v>92599.99999999869</v>
      </c>
      <c r="AA170" s="60">
        <f t="shared" si="93"/>
        <v>96060.000000002765</v>
      </c>
      <c r="AB170" s="60">
        <f t="shared" si="93"/>
        <v>94859.999999997264</v>
      </c>
      <c r="AC170" s="60">
        <f t="shared" si="93"/>
        <v>76969.999999999913</v>
      </c>
      <c r="AD170" s="360">
        <f t="shared" si="93"/>
        <v>67195</v>
      </c>
      <c r="AE170" s="60">
        <f t="shared" si="93"/>
        <v>99100</v>
      </c>
      <c r="AF170" s="360">
        <f t="shared" si="93"/>
        <v>104215</v>
      </c>
      <c r="AG170" s="291">
        <f t="shared" si="93"/>
        <v>89120</v>
      </c>
      <c r="AH170" s="117"/>
      <c r="AI170" s="116">
        <f>SUM(F170:AG170)</f>
        <v>2334827.9999999991</v>
      </c>
    </row>
    <row r="171" spans="2:124" s="5" customFormat="1" ht="13.8">
      <c r="B171" s="289"/>
      <c r="C171" s="215" t="s">
        <v>91</v>
      </c>
      <c r="D171" s="167">
        <f>SUM(D167:D170)</f>
        <v>408000</v>
      </c>
      <c r="E171" s="206" t="s">
        <v>9</v>
      </c>
      <c r="F171" s="367">
        <f t="shared" ref="F171:AG171" si="94">SUM(F167:F170)</f>
        <v>303840</v>
      </c>
      <c r="G171" s="142">
        <f t="shared" si="94"/>
        <v>306480</v>
      </c>
      <c r="H171" s="142">
        <f t="shared" si="94"/>
        <v>311760</v>
      </c>
      <c r="I171" s="142">
        <f t="shared" si="94"/>
        <v>240460</v>
      </c>
      <c r="J171" s="142">
        <f t="shared" si="94"/>
        <v>272160</v>
      </c>
      <c r="K171" s="142">
        <f t="shared" si="94"/>
        <v>283200</v>
      </c>
      <c r="L171" s="142">
        <f t="shared" si="94"/>
        <v>273360</v>
      </c>
      <c r="M171" s="142">
        <f t="shared" si="94"/>
        <v>212880</v>
      </c>
      <c r="N171" s="142">
        <f t="shared" si="94"/>
        <v>208080</v>
      </c>
      <c r="O171" s="142">
        <f t="shared" si="94"/>
        <v>240000</v>
      </c>
      <c r="P171" s="142">
        <f t="shared" si="94"/>
        <v>233280</v>
      </c>
      <c r="Q171" s="142">
        <f t="shared" si="94"/>
        <v>255360</v>
      </c>
      <c r="R171" s="142">
        <f t="shared" si="94"/>
        <v>219600</v>
      </c>
      <c r="S171" s="142">
        <f t="shared" si="94"/>
        <v>271200</v>
      </c>
      <c r="T171" s="142">
        <f t="shared" si="94"/>
        <v>326712</v>
      </c>
      <c r="U171" s="142">
        <f t="shared" si="94"/>
        <v>315024</v>
      </c>
      <c r="V171" s="142">
        <f t="shared" si="94"/>
        <v>307032</v>
      </c>
      <c r="W171" s="367">
        <f t="shared" si="94"/>
        <v>296458.461271576</v>
      </c>
      <c r="X171" s="142">
        <f t="shared" si="94"/>
        <v>306240</v>
      </c>
      <c r="Y171" s="142">
        <f t="shared" si="94"/>
        <v>307440</v>
      </c>
      <c r="Z171" s="142">
        <f t="shared" si="94"/>
        <v>302160</v>
      </c>
      <c r="AA171" s="142">
        <f t="shared" si="94"/>
        <v>321600</v>
      </c>
      <c r="AB171" s="142">
        <f t="shared" si="94"/>
        <v>339360</v>
      </c>
      <c r="AC171" s="142">
        <f t="shared" si="94"/>
        <v>327120</v>
      </c>
      <c r="AD171" s="367">
        <f t="shared" si="94"/>
        <v>276135</v>
      </c>
      <c r="AE171" s="142">
        <f t="shared" si="94"/>
        <v>341760</v>
      </c>
      <c r="AF171" s="367">
        <f t="shared" si="94"/>
        <v>363223.70797552902</v>
      </c>
      <c r="AG171" s="308">
        <f t="shared" si="94"/>
        <v>347280</v>
      </c>
      <c r="AH171" s="158"/>
      <c r="AI171" s="187">
        <f>SUM(AI167:AI170)</f>
        <v>8109088.0000000009</v>
      </c>
      <c r="AK171" s="185"/>
      <c r="DT171" s="276"/>
    </row>
    <row r="172" spans="2:124">
      <c r="B172" s="287">
        <v>10</v>
      </c>
      <c r="C172" s="202" t="s">
        <v>98</v>
      </c>
      <c r="D172" s="82"/>
      <c r="E172" s="82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181"/>
      <c r="AD172" s="181"/>
      <c r="AE172" s="181"/>
      <c r="AF172" s="181"/>
      <c r="AG172" s="319"/>
      <c r="AH172" s="117"/>
      <c r="AI172" s="186" t="s">
        <v>99</v>
      </c>
    </row>
    <row r="173" spans="2:124" s="6" customFormat="1" ht="16.2">
      <c r="B173" s="297"/>
      <c r="C173" s="218" t="s">
        <v>100</v>
      </c>
      <c r="D173" s="168">
        <v>670</v>
      </c>
      <c r="E173" s="219" t="s">
        <v>140</v>
      </c>
      <c r="F173" s="374">
        <v>561</v>
      </c>
      <c r="G173" s="169">
        <v>603</v>
      </c>
      <c r="H173" s="169">
        <v>648</v>
      </c>
      <c r="I173" s="169">
        <v>520</v>
      </c>
      <c r="J173" s="169">
        <v>552</v>
      </c>
      <c r="K173" s="169">
        <v>597</v>
      </c>
      <c r="L173" s="169">
        <v>694</v>
      </c>
      <c r="M173" s="169">
        <v>350</v>
      </c>
      <c r="N173" s="169">
        <v>460</v>
      </c>
      <c r="O173" s="169">
        <v>340</v>
      </c>
      <c r="P173" s="169">
        <v>486</v>
      </c>
      <c r="Q173" s="169">
        <v>465</v>
      </c>
      <c r="R173" s="169">
        <v>408</v>
      </c>
      <c r="S173" s="169">
        <v>470</v>
      </c>
      <c r="T173" s="169">
        <v>681</v>
      </c>
      <c r="U173" s="169">
        <v>599</v>
      </c>
      <c r="V173" s="169">
        <v>572</v>
      </c>
      <c r="W173" s="374">
        <v>639</v>
      </c>
      <c r="X173" s="169">
        <v>657</v>
      </c>
      <c r="Y173" s="169">
        <v>736</v>
      </c>
      <c r="Z173" s="169">
        <v>544</v>
      </c>
      <c r="AA173" s="169">
        <v>577</v>
      </c>
      <c r="AB173" s="169">
        <v>643</v>
      </c>
      <c r="AC173" s="169">
        <v>657</v>
      </c>
      <c r="AD173" s="374">
        <v>670</v>
      </c>
      <c r="AE173" s="169">
        <v>640</v>
      </c>
      <c r="AF173" s="374">
        <v>690</v>
      </c>
      <c r="AG173" s="320">
        <v>716</v>
      </c>
      <c r="AI173" s="189">
        <f>SUM(F173:AG173)</f>
        <v>16175</v>
      </c>
      <c r="AK173" s="126">
        <f>AI173/AI30</f>
        <v>577.67857142857144</v>
      </c>
      <c r="DT173" s="236"/>
    </row>
    <row r="174" spans="2:124" s="6" customFormat="1">
      <c r="B174" s="297"/>
      <c r="C174" s="223" t="s">
        <v>88</v>
      </c>
      <c r="D174" s="41"/>
      <c r="E174" s="42"/>
      <c r="F174" s="374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374"/>
      <c r="X174" s="169"/>
      <c r="Y174" s="169"/>
      <c r="Z174" s="169"/>
      <c r="AA174" s="169"/>
      <c r="AB174" s="169"/>
      <c r="AC174" s="169"/>
      <c r="AD174" s="374"/>
      <c r="AE174" s="169"/>
      <c r="AF174" s="374"/>
      <c r="AG174" s="320"/>
      <c r="AI174" s="190" t="s">
        <v>88</v>
      </c>
      <c r="AK174" s="126"/>
      <c r="DT174" s="236"/>
    </row>
    <row r="175" spans="2:124" s="6" customFormat="1" ht="16.2">
      <c r="B175" s="297"/>
      <c r="C175" s="218" t="s">
        <v>101</v>
      </c>
      <c r="D175" s="170">
        <v>78.959999999999994</v>
      </c>
      <c r="E175" s="219" t="s">
        <v>140</v>
      </c>
      <c r="F175" s="374">
        <v>80</v>
      </c>
      <c r="G175" s="169">
        <v>40</v>
      </c>
      <c r="H175" s="169">
        <v>54</v>
      </c>
      <c r="I175" s="169">
        <v>77</v>
      </c>
      <c r="J175" s="169">
        <v>106</v>
      </c>
      <c r="K175" s="169">
        <v>106</v>
      </c>
      <c r="L175" s="169">
        <v>92</v>
      </c>
      <c r="M175" s="169">
        <v>76</v>
      </c>
      <c r="N175" s="169">
        <v>47</v>
      </c>
      <c r="O175" s="169">
        <v>68</v>
      </c>
      <c r="P175" s="169">
        <v>79</v>
      </c>
      <c r="Q175" s="169">
        <v>70</v>
      </c>
      <c r="R175" s="169">
        <v>101</v>
      </c>
      <c r="S175" s="169">
        <v>39</v>
      </c>
      <c r="T175" s="169">
        <v>138</v>
      </c>
      <c r="U175" s="169">
        <v>68</v>
      </c>
      <c r="V175" s="169">
        <v>40</v>
      </c>
      <c r="W175" s="374">
        <v>86</v>
      </c>
      <c r="X175" s="169">
        <v>107</v>
      </c>
      <c r="Y175" s="169">
        <v>137</v>
      </c>
      <c r="Z175" s="169">
        <v>54</v>
      </c>
      <c r="AA175" s="169">
        <v>53</v>
      </c>
      <c r="AB175" s="169">
        <v>114</v>
      </c>
      <c r="AC175" s="169">
        <v>129</v>
      </c>
      <c r="AD175" s="374">
        <v>125</v>
      </c>
      <c r="AE175" s="169">
        <v>101</v>
      </c>
      <c r="AF175" s="374">
        <v>73</v>
      </c>
      <c r="AG175" s="320">
        <v>37</v>
      </c>
      <c r="AI175" s="191">
        <f>SUM(F175:AG175)</f>
        <v>2297</v>
      </c>
      <c r="AK175" s="126"/>
      <c r="BD175" s="236"/>
      <c r="DT175" s="236"/>
    </row>
    <row r="176" spans="2:124" s="6" customFormat="1" ht="16.2">
      <c r="B176" s="297"/>
      <c r="C176" s="218" t="s">
        <v>102</v>
      </c>
      <c r="D176" s="170">
        <v>118.4</v>
      </c>
      <c r="E176" s="219" t="s">
        <v>140</v>
      </c>
      <c r="F176" s="374">
        <v>115</v>
      </c>
      <c r="G176" s="169">
        <v>101</v>
      </c>
      <c r="H176" s="169">
        <v>97</v>
      </c>
      <c r="I176" s="169">
        <v>92</v>
      </c>
      <c r="J176" s="169">
        <v>31</v>
      </c>
      <c r="K176" s="169">
        <v>40</v>
      </c>
      <c r="L176" s="169">
        <v>58</v>
      </c>
      <c r="M176" s="169">
        <v>9</v>
      </c>
      <c r="N176" s="169">
        <v>0</v>
      </c>
      <c r="O176" s="169">
        <v>0</v>
      </c>
      <c r="P176" s="169">
        <v>0</v>
      </c>
      <c r="Q176" s="169">
        <v>0</v>
      </c>
      <c r="R176" s="169">
        <v>0</v>
      </c>
      <c r="S176" s="169">
        <v>70</v>
      </c>
      <c r="T176" s="169">
        <v>43</v>
      </c>
      <c r="U176" s="169">
        <v>122</v>
      </c>
      <c r="V176" s="169">
        <v>83</v>
      </c>
      <c r="W176" s="374">
        <v>104</v>
      </c>
      <c r="X176" s="169">
        <v>99</v>
      </c>
      <c r="Y176" s="169">
        <v>89</v>
      </c>
      <c r="Z176" s="169">
        <v>84</v>
      </c>
      <c r="AA176" s="169">
        <v>88</v>
      </c>
      <c r="AB176" s="169">
        <v>106</v>
      </c>
      <c r="AC176" s="169">
        <v>99</v>
      </c>
      <c r="AD176" s="374">
        <v>100</v>
      </c>
      <c r="AE176" s="169">
        <v>90</v>
      </c>
      <c r="AF176" s="374">
        <v>72</v>
      </c>
      <c r="AG176" s="320">
        <v>157</v>
      </c>
      <c r="AI176" s="191">
        <f>SUM(F176:AG176)</f>
        <v>1949</v>
      </c>
      <c r="AK176" s="126"/>
      <c r="BD176" s="236"/>
      <c r="DT176" s="236"/>
    </row>
    <row r="177" spans="2:124" s="6" customFormat="1" ht="16.2">
      <c r="B177" s="297"/>
      <c r="C177" s="218" t="s">
        <v>103</v>
      </c>
      <c r="D177" s="168">
        <f>44.69%*D173</f>
        <v>299.423</v>
      </c>
      <c r="E177" s="219" t="s">
        <v>140</v>
      </c>
      <c r="F177" s="374">
        <v>293.89999999999998</v>
      </c>
      <c r="G177" s="169">
        <v>340.6</v>
      </c>
      <c r="H177" s="169">
        <v>315.7</v>
      </c>
      <c r="I177" s="169">
        <v>224.4</v>
      </c>
      <c r="J177" s="169">
        <v>286.2</v>
      </c>
      <c r="K177" s="169">
        <v>296.89999999999998</v>
      </c>
      <c r="L177" s="169">
        <v>284</v>
      </c>
      <c r="M177" s="169">
        <v>225.6</v>
      </c>
      <c r="N177" s="169">
        <v>192.1</v>
      </c>
      <c r="O177" s="169">
        <v>249.6</v>
      </c>
      <c r="P177" s="169">
        <v>243.1</v>
      </c>
      <c r="Q177" s="169">
        <v>267.2</v>
      </c>
      <c r="R177" s="169">
        <v>231.4</v>
      </c>
      <c r="S177" s="169">
        <v>309.60000000000002</v>
      </c>
      <c r="T177" s="169">
        <v>293.8</v>
      </c>
      <c r="U177" s="169">
        <v>321.89999999999998</v>
      </c>
      <c r="V177" s="169">
        <v>314.10000000000002</v>
      </c>
      <c r="W177" s="374">
        <v>301.8</v>
      </c>
      <c r="X177" s="169">
        <v>271.60000000000002</v>
      </c>
      <c r="Y177" s="169">
        <v>327.5</v>
      </c>
      <c r="Z177" s="169">
        <v>281.10000000000002</v>
      </c>
      <c r="AA177" s="169">
        <v>275.60000000000002</v>
      </c>
      <c r="AB177" s="169">
        <v>311.89999999999998</v>
      </c>
      <c r="AC177" s="169">
        <v>312.39999999999998</v>
      </c>
      <c r="AD177" s="374">
        <v>252</v>
      </c>
      <c r="AE177" s="169">
        <v>335.2</v>
      </c>
      <c r="AF177" s="374">
        <v>340</v>
      </c>
      <c r="AG177" s="320">
        <v>325.2</v>
      </c>
      <c r="AI177" s="191">
        <f>SUM(F177:AG177)</f>
        <v>8024.4000000000005</v>
      </c>
      <c r="AJ177" s="263"/>
      <c r="AK177" s="126"/>
      <c r="DT177" s="236"/>
    </row>
    <row r="178" spans="2:124" s="6" customFormat="1" ht="16.2">
      <c r="B178" s="297"/>
      <c r="C178" s="218" t="s">
        <v>97</v>
      </c>
      <c r="D178" s="168">
        <f>D173-SUM(D175:D177)</f>
        <v>173.21699999999998</v>
      </c>
      <c r="E178" s="219" t="s">
        <v>140</v>
      </c>
      <c r="F178" s="374">
        <f>F173-(SUM(F175:F177))</f>
        <v>72.100000000000023</v>
      </c>
      <c r="G178" s="169">
        <f t="shared" ref="G178:K178" si="95">G173-(SUM(G175:G177))</f>
        <v>121.39999999999998</v>
      </c>
      <c r="H178" s="169">
        <f t="shared" si="95"/>
        <v>181.3</v>
      </c>
      <c r="I178" s="169">
        <f t="shared" si="95"/>
        <v>126.60000000000002</v>
      </c>
      <c r="J178" s="169">
        <f t="shared" si="95"/>
        <v>128.80000000000001</v>
      </c>
      <c r="K178" s="169">
        <f t="shared" si="95"/>
        <v>154.10000000000002</v>
      </c>
      <c r="L178" s="169">
        <f t="shared" ref="L178:AG178" si="96">L173-(SUM(L175:L177))</f>
        <v>260</v>
      </c>
      <c r="M178" s="169">
        <f t="shared" si="96"/>
        <v>39.399999999999977</v>
      </c>
      <c r="N178" s="169">
        <f t="shared" si="96"/>
        <v>220.9</v>
      </c>
      <c r="O178" s="169">
        <f t="shared" si="96"/>
        <v>22.399999999999977</v>
      </c>
      <c r="P178" s="169">
        <f t="shared" si="96"/>
        <v>163.89999999999998</v>
      </c>
      <c r="Q178" s="169">
        <f t="shared" si="96"/>
        <v>127.80000000000001</v>
      </c>
      <c r="R178" s="169">
        <f t="shared" si="96"/>
        <v>75.600000000000023</v>
      </c>
      <c r="S178" s="169">
        <f t="shared" si="96"/>
        <v>51.399999999999977</v>
      </c>
      <c r="T178" s="169">
        <f t="shared" si="96"/>
        <v>206.2</v>
      </c>
      <c r="U178" s="169">
        <f t="shared" si="96"/>
        <v>87.100000000000023</v>
      </c>
      <c r="V178" s="169">
        <f t="shared" si="96"/>
        <v>134.89999999999998</v>
      </c>
      <c r="W178" s="374">
        <f t="shared" si="96"/>
        <v>147.19999999999999</v>
      </c>
      <c r="X178" s="169">
        <f t="shared" si="96"/>
        <v>179.39999999999998</v>
      </c>
      <c r="Y178" s="169">
        <f t="shared" si="96"/>
        <v>182.5</v>
      </c>
      <c r="Z178" s="169">
        <f t="shared" si="96"/>
        <v>124.89999999999998</v>
      </c>
      <c r="AA178" s="169">
        <f t="shared" si="96"/>
        <v>160.39999999999998</v>
      </c>
      <c r="AB178" s="169">
        <f t="shared" si="96"/>
        <v>111.10000000000002</v>
      </c>
      <c r="AC178" s="169">
        <f t="shared" si="96"/>
        <v>116.60000000000002</v>
      </c>
      <c r="AD178" s="374">
        <f t="shared" si="96"/>
        <v>193</v>
      </c>
      <c r="AE178" s="169">
        <f t="shared" si="96"/>
        <v>113.79999999999995</v>
      </c>
      <c r="AF178" s="374">
        <f t="shared" si="96"/>
        <v>205</v>
      </c>
      <c r="AG178" s="320">
        <f t="shared" si="96"/>
        <v>196.79999999999995</v>
      </c>
      <c r="AI178" s="191">
        <f>SUM(F178:AG178)</f>
        <v>3904.6000000000013</v>
      </c>
      <c r="AJ178" s="138"/>
      <c r="AK178" s="126"/>
      <c r="DT178" s="236"/>
    </row>
    <row r="179" spans="2:124" s="6" customFormat="1" ht="16.2">
      <c r="B179" s="297"/>
      <c r="C179" s="218" t="s">
        <v>104</v>
      </c>
      <c r="D179" s="168">
        <v>287.83999999999997</v>
      </c>
      <c r="E179" s="219" t="s">
        <v>140</v>
      </c>
      <c r="F179" s="374">
        <v>177</v>
      </c>
      <c r="G179" s="169">
        <v>140</v>
      </c>
      <c r="H179" s="169">
        <v>170</v>
      </c>
      <c r="I179" s="169">
        <v>153</v>
      </c>
      <c r="J179" s="169">
        <v>195</v>
      </c>
      <c r="K179" s="169">
        <v>201</v>
      </c>
      <c r="L179" s="169">
        <v>221</v>
      </c>
      <c r="M179" s="169">
        <v>135</v>
      </c>
      <c r="N179" s="169">
        <v>97</v>
      </c>
      <c r="O179" s="169">
        <v>131</v>
      </c>
      <c r="P179" s="169">
        <v>79</v>
      </c>
      <c r="Q179" s="169">
        <v>90</v>
      </c>
      <c r="R179" s="169">
        <v>59</v>
      </c>
      <c r="S179" s="169">
        <v>131</v>
      </c>
      <c r="T179" s="169">
        <v>156</v>
      </c>
      <c r="U179" s="169">
        <v>168</v>
      </c>
      <c r="V179" s="169">
        <v>126</v>
      </c>
      <c r="W179" s="374">
        <v>126</v>
      </c>
      <c r="X179" s="169">
        <v>146</v>
      </c>
      <c r="Y179" s="169">
        <v>197</v>
      </c>
      <c r="Z179" s="169">
        <v>159</v>
      </c>
      <c r="AA179" s="169">
        <v>112</v>
      </c>
      <c r="AB179" s="169">
        <v>183</v>
      </c>
      <c r="AC179" s="169">
        <v>195</v>
      </c>
      <c r="AD179" s="374">
        <v>149</v>
      </c>
      <c r="AE179" s="169">
        <v>169</v>
      </c>
      <c r="AF179" s="374">
        <v>177</v>
      </c>
      <c r="AG179" s="320">
        <v>144</v>
      </c>
      <c r="AI179" s="191">
        <f>SUM(F179:AG179)</f>
        <v>4186</v>
      </c>
      <c r="AK179" s="126"/>
      <c r="DT179" s="236"/>
    </row>
    <row r="180" spans="2:124">
      <c r="B180" s="304">
        <v>11</v>
      </c>
      <c r="C180" s="202" t="s">
        <v>105</v>
      </c>
      <c r="D180" s="82"/>
      <c r="E180" s="82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288"/>
      <c r="AH180" s="117"/>
      <c r="AI180" s="192" t="s">
        <v>106</v>
      </c>
    </row>
    <row r="181" spans="2:124">
      <c r="B181" s="321"/>
      <c r="C181" s="224" t="s">
        <v>94</v>
      </c>
      <c r="D181" s="171"/>
      <c r="E181" s="172"/>
      <c r="F181" s="3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360"/>
      <c r="X181" s="60"/>
      <c r="Y181" s="60"/>
      <c r="Z181" s="60"/>
      <c r="AA181" s="60"/>
      <c r="AB181" s="60"/>
      <c r="AC181" s="60"/>
      <c r="AD181" s="360"/>
      <c r="AE181" s="60"/>
      <c r="AF181" s="360"/>
      <c r="AG181" s="291"/>
      <c r="AH181" s="117"/>
      <c r="AI181" s="182" t="s">
        <v>94</v>
      </c>
    </row>
    <row r="182" spans="2:124">
      <c r="B182" s="321"/>
      <c r="C182" s="204" t="s">
        <v>107</v>
      </c>
      <c r="D182" s="62">
        <v>28700</v>
      </c>
      <c r="E182" s="75" t="s">
        <v>108</v>
      </c>
      <c r="F182" s="360">
        <v>24500</v>
      </c>
      <c r="G182" s="60">
        <v>26000</v>
      </c>
      <c r="H182" s="226">
        <v>25500</v>
      </c>
      <c r="I182" s="180">
        <v>23000</v>
      </c>
      <c r="J182" s="60">
        <v>22000</v>
      </c>
      <c r="K182" s="180">
        <v>21300</v>
      </c>
      <c r="L182" s="60">
        <v>20600</v>
      </c>
      <c r="M182" s="180">
        <v>18100</v>
      </c>
      <c r="N182" s="60">
        <v>18400</v>
      </c>
      <c r="O182" s="60">
        <v>20500</v>
      </c>
      <c r="P182" s="60">
        <v>19000</v>
      </c>
      <c r="Q182" s="60">
        <v>19700</v>
      </c>
      <c r="R182" s="60">
        <v>18400</v>
      </c>
      <c r="S182" s="60">
        <v>22000</v>
      </c>
      <c r="T182" s="60">
        <v>24100</v>
      </c>
      <c r="U182" s="180">
        <v>25500</v>
      </c>
      <c r="V182" s="60">
        <v>24300</v>
      </c>
      <c r="W182" s="360">
        <v>23000</v>
      </c>
      <c r="X182" s="60">
        <v>24800</v>
      </c>
      <c r="Y182" s="180">
        <v>22800</v>
      </c>
      <c r="Z182" s="60">
        <v>22000</v>
      </c>
      <c r="AA182" s="60">
        <v>22600</v>
      </c>
      <c r="AB182" s="60">
        <v>26100</v>
      </c>
      <c r="AC182" s="60">
        <v>24600</v>
      </c>
      <c r="AD182" s="360">
        <v>12900</v>
      </c>
      <c r="AE182" s="60">
        <v>23800</v>
      </c>
      <c r="AF182" s="360">
        <v>24900</v>
      </c>
      <c r="AG182" s="291">
        <v>25700</v>
      </c>
      <c r="AH182" s="117"/>
      <c r="AI182" s="109">
        <f>SUM(F182:AG182)</f>
        <v>626100</v>
      </c>
      <c r="AK182" s="29">
        <f>AI182/AI30</f>
        <v>22360.714285714286</v>
      </c>
    </row>
    <row r="183" spans="2:124" ht="15" thickBot="1">
      <c r="B183" s="322"/>
      <c r="C183" s="323" t="s">
        <v>91</v>
      </c>
      <c r="D183" s="324"/>
      <c r="E183" s="325" t="s">
        <v>109</v>
      </c>
      <c r="F183" s="375">
        <f t="shared" ref="F183:AG183" si="97">SUM(F182:F182)</f>
        <v>24500</v>
      </c>
      <c r="G183" s="326">
        <f t="shared" si="97"/>
        <v>26000</v>
      </c>
      <c r="H183" s="326">
        <f t="shared" si="97"/>
        <v>25500</v>
      </c>
      <c r="I183" s="326">
        <f t="shared" si="97"/>
        <v>23000</v>
      </c>
      <c r="J183" s="326">
        <f t="shared" si="97"/>
        <v>22000</v>
      </c>
      <c r="K183" s="326">
        <f t="shared" si="97"/>
        <v>21300</v>
      </c>
      <c r="L183" s="326">
        <f t="shared" si="97"/>
        <v>20600</v>
      </c>
      <c r="M183" s="326">
        <f t="shared" si="97"/>
        <v>18100</v>
      </c>
      <c r="N183" s="326">
        <f t="shared" si="97"/>
        <v>18400</v>
      </c>
      <c r="O183" s="326">
        <f t="shared" si="97"/>
        <v>20500</v>
      </c>
      <c r="P183" s="326">
        <f t="shared" si="97"/>
        <v>19000</v>
      </c>
      <c r="Q183" s="326">
        <f t="shared" si="97"/>
        <v>19700</v>
      </c>
      <c r="R183" s="326">
        <f t="shared" si="97"/>
        <v>18400</v>
      </c>
      <c r="S183" s="326">
        <f t="shared" si="97"/>
        <v>22000</v>
      </c>
      <c r="T183" s="326">
        <f t="shared" si="97"/>
        <v>24100</v>
      </c>
      <c r="U183" s="326">
        <f t="shared" si="97"/>
        <v>25500</v>
      </c>
      <c r="V183" s="326">
        <f t="shared" si="97"/>
        <v>24300</v>
      </c>
      <c r="W183" s="375">
        <f t="shared" si="97"/>
        <v>23000</v>
      </c>
      <c r="X183" s="326">
        <f t="shared" si="97"/>
        <v>24800</v>
      </c>
      <c r="Y183" s="326">
        <f t="shared" si="97"/>
        <v>22800</v>
      </c>
      <c r="Z183" s="326">
        <f t="shared" si="97"/>
        <v>22000</v>
      </c>
      <c r="AA183" s="326">
        <f t="shared" si="97"/>
        <v>22600</v>
      </c>
      <c r="AB183" s="326">
        <f t="shared" si="97"/>
        <v>26100</v>
      </c>
      <c r="AC183" s="326">
        <f t="shared" si="97"/>
        <v>24600</v>
      </c>
      <c r="AD183" s="375">
        <f t="shared" si="97"/>
        <v>12900</v>
      </c>
      <c r="AE183" s="326">
        <f t="shared" si="97"/>
        <v>23800</v>
      </c>
      <c r="AF183" s="375">
        <f t="shared" si="97"/>
        <v>24900</v>
      </c>
      <c r="AG183" s="327">
        <f t="shared" si="97"/>
        <v>25700</v>
      </c>
      <c r="AH183" s="121"/>
      <c r="AI183" s="196">
        <f>SUM(F183:AG183)</f>
        <v>626100</v>
      </c>
    </row>
    <row r="184" spans="2:124" hidden="1">
      <c r="B184" s="57">
        <v>12</v>
      </c>
      <c r="C184" s="278" t="s">
        <v>110</v>
      </c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  <c r="AA184" s="279"/>
      <c r="AB184" s="279"/>
      <c r="AC184" s="279"/>
      <c r="AD184" s="279"/>
      <c r="AE184" s="279"/>
      <c r="AF184" s="279"/>
      <c r="AG184" s="279"/>
      <c r="AI184" s="195" t="s">
        <v>111</v>
      </c>
    </row>
    <row r="185" spans="2:124" hidden="1">
      <c r="B185" s="70"/>
      <c r="C185" s="83" t="s">
        <v>112</v>
      </c>
      <c r="D185" s="74"/>
      <c r="E185" s="75" t="s">
        <v>9</v>
      </c>
      <c r="F185" s="360">
        <v>0</v>
      </c>
      <c r="G185" s="151">
        <v>198870</v>
      </c>
      <c r="H185" s="151">
        <v>301580</v>
      </c>
      <c r="I185" s="151">
        <v>349960</v>
      </c>
      <c r="J185" s="151">
        <v>170020</v>
      </c>
      <c r="K185" s="151">
        <v>84030</v>
      </c>
      <c r="L185" s="151">
        <v>193420</v>
      </c>
      <c r="M185" s="151">
        <v>21750</v>
      </c>
      <c r="N185" s="151">
        <v>106020</v>
      </c>
      <c r="O185" s="151">
        <v>0</v>
      </c>
      <c r="P185" s="151">
        <v>0</v>
      </c>
      <c r="Q185" s="151">
        <v>0</v>
      </c>
      <c r="R185" s="151">
        <v>0</v>
      </c>
      <c r="S185" s="151">
        <v>0</v>
      </c>
      <c r="T185" s="151">
        <v>0</v>
      </c>
      <c r="U185" s="151">
        <v>0</v>
      </c>
      <c r="V185" s="151">
        <v>0</v>
      </c>
      <c r="W185" s="360">
        <v>147620</v>
      </c>
      <c r="X185" s="151">
        <v>0</v>
      </c>
      <c r="Y185" s="151">
        <v>0</v>
      </c>
      <c r="Z185" s="151">
        <v>257700</v>
      </c>
      <c r="AA185" s="151">
        <v>281570</v>
      </c>
      <c r="AB185" s="151">
        <v>262580</v>
      </c>
      <c r="AC185" s="151">
        <v>359130</v>
      </c>
      <c r="AD185" s="360">
        <v>28340</v>
      </c>
      <c r="AE185" s="151">
        <v>0</v>
      </c>
      <c r="AF185" s="360">
        <v>0</v>
      </c>
      <c r="AG185" s="151">
        <v>0</v>
      </c>
      <c r="AI185" s="109">
        <f>SUM(F185:AG185)</f>
        <v>2762590</v>
      </c>
    </row>
    <row r="186" spans="2:124" hidden="1">
      <c r="B186" s="70"/>
      <c r="C186" s="83" t="s">
        <v>33</v>
      </c>
      <c r="D186" s="74"/>
      <c r="E186" s="75" t="s">
        <v>9</v>
      </c>
      <c r="F186" s="360">
        <v>0</v>
      </c>
      <c r="G186" s="151">
        <v>0</v>
      </c>
      <c r="H186" s="151">
        <v>0</v>
      </c>
      <c r="I186" s="151">
        <v>104890</v>
      </c>
      <c r="J186" s="151">
        <v>0</v>
      </c>
      <c r="K186" s="151">
        <v>0</v>
      </c>
      <c r="L186" s="151">
        <v>0</v>
      </c>
      <c r="M186" s="151">
        <v>0</v>
      </c>
      <c r="N186" s="151">
        <v>0</v>
      </c>
      <c r="O186" s="151">
        <v>0</v>
      </c>
      <c r="P186" s="151">
        <v>0</v>
      </c>
      <c r="Q186" s="151">
        <v>0</v>
      </c>
      <c r="R186" s="151">
        <v>0</v>
      </c>
      <c r="S186" s="151">
        <v>0</v>
      </c>
      <c r="T186" s="151">
        <v>0</v>
      </c>
      <c r="U186" s="151">
        <v>0</v>
      </c>
      <c r="V186" s="151">
        <v>0</v>
      </c>
      <c r="W186" s="360">
        <v>121900</v>
      </c>
      <c r="X186" s="151">
        <v>0</v>
      </c>
      <c r="Y186" s="151">
        <v>0</v>
      </c>
      <c r="Z186" s="151">
        <v>288510</v>
      </c>
      <c r="AA186" s="151">
        <v>0</v>
      </c>
      <c r="AB186" s="151">
        <v>0</v>
      </c>
      <c r="AC186" s="151">
        <v>0</v>
      </c>
      <c r="AD186" s="360">
        <v>0</v>
      </c>
      <c r="AE186" s="151">
        <v>0</v>
      </c>
      <c r="AF186" s="360">
        <v>0</v>
      </c>
      <c r="AG186" s="151">
        <v>0</v>
      </c>
      <c r="AI186" s="109">
        <f>SUM(F186:AG186)</f>
        <v>515300</v>
      </c>
    </row>
    <row r="187" spans="2:124" hidden="1">
      <c r="B187" s="70"/>
      <c r="C187" s="83" t="s">
        <v>35</v>
      </c>
      <c r="D187" s="74"/>
      <c r="E187" s="75" t="s">
        <v>9</v>
      </c>
      <c r="F187" s="360">
        <v>0</v>
      </c>
      <c r="G187" s="151">
        <v>113670</v>
      </c>
      <c r="H187" s="151">
        <v>137250</v>
      </c>
      <c r="I187" s="151">
        <v>422380</v>
      </c>
      <c r="J187" s="151">
        <v>313510</v>
      </c>
      <c r="K187" s="151">
        <v>81190</v>
      </c>
      <c r="L187" s="151">
        <v>470520</v>
      </c>
      <c r="M187" s="151">
        <v>520450</v>
      </c>
      <c r="N187" s="151">
        <v>228880</v>
      </c>
      <c r="O187" s="151">
        <v>100560</v>
      </c>
      <c r="P187" s="151">
        <v>256770</v>
      </c>
      <c r="Q187" s="151">
        <v>196900</v>
      </c>
      <c r="R187" s="151">
        <v>0</v>
      </c>
      <c r="S187" s="151">
        <v>243410</v>
      </c>
      <c r="T187" s="151">
        <v>29090</v>
      </c>
      <c r="U187" s="151">
        <v>152940</v>
      </c>
      <c r="V187" s="151">
        <v>121590</v>
      </c>
      <c r="W187" s="360">
        <v>562580</v>
      </c>
      <c r="X187" s="151">
        <v>228760</v>
      </c>
      <c r="Y187" s="151">
        <v>128390</v>
      </c>
      <c r="Z187" s="151">
        <v>92910</v>
      </c>
      <c r="AA187" s="151">
        <v>81690</v>
      </c>
      <c r="AB187" s="151">
        <v>94960</v>
      </c>
      <c r="AC187" s="151">
        <v>59460</v>
      </c>
      <c r="AD187" s="360">
        <v>26450</v>
      </c>
      <c r="AE187" s="151">
        <v>44460</v>
      </c>
      <c r="AF187" s="360">
        <v>28000</v>
      </c>
      <c r="AG187" s="151">
        <v>0</v>
      </c>
      <c r="AI187" s="109">
        <f>SUM(F187:AG187)</f>
        <v>4736770</v>
      </c>
    </row>
    <row r="188" spans="2:124" hidden="1">
      <c r="B188" s="70"/>
      <c r="C188" s="83" t="s">
        <v>40</v>
      </c>
      <c r="D188" s="74"/>
      <c r="E188" s="75" t="s">
        <v>9</v>
      </c>
      <c r="F188" s="360">
        <v>0</v>
      </c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360"/>
      <c r="X188" s="151"/>
      <c r="Y188" s="151"/>
      <c r="Z188" s="151"/>
      <c r="AA188" s="151"/>
      <c r="AB188" s="151"/>
      <c r="AC188" s="151"/>
      <c r="AD188" s="360"/>
      <c r="AE188" s="151"/>
      <c r="AF188" s="360"/>
      <c r="AG188" s="151">
        <v>0</v>
      </c>
      <c r="AI188" s="109">
        <f>SUM(F188:AG188)</f>
        <v>0</v>
      </c>
    </row>
    <row r="189" spans="2:124" hidden="1">
      <c r="B189" s="70"/>
      <c r="C189" s="83" t="s">
        <v>51</v>
      </c>
      <c r="D189" s="74"/>
      <c r="E189" s="75" t="s">
        <v>9</v>
      </c>
      <c r="F189" s="360">
        <v>0</v>
      </c>
      <c r="G189" s="151">
        <v>180350</v>
      </c>
      <c r="H189" s="151">
        <v>105490</v>
      </c>
      <c r="I189" s="151">
        <v>0</v>
      </c>
      <c r="J189" s="151">
        <v>65140</v>
      </c>
      <c r="K189" s="151">
        <v>105530</v>
      </c>
      <c r="L189" s="151">
        <v>170500</v>
      </c>
      <c r="M189" s="151">
        <v>170640</v>
      </c>
      <c r="N189" s="151">
        <v>169440</v>
      </c>
      <c r="O189" s="151">
        <v>494640</v>
      </c>
      <c r="P189" s="151">
        <v>325840</v>
      </c>
      <c r="Q189" s="151">
        <v>57350</v>
      </c>
      <c r="R189" s="151">
        <v>242960</v>
      </c>
      <c r="S189" s="151">
        <v>497990</v>
      </c>
      <c r="T189" s="151">
        <v>262530</v>
      </c>
      <c r="U189" s="151">
        <v>135150</v>
      </c>
      <c r="V189" s="151">
        <v>191470</v>
      </c>
      <c r="W189" s="360">
        <v>41600</v>
      </c>
      <c r="X189" s="151">
        <v>0</v>
      </c>
      <c r="Y189" s="151">
        <v>0</v>
      </c>
      <c r="Z189" s="151">
        <v>105590</v>
      </c>
      <c r="AA189" s="151">
        <v>106070</v>
      </c>
      <c r="AB189" s="151">
        <v>104870</v>
      </c>
      <c r="AC189" s="151">
        <v>84760</v>
      </c>
      <c r="AD189" s="360">
        <v>588420</v>
      </c>
      <c r="AE189" s="151">
        <v>0</v>
      </c>
      <c r="AF189" s="360">
        <v>0</v>
      </c>
      <c r="AG189" s="151">
        <v>0</v>
      </c>
      <c r="AI189" s="109">
        <f>SUM(F189:AG189)</f>
        <v>4206330</v>
      </c>
      <c r="AJ189" s="185"/>
    </row>
    <row r="190" spans="2:124" s="5" customFormat="1" ht="13.8" hidden="1">
      <c r="B190" s="162"/>
      <c r="C190" s="175" t="s">
        <v>91</v>
      </c>
      <c r="D190" s="176"/>
      <c r="E190" s="177" t="s">
        <v>9</v>
      </c>
      <c r="F190" s="376">
        <f t="shared" ref="F190:AG190" si="98">SUM(F185:F189)</f>
        <v>0</v>
      </c>
      <c r="G190" s="178">
        <f t="shared" si="98"/>
        <v>492890</v>
      </c>
      <c r="H190" s="178">
        <f t="shared" si="98"/>
        <v>544320</v>
      </c>
      <c r="I190" s="178">
        <f t="shared" si="98"/>
        <v>877230</v>
      </c>
      <c r="J190" s="178">
        <f t="shared" si="98"/>
        <v>548670</v>
      </c>
      <c r="K190" s="178">
        <f t="shared" si="98"/>
        <v>270750</v>
      </c>
      <c r="L190" s="178">
        <f t="shared" si="98"/>
        <v>834440</v>
      </c>
      <c r="M190" s="178">
        <f t="shared" si="98"/>
        <v>712840</v>
      </c>
      <c r="N190" s="178">
        <f t="shared" si="98"/>
        <v>504340</v>
      </c>
      <c r="O190" s="178">
        <f t="shared" si="98"/>
        <v>595200</v>
      </c>
      <c r="P190" s="178">
        <f t="shared" si="98"/>
        <v>582610</v>
      </c>
      <c r="Q190" s="178">
        <f t="shared" si="98"/>
        <v>254250</v>
      </c>
      <c r="R190" s="178">
        <f t="shared" si="98"/>
        <v>242960</v>
      </c>
      <c r="S190" s="178">
        <f t="shared" si="98"/>
        <v>741400</v>
      </c>
      <c r="T190" s="178">
        <f t="shared" si="98"/>
        <v>291620</v>
      </c>
      <c r="U190" s="178">
        <f t="shared" si="98"/>
        <v>288090</v>
      </c>
      <c r="V190" s="178">
        <f t="shared" si="98"/>
        <v>313060</v>
      </c>
      <c r="W190" s="376">
        <f t="shared" si="98"/>
        <v>873700</v>
      </c>
      <c r="X190" s="178">
        <f t="shared" si="98"/>
        <v>228760</v>
      </c>
      <c r="Y190" s="178">
        <f t="shared" si="98"/>
        <v>128390</v>
      </c>
      <c r="Z190" s="178">
        <f t="shared" si="98"/>
        <v>744710</v>
      </c>
      <c r="AA190" s="178">
        <f t="shared" si="98"/>
        <v>469330</v>
      </c>
      <c r="AB190" s="178">
        <f t="shared" si="98"/>
        <v>462410</v>
      </c>
      <c r="AC190" s="178">
        <f t="shared" si="98"/>
        <v>503350</v>
      </c>
      <c r="AD190" s="376">
        <f>SUM(AD185:AD189)</f>
        <v>643210</v>
      </c>
      <c r="AE190" s="178">
        <f t="shared" si="98"/>
        <v>44460</v>
      </c>
      <c r="AF190" s="376">
        <f t="shared" si="98"/>
        <v>28000</v>
      </c>
      <c r="AG190" s="178">
        <f t="shared" si="98"/>
        <v>0</v>
      </c>
      <c r="AI190" s="194">
        <f>SUM(AI185:AI189)</f>
        <v>12220990</v>
      </c>
      <c r="AJ190" s="185"/>
      <c r="AK190" s="155"/>
      <c r="DT190" s="276"/>
    </row>
    <row r="191" spans="2:124" hidden="1">
      <c r="B191" s="54">
        <v>13</v>
      </c>
      <c r="C191" s="81" t="s">
        <v>113</v>
      </c>
      <c r="D191" s="174"/>
      <c r="E191" s="174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I191" s="195" t="s">
        <v>114</v>
      </c>
    </row>
    <row r="192" spans="2:124" hidden="1">
      <c r="B192" s="70"/>
      <c r="C192" s="83" t="s">
        <v>112</v>
      </c>
      <c r="D192" s="74"/>
      <c r="E192" s="75" t="s">
        <v>9</v>
      </c>
      <c r="F192" s="360">
        <v>0</v>
      </c>
      <c r="G192" s="151">
        <v>0</v>
      </c>
      <c r="H192" s="151">
        <v>0</v>
      </c>
      <c r="I192" s="151">
        <v>0</v>
      </c>
      <c r="J192" s="151">
        <v>998100</v>
      </c>
      <c r="K192" s="151">
        <v>1187270</v>
      </c>
      <c r="L192" s="151">
        <v>1345050</v>
      </c>
      <c r="M192" s="151">
        <v>1279250</v>
      </c>
      <c r="N192" s="151">
        <v>1540660</v>
      </c>
      <c r="O192" s="151">
        <v>1221250</v>
      </c>
      <c r="P192" s="151">
        <v>1804530</v>
      </c>
      <c r="Q192" s="151">
        <v>1816620</v>
      </c>
      <c r="R192" s="151">
        <v>1766630</v>
      </c>
      <c r="S192" s="151">
        <v>52950</v>
      </c>
      <c r="T192" s="151">
        <v>0</v>
      </c>
      <c r="U192" s="151">
        <v>0</v>
      </c>
      <c r="V192" s="151">
        <v>0</v>
      </c>
      <c r="W192" s="360">
        <v>0</v>
      </c>
      <c r="X192" s="151">
        <v>0</v>
      </c>
      <c r="Y192" s="151">
        <v>0</v>
      </c>
      <c r="Z192" s="151">
        <v>0</v>
      </c>
      <c r="AA192" s="151">
        <v>0</v>
      </c>
      <c r="AB192" s="151">
        <v>0</v>
      </c>
      <c r="AC192" s="151">
        <v>0</v>
      </c>
      <c r="AD192" s="360">
        <v>0</v>
      </c>
      <c r="AE192" s="151">
        <v>0</v>
      </c>
      <c r="AF192" s="360">
        <v>0</v>
      </c>
      <c r="AG192" s="151">
        <v>0</v>
      </c>
      <c r="AI192" s="109">
        <f>SUM(F192:AG192)</f>
        <v>13012310</v>
      </c>
    </row>
    <row r="193" spans="2:124" hidden="1">
      <c r="B193" s="70"/>
      <c r="C193" s="83" t="s">
        <v>33</v>
      </c>
      <c r="D193" s="74"/>
      <c r="E193" s="75" t="s">
        <v>9</v>
      </c>
      <c r="F193" s="360">
        <v>0</v>
      </c>
      <c r="G193" s="151">
        <v>0</v>
      </c>
      <c r="H193" s="151">
        <v>0</v>
      </c>
      <c r="I193" s="151">
        <v>0</v>
      </c>
      <c r="J193" s="151">
        <v>0</v>
      </c>
      <c r="K193" s="151">
        <v>0</v>
      </c>
      <c r="L193" s="151">
        <v>0</v>
      </c>
      <c r="M193" s="151">
        <v>338170</v>
      </c>
      <c r="N193" s="151">
        <v>252970</v>
      </c>
      <c r="O193" s="151">
        <v>111150</v>
      </c>
      <c r="P193" s="151">
        <v>0</v>
      </c>
      <c r="Q193" s="151">
        <v>0</v>
      </c>
      <c r="R193" s="151">
        <v>0</v>
      </c>
      <c r="S193" s="151">
        <v>0</v>
      </c>
      <c r="T193" s="151">
        <v>0</v>
      </c>
      <c r="U193" s="151">
        <v>0</v>
      </c>
      <c r="V193" s="151">
        <v>0</v>
      </c>
      <c r="W193" s="360">
        <v>0</v>
      </c>
      <c r="X193" s="151">
        <v>0</v>
      </c>
      <c r="Y193" s="151">
        <v>0</v>
      </c>
      <c r="Z193" s="151">
        <v>0</v>
      </c>
      <c r="AA193" s="151">
        <v>0</v>
      </c>
      <c r="AB193" s="151">
        <v>0</v>
      </c>
      <c r="AC193" s="151">
        <v>0</v>
      </c>
      <c r="AD193" s="360">
        <v>299440</v>
      </c>
      <c r="AE193" s="151">
        <v>108510</v>
      </c>
      <c r="AF193" s="360">
        <v>0</v>
      </c>
      <c r="AG193" s="151">
        <v>0</v>
      </c>
      <c r="AI193" s="109">
        <f>SUM(F193:AG193)</f>
        <v>1110240</v>
      </c>
    </row>
    <row r="194" spans="2:124" hidden="1">
      <c r="B194" s="70"/>
      <c r="C194" s="83" t="s">
        <v>35</v>
      </c>
      <c r="D194" s="74"/>
      <c r="E194" s="75" t="s">
        <v>9</v>
      </c>
      <c r="F194" s="360">
        <v>0</v>
      </c>
      <c r="G194" s="151">
        <v>0</v>
      </c>
      <c r="H194" s="151">
        <v>0</v>
      </c>
      <c r="I194" s="151">
        <v>0</v>
      </c>
      <c r="J194" s="151">
        <v>0</v>
      </c>
      <c r="K194" s="151">
        <v>0</v>
      </c>
      <c r="L194" s="151">
        <v>0</v>
      </c>
      <c r="M194" s="151">
        <v>0</v>
      </c>
      <c r="N194" s="151">
        <v>0</v>
      </c>
      <c r="O194" s="151">
        <v>0</v>
      </c>
      <c r="P194" s="151">
        <v>0</v>
      </c>
      <c r="Q194" s="151">
        <v>0</v>
      </c>
      <c r="R194" s="151">
        <v>0</v>
      </c>
      <c r="S194" s="151">
        <v>1180660</v>
      </c>
      <c r="T194" s="151">
        <v>1013340</v>
      </c>
      <c r="U194" s="151">
        <v>1009220</v>
      </c>
      <c r="V194" s="151">
        <v>1288830</v>
      </c>
      <c r="W194" s="360">
        <v>0</v>
      </c>
      <c r="X194" s="151">
        <v>0</v>
      </c>
      <c r="Y194" s="151">
        <v>0</v>
      </c>
      <c r="Z194" s="151">
        <v>0</v>
      </c>
      <c r="AA194" s="151">
        <v>0</v>
      </c>
      <c r="AB194" s="151">
        <v>0</v>
      </c>
      <c r="AC194" s="151">
        <v>0</v>
      </c>
      <c r="AD194" s="360">
        <v>0</v>
      </c>
      <c r="AE194" s="151">
        <v>0</v>
      </c>
      <c r="AF194" s="360">
        <v>0</v>
      </c>
      <c r="AG194" s="151">
        <v>0</v>
      </c>
      <c r="AI194" s="109">
        <f>SUM(F194:AG194)</f>
        <v>4492050</v>
      </c>
    </row>
    <row r="195" spans="2:124" hidden="1">
      <c r="B195" s="70"/>
      <c r="C195" s="83" t="s">
        <v>44</v>
      </c>
      <c r="D195" s="74"/>
      <c r="E195" s="75" t="s">
        <v>9</v>
      </c>
      <c r="F195" s="360">
        <v>0</v>
      </c>
      <c r="G195" s="151">
        <v>0</v>
      </c>
      <c r="H195" s="151">
        <v>0</v>
      </c>
      <c r="I195" s="151"/>
      <c r="J195" s="151">
        <v>0</v>
      </c>
      <c r="K195" s="151">
        <v>0</v>
      </c>
      <c r="L195" s="151">
        <v>0</v>
      </c>
      <c r="M195" s="151">
        <v>0</v>
      </c>
      <c r="N195" s="151"/>
      <c r="O195" s="151">
        <v>0</v>
      </c>
      <c r="P195" s="151">
        <v>0</v>
      </c>
      <c r="Q195" s="151">
        <v>0</v>
      </c>
      <c r="R195" s="151">
        <v>0</v>
      </c>
      <c r="S195" s="151"/>
      <c r="T195" s="151"/>
      <c r="U195" s="151"/>
      <c r="V195" s="151"/>
      <c r="W195" s="360">
        <v>0</v>
      </c>
      <c r="X195" s="151">
        <v>0</v>
      </c>
      <c r="Y195" s="151">
        <v>0</v>
      </c>
      <c r="Z195" s="151">
        <v>0</v>
      </c>
      <c r="AA195" s="151">
        <v>0</v>
      </c>
      <c r="AB195" s="151">
        <v>0</v>
      </c>
      <c r="AC195" s="151">
        <v>0</v>
      </c>
      <c r="AD195" s="360">
        <v>0</v>
      </c>
      <c r="AE195" s="151">
        <v>0</v>
      </c>
      <c r="AF195" s="360">
        <v>0</v>
      </c>
      <c r="AG195" s="151">
        <v>0</v>
      </c>
      <c r="AI195" s="109">
        <f>SUM(F195:AG195)</f>
        <v>0</v>
      </c>
    </row>
    <row r="196" spans="2:124" hidden="1">
      <c r="B196" s="70"/>
      <c r="C196" s="83" t="s">
        <v>51</v>
      </c>
      <c r="D196" s="74"/>
      <c r="E196" s="75" t="s">
        <v>9</v>
      </c>
      <c r="F196" s="360">
        <v>0</v>
      </c>
      <c r="G196" s="151">
        <v>0</v>
      </c>
      <c r="H196" s="151">
        <v>0</v>
      </c>
      <c r="I196" s="151">
        <v>105980</v>
      </c>
      <c r="J196" s="151">
        <v>0</v>
      </c>
      <c r="K196" s="151">
        <v>0</v>
      </c>
      <c r="L196" s="151">
        <v>0</v>
      </c>
      <c r="M196" s="151">
        <v>0</v>
      </c>
      <c r="N196" s="151">
        <v>0</v>
      </c>
      <c r="O196" s="151">
        <v>0</v>
      </c>
      <c r="P196" s="151">
        <v>0</v>
      </c>
      <c r="Q196" s="151">
        <v>0</v>
      </c>
      <c r="R196" s="151">
        <v>0</v>
      </c>
      <c r="S196" s="151">
        <v>0</v>
      </c>
      <c r="T196" s="151">
        <v>0</v>
      </c>
      <c r="U196" s="151">
        <v>0</v>
      </c>
      <c r="V196" s="151">
        <v>0</v>
      </c>
      <c r="W196" s="360">
        <v>0</v>
      </c>
      <c r="X196" s="151">
        <v>0</v>
      </c>
      <c r="Y196" s="151">
        <v>0</v>
      </c>
      <c r="Z196" s="151">
        <v>0</v>
      </c>
      <c r="AA196" s="151">
        <v>0</v>
      </c>
      <c r="AB196" s="151">
        <v>0</v>
      </c>
      <c r="AC196" s="151">
        <v>0</v>
      </c>
      <c r="AD196" s="360">
        <v>0</v>
      </c>
      <c r="AE196" s="151">
        <v>0</v>
      </c>
      <c r="AF196" s="360">
        <v>0</v>
      </c>
      <c r="AG196" s="151">
        <v>0</v>
      </c>
      <c r="AI196" s="109">
        <f>SUM(F196:AG196)</f>
        <v>105980</v>
      </c>
    </row>
    <row r="197" spans="2:124" s="5" customFormat="1" hidden="1" thickBot="1">
      <c r="B197" s="162"/>
      <c r="C197" s="175" t="s">
        <v>91</v>
      </c>
      <c r="D197" s="176"/>
      <c r="E197" s="177" t="s">
        <v>9</v>
      </c>
      <c r="F197" s="376">
        <f t="shared" ref="F197:AG197" si="99">SUM(F192:F196)</f>
        <v>0</v>
      </c>
      <c r="G197" s="178">
        <f t="shared" si="99"/>
        <v>0</v>
      </c>
      <c r="H197" s="178">
        <f t="shared" si="99"/>
        <v>0</v>
      </c>
      <c r="I197" s="178">
        <f t="shared" si="99"/>
        <v>105980</v>
      </c>
      <c r="J197" s="178">
        <f t="shared" si="99"/>
        <v>998100</v>
      </c>
      <c r="K197" s="178">
        <f t="shared" si="99"/>
        <v>1187270</v>
      </c>
      <c r="L197" s="178">
        <f t="shared" si="99"/>
        <v>1345050</v>
      </c>
      <c r="M197" s="178">
        <f t="shared" si="99"/>
        <v>1617420</v>
      </c>
      <c r="N197" s="178">
        <f t="shared" si="99"/>
        <v>1793630</v>
      </c>
      <c r="O197" s="178">
        <f t="shared" si="99"/>
        <v>1332400</v>
      </c>
      <c r="P197" s="178">
        <f t="shared" si="99"/>
        <v>1804530</v>
      </c>
      <c r="Q197" s="178">
        <f t="shared" si="99"/>
        <v>1816620</v>
      </c>
      <c r="R197" s="178">
        <f t="shared" si="99"/>
        <v>1766630</v>
      </c>
      <c r="S197" s="178">
        <f t="shared" si="99"/>
        <v>1233610</v>
      </c>
      <c r="T197" s="178">
        <f t="shared" si="99"/>
        <v>1013340</v>
      </c>
      <c r="U197" s="178">
        <f t="shared" si="99"/>
        <v>1009220</v>
      </c>
      <c r="V197" s="178">
        <f t="shared" si="99"/>
        <v>1288830</v>
      </c>
      <c r="W197" s="178">
        <f t="shared" si="99"/>
        <v>0</v>
      </c>
      <c r="X197" s="178">
        <f t="shared" si="99"/>
        <v>0</v>
      </c>
      <c r="Y197" s="178">
        <f t="shared" si="99"/>
        <v>0</v>
      </c>
      <c r="Z197" s="178">
        <f t="shared" si="99"/>
        <v>0</v>
      </c>
      <c r="AA197" s="178">
        <f t="shared" si="99"/>
        <v>0</v>
      </c>
      <c r="AB197" s="178">
        <f t="shared" si="99"/>
        <v>0</v>
      </c>
      <c r="AC197" s="178">
        <f t="shared" si="99"/>
        <v>0</v>
      </c>
      <c r="AD197" s="376">
        <f t="shared" si="99"/>
        <v>299440</v>
      </c>
      <c r="AE197" s="178">
        <f t="shared" si="99"/>
        <v>108510</v>
      </c>
      <c r="AF197" s="376">
        <f t="shared" si="99"/>
        <v>0</v>
      </c>
      <c r="AG197" s="178">
        <f t="shared" si="99"/>
        <v>0</v>
      </c>
      <c r="AI197" s="196">
        <f>SUM(AI192:AI196)</f>
        <v>18720580</v>
      </c>
      <c r="AK197" s="155"/>
      <c r="DT197" s="276"/>
    </row>
    <row r="227" spans="25:25">
      <c r="Y227" s="29"/>
    </row>
  </sheetData>
  <mergeCells count="7">
    <mergeCell ref="AI5:AI6"/>
    <mergeCell ref="B2:AG2"/>
    <mergeCell ref="B5:B6"/>
    <mergeCell ref="C5:C6"/>
    <mergeCell ref="D5:D6"/>
    <mergeCell ref="E5:E6"/>
    <mergeCell ref="F5:AG5"/>
  </mergeCells>
  <pageMargins left="0.7" right="0.7" top="0.75" bottom="0.75" header="0.3" footer="0.3"/>
  <pageSetup paperSize="9" orientation="portrait" horizontalDpi="300" verticalDpi="300" r:id="rId1"/>
  <ignoredErrors>
    <ignoredError sqref="G55:AF62 F57:F60 G65:O65 H70:K70 AI57:AI60 M66 G69:O69 F15:K15 F22:K22 L18 F18:K19 M70 M15:O15 M22:O22 M18:O19 G67:M67 M10:O10 F10:K10 R14:R22 S10:S11 S14:S15 S18:S19 S22 N67:S67 T14 T18 U10:U11 U22 U14:U15 U18:U19 V65 V69:V70 V67 W10:Y11 W65:Y65 W67:Y67 W69:Y69 W22:Y23 W18:Y19 W26:AB26 W14:Y15 U67 Z65:AA65 Z67 Z69 Z18 AA14:AB14 AA22 AB65:AC65 AB67 AB69:AB70 AC10:AC11 AC14:AC15 AC18:AC19 AC22:AC23 AC26 AG59:AG62 AD67:AG67 AF14:AG14 AG18 AF22 AD26:AG26 AD14:AD22 AE125:AG126 AE122:AG123 AD96:AD100" evalError="1"/>
    <ignoredError sqref="G70 L70 N70:O70 W70:Z70" evalError="1" formulaRange="1"/>
    <ignoredError sqref="AI65:AI70 AI72 AI129" formula="1"/>
    <ignoredError sqref="F119:H119 J119:L119 M119:O119 Q119:V119 X119:AC119 AD70:AG70 AE119:AG119" formulaRange="1"/>
    <ignoredError sqref="T67 AC67" evalError="1" formula="1"/>
    <ignoredError sqref="AI34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4:L16"/>
  <sheetViews>
    <sheetView showGridLines="0" workbookViewId="0">
      <selection activeCell="F18" sqref="F17:F18"/>
    </sheetView>
  </sheetViews>
  <sheetFormatPr defaultColWidth="9.109375" defaultRowHeight="13.8"/>
  <cols>
    <col min="1" max="4" width="9.109375" style="14"/>
    <col min="5" max="5" width="20.33203125" style="14" customWidth="1"/>
    <col min="6" max="12" width="15.44140625" style="14" customWidth="1"/>
    <col min="13" max="16384" width="9.109375" style="14"/>
  </cols>
  <sheetData>
    <row r="4" spans="5:12" ht="18.899999999999999" customHeight="1">
      <c r="E4" s="18" t="s">
        <v>115</v>
      </c>
      <c r="F4" s="19" t="s">
        <v>116</v>
      </c>
      <c r="G4" s="19" t="s">
        <v>117</v>
      </c>
      <c r="H4" s="19" t="s">
        <v>118</v>
      </c>
      <c r="I4" s="19" t="s">
        <v>119</v>
      </c>
      <c r="J4" s="19" t="s">
        <v>120</v>
      </c>
      <c r="K4" s="26" t="s">
        <v>121</v>
      </c>
      <c r="L4" s="26" t="s">
        <v>122</v>
      </c>
    </row>
    <row r="5" spans="5:12" ht="18.899999999999999" customHeight="1">
      <c r="E5" s="20" t="s">
        <v>112</v>
      </c>
      <c r="F5" s="21">
        <v>94.838870792020799</v>
      </c>
      <c r="G5" s="21">
        <v>95.168254420739999</v>
      </c>
      <c r="H5" s="21">
        <v>95.021893781343607</v>
      </c>
      <c r="I5" s="21">
        <v>94.834430354171005</v>
      </c>
      <c r="J5" s="21">
        <v>94.106000323543398</v>
      </c>
      <c r="K5" s="27">
        <v>94.527038478954296</v>
      </c>
      <c r="L5" s="27">
        <v>94.7019691049626</v>
      </c>
    </row>
    <row r="6" spans="5:12" ht="18.899999999999999" customHeight="1">
      <c r="E6" s="20" t="s">
        <v>33</v>
      </c>
      <c r="F6" s="21">
        <v>4.5645820355271898</v>
      </c>
      <c r="G6" s="21">
        <v>4.2344138157586801</v>
      </c>
      <c r="H6" s="21">
        <v>4.3758533595428402</v>
      </c>
      <c r="I6" s="21">
        <v>4.5666541536379297</v>
      </c>
      <c r="J6" s="21">
        <v>5.2617321607619996</v>
      </c>
      <c r="K6" s="27">
        <v>4.8620034555421503</v>
      </c>
      <c r="L6" s="27">
        <v>4.6995178453903703</v>
      </c>
    </row>
    <row r="7" spans="5:12" ht="18.899999999999999" customHeight="1">
      <c r="E7" s="20" t="s">
        <v>37</v>
      </c>
      <c r="F7" s="21">
        <v>83.665160055280197</v>
      </c>
      <c r="G7" s="21">
        <v>83.575453845237504</v>
      </c>
      <c r="H7" s="21">
        <v>83.565849279510502</v>
      </c>
      <c r="I7" s="21">
        <v>82.219585328118399</v>
      </c>
      <c r="J7" s="21">
        <v>82.194224855290997</v>
      </c>
      <c r="K7" s="27">
        <v>82.186394131302094</v>
      </c>
      <c r="L7" s="27">
        <v>82.322385187912502</v>
      </c>
    </row>
    <row r="8" spans="5:12" ht="18.899999999999999" customHeight="1">
      <c r="E8" s="20" t="s">
        <v>123</v>
      </c>
      <c r="F8" s="21">
        <v>60.7896528250511</v>
      </c>
      <c r="G8" s="21">
        <v>60.083837913367503</v>
      </c>
      <c r="H8" s="21">
        <v>60.105448154657303</v>
      </c>
      <c r="I8" s="21">
        <v>60.069686411149803</v>
      </c>
      <c r="J8" s="21">
        <v>60.033798056611701</v>
      </c>
      <c r="K8" s="27">
        <v>59.528301886792498</v>
      </c>
      <c r="L8" s="27">
        <v>59.3851132686084</v>
      </c>
    </row>
    <row r="9" spans="5:12" ht="18.899999999999999" customHeight="1">
      <c r="E9" s="22" t="s">
        <v>38</v>
      </c>
      <c r="F9" s="23">
        <v>55.545187119668697</v>
      </c>
      <c r="G9" s="23">
        <v>56.340708241394999</v>
      </c>
      <c r="H9" s="23">
        <v>56.33</v>
      </c>
      <c r="I9" s="23">
        <v>57.710728260731798</v>
      </c>
      <c r="J9" s="23">
        <v>57.771977088097202</v>
      </c>
      <c r="K9" s="28">
        <v>58.2853039819054</v>
      </c>
      <c r="L9" s="28">
        <v>58.292501543479098</v>
      </c>
    </row>
    <row r="10" spans="5:12">
      <c r="F10" s="24"/>
      <c r="G10" s="24"/>
      <c r="H10" s="24"/>
      <c r="I10" s="24"/>
      <c r="J10" s="24"/>
      <c r="K10" s="24"/>
      <c r="L10" s="24"/>
    </row>
    <row r="11" spans="5:12">
      <c r="F11" s="24"/>
      <c r="G11" s="24"/>
      <c r="H11" s="24"/>
      <c r="I11" s="24"/>
      <c r="J11" s="24"/>
      <c r="K11" s="24"/>
      <c r="L11" s="24"/>
    </row>
    <row r="12" spans="5:12">
      <c r="H12" s="25"/>
      <c r="I12" s="25"/>
      <c r="J12" s="25"/>
      <c r="K12" s="25"/>
      <c r="L12" s="25"/>
    </row>
    <row r="13" spans="5:12">
      <c r="H13" s="25"/>
      <c r="I13" s="25"/>
      <c r="J13" s="25"/>
      <c r="K13" s="25"/>
      <c r="L13" s="25"/>
    </row>
    <row r="14" spans="5:12">
      <c r="H14" s="25"/>
      <c r="I14" s="25"/>
      <c r="J14" s="25"/>
      <c r="K14" s="25"/>
      <c r="L14" s="25"/>
    </row>
    <row r="15" spans="5:12">
      <c r="H15" s="25"/>
      <c r="I15" s="25"/>
      <c r="J15" s="25"/>
      <c r="K15" s="25"/>
      <c r="L15" s="25"/>
    </row>
    <row r="16" spans="5:12">
      <c r="H16" s="25"/>
      <c r="I16" s="25"/>
      <c r="J16" s="25"/>
      <c r="K16" s="25"/>
      <c r="L16" s="25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XFD140"/>
  <sheetViews>
    <sheetView showGridLines="0" topLeftCell="A7" zoomScale="120" zoomScaleNormal="120" workbookViewId="0">
      <selection activeCell="F39" sqref="F39"/>
    </sheetView>
  </sheetViews>
  <sheetFormatPr defaultColWidth="9" defaultRowHeight="14.4"/>
  <cols>
    <col min="1" max="1" width="9.109375" style="1"/>
    <col min="2" max="2" width="15" style="1" customWidth="1"/>
    <col min="3" max="3" width="15.33203125" style="1"/>
    <col min="4" max="16055" width="9.109375" style="1"/>
    <col min="16056" max="16057" width="9" style="1"/>
    <col min="16058" max="16059" width="9.109375"/>
  </cols>
  <sheetData>
    <row r="7" spans="2:10">
      <c r="B7" s="347" t="s">
        <v>124</v>
      </c>
      <c r="C7" s="348"/>
      <c r="D7" s="349"/>
      <c r="E7" s="350" t="s">
        <v>125</v>
      </c>
      <c r="F7" s="350"/>
      <c r="G7" s="350" t="s">
        <v>126</v>
      </c>
      <c r="H7" s="350"/>
    </row>
    <row r="8" spans="2:10">
      <c r="B8" s="7" t="s">
        <v>127</v>
      </c>
      <c r="C8" s="7" t="s">
        <v>128</v>
      </c>
      <c r="D8" s="7" t="s">
        <v>12</v>
      </c>
      <c r="E8" s="7" t="s">
        <v>129</v>
      </c>
      <c r="F8" s="7" t="s">
        <v>130</v>
      </c>
      <c r="G8" s="7" t="s">
        <v>129</v>
      </c>
      <c r="H8" s="7" t="s">
        <v>130</v>
      </c>
    </row>
    <row r="9" spans="2:10">
      <c r="B9" s="8">
        <v>104</v>
      </c>
      <c r="C9" s="9">
        <v>539109</v>
      </c>
      <c r="D9" s="10">
        <f>C9/(SUM(C9:C12))*100</f>
        <v>29.805941185251527</v>
      </c>
      <c r="E9" s="352">
        <v>4.38</v>
      </c>
      <c r="F9" s="353">
        <v>2.23</v>
      </c>
      <c r="G9" s="10">
        <v>4.32</v>
      </c>
      <c r="H9" s="10">
        <v>2.02</v>
      </c>
      <c r="J9" s="16"/>
    </row>
    <row r="10" spans="2:10">
      <c r="B10" s="8">
        <v>105</v>
      </c>
      <c r="C10" s="9">
        <v>54004</v>
      </c>
      <c r="D10" s="10">
        <f>C10/(SUM(C9:C12))*100</f>
        <v>2.9857413765459744</v>
      </c>
      <c r="E10" s="352"/>
      <c r="F10" s="353"/>
      <c r="G10" s="10">
        <v>6.06</v>
      </c>
      <c r="H10" s="10">
        <v>1.73</v>
      </c>
      <c r="J10" s="16"/>
    </row>
    <row r="11" spans="2:10">
      <c r="B11" s="8">
        <v>106</v>
      </c>
      <c r="C11" s="9">
        <v>702012</v>
      </c>
      <c r="D11" s="10">
        <f>C11/(SUM(C9:C12))*100</f>
        <v>38.812426398633292</v>
      </c>
      <c r="E11" s="352"/>
      <c r="F11" s="353"/>
      <c r="G11" s="10">
        <v>4.5999999999999996</v>
      </c>
      <c r="H11" s="10">
        <v>2.17</v>
      </c>
      <c r="J11" s="16"/>
    </row>
    <row r="12" spans="2:10">
      <c r="B12" s="8">
        <v>107</v>
      </c>
      <c r="C12" s="9">
        <v>513605</v>
      </c>
      <c r="D12" s="10">
        <f>C12/(SUM(C9:C12))*100</f>
        <v>28.3958910395692</v>
      </c>
      <c r="E12" s="352"/>
      <c r="F12" s="353"/>
      <c r="G12" s="10">
        <v>3.94</v>
      </c>
      <c r="H12" s="10">
        <v>2.2000000000000002</v>
      </c>
      <c r="J12" s="16"/>
    </row>
    <row r="13" spans="2:10">
      <c r="B13" s="351" t="s">
        <v>131</v>
      </c>
      <c r="C13" s="351"/>
      <c r="D13" s="351"/>
      <c r="E13" s="11"/>
      <c r="F13" s="11"/>
      <c r="G13" s="12">
        <f>AVERAGE(G9:G12)</f>
        <v>4.7299999999999995</v>
      </c>
      <c r="H13" s="13">
        <f>AVERAGE(H9:H12)</f>
        <v>2.0300000000000002</v>
      </c>
      <c r="J13" s="16"/>
    </row>
    <row r="15" spans="2:10">
      <c r="B15" s="1" t="s">
        <v>132</v>
      </c>
    </row>
    <row r="16" spans="2:10">
      <c r="C16" s="14" t="s">
        <v>133</v>
      </c>
      <c r="D16" s="14" t="s">
        <v>129</v>
      </c>
      <c r="E16" s="14" t="s">
        <v>130</v>
      </c>
    </row>
    <row r="17" spans="2:10 16058:16384">
      <c r="C17" s="15">
        <v>29.805941185251498</v>
      </c>
      <c r="D17" s="16">
        <f t="shared" ref="D17:D20" si="0">C17%*G9</f>
        <v>1.2876166592028648</v>
      </c>
      <c r="E17" s="16">
        <f t="shared" ref="E17:E20" si="1">C17%*H9</f>
        <v>0.60208001194208027</v>
      </c>
    </row>
    <row r="18" spans="2:10 16058:16384">
      <c r="C18" s="15">
        <v>2.9857413765459699</v>
      </c>
      <c r="D18" s="16">
        <f t="shared" si="0"/>
        <v>0.18093592741868575</v>
      </c>
      <c r="E18" s="16">
        <f t="shared" si="1"/>
        <v>5.1653325814245275E-2</v>
      </c>
    </row>
    <row r="19" spans="2:10 16058:16384">
      <c r="C19" s="15">
        <v>38.812426398633299</v>
      </c>
      <c r="D19" s="16">
        <f t="shared" si="0"/>
        <v>1.7853716143371317</v>
      </c>
      <c r="E19" s="16">
        <f t="shared" si="1"/>
        <v>0.84222965285034257</v>
      </c>
    </row>
    <row r="20" spans="2:10 16058:16384">
      <c r="C20" s="15">
        <v>28.3958910395692</v>
      </c>
      <c r="D20" s="16">
        <f t="shared" si="0"/>
        <v>1.1187981069590265</v>
      </c>
      <c r="E20" s="16">
        <f t="shared" si="1"/>
        <v>0.62470960287052246</v>
      </c>
    </row>
    <row r="21" spans="2:10 16058:16384" s="1" customFormat="1" ht="13.8">
      <c r="D21" s="17">
        <f>SUM(D17:D20)</f>
        <v>4.3727223079177087</v>
      </c>
      <c r="E21" s="17">
        <f>SUM(E17:E20)</f>
        <v>2.1206725934771908</v>
      </c>
    </row>
    <row r="22" spans="2:10 16058:16384" s="1" customFormat="1" ht="13.8" hidden="1"/>
    <row r="23" spans="2:10 16058:16384" s="2" customFormat="1" ht="13.8"/>
    <row r="24" spans="2:10 16058:16384" s="1" customFormat="1" ht="13.8"/>
    <row r="25" spans="2:10 16058:16384" s="1" customFormat="1">
      <c r="B25" s="347" t="s">
        <v>124</v>
      </c>
      <c r="C25" s="348"/>
      <c r="D25" s="349"/>
      <c r="E25" s="350" t="s">
        <v>125</v>
      </c>
      <c r="F25" s="350"/>
      <c r="G25" s="350" t="s">
        <v>126</v>
      </c>
      <c r="H25" s="350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pans="2:10 16058:16384" s="1" customFormat="1">
      <c r="B26" s="7" t="s">
        <v>127</v>
      </c>
      <c r="C26" s="7" t="s">
        <v>128</v>
      </c>
      <c r="D26" s="7" t="s">
        <v>12</v>
      </c>
      <c r="E26" s="7" t="s">
        <v>129</v>
      </c>
      <c r="F26" s="7" t="s">
        <v>130</v>
      </c>
      <c r="G26" s="7" t="s">
        <v>129</v>
      </c>
      <c r="H26" s="7" t="s">
        <v>130</v>
      </c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pans="2:10 16058:16384" s="1" customFormat="1">
      <c r="B27" s="8">
        <v>104</v>
      </c>
      <c r="C27" s="9">
        <v>1767925</v>
      </c>
      <c r="D27" s="10">
        <f>C27/(SUM(C27:C30))*100</f>
        <v>99.6149336332426</v>
      </c>
      <c r="E27" s="352">
        <v>4.75</v>
      </c>
      <c r="F27" s="353">
        <v>2.0099999999999998</v>
      </c>
      <c r="G27" s="10">
        <v>4.3499999999999996</v>
      </c>
      <c r="H27" s="10">
        <v>2.0499999999999998</v>
      </c>
      <c r="J27" s="16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pans="2:10 16058:16384" s="1" customFormat="1">
      <c r="B28" s="8">
        <v>105</v>
      </c>
      <c r="C28" s="9">
        <v>6834</v>
      </c>
      <c r="D28" s="10">
        <f>C28/(SUM(C27:C30))*100</f>
        <v>0.38506636675740197</v>
      </c>
      <c r="E28" s="352"/>
      <c r="F28" s="353"/>
      <c r="G28" s="10">
        <v>6.06</v>
      </c>
      <c r="H28" s="10">
        <v>1.91</v>
      </c>
      <c r="J28" s="16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pans="2:10 16058:16384">
      <c r="B29" s="8">
        <v>106</v>
      </c>
      <c r="C29" s="9">
        <v>0</v>
      </c>
      <c r="D29" s="10">
        <f>C29/(SUM(C27:C30))*100</f>
        <v>0</v>
      </c>
      <c r="E29" s="352"/>
      <c r="F29" s="353"/>
      <c r="G29" s="10"/>
      <c r="H29" s="10"/>
      <c r="J29" s="16"/>
    </row>
    <row r="30" spans="2:10 16058:16384" s="1" customFormat="1">
      <c r="B30" s="8">
        <v>107</v>
      </c>
      <c r="C30" s="9">
        <v>0</v>
      </c>
      <c r="D30" s="10">
        <f>C30/(SUM(C27:C30))*100</f>
        <v>0</v>
      </c>
      <c r="E30" s="352"/>
      <c r="F30" s="353"/>
      <c r="G30" s="10"/>
      <c r="H30" s="10"/>
      <c r="J30" s="16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pans="2:10 16058:16384">
      <c r="B31" s="351" t="s">
        <v>131</v>
      </c>
      <c r="C31" s="351"/>
      <c r="D31" s="351"/>
      <c r="E31" s="11"/>
      <c r="F31" s="11"/>
      <c r="G31" s="12">
        <f>AVERAGE(G27:G30)</f>
        <v>5.2050000000000001</v>
      </c>
      <c r="H31" s="13">
        <f>AVERAGE(H27:H30)</f>
        <v>1.98</v>
      </c>
      <c r="J31" s="16"/>
    </row>
    <row r="33" spans="1:16384">
      <c r="B33" s="1" t="s">
        <v>132</v>
      </c>
    </row>
    <row r="34" spans="1:16384" s="3" customFormat="1">
      <c r="A34" s="1"/>
      <c r="B34" s="1"/>
      <c r="C34" s="14" t="s">
        <v>133</v>
      </c>
      <c r="D34" s="14" t="s">
        <v>129</v>
      </c>
      <c r="E34" s="14" t="s">
        <v>130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pans="1:16384" s="1" customFormat="1">
      <c r="C35" s="15">
        <v>99.6149336332426</v>
      </c>
      <c r="D35" s="16">
        <f t="shared" ref="D35:D38" si="2">C35%*G27</f>
        <v>4.3332496130460525</v>
      </c>
      <c r="E35" s="16">
        <f t="shared" ref="E35:E38" si="3">C35%*H27</f>
        <v>2.042106139481473</v>
      </c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pans="1:16384" s="1" customFormat="1">
      <c r="C36" s="15">
        <v>0.38506636675740202</v>
      </c>
      <c r="D36" s="16">
        <f t="shared" si="2"/>
        <v>2.3335021825498559E-2</v>
      </c>
      <c r="E36" s="16">
        <f t="shared" si="3"/>
        <v>7.354767605066378E-3</v>
      </c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16384" s="1" customFormat="1">
      <c r="C37" s="15"/>
      <c r="D37" s="16">
        <f t="shared" si="2"/>
        <v>0</v>
      </c>
      <c r="E37" s="16">
        <f t="shared" si="3"/>
        <v>0</v>
      </c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1:16384">
      <c r="C38" s="15"/>
      <c r="D38" s="16">
        <f t="shared" si="2"/>
        <v>0</v>
      </c>
      <c r="E38" s="16">
        <f t="shared" si="3"/>
        <v>0</v>
      </c>
    </row>
    <row r="39" spans="1:16384" s="1" customFormat="1" ht="13.8">
      <c r="D39" s="17">
        <f>SUM(D35:D38)</f>
        <v>4.3565846348715507</v>
      </c>
      <c r="E39" s="17">
        <f>SUM(E35:E38)</f>
        <v>2.0494609070865395</v>
      </c>
    </row>
    <row r="40" spans="1:16384" s="1" customFormat="1" ht="13.8"/>
    <row r="41" spans="1:16384" s="1" customFormat="1" ht="13.8"/>
    <row r="42" spans="1:16384" s="1" customFormat="1" ht="13.8"/>
    <row r="48" spans="1:16384" hidden="1"/>
    <row r="49" spans="16058:16071" hidden="1"/>
    <row r="55" spans="16058:16071" s="1" customFormat="1"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</row>
    <row r="56" spans="16058:16071" s="1" customFormat="1"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</row>
    <row r="59" spans="16058:16071" s="4" customFormat="1" ht="13.8"/>
    <row r="60" spans="16058:16071" s="4" customFormat="1" ht="13.8"/>
    <row r="61" spans="16058:16071" s="4" customFormat="1" ht="13.8"/>
    <row r="63" spans="16058:16071" s="5" customFormat="1" ht="13.8"/>
    <row r="64" spans="16058:16071" s="1" customFormat="1" ht="13.8"/>
    <row r="65" s="1" customFormat="1" ht="13.8"/>
    <row r="66" s="1" customFormat="1" ht="13.8"/>
    <row r="67" s="1" customFormat="1" ht="13.8"/>
    <row r="68" s="1" customFormat="1" ht="13.8"/>
    <row r="69" s="6" customFormat="1" ht="13.8"/>
    <row r="70" s="6" customFormat="1" ht="13.8"/>
    <row r="71" s="1" customFormat="1" ht="13.8"/>
    <row r="72" s="1" customFormat="1" ht="13.8"/>
    <row r="73" s="1" customFormat="1" ht="13.8"/>
    <row r="74" s="1" customFormat="1" ht="13.8"/>
    <row r="75" s="1" customFormat="1" ht="13.8"/>
    <row r="77" s="1" customFormat="1" ht="13.8"/>
    <row r="78" s="1" customFormat="1" ht="13.8"/>
    <row r="79" s="1" customFormat="1" ht="13.8"/>
    <row r="80" s="1" customFormat="1" ht="13.8"/>
    <row r="81" s="1" customFormat="1" ht="13.8"/>
    <row r="82" s="1" customFormat="1" ht="13.8"/>
    <row r="84" s="1" customFormat="1" ht="13.8"/>
    <row r="85" s="1" customFormat="1" ht="13.8"/>
    <row r="86" s="1" customFormat="1" ht="13.8"/>
    <row r="87" s="1" customFormat="1" ht="13.8"/>
    <row r="88" s="1" customFormat="1" ht="13.8"/>
    <row r="89" s="1" customFormat="1" ht="13.8"/>
    <row r="90" s="1" customFormat="1" ht="13.8"/>
    <row r="95" s="1" customFormat="1" ht="13.8"/>
    <row r="96" s="4" customFormat="1" ht="13.8"/>
    <row r="100" s="5" customFormat="1" ht="13.8"/>
    <row r="101" s="5" customFormat="1" ht="13.8"/>
    <row r="102" s="5" customFormat="1" ht="13.8"/>
    <row r="103" s="5" customFormat="1" ht="13.8"/>
    <row r="107" s="5" customFormat="1" ht="13.8"/>
    <row r="109" s="6" customFormat="1" ht="13.8"/>
    <row r="110" s="6" customFormat="1" ht="13.8"/>
    <row r="111" s="6" customFormat="1" ht="13.8"/>
    <row r="112" s="6" customFormat="1" ht="13.8"/>
    <row r="113" s="6" customFormat="1" ht="13.8"/>
    <row r="114" s="6" customFormat="1" ht="13.8"/>
    <row r="115" s="6" customFormat="1" ht="13.8"/>
    <row r="124" hidden="1"/>
    <row r="126" s="5" customFormat="1" ht="13.8"/>
    <row r="131" hidden="1"/>
    <row r="133" s="5" customFormat="1" ht="13.8"/>
    <row r="135" hidden="1"/>
    <row r="136" hidden="1"/>
    <row r="137" hidden="1"/>
    <row r="138" hidden="1"/>
    <row r="139" hidden="1"/>
    <row r="140" hidden="1"/>
  </sheetData>
  <mergeCells count="12">
    <mergeCell ref="B31:D31"/>
    <mergeCell ref="E9:E12"/>
    <mergeCell ref="E27:E30"/>
    <mergeCell ref="F9:F12"/>
    <mergeCell ref="F27:F30"/>
    <mergeCell ref="B7:D7"/>
    <mergeCell ref="E7:F7"/>
    <mergeCell ref="G7:H7"/>
    <mergeCell ref="B13:D13"/>
    <mergeCell ref="B25:D25"/>
    <mergeCell ref="E25:F25"/>
    <mergeCell ref="G25:H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Januari</vt:lpstr>
      <vt:lpstr>Februari</vt:lpstr>
      <vt:lpstr>Sheet1</vt:lpstr>
      <vt:lpstr>Trace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N2N0CX10H27707B@outlook.com</cp:lastModifiedBy>
  <cp:lastPrinted>2020-09-29T04:26:00Z</cp:lastPrinted>
  <dcterms:created xsi:type="dcterms:W3CDTF">2019-05-08T06:22:00Z</dcterms:created>
  <dcterms:modified xsi:type="dcterms:W3CDTF">2025-05-06T05:36:10Z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