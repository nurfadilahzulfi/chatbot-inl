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AGANG\ChatBot_GeminiAI\docs\production\"/>
    </mc:Choice>
  </mc:AlternateContent>
  <xr:revisionPtr revIDLastSave="0" documentId="8_{0AE64B08-8191-4FBC-9967-9B370A84A1E5}" xr6:coauthVersionLast="47" xr6:coauthVersionMax="47" xr10:uidLastSave="{00000000-0000-0000-0000-000000000000}"/>
  <bookViews>
    <workbookView xWindow="-110" yWindow="-110" windowWidth="19420" windowHeight="10300" xr2:uid="{88A0EABD-BC5E-4B5F-8D65-A4D2BCC13E2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I185" i="1" l="1"/>
  <c r="AH185" i="1"/>
  <c r="AG185" i="1"/>
  <c r="AF185" i="1"/>
  <c r="AE185" i="1"/>
  <c r="AD185" i="1"/>
  <c r="AC185" i="1"/>
  <c r="AB185" i="1"/>
  <c r="AA185" i="1"/>
  <c r="Z185" i="1"/>
  <c r="Y185" i="1"/>
  <c r="X185" i="1"/>
  <c r="W185" i="1"/>
  <c r="V185" i="1"/>
  <c r="U185" i="1"/>
  <c r="T185" i="1"/>
  <c r="S185" i="1"/>
  <c r="R185" i="1"/>
  <c r="Q185" i="1"/>
  <c r="P185" i="1"/>
  <c r="O185" i="1"/>
  <c r="N185" i="1"/>
  <c r="M185" i="1"/>
  <c r="L185" i="1"/>
  <c r="K185" i="1"/>
  <c r="J185" i="1"/>
  <c r="I185" i="1"/>
  <c r="H185" i="1"/>
  <c r="G185" i="1"/>
  <c r="F185" i="1"/>
  <c r="E185" i="1"/>
  <c r="AI178" i="1"/>
  <c r="AH178" i="1"/>
  <c r="AG178" i="1"/>
  <c r="AF178" i="1"/>
  <c r="AE178" i="1"/>
  <c r="AD178" i="1"/>
  <c r="AC178" i="1"/>
  <c r="AB178" i="1"/>
  <c r="AA178" i="1"/>
  <c r="Z178" i="1"/>
  <c r="Y178" i="1"/>
  <c r="X178" i="1"/>
  <c r="W178" i="1"/>
  <c r="V178" i="1"/>
  <c r="U178" i="1"/>
  <c r="T178" i="1"/>
  <c r="S178" i="1"/>
  <c r="R178" i="1"/>
  <c r="Q178" i="1"/>
  <c r="P178" i="1"/>
  <c r="O178" i="1"/>
  <c r="N178" i="1"/>
  <c r="M178" i="1"/>
  <c r="L178" i="1"/>
  <c r="K178" i="1"/>
  <c r="J178" i="1"/>
  <c r="I178" i="1"/>
  <c r="H178" i="1"/>
  <c r="G178" i="1"/>
  <c r="F178" i="1"/>
  <c r="E178" i="1"/>
  <c r="AI171" i="1"/>
  <c r="AH171" i="1"/>
  <c r="AG171" i="1"/>
  <c r="AF171" i="1"/>
  <c r="AE171" i="1"/>
  <c r="AD171" i="1"/>
  <c r="AC171" i="1"/>
  <c r="AB171" i="1"/>
  <c r="AA171" i="1"/>
  <c r="Z171" i="1"/>
  <c r="Y171" i="1"/>
  <c r="X171" i="1"/>
  <c r="W171" i="1"/>
  <c r="V171" i="1"/>
  <c r="U171" i="1"/>
  <c r="T171" i="1"/>
  <c r="S171" i="1"/>
  <c r="R171" i="1"/>
  <c r="Q171" i="1"/>
  <c r="P171" i="1"/>
  <c r="O171" i="1"/>
  <c r="N171" i="1"/>
  <c r="M171" i="1"/>
  <c r="L171" i="1"/>
  <c r="K171" i="1"/>
  <c r="J171" i="1"/>
  <c r="I171" i="1"/>
  <c r="H171" i="1"/>
  <c r="G171" i="1"/>
  <c r="F171" i="1"/>
  <c r="E171" i="1"/>
  <c r="AI166" i="1"/>
  <c r="AH166" i="1"/>
  <c r="AG166" i="1"/>
  <c r="AF166" i="1"/>
  <c r="AE166" i="1"/>
  <c r="AD166" i="1"/>
  <c r="AC166" i="1"/>
  <c r="AB166" i="1"/>
  <c r="AA166" i="1"/>
  <c r="Z166" i="1"/>
  <c r="Y166" i="1"/>
  <c r="X166" i="1"/>
  <c r="W166" i="1"/>
  <c r="V166" i="1"/>
  <c r="U166" i="1"/>
  <c r="T166" i="1"/>
  <c r="S166" i="1"/>
  <c r="R166" i="1"/>
  <c r="Q166" i="1"/>
  <c r="P166" i="1"/>
  <c r="O166" i="1"/>
  <c r="N166" i="1"/>
  <c r="M166" i="1"/>
  <c r="L166" i="1"/>
  <c r="K166" i="1"/>
  <c r="J166" i="1"/>
  <c r="I166" i="1"/>
  <c r="H166" i="1"/>
  <c r="G166" i="1"/>
  <c r="F166" i="1"/>
  <c r="E166" i="1"/>
  <c r="C165" i="1"/>
  <c r="C166" i="1" s="1"/>
  <c r="AI158" i="1"/>
  <c r="AI159" i="1" s="1"/>
  <c r="AH158" i="1"/>
  <c r="AH159" i="1" s="1"/>
  <c r="AG158" i="1"/>
  <c r="AG159" i="1" s="1"/>
  <c r="AF158" i="1"/>
  <c r="AF159" i="1" s="1"/>
  <c r="AE158" i="1"/>
  <c r="AD158" i="1"/>
  <c r="AC158" i="1"/>
  <c r="AB158" i="1"/>
  <c r="AA158" i="1"/>
  <c r="Z158" i="1"/>
  <c r="Y158" i="1"/>
  <c r="X158" i="1"/>
  <c r="W158" i="1"/>
  <c r="V158" i="1"/>
  <c r="U158" i="1"/>
  <c r="T158" i="1"/>
  <c r="S158" i="1"/>
  <c r="R158" i="1"/>
  <c r="Q158" i="1"/>
  <c r="P158" i="1"/>
  <c r="O158" i="1"/>
  <c r="O159" i="1" s="1"/>
  <c r="N158" i="1"/>
  <c r="N159" i="1" s="1"/>
  <c r="M158" i="1"/>
  <c r="L158" i="1"/>
  <c r="K158" i="1"/>
  <c r="K159" i="1" s="1"/>
  <c r="I158" i="1"/>
  <c r="I159" i="1" s="1"/>
  <c r="H158" i="1"/>
  <c r="G158" i="1"/>
  <c r="G159" i="1" s="1"/>
  <c r="F158" i="1"/>
  <c r="F159" i="1" s="1"/>
  <c r="E158" i="1"/>
  <c r="E159" i="1" s="1"/>
  <c r="AE154" i="1"/>
  <c r="R154" i="1"/>
  <c r="P154" i="1"/>
  <c r="H154" i="1"/>
  <c r="J152" i="1"/>
  <c r="J158" i="1" s="1"/>
  <c r="J159" i="1" s="1"/>
  <c r="C152" i="1"/>
  <c r="C158" i="1" s="1"/>
  <c r="C159" i="1" s="1"/>
  <c r="AI150" i="1"/>
  <c r="AH150" i="1"/>
  <c r="AG150" i="1"/>
  <c r="AF150" i="1"/>
  <c r="AE150" i="1"/>
  <c r="AD150" i="1"/>
  <c r="AC150" i="1"/>
  <c r="AB150" i="1"/>
  <c r="AA150" i="1"/>
  <c r="Z150" i="1"/>
  <c r="Y150" i="1"/>
  <c r="X150" i="1"/>
  <c r="W150" i="1"/>
  <c r="V150" i="1"/>
  <c r="U150" i="1"/>
  <c r="T150" i="1"/>
  <c r="S150" i="1"/>
  <c r="R150" i="1"/>
  <c r="Q150" i="1"/>
  <c r="P150" i="1"/>
  <c r="O150" i="1"/>
  <c r="N150" i="1"/>
  <c r="M150" i="1"/>
  <c r="L150" i="1"/>
  <c r="K150" i="1"/>
  <c r="J150" i="1"/>
  <c r="I150" i="1"/>
  <c r="H150" i="1"/>
  <c r="G150" i="1"/>
  <c r="F150" i="1"/>
  <c r="E150" i="1"/>
  <c r="C150" i="1"/>
  <c r="AI149" i="1"/>
  <c r="AH149" i="1"/>
  <c r="AG149" i="1"/>
  <c r="AF149" i="1"/>
  <c r="AE149" i="1"/>
  <c r="AD149" i="1"/>
  <c r="AC149" i="1"/>
  <c r="AB149" i="1"/>
  <c r="AA149" i="1"/>
  <c r="Z149" i="1"/>
  <c r="Y149" i="1"/>
  <c r="X149" i="1"/>
  <c r="W149" i="1"/>
  <c r="V149" i="1"/>
  <c r="U149" i="1"/>
  <c r="T149" i="1"/>
  <c r="S149" i="1"/>
  <c r="R149" i="1"/>
  <c r="Q149" i="1"/>
  <c r="P149" i="1"/>
  <c r="O149" i="1"/>
  <c r="N149" i="1"/>
  <c r="M149" i="1"/>
  <c r="L149" i="1"/>
  <c r="K149" i="1"/>
  <c r="J149" i="1"/>
  <c r="I149" i="1"/>
  <c r="H149" i="1"/>
  <c r="G149" i="1"/>
  <c r="F149" i="1"/>
  <c r="E149" i="1"/>
  <c r="G145" i="1"/>
  <c r="AI140" i="1"/>
  <c r="AH140" i="1"/>
  <c r="AG140" i="1"/>
  <c r="AF140" i="1"/>
  <c r="AE140" i="1"/>
  <c r="AD140" i="1"/>
  <c r="AC140" i="1"/>
  <c r="AB140" i="1"/>
  <c r="AA140" i="1"/>
  <c r="Z140" i="1"/>
  <c r="Y140" i="1"/>
  <c r="X140" i="1"/>
  <c r="W140" i="1"/>
  <c r="V140" i="1"/>
  <c r="U140" i="1"/>
  <c r="T140" i="1"/>
  <c r="S140" i="1"/>
  <c r="R140" i="1"/>
  <c r="Q140" i="1"/>
  <c r="P140" i="1"/>
  <c r="O140" i="1"/>
  <c r="N140" i="1"/>
  <c r="M140" i="1"/>
  <c r="L140" i="1"/>
  <c r="K140" i="1"/>
  <c r="J140" i="1"/>
  <c r="I140" i="1"/>
  <c r="H140" i="1"/>
  <c r="G140" i="1"/>
  <c r="F140" i="1"/>
  <c r="E140" i="1"/>
  <c r="AI139" i="1"/>
  <c r="AH139" i="1"/>
  <c r="AG139" i="1"/>
  <c r="AF139" i="1"/>
  <c r="AE139" i="1"/>
  <c r="AD139" i="1"/>
  <c r="AC139" i="1"/>
  <c r="AB139" i="1"/>
  <c r="AA139" i="1"/>
  <c r="Z139" i="1"/>
  <c r="Y139" i="1"/>
  <c r="X139" i="1"/>
  <c r="W139" i="1"/>
  <c r="V139" i="1"/>
  <c r="U139" i="1"/>
  <c r="T139" i="1"/>
  <c r="S139" i="1"/>
  <c r="R139" i="1"/>
  <c r="Q139" i="1"/>
  <c r="P139" i="1"/>
  <c r="O139" i="1"/>
  <c r="N139" i="1"/>
  <c r="M139" i="1"/>
  <c r="L139" i="1"/>
  <c r="K139" i="1"/>
  <c r="J139" i="1"/>
  <c r="I139" i="1"/>
  <c r="H139" i="1"/>
  <c r="G139" i="1"/>
  <c r="F139" i="1"/>
  <c r="E139" i="1"/>
  <c r="AI129" i="1"/>
  <c r="AH129" i="1"/>
  <c r="AG129" i="1"/>
  <c r="AF129" i="1"/>
  <c r="AE129" i="1"/>
  <c r="AD129" i="1"/>
  <c r="AC129" i="1"/>
  <c r="AB129" i="1"/>
  <c r="AA129" i="1"/>
  <c r="Z129" i="1"/>
  <c r="Y129" i="1"/>
  <c r="X129" i="1"/>
  <c r="W129" i="1"/>
  <c r="V129" i="1"/>
  <c r="U129" i="1"/>
  <c r="T129" i="1"/>
  <c r="S129" i="1"/>
  <c r="R129" i="1"/>
  <c r="Q129" i="1"/>
  <c r="P129" i="1"/>
  <c r="O129" i="1"/>
  <c r="N129" i="1"/>
  <c r="M129" i="1"/>
  <c r="L129" i="1"/>
  <c r="K129" i="1"/>
  <c r="J129" i="1"/>
  <c r="I129" i="1"/>
  <c r="H129" i="1"/>
  <c r="G129" i="1"/>
  <c r="F129" i="1"/>
  <c r="E129" i="1"/>
  <c r="AI128" i="1"/>
  <c r="AH128" i="1"/>
  <c r="AG128" i="1"/>
  <c r="AF128" i="1"/>
  <c r="AE128" i="1"/>
  <c r="AD128" i="1"/>
  <c r="AC128" i="1"/>
  <c r="AB128" i="1"/>
  <c r="AA128" i="1"/>
  <c r="Z128" i="1"/>
  <c r="Y128" i="1"/>
  <c r="X128" i="1"/>
  <c r="W128" i="1"/>
  <c r="V128" i="1"/>
  <c r="U128" i="1"/>
  <c r="T128" i="1"/>
  <c r="S128" i="1"/>
  <c r="R128" i="1"/>
  <c r="Q128" i="1"/>
  <c r="P128" i="1"/>
  <c r="O128" i="1"/>
  <c r="N128" i="1"/>
  <c r="M128" i="1"/>
  <c r="L128" i="1"/>
  <c r="K128" i="1"/>
  <c r="J128" i="1"/>
  <c r="I128" i="1"/>
  <c r="H128" i="1"/>
  <c r="G128" i="1"/>
  <c r="F128" i="1"/>
  <c r="E128" i="1"/>
  <c r="AI127" i="1"/>
  <c r="AI143" i="1" s="1"/>
  <c r="AH127" i="1"/>
  <c r="AH143" i="1" s="1"/>
  <c r="AG127" i="1"/>
  <c r="AG143" i="1" s="1"/>
  <c r="AF127" i="1"/>
  <c r="AF143" i="1" s="1"/>
  <c r="AE127" i="1"/>
  <c r="AE143" i="1" s="1"/>
  <c r="AD127" i="1"/>
  <c r="AD143" i="1" s="1"/>
  <c r="AC127" i="1"/>
  <c r="AC143" i="1" s="1"/>
  <c r="AB127" i="1"/>
  <c r="AB143" i="1" s="1"/>
  <c r="AA127" i="1"/>
  <c r="AA143" i="1" s="1"/>
  <c r="Z127" i="1"/>
  <c r="Z143" i="1" s="1"/>
  <c r="Y127" i="1"/>
  <c r="Y143" i="1" s="1"/>
  <c r="X127" i="1"/>
  <c r="X143" i="1" s="1"/>
  <c r="W127" i="1"/>
  <c r="W143" i="1" s="1"/>
  <c r="V127" i="1"/>
  <c r="V143" i="1" s="1"/>
  <c r="U127" i="1"/>
  <c r="U143" i="1" s="1"/>
  <c r="T127" i="1"/>
  <c r="T143" i="1" s="1"/>
  <c r="S127" i="1"/>
  <c r="S143" i="1" s="1"/>
  <c r="R127" i="1"/>
  <c r="R143" i="1" s="1"/>
  <c r="Q127" i="1"/>
  <c r="Q143" i="1" s="1"/>
  <c r="P127" i="1"/>
  <c r="P143" i="1" s="1"/>
  <c r="O127" i="1"/>
  <c r="O143" i="1" s="1"/>
  <c r="N127" i="1"/>
  <c r="N143" i="1" s="1"/>
  <c r="M127" i="1"/>
  <c r="M143" i="1" s="1"/>
  <c r="L127" i="1"/>
  <c r="L143" i="1" s="1"/>
  <c r="K127" i="1"/>
  <c r="K143" i="1" s="1"/>
  <c r="J127" i="1"/>
  <c r="J143" i="1" s="1"/>
  <c r="I127" i="1"/>
  <c r="I143" i="1" s="1"/>
  <c r="H127" i="1"/>
  <c r="H143" i="1" s="1"/>
  <c r="G127" i="1"/>
  <c r="G143" i="1" s="1"/>
  <c r="F127" i="1"/>
  <c r="F143" i="1" s="1"/>
  <c r="E127" i="1"/>
  <c r="E143" i="1" s="1"/>
  <c r="AI126" i="1"/>
  <c r="AH126" i="1"/>
  <c r="AG126" i="1"/>
  <c r="AF126" i="1"/>
  <c r="AE126" i="1"/>
  <c r="AD126" i="1"/>
  <c r="AC126" i="1"/>
  <c r="AB126" i="1"/>
  <c r="AA126" i="1"/>
  <c r="Z126" i="1"/>
  <c r="Y126" i="1"/>
  <c r="X126" i="1"/>
  <c r="W126" i="1"/>
  <c r="V126" i="1"/>
  <c r="U126" i="1"/>
  <c r="T126" i="1"/>
  <c r="S126" i="1"/>
  <c r="R126" i="1"/>
  <c r="Q126" i="1"/>
  <c r="P126" i="1"/>
  <c r="O126" i="1"/>
  <c r="N126" i="1"/>
  <c r="M126" i="1"/>
  <c r="L126" i="1"/>
  <c r="K126" i="1"/>
  <c r="J126" i="1"/>
  <c r="I126" i="1"/>
  <c r="H126" i="1"/>
  <c r="G126" i="1"/>
  <c r="F126" i="1"/>
  <c r="E126" i="1"/>
  <c r="AI125" i="1"/>
  <c r="AI142" i="1" s="1"/>
  <c r="AH125" i="1"/>
  <c r="AH142" i="1" s="1"/>
  <c r="AG125" i="1"/>
  <c r="AG142" i="1" s="1"/>
  <c r="AF125" i="1"/>
  <c r="AF142" i="1" s="1"/>
  <c r="AE125" i="1"/>
  <c r="AE142" i="1" s="1"/>
  <c r="AD125" i="1"/>
  <c r="AD142" i="1" s="1"/>
  <c r="AC125" i="1"/>
  <c r="AC142" i="1" s="1"/>
  <c r="AB125" i="1"/>
  <c r="AB142" i="1" s="1"/>
  <c r="AA125" i="1"/>
  <c r="AA142" i="1" s="1"/>
  <c r="Z125" i="1"/>
  <c r="Z142" i="1" s="1"/>
  <c r="Y125" i="1"/>
  <c r="Y142" i="1" s="1"/>
  <c r="X125" i="1"/>
  <c r="X142" i="1" s="1"/>
  <c r="W125" i="1"/>
  <c r="W142" i="1" s="1"/>
  <c r="V125" i="1"/>
  <c r="V142" i="1" s="1"/>
  <c r="U125" i="1"/>
  <c r="U142" i="1" s="1"/>
  <c r="T125" i="1"/>
  <c r="T142" i="1" s="1"/>
  <c r="S125" i="1"/>
  <c r="S142" i="1" s="1"/>
  <c r="R125" i="1"/>
  <c r="R142" i="1" s="1"/>
  <c r="Q125" i="1"/>
  <c r="Q142" i="1" s="1"/>
  <c r="P125" i="1"/>
  <c r="P142" i="1" s="1"/>
  <c r="O125" i="1"/>
  <c r="O142" i="1" s="1"/>
  <c r="N125" i="1"/>
  <c r="N142" i="1" s="1"/>
  <c r="M125" i="1"/>
  <c r="M142" i="1" s="1"/>
  <c r="L125" i="1"/>
  <c r="L142" i="1" s="1"/>
  <c r="K125" i="1"/>
  <c r="K142" i="1" s="1"/>
  <c r="J125" i="1"/>
  <c r="J142" i="1" s="1"/>
  <c r="I125" i="1"/>
  <c r="I142" i="1" s="1"/>
  <c r="H125" i="1"/>
  <c r="H142" i="1" s="1"/>
  <c r="G125" i="1"/>
  <c r="G142" i="1" s="1"/>
  <c r="F125" i="1"/>
  <c r="F142" i="1" s="1"/>
  <c r="E125" i="1"/>
  <c r="E142" i="1" s="1"/>
  <c r="AI119" i="1"/>
  <c r="AG119" i="1"/>
  <c r="AE119" i="1"/>
  <c r="AC119" i="1"/>
  <c r="AA119" i="1"/>
  <c r="Y119" i="1"/>
  <c r="W119" i="1"/>
  <c r="U119" i="1"/>
  <c r="S119" i="1"/>
  <c r="O119" i="1"/>
  <c r="M119" i="1"/>
  <c r="K119" i="1"/>
  <c r="I119" i="1"/>
  <c r="G119" i="1"/>
  <c r="E119" i="1"/>
  <c r="AI118" i="1"/>
  <c r="AH118" i="1"/>
  <c r="AH119" i="1" s="1"/>
  <c r="AG118" i="1"/>
  <c r="AF118" i="1"/>
  <c r="AF119" i="1" s="1"/>
  <c r="AE118" i="1"/>
  <c r="AD118" i="1"/>
  <c r="AD119" i="1" s="1"/>
  <c r="AC118" i="1"/>
  <c r="AB118" i="1"/>
  <c r="AB119" i="1" s="1"/>
  <c r="AA118" i="1"/>
  <c r="Z118" i="1"/>
  <c r="Z119" i="1" s="1"/>
  <c r="Y118" i="1"/>
  <c r="X118" i="1"/>
  <c r="X119" i="1" s="1"/>
  <c r="W118" i="1"/>
  <c r="V118" i="1"/>
  <c r="V119" i="1" s="1"/>
  <c r="U118" i="1"/>
  <c r="T118" i="1"/>
  <c r="T119" i="1" s="1"/>
  <c r="S118" i="1"/>
  <c r="R118" i="1"/>
  <c r="Q118" i="1"/>
  <c r="P118" i="1"/>
  <c r="P119" i="1" s="1"/>
  <c r="O118" i="1"/>
  <c r="N118" i="1"/>
  <c r="N119" i="1" s="1"/>
  <c r="M118" i="1"/>
  <c r="L118" i="1"/>
  <c r="L119" i="1" s="1"/>
  <c r="K118" i="1"/>
  <c r="J118" i="1"/>
  <c r="J119" i="1" s="1"/>
  <c r="I118" i="1"/>
  <c r="H118" i="1"/>
  <c r="H119" i="1" s="1"/>
  <c r="G118" i="1"/>
  <c r="F118" i="1"/>
  <c r="F119" i="1" s="1"/>
  <c r="E118" i="1"/>
  <c r="AI114" i="1"/>
  <c r="AG114" i="1"/>
  <c r="AE114" i="1"/>
  <c r="AC114" i="1"/>
  <c r="AA114" i="1"/>
  <c r="Y114" i="1"/>
  <c r="W114" i="1"/>
  <c r="U114" i="1"/>
  <c r="S114" i="1"/>
  <c r="Q114" i="1"/>
  <c r="O114" i="1"/>
  <c r="M114" i="1"/>
  <c r="K114" i="1"/>
  <c r="I114" i="1"/>
  <c r="G114" i="1"/>
  <c r="E114" i="1"/>
  <c r="AH113" i="1"/>
  <c r="AF113" i="1"/>
  <c r="AD113" i="1"/>
  <c r="AB113" i="1"/>
  <c r="Z113" i="1"/>
  <c r="X113" i="1"/>
  <c r="V113" i="1"/>
  <c r="T113" i="1"/>
  <c r="R113" i="1"/>
  <c r="P113" i="1"/>
  <c r="N113" i="1"/>
  <c r="L113" i="1"/>
  <c r="J113" i="1"/>
  <c r="H113" i="1"/>
  <c r="F113" i="1"/>
  <c r="AI111" i="1"/>
  <c r="AH111" i="1"/>
  <c r="AG111" i="1"/>
  <c r="AF111" i="1"/>
  <c r="AE111" i="1"/>
  <c r="AD111" i="1"/>
  <c r="AC111" i="1"/>
  <c r="AB111" i="1"/>
  <c r="AA111" i="1"/>
  <c r="Z111" i="1"/>
  <c r="Y111" i="1"/>
  <c r="X111" i="1"/>
  <c r="W111" i="1"/>
  <c r="V111" i="1"/>
  <c r="U111" i="1"/>
  <c r="T111" i="1"/>
  <c r="S111" i="1"/>
  <c r="R111" i="1"/>
  <c r="Q111" i="1"/>
  <c r="P111" i="1"/>
  <c r="O111" i="1"/>
  <c r="N111" i="1"/>
  <c r="M111" i="1"/>
  <c r="L111" i="1"/>
  <c r="K111" i="1"/>
  <c r="J111" i="1"/>
  <c r="I111" i="1"/>
  <c r="H111" i="1"/>
  <c r="G111" i="1"/>
  <c r="F111" i="1"/>
  <c r="E111" i="1"/>
  <c r="AI110" i="1"/>
  <c r="AH110" i="1"/>
  <c r="AG110" i="1"/>
  <c r="AF110" i="1"/>
  <c r="AE110" i="1"/>
  <c r="AD110" i="1"/>
  <c r="AC110" i="1"/>
  <c r="AB110" i="1"/>
  <c r="AA110" i="1"/>
  <c r="Z110" i="1"/>
  <c r="Y110" i="1"/>
  <c r="X110" i="1"/>
  <c r="W110" i="1"/>
  <c r="V110" i="1"/>
  <c r="U110" i="1"/>
  <c r="T110" i="1"/>
  <c r="S110" i="1"/>
  <c r="R110" i="1"/>
  <c r="Q110" i="1"/>
  <c r="P110" i="1"/>
  <c r="O110" i="1"/>
  <c r="N110" i="1"/>
  <c r="M110" i="1"/>
  <c r="L110" i="1"/>
  <c r="K110" i="1"/>
  <c r="J110" i="1"/>
  <c r="I110" i="1"/>
  <c r="H110" i="1"/>
  <c r="G110" i="1"/>
  <c r="F110" i="1"/>
  <c r="E110" i="1"/>
  <c r="AI100" i="1"/>
  <c r="AH100" i="1"/>
  <c r="AG100" i="1"/>
  <c r="AF100" i="1"/>
  <c r="AE100" i="1"/>
  <c r="AD100" i="1"/>
  <c r="AC100" i="1"/>
  <c r="AB100" i="1"/>
  <c r="AA100" i="1"/>
  <c r="Z100" i="1"/>
  <c r="Y100" i="1"/>
  <c r="X100" i="1"/>
  <c r="W100" i="1"/>
  <c r="V100" i="1"/>
  <c r="U100" i="1"/>
  <c r="T100" i="1"/>
  <c r="S100" i="1"/>
  <c r="R100" i="1"/>
  <c r="Q100" i="1"/>
  <c r="P100" i="1"/>
  <c r="O100" i="1"/>
  <c r="N100" i="1"/>
  <c r="M100" i="1"/>
  <c r="L100" i="1"/>
  <c r="K100" i="1"/>
  <c r="J100" i="1"/>
  <c r="I100" i="1"/>
  <c r="H100" i="1"/>
  <c r="G100" i="1"/>
  <c r="F100" i="1"/>
  <c r="E100" i="1"/>
  <c r="AI99" i="1"/>
  <c r="AH99" i="1"/>
  <c r="AG99" i="1"/>
  <c r="AF99" i="1"/>
  <c r="AE99" i="1"/>
  <c r="AD99" i="1"/>
  <c r="AC99" i="1"/>
  <c r="AB99" i="1"/>
  <c r="AA99" i="1"/>
  <c r="Z99" i="1"/>
  <c r="Y99" i="1"/>
  <c r="X99" i="1"/>
  <c r="W99" i="1"/>
  <c r="V99" i="1"/>
  <c r="U99" i="1"/>
  <c r="T99" i="1"/>
  <c r="S99" i="1"/>
  <c r="R99" i="1"/>
  <c r="Q99" i="1"/>
  <c r="P99" i="1"/>
  <c r="O99" i="1"/>
  <c r="N99" i="1"/>
  <c r="M99" i="1"/>
  <c r="L99" i="1"/>
  <c r="K99" i="1"/>
  <c r="J99" i="1"/>
  <c r="I99" i="1"/>
  <c r="H99" i="1"/>
  <c r="G99" i="1"/>
  <c r="F99" i="1"/>
  <c r="AI98" i="1"/>
  <c r="AH98" i="1"/>
  <c r="AH114" i="1" s="1"/>
  <c r="AG98" i="1"/>
  <c r="AF98" i="1"/>
  <c r="AF114" i="1" s="1"/>
  <c r="AE98" i="1"/>
  <c r="AD98" i="1"/>
  <c r="AD114" i="1" s="1"/>
  <c r="AC98" i="1"/>
  <c r="AB98" i="1"/>
  <c r="AB114" i="1" s="1"/>
  <c r="AA98" i="1"/>
  <c r="Z98" i="1"/>
  <c r="Z114" i="1" s="1"/>
  <c r="Y98" i="1"/>
  <c r="X98" i="1"/>
  <c r="X114" i="1" s="1"/>
  <c r="W98" i="1"/>
  <c r="V98" i="1"/>
  <c r="V114" i="1" s="1"/>
  <c r="U98" i="1"/>
  <c r="T98" i="1"/>
  <c r="T114" i="1" s="1"/>
  <c r="S98" i="1"/>
  <c r="R98" i="1"/>
  <c r="R114" i="1" s="1"/>
  <c r="Q98" i="1"/>
  <c r="P98" i="1"/>
  <c r="P114" i="1" s="1"/>
  <c r="O98" i="1"/>
  <c r="N98" i="1"/>
  <c r="N114" i="1" s="1"/>
  <c r="M98" i="1"/>
  <c r="L98" i="1"/>
  <c r="L114" i="1" s="1"/>
  <c r="K98" i="1"/>
  <c r="J98" i="1"/>
  <c r="J114" i="1" s="1"/>
  <c r="I98" i="1"/>
  <c r="H98" i="1"/>
  <c r="H114" i="1" s="1"/>
  <c r="G98" i="1"/>
  <c r="F98" i="1"/>
  <c r="F114" i="1" s="1"/>
  <c r="E98" i="1"/>
  <c r="AI97" i="1"/>
  <c r="AI113" i="1" s="1"/>
  <c r="AH97" i="1"/>
  <c r="AG97" i="1"/>
  <c r="AG113" i="1" s="1"/>
  <c r="AF97" i="1"/>
  <c r="AE97" i="1"/>
  <c r="AE113" i="1" s="1"/>
  <c r="AD97" i="1"/>
  <c r="AC97" i="1"/>
  <c r="AC113" i="1" s="1"/>
  <c r="AB97" i="1"/>
  <c r="AA97" i="1"/>
  <c r="AA113" i="1" s="1"/>
  <c r="Z97" i="1"/>
  <c r="Y97" i="1"/>
  <c r="Y113" i="1" s="1"/>
  <c r="X97" i="1"/>
  <c r="W97" i="1"/>
  <c r="W113" i="1" s="1"/>
  <c r="V97" i="1"/>
  <c r="U97" i="1"/>
  <c r="U113" i="1" s="1"/>
  <c r="T97" i="1"/>
  <c r="S97" i="1"/>
  <c r="S113" i="1" s="1"/>
  <c r="R97" i="1"/>
  <c r="Q97" i="1"/>
  <c r="Q113" i="1" s="1"/>
  <c r="P97" i="1"/>
  <c r="O97" i="1"/>
  <c r="O113" i="1" s="1"/>
  <c r="N97" i="1"/>
  <c r="M97" i="1"/>
  <c r="M113" i="1" s="1"/>
  <c r="L97" i="1"/>
  <c r="K97" i="1"/>
  <c r="K113" i="1" s="1"/>
  <c r="J97" i="1"/>
  <c r="I97" i="1"/>
  <c r="I113" i="1" s="1"/>
  <c r="H97" i="1"/>
  <c r="G97" i="1"/>
  <c r="G113" i="1" s="1"/>
  <c r="F97" i="1"/>
  <c r="E97" i="1"/>
  <c r="E113" i="1" s="1"/>
  <c r="AH92" i="1"/>
  <c r="AF92" i="1"/>
  <c r="AD92" i="1"/>
  <c r="AB92" i="1"/>
  <c r="Z92" i="1"/>
  <c r="X92" i="1"/>
  <c r="V92" i="1"/>
  <c r="T92" i="1"/>
  <c r="R92" i="1"/>
  <c r="P92" i="1"/>
  <c r="N92" i="1"/>
  <c r="L92" i="1"/>
  <c r="J92" i="1"/>
  <c r="H92" i="1"/>
  <c r="F92" i="1"/>
  <c r="AI91" i="1"/>
  <c r="AI92" i="1" s="1"/>
  <c r="AH91" i="1"/>
  <c r="AG91" i="1"/>
  <c r="AG92" i="1" s="1"/>
  <c r="AF91" i="1"/>
  <c r="AE91" i="1"/>
  <c r="AE92" i="1" s="1"/>
  <c r="AD91" i="1"/>
  <c r="AC91" i="1"/>
  <c r="AC92" i="1" s="1"/>
  <c r="AB91" i="1"/>
  <c r="AA91" i="1"/>
  <c r="AA92" i="1" s="1"/>
  <c r="Z91" i="1"/>
  <c r="Y91" i="1"/>
  <c r="Y92" i="1" s="1"/>
  <c r="X91" i="1"/>
  <c r="W91" i="1"/>
  <c r="W92" i="1" s="1"/>
  <c r="V91" i="1"/>
  <c r="U91" i="1"/>
  <c r="U92" i="1" s="1"/>
  <c r="T91" i="1"/>
  <c r="S91" i="1"/>
  <c r="S92" i="1" s="1"/>
  <c r="R91" i="1"/>
  <c r="Q91" i="1"/>
  <c r="Q92" i="1" s="1"/>
  <c r="P91" i="1"/>
  <c r="O91" i="1"/>
  <c r="O92" i="1" s="1"/>
  <c r="N91" i="1"/>
  <c r="M91" i="1"/>
  <c r="M92" i="1" s="1"/>
  <c r="L91" i="1"/>
  <c r="K91" i="1"/>
  <c r="K92" i="1" s="1"/>
  <c r="J91" i="1"/>
  <c r="I91" i="1"/>
  <c r="I92" i="1" s="1"/>
  <c r="H91" i="1"/>
  <c r="G91" i="1"/>
  <c r="G92" i="1" s="1"/>
  <c r="F91" i="1"/>
  <c r="E91" i="1"/>
  <c r="E92" i="1" s="1"/>
  <c r="G88" i="1"/>
  <c r="F88" i="1"/>
  <c r="AI87" i="1"/>
  <c r="AG87" i="1"/>
  <c r="AE87" i="1"/>
  <c r="AC87" i="1"/>
  <c r="AA87" i="1"/>
  <c r="Y87" i="1"/>
  <c r="W87" i="1"/>
  <c r="U87" i="1"/>
  <c r="S87" i="1"/>
  <c r="Q87" i="1"/>
  <c r="O87" i="1"/>
  <c r="M87" i="1"/>
  <c r="K87" i="1"/>
  <c r="I87" i="1"/>
  <c r="G87" i="1"/>
  <c r="E87" i="1"/>
  <c r="AI85" i="1"/>
  <c r="AH85" i="1"/>
  <c r="AG85" i="1"/>
  <c r="AF85" i="1"/>
  <c r="AE85" i="1"/>
  <c r="AD85" i="1"/>
  <c r="AC85" i="1"/>
  <c r="AB85" i="1"/>
  <c r="AA85" i="1"/>
  <c r="Z85" i="1"/>
  <c r="Y85" i="1"/>
  <c r="X85" i="1"/>
  <c r="W85" i="1"/>
  <c r="V85" i="1"/>
  <c r="U85" i="1"/>
  <c r="T85" i="1"/>
  <c r="S85" i="1"/>
  <c r="R85" i="1"/>
  <c r="Q85" i="1"/>
  <c r="P85" i="1"/>
  <c r="O85" i="1"/>
  <c r="N85" i="1"/>
  <c r="M85" i="1"/>
  <c r="L85" i="1"/>
  <c r="K85" i="1"/>
  <c r="J85" i="1"/>
  <c r="I85" i="1"/>
  <c r="H85" i="1"/>
  <c r="G85" i="1"/>
  <c r="F85" i="1"/>
  <c r="E85" i="1"/>
  <c r="AI84" i="1"/>
  <c r="AH84" i="1"/>
  <c r="AG84" i="1"/>
  <c r="AF84" i="1"/>
  <c r="AE84" i="1"/>
  <c r="AD84" i="1"/>
  <c r="AC84" i="1"/>
  <c r="AB84" i="1"/>
  <c r="AA84" i="1"/>
  <c r="Z84" i="1"/>
  <c r="Y84" i="1"/>
  <c r="X84" i="1"/>
  <c r="W84" i="1"/>
  <c r="V84" i="1"/>
  <c r="U84" i="1"/>
  <c r="T84" i="1"/>
  <c r="S84" i="1"/>
  <c r="R84" i="1"/>
  <c r="Q84" i="1"/>
  <c r="P84" i="1"/>
  <c r="O84" i="1"/>
  <c r="N84" i="1"/>
  <c r="M84" i="1"/>
  <c r="L84" i="1"/>
  <c r="K84" i="1"/>
  <c r="J84" i="1"/>
  <c r="I84" i="1"/>
  <c r="H84" i="1"/>
  <c r="G84" i="1"/>
  <c r="F84" i="1"/>
  <c r="E84" i="1"/>
  <c r="AI74" i="1"/>
  <c r="AH74" i="1"/>
  <c r="AG74" i="1"/>
  <c r="AF74" i="1"/>
  <c r="AE74" i="1"/>
  <c r="AD74" i="1"/>
  <c r="AC74" i="1"/>
  <c r="AB74" i="1"/>
  <c r="AA74" i="1"/>
  <c r="Z74" i="1"/>
  <c r="Y74" i="1"/>
  <c r="X74" i="1"/>
  <c r="W74" i="1"/>
  <c r="V74" i="1"/>
  <c r="U74" i="1"/>
  <c r="T74" i="1"/>
  <c r="S74" i="1"/>
  <c r="R74" i="1"/>
  <c r="Q74" i="1"/>
  <c r="P74" i="1"/>
  <c r="O74" i="1"/>
  <c r="N74" i="1"/>
  <c r="M74" i="1"/>
  <c r="L74" i="1"/>
  <c r="K74" i="1"/>
  <c r="J74" i="1"/>
  <c r="I74" i="1"/>
  <c r="H74" i="1"/>
  <c r="G74" i="1"/>
  <c r="F74" i="1"/>
  <c r="E74" i="1"/>
  <c r="AI73" i="1"/>
  <c r="AH73" i="1"/>
  <c r="AG73" i="1"/>
  <c r="AF73" i="1"/>
  <c r="AE73" i="1"/>
  <c r="AD73" i="1"/>
  <c r="AC73" i="1"/>
  <c r="AB73" i="1"/>
  <c r="AA73" i="1"/>
  <c r="Z73" i="1"/>
  <c r="Y73" i="1"/>
  <c r="X73" i="1"/>
  <c r="W73" i="1"/>
  <c r="V73" i="1"/>
  <c r="U73" i="1"/>
  <c r="T73" i="1"/>
  <c r="S73" i="1"/>
  <c r="R73" i="1"/>
  <c r="Q73" i="1"/>
  <c r="P73" i="1"/>
  <c r="O73" i="1"/>
  <c r="N73" i="1"/>
  <c r="M73" i="1"/>
  <c r="L73" i="1"/>
  <c r="K73" i="1"/>
  <c r="J73" i="1"/>
  <c r="I73" i="1"/>
  <c r="H73" i="1"/>
  <c r="G73" i="1"/>
  <c r="F73" i="1"/>
  <c r="E73" i="1"/>
  <c r="AI72" i="1"/>
  <c r="AI88" i="1" s="1"/>
  <c r="AH72" i="1"/>
  <c r="AH88" i="1" s="1"/>
  <c r="AG72" i="1"/>
  <c r="AG88" i="1" s="1"/>
  <c r="AF72" i="1"/>
  <c r="AF88" i="1" s="1"/>
  <c r="AE72" i="1"/>
  <c r="AE88" i="1" s="1"/>
  <c r="AD72" i="1"/>
  <c r="AD88" i="1" s="1"/>
  <c r="AC72" i="1"/>
  <c r="AC88" i="1" s="1"/>
  <c r="AB72" i="1"/>
  <c r="AB88" i="1" s="1"/>
  <c r="AA72" i="1"/>
  <c r="AA88" i="1" s="1"/>
  <c r="Z72" i="1"/>
  <c r="Z88" i="1" s="1"/>
  <c r="Y72" i="1"/>
  <c r="Y88" i="1" s="1"/>
  <c r="X72" i="1"/>
  <c r="X88" i="1" s="1"/>
  <c r="W72" i="1"/>
  <c r="W88" i="1" s="1"/>
  <c r="V72" i="1"/>
  <c r="V88" i="1" s="1"/>
  <c r="U72" i="1"/>
  <c r="U88" i="1" s="1"/>
  <c r="T72" i="1"/>
  <c r="T88" i="1" s="1"/>
  <c r="S72" i="1"/>
  <c r="S88" i="1" s="1"/>
  <c r="R72" i="1"/>
  <c r="R88" i="1" s="1"/>
  <c r="Q72" i="1"/>
  <c r="Q88" i="1" s="1"/>
  <c r="P72" i="1"/>
  <c r="P88" i="1" s="1"/>
  <c r="O72" i="1"/>
  <c r="O88" i="1" s="1"/>
  <c r="N72" i="1"/>
  <c r="N88" i="1" s="1"/>
  <c r="M72" i="1"/>
  <c r="M88" i="1" s="1"/>
  <c r="L72" i="1"/>
  <c r="L88" i="1" s="1"/>
  <c r="K72" i="1"/>
  <c r="K88" i="1" s="1"/>
  <c r="J72" i="1"/>
  <c r="J88" i="1" s="1"/>
  <c r="I72" i="1"/>
  <c r="I88" i="1" s="1"/>
  <c r="H72" i="1"/>
  <c r="H88" i="1" s="1"/>
  <c r="F72" i="1"/>
  <c r="E72" i="1"/>
  <c r="E88" i="1" s="1"/>
  <c r="AI71" i="1"/>
  <c r="AH71" i="1"/>
  <c r="AH87" i="1" s="1"/>
  <c r="AG71" i="1"/>
  <c r="AF71" i="1"/>
  <c r="AF87" i="1" s="1"/>
  <c r="AE71" i="1"/>
  <c r="AD71" i="1"/>
  <c r="AD87" i="1" s="1"/>
  <c r="AC71" i="1"/>
  <c r="AB71" i="1"/>
  <c r="AB87" i="1" s="1"/>
  <c r="AA71" i="1"/>
  <c r="Z71" i="1"/>
  <c r="Z87" i="1" s="1"/>
  <c r="Y71" i="1"/>
  <c r="X71" i="1"/>
  <c r="X87" i="1" s="1"/>
  <c r="W71" i="1"/>
  <c r="V71" i="1"/>
  <c r="V87" i="1" s="1"/>
  <c r="U71" i="1"/>
  <c r="T71" i="1"/>
  <c r="T87" i="1" s="1"/>
  <c r="S71" i="1"/>
  <c r="R71" i="1"/>
  <c r="R87" i="1" s="1"/>
  <c r="Q71" i="1"/>
  <c r="P71" i="1"/>
  <c r="P87" i="1" s="1"/>
  <c r="O71" i="1"/>
  <c r="N71" i="1"/>
  <c r="N87" i="1" s="1"/>
  <c r="M71" i="1"/>
  <c r="L71" i="1"/>
  <c r="L87" i="1" s="1"/>
  <c r="K71" i="1"/>
  <c r="J71" i="1"/>
  <c r="J87" i="1" s="1"/>
  <c r="I71" i="1"/>
  <c r="H71" i="1"/>
  <c r="H87" i="1" s="1"/>
  <c r="G71" i="1"/>
  <c r="F71" i="1"/>
  <c r="F87" i="1" s="1"/>
  <c r="E71" i="1"/>
  <c r="J65" i="1"/>
  <c r="F65" i="1"/>
  <c r="AI64" i="1"/>
  <c r="AI65" i="1" s="1"/>
  <c r="AH64" i="1"/>
  <c r="AH65" i="1" s="1"/>
  <c r="AG64" i="1"/>
  <c r="AG65" i="1" s="1"/>
  <c r="AF64" i="1"/>
  <c r="AF65" i="1" s="1"/>
  <c r="AE64" i="1"/>
  <c r="AE65" i="1" s="1"/>
  <c r="AD64" i="1"/>
  <c r="AD65" i="1" s="1"/>
  <c r="AC64" i="1"/>
  <c r="AC65" i="1" s="1"/>
  <c r="AB64" i="1"/>
  <c r="AB65" i="1" s="1"/>
  <c r="AA64" i="1"/>
  <c r="AA65" i="1" s="1"/>
  <c r="Z64" i="1"/>
  <c r="Z65" i="1" s="1"/>
  <c r="Y64" i="1"/>
  <c r="Y65" i="1" s="1"/>
  <c r="X64" i="1"/>
  <c r="X65" i="1" s="1"/>
  <c r="W64" i="1"/>
  <c r="W65" i="1" s="1"/>
  <c r="V64" i="1"/>
  <c r="V65" i="1" s="1"/>
  <c r="U64" i="1"/>
  <c r="U65" i="1" s="1"/>
  <c r="T64" i="1"/>
  <c r="T65" i="1" s="1"/>
  <c r="S64" i="1"/>
  <c r="S65" i="1" s="1"/>
  <c r="R64" i="1"/>
  <c r="R65" i="1" s="1"/>
  <c r="Q64" i="1"/>
  <c r="Q65" i="1" s="1"/>
  <c r="P64" i="1"/>
  <c r="P65" i="1" s="1"/>
  <c r="O64" i="1"/>
  <c r="O65" i="1" s="1"/>
  <c r="N64" i="1"/>
  <c r="N65" i="1" s="1"/>
  <c r="M64" i="1"/>
  <c r="M65" i="1" s="1"/>
  <c r="L64" i="1"/>
  <c r="L65" i="1" s="1"/>
  <c r="K64" i="1"/>
  <c r="K65" i="1" s="1"/>
  <c r="J64" i="1"/>
  <c r="I64" i="1"/>
  <c r="I65" i="1" s="1"/>
  <c r="H64" i="1"/>
  <c r="H65" i="1" s="1"/>
  <c r="G64" i="1"/>
  <c r="G65" i="1" s="1"/>
  <c r="F64" i="1"/>
  <c r="E64" i="1"/>
  <c r="E65" i="1" s="1"/>
  <c r="AI60" i="1"/>
  <c r="AH60" i="1"/>
  <c r="AG60" i="1"/>
  <c r="AF60" i="1"/>
  <c r="AE60" i="1"/>
  <c r="AD60" i="1"/>
  <c r="AC60" i="1"/>
  <c r="AB60" i="1"/>
  <c r="AA60" i="1"/>
  <c r="Z60" i="1"/>
  <c r="Y60" i="1"/>
  <c r="X60" i="1"/>
  <c r="W60" i="1"/>
  <c r="V60" i="1"/>
  <c r="U60" i="1"/>
  <c r="T60" i="1"/>
  <c r="S60" i="1"/>
  <c r="R60" i="1"/>
  <c r="Q60" i="1"/>
  <c r="P60" i="1"/>
  <c r="O60" i="1"/>
  <c r="N60" i="1"/>
  <c r="L60" i="1"/>
  <c r="K60" i="1"/>
  <c r="J60" i="1"/>
  <c r="I60" i="1"/>
  <c r="H60" i="1"/>
  <c r="G60" i="1"/>
  <c r="F60" i="1"/>
  <c r="E60" i="1"/>
  <c r="M58" i="1"/>
  <c r="H58" i="1"/>
  <c r="G58" i="1"/>
  <c r="F58" i="1"/>
  <c r="E58" i="1"/>
  <c r="AF57" i="1"/>
  <c r="AE57" i="1"/>
  <c r="AB57" i="1"/>
  <c r="Z57" i="1"/>
  <c r="T57" i="1"/>
  <c r="R57" i="1"/>
  <c r="P57" i="1"/>
  <c r="M57" i="1"/>
  <c r="L57" i="1"/>
  <c r="K57" i="1"/>
  <c r="J57" i="1"/>
  <c r="I57" i="1"/>
  <c r="H57" i="1"/>
  <c r="G57" i="1"/>
  <c r="F57" i="1"/>
  <c r="E57" i="1"/>
  <c r="AE55" i="1"/>
  <c r="AD55" i="1"/>
  <c r="AC55" i="1"/>
  <c r="AB55" i="1"/>
  <c r="AA55" i="1"/>
  <c r="Z55" i="1"/>
  <c r="Y55" i="1"/>
  <c r="X55" i="1"/>
  <c r="W55" i="1"/>
  <c r="V55" i="1"/>
  <c r="S55" i="1"/>
  <c r="R55" i="1"/>
  <c r="Q55" i="1"/>
  <c r="P55" i="1"/>
  <c r="O55" i="1"/>
  <c r="N55" i="1"/>
  <c r="M55" i="1"/>
  <c r="L55" i="1"/>
  <c r="K55" i="1"/>
  <c r="J55" i="1"/>
  <c r="I55" i="1"/>
  <c r="H55" i="1"/>
  <c r="G55" i="1"/>
  <c r="F55" i="1"/>
  <c r="E55" i="1"/>
  <c r="AE53" i="1"/>
  <c r="AB53" i="1"/>
  <c r="R53" i="1"/>
  <c r="P53" i="1"/>
  <c r="N53" i="1"/>
  <c r="L53" i="1"/>
  <c r="K53" i="1"/>
  <c r="J53" i="1"/>
  <c r="I53" i="1"/>
  <c r="H53" i="1"/>
  <c r="G53" i="1"/>
  <c r="F53" i="1"/>
  <c r="E53" i="1"/>
  <c r="M52" i="1"/>
  <c r="AF50" i="1"/>
  <c r="AE50" i="1"/>
  <c r="AD50" i="1"/>
  <c r="AC50" i="1"/>
  <c r="AB50" i="1"/>
  <c r="AA50" i="1"/>
  <c r="Z50" i="1"/>
  <c r="Y50" i="1"/>
  <c r="X50" i="1"/>
  <c r="T50" i="1"/>
  <c r="S50" i="1"/>
  <c r="R50" i="1"/>
  <c r="Q50" i="1"/>
  <c r="P50" i="1"/>
  <c r="O50" i="1"/>
  <c r="N50" i="1"/>
  <c r="M50" i="1"/>
  <c r="L50" i="1"/>
  <c r="K50" i="1"/>
  <c r="J50" i="1"/>
  <c r="I50" i="1"/>
  <c r="H50" i="1"/>
  <c r="G50" i="1"/>
  <c r="F50" i="1"/>
  <c r="E50" i="1"/>
  <c r="AF49" i="1"/>
  <c r="AE49" i="1"/>
  <c r="AD49" i="1"/>
  <c r="AC49" i="1"/>
  <c r="AB49" i="1"/>
  <c r="AA49" i="1"/>
  <c r="Z49" i="1"/>
  <c r="Y49" i="1"/>
  <c r="X49" i="1"/>
  <c r="U49" i="1"/>
  <c r="T49" i="1"/>
  <c r="S49" i="1"/>
  <c r="R49" i="1"/>
  <c r="Q49" i="1"/>
  <c r="P49" i="1"/>
  <c r="O49" i="1"/>
  <c r="N49" i="1"/>
  <c r="M49" i="1"/>
  <c r="L49" i="1"/>
  <c r="K49" i="1"/>
  <c r="J49" i="1"/>
  <c r="I49" i="1"/>
  <c r="H49" i="1"/>
  <c r="G49" i="1"/>
  <c r="F49" i="1"/>
  <c r="E49" i="1"/>
  <c r="AF48" i="1"/>
  <c r="AE48" i="1"/>
  <c r="AD48" i="1"/>
  <c r="AC48" i="1"/>
  <c r="AB48" i="1"/>
  <c r="AA48" i="1"/>
  <c r="Z48" i="1"/>
  <c r="Y48" i="1"/>
  <c r="X48" i="1"/>
  <c r="V48" i="1"/>
  <c r="U48" i="1"/>
  <c r="T48" i="1"/>
  <c r="S48" i="1"/>
  <c r="R48" i="1"/>
  <c r="Q48" i="1"/>
  <c r="P48" i="1"/>
  <c r="O48" i="1"/>
  <c r="L48" i="1"/>
  <c r="H48" i="1"/>
  <c r="AE47" i="1"/>
  <c r="AD47" i="1"/>
  <c r="AC47" i="1"/>
  <c r="AB47" i="1"/>
  <c r="AA47" i="1"/>
  <c r="Z47" i="1"/>
  <c r="Y47" i="1"/>
  <c r="X47" i="1"/>
  <c r="V47" i="1"/>
  <c r="U47" i="1"/>
  <c r="T47" i="1"/>
  <c r="S47" i="1"/>
  <c r="R47" i="1"/>
  <c r="Q47" i="1"/>
  <c r="P47" i="1"/>
  <c r="O47" i="1"/>
  <c r="K47" i="1"/>
  <c r="T46" i="1"/>
  <c r="L46" i="1"/>
  <c r="U45" i="1"/>
  <c r="E45" i="1"/>
  <c r="AG44" i="1"/>
  <c r="AF44" i="1"/>
  <c r="AB44" i="1"/>
  <c r="X44" i="1"/>
  <c r="T44" i="1"/>
  <c r="P44" i="1"/>
  <c r="N44" i="1"/>
  <c r="M44" i="1"/>
  <c r="L44" i="1"/>
  <c r="J44" i="1"/>
  <c r="I44" i="1"/>
  <c r="H44" i="1"/>
  <c r="F44" i="1"/>
  <c r="E44" i="1"/>
  <c r="AI43" i="1"/>
  <c r="AE43" i="1"/>
  <c r="AA43" i="1"/>
  <c r="W43" i="1"/>
  <c r="T43" i="1"/>
  <c r="P43" i="1"/>
  <c r="M43" i="1"/>
  <c r="L43" i="1"/>
  <c r="K43" i="1"/>
  <c r="H43" i="1"/>
  <c r="G43" i="1"/>
  <c r="F43" i="1"/>
  <c r="E43" i="1"/>
  <c r="AI41" i="1"/>
  <c r="AG41" i="1"/>
  <c r="W41" i="1"/>
  <c r="V41" i="1"/>
  <c r="C41" i="1"/>
  <c r="AI40" i="1"/>
  <c r="AI49" i="1" s="1"/>
  <c r="AG40" i="1"/>
  <c r="V40" i="1"/>
  <c r="C40" i="1"/>
  <c r="C38" i="1" s="1"/>
  <c r="AI38" i="1"/>
  <c r="AI48" i="1" s="1"/>
  <c r="AH38" i="1"/>
  <c r="AH49" i="1" s="1"/>
  <c r="W38" i="1"/>
  <c r="W49" i="1" s="1"/>
  <c r="V38" i="1"/>
  <c r="V50" i="1" s="1"/>
  <c r="U38" i="1"/>
  <c r="U50" i="1" s="1"/>
  <c r="AF37" i="1"/>
  <c r="T37" i="1"/>
  <c r="T55" i="1" s="1"/>
  <c r="N35" i="1"/>
  <c r="C35" i="1"/>
  <c r="C33" i="1" s="1"/>
  <c r="W34" i="1"/>
  <c r="N34" i="1"/>
  <c r="N33" i="1" s="1"/>
  <c r="N48" i="1" s="1"/>
  <c r="C34" i="1"/>
  <c r="M33" i="1"/>
  <c r="M48" i="1" s="1"/>
  <c r="L33" i="1"/>
  <c r="L47" i="1" s="1"/>
  <c r="K33" i="1"/>
  <c r="K48" i="1" s="1"/>
  <c r="J33" i="1"/>
  <c r="J47" i="1" s="1"/>
  <c r="I33" i="1"/>
  <c r="I48" i="1" s="1"/>
  <c r="H33" i="1"/>
  <c r="H47" i="1" s="1"/>
  <c r="G33" i="1"/>
  <c r="G48" i="1" s="1"/>
  <c r="F33" i="1"/>
  <c r="F47" i="1" s="1"/>
  <c r="E33" i="1"/>
  <c r="E48" i="1" s="1"/>
  <c r="M32" i="1"/>
  <c r="AG30" i="1"/>
  <c r="AF30" i="1"/>
  <c r="AE30" i="1"/>
  <c r="AD30" i="1"/>
  <c r="AD46" i="1" s="1"/>
  <c r="AC30" i="1"/>
  <c r="AB30" i="1"/>
  <c r="AB28" i="1" s="1"/>
  <c r="AB156" i="1" s="1"/>
  <c r="AB159" i="1" s="1"/>
  <c r="AA30" i="1"/>
  <c r="Y30" i="1"/>
  <c r="X30" i="1"/>
  <c r="W30" i="1"/>
  <c r="W28" i="1" s="1"/>
  <c r="T30" i="1"/>
  <c r="R30" i="1"/>
  <c r="Q30" i="1"/>
  <c r="N30" i="1"/>
  <c r="N46" i="1" s="1"/>
  <c r="M30" i="1"/>
  <c r="L30" i="1"/>
  <c r="K30" i="1"/>
  <c r="I30" i="1"/>
  <c r="H30" i="1"/>
  <c r="H46" i="1" s="1"/>
  <c r="G30" i="1"/>
  <c r="C30" i="1"/>
  <c r="C28" i="1" s="1"/>
  <c r="AG29" i="1"/>
  <c r="AF29" i="1"/>
  <c r="AE29" i="1"/>
  <c r="AE45" i="1" s="1"/>
  <c r="AD29" i="1"/>
  <c r="AD45" i="1" s="1"/>
  <c r="AC29" i="1"/>
  <c r="AC28" i="1" s="1"/>
  <c r="AC156" i="1" s="1"/>
  <c r="AC159" i="1" s="1"/>
  <c r="AB29" i="1"/>
  <c r="AB45" i="1" s="1"/>
  <c r="AA29" i="1"/>
  <c r="AA45" i="1" s="1"/>
  <c r="Y29" i="1"/>
  <c r="Y28" i="1" s="1"/>
  <c r="X29" i="1"/>
  <c r="W29" i="1"/>
  <c r="T29" i="1"/>
  <c r="T45" i="1" s="1"/>
  <c r="S29" i="1"/>
  <c r="S45" i="1" s="1"/>
  <c r="Q29" i="1"/>
  <c r="Q28" i="1" s="1"/>
  <c r="Q156" i="1" s="1"/>
  <c r="Q159" i="1" s="1"/>
  <c r="P29" i="1"/>
  <c r="P45" i="1" s="1"/>
  <c r="O29" i="1"/>
  <c r="O45" i="1" s="1"/>
  <c r="N29" i="1"/>
  <c r="N45" i="1" s="1"/>
  <c r="M29" i="1"/>
  <c r="M28" i="1" s="1"/>
  <c r="M156" i="1" s="1"/>
  <c r="M159" i="1" s="1"/>
  <c r="L29" i="1"/>
  <c r="L45" i="1" s="1"/>
  <c r="K29" i="1"/>
  <c r="K45" i="1" s="1"/>
  <c r="J29" i="1"/>
  <c r="J45" i="1" s="1"/>
  <c r="I29" i="1"/>
  <c r="I28" i="1" s="1"/>
  <c r="G29" i="1"/>
  <c r="C29" i="1"/>
  <c r="AI28" i="1"/>
  <c r="AI46" i="1" s="1"/>
  <c r="AH28" i="1"/>
  <c r="AH46" i="1" s="1"/>
  <c r="AE28" i="1"/>
  <c r="AE156" i="1" s="1"/>
  <c r="AE159" i="1" s="1"/>
  <c r="AD28" i="1"/>
  <c r="AD156" i="1" s="1"/>
  <c r="AD159" i="1" s="1"/>
  <c r="AA28" i="1"/>
  <c r="AA156" i="1" s="1"/>
  <c r="AA159" i="1" s="1"/>
  <c r="Z28" i="1"/>
  <c r="Z156" i="1" s="1"/>
  <c r="Z159" i="1" s="1"/>
  <c r="V28" i="1"/>
  <c r="V156" i="1" s="1"/>
  <c r="V159" i="1" s="1"/>
  <c r="U28" i="1"/>
  <c r="T28" i="1"/>
  <c r="T156" i="1" s="1"/>
  <c r="T159" i="1" s="1"/>
  <c r="S28" i="1"/>
  <c r="R28" i="1"/>
  <c r="R156" i="1" s="1"/>
  <c r="R159" i="1" s="1"/>
  <c r="P28" i="1"/>
  <c r="P156" i="1" s="1"/>
  <c r="P159" i="1" s="1"/>
  <c r="O28" i="1"/>
  <c r="O46" i="1" s="1"/>
  <c r="N28" i="1"/>
  <c r="L28" i="1"/>
  <c r="L156" i="1" s="1"/>
  <c r="L159" i="1" s="1"/>
  <c r="K28" i="1"/>
  <c r="J28" i="1"/>
  <c r="J46" i="1" s="1"/>
  <c r="H28" i="1"/>
  <c r="H156" i="1" s="1"/>
  <c r="H159" i="1" s="1"/>
  <c r="G28" i="1"/>
  <c r="G45" i="1" s="1"/>
  <c r="F28" i="1"/>
  <c r="F46" i="1" s="1"/>
  <c r="E28" i="1"/>
  <c r="E46" i="1" s="1"/>
  <c r="AI26" i="1"/>
  <c r="AI44" i="1" s="1"/>
  <c r="AH26" i="1"/>
  <c r="AH44" i="1" s="1"/>
  <c r="AG26" i="1"/>
  <c r="AF26" i="1"/>
  <c r="AE26" i="1"/>
  <c r="AE44" i="1" s="1"/>
  <c r="AD26" i="1"/>
  <c r="AD44" i="1" s="1"/>
  <c r="AC26" i="1"/>
  <c r="AB26" i="1"/>
  <c r="AA26" i="1"/>
  <c r="AA44" i="1" s="1"/>
  <c r="Z26" i="1"/>
  <c r="Z44" i="1" s="1"/>
  <c r="Y26" i="1"/>
  <c r="X26" i="1"/>
  <c r="W26" i="1"/>
  <c r="W44" i="1" s="1"/>
  <c r="V26" i="1"/>
  <c r="V44" i="1" s="1"/>
  <c r="U26" i="1"/>
  <c r="S26" i="1"/>
  <c r="S44" i="1" s="1"/>
  <c r="R26" i="1"/>
  <c r="R44" i="1" s="1"/>
  <c r="Q26" i="1"/>
  <c r="Q58" i="1" s="1"/>
  <c r="P26" i="1"/>
  <c r="M26" i="1"/>
  <c r="L26" i="1"/>
  <c r="K26" i="1"/>
  <c r="K44" i="1" s="1"/>
  <c r="J26" i="1"/>
  <c r="I26" i="1"/>
  <c r="G26" i="1"/>
  <c r="G44" i="1" s="1"/>
  <c r="C26" i="1"/>
  <c r="AI25" i="1"/>
  <c r="AI58" i="1" s="1"/>
  <c r="AH25" i="1"/>
  <c r="AG25" i="1"/>
  <c r="AG58" i="1" s="1"/>
  <c r="AF25" i="1"/>
  <c r="AF58" i="1" s="1"/>
  <c r="AE25" i="1"/>
  <c r="AD25" i="1"/>
  <c r="AC25" i="1"/>
  <c r="AC43" i="1" s="1"/>
  <c r="AB25" i="1"/>
  <c r="AB58" i="1" s="1"/>
  <c r="AA25" i="1"/>
  <c r="AA58" i="1" s="1"/>
  <c r="Z25" i="1"/>
  <c r="Y25" i="1"/>
  <c r="Y58" i="1" s="1"/>
  <c r="X25" i="1"/>
  <c r="X58" i="1" s="1"/>
  <c r="W25" i="1"/>
  <c r="V25" i="1"/>
  <c r="U25" i="1"/>
  <c r="U43" i="1" s="1"/>
  <c r="S25" i="1"/>
  <c r="S58" i="1" s="1"/>
  <c r="R25" i="1"/>
  <c r="P25" i="1"/>
  <c r="P58" i="1" s="1"/>
  <c r="O25" i="1"/>
  <c r="O58" i="1" s="1"/>
  <c r="N25" i="1"/>
  <c r="N58" i="1" s="1"/>
  <c r="L25" i="1"/>
  <c r="K25" i="1"/>
  <c r="K58" i="1" s="1"/>
  <c r="J25" i="1"/>
  <c r="J58" i="1" s="1"/>
  <c r="I25" i="1"/>
  <c r="I58" i="1" s="1"/>
  <c r="G25" i="1"/>
  <c r="AI19" i="1"/>
  <c r="AH19" i="1"/>
  <c r="AH57" i="1" s="1"/>
  <c r="AG19" i="1"/>
  <c r="AF19" i="1"/>
  <c r="AF53" i="1" s="1"/>
  <c r="AD19" i="1"/>
  <c r="AD154" i="1" s="1"/>
  <c r="AC19" i="1"/>
  <c r="AC58" i="1" s="1"/>
  <c r="AB19" i="1"/>
  <c r="AB154" i="1" s="1"/>
  <c r="AA19" i="1"/>
  <c r="Z19" i="1"/>
  <c r="Z154" i="1" s="1"/>
  <c r="Y19" i="1"/>
  <c r="X19" i="1"/>
  <c r="X154" i="1" s="1"/>
  <c r="W19" i="1"/>
  <c r="V19" i="1"/>
  <c r="V154" i="1" s="1"/>
  <c r="U19" i="1"/>
  <c r="U37" i="1" s="1"/>
  <c r="U55" i="1" s="1"/>
  <c r="T19" i="1"/>
  <c r="S19" i="1"/>
  <c r="Q19" i="1"/>
  <c r="O19" i="1"/>
  <c r="N19" i="1"/>
  <c r="N57" i="1" s="1"/>
  <c r="L19" i="1"/>
  <c r="L154" i="1" s="1"/>
  <c r="C19" i="1"/>
  <c r="C25" i="1" s="1"/>
  <c r="AI15" i="1"/>
  <c r="AH15" i="1"/>
  <c r="AG15" i="1"/>
  <c r="AF15" i="1"/>
  <c r="AE15" i="1"/>
  <c r="AD15" i="1"/>
  <c r="AC15" i="1"/>
  <c r="AB15" i="1"/>
  <c r="AA15" i="1"/>
  <c r="Z15" i="1"/>
  <c r="Y15" i="1"/>
  <c r="X15" i="1"/>
  <c r="W15" i="1"/>
  <c r="V15" i="1"/>
  <c r="U15" i="1"/>
  <c r="T15" i="1"/>
  <c r="S15" i="1"/>
  <c r="R15" i="1"/>
  <c r="Q15" i="1"/>
  <c r="P15" i="1"/>
  <c r="O15" i="1"/>
  <c r="N15" i="1"/>
  <c r="M15" i="1"/>
  <c r="L15" i="1"/>
  <c r="K15" i="1"/>
  <c r="J15" i="1"/>
  <c r="I15" i="1"/>
  <c r="H15" i="1"/>
  <c r="G15" i="1"/>
  <c r="F15" i="1"/>
  <c r="E15" i="1"/>
  <c r="AI14" i="1"/>
  <c r="AH14" i="1"/>
  <c r="AG14" i="1"/>
  <c r="AF14" i="1"/>
  <c r="AE14" i="1"/>
  <c r="AD14" i="1"/>
  <c r="AC14" i="1"/>
  <c r="AB14" i="1"/>
  <c r="AA14" i="1"/>
  <c r="Z14" i="1"/>
  <c r="Y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AI10" i="1"/>
  <c r="AH10" i="1"/>
  <c r="AG10" i="1"/>
  <c r="AF10" i="1"/>
  <c r="AE10" i="1"/>
  <c r="AD10" i="1"/>
  <c r="AC10" i="1"/>
  <c r="AB10" i="1"/>
  <c r="AA10" i="1"/>
  <c r="Z10" i="1"/>
  <c r="Y10" i="1"/>
  <c r="X10" i="1"/>
  <c r="W10" i="1"/>
  <c r="V10" i="1"/>
  <c r="U10" i="1"/>
  <c r="T10" i="1"/>
  <c r="S10" i="1"/>
  <c r="R10" i="1"/>
  <c r="Q10" i="1"/>
  <c r="P10" i="1"/>
  <c r="O10" i="1"/>
  <c r="N10" i="1"/>
  <c r="M10" i="1"/>
  <c r="L10" i="1"/>
  <c r="K10" i="1"/>
  <c r="J10" i="1"/>
  <c r="I10" i="1"/>
  <c r="H10" i="1"/>
  <c r="G10" i="1"/>
  <c r="F10" i="1"/>
  <c r="E10" i="1"/>
  <c r="AI6" i="1"/>
  <c r="AH6" i="1"/>
  <c r="AG6" i="1"/>
  <c r="AF6" i="1"/>
  <c r="AE6" i="1"/>
  <c r="AD6" i="1"/>
  <c r="AC6" i="1"/>
  <c r="AB6" i="1"/>
  <c r="AA6" i="1"/>
  <c r="Z6" i="1"/>
  <c r="Y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Y156" i="1" l="1"/>
  <c r="Y159" i="1" s="1"/>
  <c r="Y45" i="1"/>
  <c r="W156" i="1"/>
  <c r="W159" i="1" s="1"/>
  <c r="W45" i="1"/>
  <c r="AF46" i="1"/>
  <c r="O57" i="1"/>
  <c r="O53" i="1"/>
  <c r="Y53" i="1"/>
  <c r="Y57" i="1"/>
  <c r="Y154" i="1"/>
  <c r="S43" i="1"/>
  <c r="I45" i="1"/>
  <c r="Q45" i="1"/>
  <c r="T53" i="1"/>
  <c r="AH53" i="1"/>
  <c r="U58" i="1"/>
  <c r="Q53" i="1"/>
  <c r="Q57" i="1"/>
  <c r="Q154" i="1"/>
  <c r="AI57" i="1"/>
  <c r="K46" i="1"/>
  <c r="AC46" i="1"/>
  <c r="AI50" i="1"/>
  <c r="X43" i="1"/>
  <c r="AF43" i="1"/>
  <c r="Q44" i="1"/>
  <c r="Y44" i="1"/>
  <c r="F45" i="1"/>
  <c r="R45" i="1"/>
  <c r="AB46" i="1"/>
  <c r="F48" i="1"/>
  <c r="AD53" i="1"/>
  <c r="I46" i="1"/>
  <c r="N47" i="1"/>
  <c r="AH37" i="1"/>
  <c r="AH45" i="1"/>
  <c r="Z46" i="1"/>
  <c r="Q46" i="1"/>
  <c r="Z45" i="1"/>
  <c r="AI45" i="1"/>
  <c r="E47" i="1"/>
  <c r="W58" i="1"/>
  <c r="AE58" i="1"/>
  <c r="S57" i="1"/>
  <c r="S154" i="1"/>
  <c r="S53" i="1"/>
  <c r="AA57" i="1"/>
  <c r="AA154" i="1"/>
  <c r="AA53" i="1"/>
  <c r="Z58" i="1"/>
  <c r="AD58" i="1"/>
  <c r="X28" i="1"/>
  <c r="X156" i="1" s="1"/>
  <c r="X159" i="1" s="1"/>
  <c r="AF28" i="1"/>
  <c r="G46" i="1"/>
  <c r="Y46" i="1"/>
  <c r="W33" i="1"/>
  <c r="W48" i="1" s="1"/>
  <c r="AF55" i="1"/>
  <c r="AF47" i="1"/>
  <c r="AG38" i="1"/>
  <c r="AG48" i="1" s="1"/>
  <c r="V49" i="1"/>
  <c r="I43" i="1"/>
  <c r="Q43" i="1"/>
  <c r="Y43" i="1"/>
  <c r="AG43" i="1"/>
  <c r="V46" i="1"/>
  <c r="G47" i="1"/>
  <c r="X53" i="1"/>
  <c r="V57" i="1"/>
  <c r="AD57" i="1"/>
  <c r="U53" i="1"/>
  <c r="U57" i="1"/>
  <c r="U154" i="1"/>
  <c r="AC53" i="1"/>
  <c r="AC57" i="1"/>
  <c r="AC154" i="1"/>
  <c r="W46" i="1"/>
  <c r="O43" i="1"/>
  <c r="M45" i="1"/>
  <c r="AC45" i="1"/>
  <c r="R46" i="1"/>
  <c r="M60" i="1"/>
  <c r="M53" i="1"/>
  <c r="S156" i="1"/>
  <c r="S159" i="1" s="1"/>
  <c r="S46" i="1"/>
  <c r="AI37" i="1"/>
  <c r="AI53" i="1" s="1"/>
  <c r="AB43" i="1"/>
  <c r="U44" i="1"/>
  <c r="AC44" i="1"/>
  <c r="V45" i="1"/>
  <c r="M47" i="1"/>
  <c r="V53" i="1"/>
  <c r="W57" i="1"/>
  <c r="W154" i="1"/>
  <c r="W53" i="1"/>
  <c r="V58" i="1"/>
  <c r="AH58" i="1"/>
  <c r="T154" i="1"/>
  <c r="T58" i="1"/>
  <c r="AG53" i="1"/>
  <c r="AG57" i="1"/>
  <c r="L58" i="1"/>
  <c r="R58" i="1"/>
  <c r="U156" i="1"/>
  <c r="U159" i="1" s="1"/>
  <c r="U46" i="1"/>
  <c r="AG28" i="1"/>
  <c r="AG46" i="1" s="1"/>
  <c r="AF45" i="1"/>
  <c r="M46" i="1"/>
  <c r="AA46" i="1"/>
  <c r="AE46" i="1"/>
  <c r="AG37" i="1"/>
  <c r="W50" i="1"/>
  <c r="J43" i="1"/>
  <c r="N43" i="1"/>
  <c r="R43" i="1"/>
  <c r="V43" i="1"/>
  <c r="Z43" i="1"/>
  <c r="AD43" i="1"/>
  <c r="AH43" i="1"/>
  <c r="O44" i="1"/>
  <c r="H45" i="1"/>
  <c r="P46" i="1"/>
  <c r="I47" i="1"/>
  <c r="J48" i="1"/>
  <c r="AH48" i="1"/>
  <c r="AH50" i="1"/>
  <c r="Z53" i="1"/>
  <c r="X57" i="1"/>
  <c r="AG50" i="1" l="1"/>
  <c r="AG55" i="1"/>
  <c r="AG47" i="1"/>
  <c r="AH55" i="1"/>
  <c r="AH47" i="1"/>
  <c r="AG49" i="1"/>
  <c r="AG45" i="1"/>
  <c r="AI55" i="1"/>
  <c r="AI47" i="1"/>
  <c r="W47" i="1"/>
  <c r="X46" i="1"/>
  <c r="X45" i="1"/>
</calcChain>
</file>

<file path=xl/sharedStrings.xml><?xml version="1.0" encoding="utf-8"?>
<sst xmlns="http://schemas.openxmlformats.org/spreadsheetml/2006/main" count="317" uniqueCount="109">
  <si>
    <t>No</t>
  </si>
  <si>
    <t>ITEM</t>
  </si>
  <si>
    <t>Budget / Norma</t>
  </si>
  <si>
    <t>UoM</t>
  </si>
  <si>
    <t>Januari</t>
  </si>
  <si>
    <t>Incoming CPO (Group) WB</t>
  </si>
  <si>
    <t>D/O Weight</t>
  </si>
  <si>
    <t>Kg</t>
  </si>
  <si>
    <t>Receiving Weight</t>
  </si>
  <si>
    <t>Transportation (Loss)/Gain</t>
  </si>
  <si>
    <t>%</t>
  </si>
  <si>
    <t>Incoming CPO (Group) Piping Line</t>
  </si>
  <si>
    <t>Delivery (base on Sounding)</t>
  </si>
  <si>
    <t>Receiving (base on Sounding)</t>
  </si>
  <si>
    <t>Transfer (Loss)/Gain</t>
  </si>
  <si>
    <t>Incoming CPO (Swasta) WB</t>
  </si>
  <si>
    <t>Total  Received</t>
  </si>
  <si>
    <t>PRODUCTION</t>
  </si>
  <si>
    <t>Refinery</t>
  </si>
  <si>
    <t>Running Days</t>
  </si>
  <si>
    <t>Day</t>
  </si>
  <si>
    <t>CPO Consume</t>
  </si>
  <si>
    <t>COL Consume</t>
  </si>
  <si>
    <t>- FFA</t>
  </si>
  <si>
    <t>- Moist &amp; Impurities</t>
  </si>
  <si>
    <t>- DOBI</t>
  </si>
  <si>
    <t>2,20 Min</t>
  </si>
  <si>
    <t>Product</t>
  </si>
  <si>
    <t>RbdPO</t>
  </si>
  <si>
    <t>PFAD</t>
  </si>
  <si>
    <t>Fractionation OLEIN IV 56</t>
  </si>
  <si>
    <t>RBDPO Consume</t>
  </si>
  <si>
    <t>OLEIN IV 56</t>
  </si>
  <si>
    <t>STEARIN</t>
  </si>
  <si>
    <t>Fractionation OLEIN IV 58</t>
  </si>
  <si>
    <t>RBDPO Brand Consume</t>
  </si>
  <si>
    <t>OLEIN IV 58</t>
  </si>
  <si>
    <t>Fractionation OLEIN IV 60</t>
  </si>
  <si>
    <t>OLEIN IV 60 Bulk</t>
  </si>
  <si>
    <t>OLEIN IV 60 Salvaco</t>
  </si>
  <si>
    <t>SOFT STEARIN</t>
  </si>
  <si>
    <t>YIELD</t>
  </si>
  <si>
    <t xml:space="preserve">RBDPO </t>
  </si>
  <si>
    <t>Olein IV 56</t>
  </si>
  <si>
    <t>Stearin</t>
  </si>
  <si>
    <t>Olein IV 58</t>
  </si>
  <si>
    <t>Olein IV 60</t>
  </si>
  <si>
    <t>Soft Stearin</t>
  </si>
  <si>
    <t>CHEMICAL CONSUMABLE</t>
  </si>
  <si>
    <t>Bleaching Earth (BE) to Poram Spec</t>
  </si>
  <si>
    <t xml:space="preserve">Kg </t>
  </si>
  <si>
    <t>Bleaching Earth (BE) to Branded Spec</t>
  </si>
  <si>
    <t>Phosporic Acid (PA)</t>
  </si>
  <si>
    <t>Oil Losses</t>
  </si>
  <si>
    <t>% Oil Content</t>
  </si>
  <si>
    <t>Spent Bleaching Earth</t>
  </si>
  <si>
    <t>PACKAGING (Brand Salvaco)</t>
  </si>
  <si>
    <t>Olein IV 60 Received</t>
  </si>
  <si>
    <t>Olein IV 60 Consume</t>
  </si>
  <si>
    <t>- finished product</t>
  </si>
  <si>
    <t>- sample</t>
  </si>
  <si>
    <t>- remelt, flushing, downgrade</t>
  </si>
  <si>
    <t>Carton</t>
  </si>
  <si>
    <t>Salvaco 1 Liter</t>
  </si>
  <si>
    <t>Box</t>
  </si>
  <si>
    <t>Salvaco 2 Liter</t>
  </si>
  <si>
    <t>Pouch</t>
  </si>
  <si>
    <t>Consumable Vit. A</t>
  </si>
  <si>
    <t>gram</t>
  </si>
  <si>
    <t>Consumable Packing Tape</t>
  </si>
  <si>
    <t>Roll</t>
  </si>
  <si>
    <t>REJECT MATERIAL QTY</t>
  </si>
  <si>
    <t>REJECT MATERIAL (%)</t>
  </si>
  <si>
    <t>PACKAGING (Brand Nusakita)</t>
  </si>
  <si>
    <t>Nusakita 1 Liter</t>
  </si>
  <si>
    <t>Nusakita 2 Liter</t>
  </si>
  <si>
    <t>PACKAGING (Brand INL Pillow Pack)</t>
  </si>
  <si>
    <t>Olein IV 58 Received</t>
  </si>
  <si>
    <t>Olein IV 58 Consume</t>
  </si>
  <si>
    <t xml:space="preserve">INL 450 mL    </t>
  </si>
  <si>
    <t xml:space="preserve">INL 900 mL  </t>
  </si>
  <si>
    <t xml:space="preserve">INL 1800 mL </t>
  </si>
  <si>
    <t>GAS CONSUMPTION</t>
  </si>
  <si>
    <t>Incoming *based on INL</t>
  </si>
  <si>
    <t>mmbtu</t>
  </si>
  <si>
    <t>Incoming *based on Pertagas</t>
  </si>
  <si>
    <t>Outgoing</t>
  </si>
  <si>
    <t>HP Boiler Refinery</t>
  </si>
  <si>
    <t>MP Boiler 1, 2</t>
  </si>
  <si>
    <t>Total</t>
  </si>
  <si>
    <t>STEAM CONSUMPTION</t>
  </si>
  <si>
    <t>Incoming</t>
  </si>
  <si>
    <t>Distribution to</t>
  </si>
  <si>
    <t>Fractionation</t>
  </si>
  <si>
    <t>Others</t>
  </si>
  <si>
    <t>WATER CONSUMPTION</t>
  </si>
  <si>
    <t>Incoming from Kinra</t>
  </si>
  <si>
    <r>
      <t>m</t>
    </r>
    <r>
      <rPr>
        <vertAlign val="superscript"/>
        <sz val="11"/>
        <color theme="1"/>
        <rFont val="Arial"/>
        <family val="2"/>
      </rPr>
      <t>3</t>
    </r>
  </si>
  <si>
    <t>Softener Product (to Refinery)</t>
  </si>
  <si>
    <t>Softener Product (to Fractionation)</t>
  </si>
  <si>
    <t>RO Product</t>
  </si>
  <si>
    <t>Waste Water (Effluent)</t>
  </si>
  <si>
    <t>POWER CONSUMPTION</t>
  </si>
  <si>
    <t>PLN</t>
  </si>
  <si>
    <t>Kwh</t>
  </si>
  <si>
    <t xml:space="preserve"> kWH </t>
  </si>
  <si>
    <t xml:space="preserve">OUTGOING LOKAL </t>
  </si>
  <si>
    <t>RBDPO</t>
  </si>
  <si>
    <t xml:space="preserve">OUTGOING EKSPORT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</si>
</sst>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-* #,##0_-;\-* #,##0_-;_-* &quot;-&quot;_-;_-@_-"/>
    <numFmt numFmtId="43" formatCode="_-* #,##0.00_-;\-* #,##0.00_-;_-* &quot;-&quot;??_-;_-@_-"/>
    <numFmt numFmtId="165" formatCode="_(* #,##0_);_(* \(#,##0\);_(* &quot;-&quot;??_);_(@_)"/>
    <numFmt numFmtId="166" formatCode="_-* #,##0.00_-;\-* #,##0.00_-;_-* &quot;-&quot;_-;_-@_-"/>
    <numFmt numFmtId="167" formatCode="_(* #.##0_);_(* \(#.##0\);_(* &quot;-&quot;??_);_(@_)"/>
    <numFmt numFmtId="168" formatCode="_(* #,##0.000_);_(* \(#,##0.000\);_(* &quot;-&quot;??.00_);_(@_)"/>
    <numFmt numFmtId="169" formatCode="_(* #,##0.00_);_(* \(#,##0.00\);_(* &quot;-&quot;??.0_);_(@_)"/>
    <numFmt numFmtId="170" formatCode="_(* #,##0.0_);_(* \(#,##0.0\);_(* &quot;-&quot;??.0_);_(@_)"/>
    <numFmt numFmtId="171" formatCode="_(* #,##0.0000_);_(* \(#,##0.0000\);_(* &quot;-&quot;??.00_);_(@_)"/>
    <numFmt numFmtId="172" formatCode="_(* #,##0.0000_);_(* \(#,##0.0000\);_(* &quot;-&quot;??_);_(@_)"/>
    <numFmt numFmtId="173" formatCode="_(* #,##0.0_);_(* \(#,##0.0\);_(* &quot;-&quot;??_);_(@_)"/>
    <numFmt numFmtId="174" formatCode="_(* #,##0.0000_);_(* \(#,##0.0000\);_(* &quot;-&quot;??.000_);_(@_)"/>
    <numFmt numFmtId="175" formatCode="_(* #,##0.0000_);_(* \(#,##0.0000\);_(* &quot;-&quot;??.0000_);_(@_)"/>
  </numFmts>
  <fonts count="14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8" tint="-0.249977111117893"/>
      <name val="Arial"/>
      <family val="2"/>
    </font>
    <font>
      <b/>
      <u/>
      <sz val="11"/>
      <color theme="1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1"/>
      <color rgb="FFFF0000"/>
      <name val="Arial"/>
      <family val="2"/>
    </font>
    <font>
      <b/>
      <i/>
      <sz val="11"/>
      <color theme="1"/>
      <name val="Arial"/>
      <family val="2"/>
    </font>
    <font>
      <u/>
      <sz val="11"/>
      <color theme="1"/>
      <name val="Arial"/>
      <family val="2"/>
    </font>
    <font>
      <sz val="11"/>
      <color theme="8"/>
      <name val="Arial"/>
      <family val="2"/>
    </font>
    <font>
      <i/>
      <sz val="11"/>
      <color theme="1"/>
      <name val="Arial"/>
      <family val="2"/>
    </font>
    <font>
      <vertAlign val="superscript"/>
      <sz val="11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4" tint="0.7999511703848384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dashed">
        <color auto="1"/>
      </top>
      <bottom/>
      <diagonal/>
    </border>
    <border>
      <left style="thin">
        <color auto="1"/>
      </left>
      <right style="thin">
        <color auto="1"/>
      </right>
      <top style="dotted">
        <color auto="1"/>
      </top>
      <bottom/>
      <diagonal/>
    </border>
    <border>
      <left style="thin">
        <color auto="1"/>
      </left>
      <right style="thin">
        <color auto="1"/>
      </right>
      <top/>
      <bottom style="dashed">
        <color auto="1"/>
      </bottom>
      <diagonal/>
    </border>
    <border>
      <left/>
      <right style="thin">
        <color auto="1"/>
      </right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192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8" xfId="0" applyFont="1" applyFill="1" applyBorder="1" applyAlignment="1">
      <alignment horizontal="center" vertical="top"/>
    </xf>
    <xf numFmtId="0" fontId="2" fillId="4" borderId="3" xfId="0" applyFont="1" applyFill="1" applyBorder="1" applyAlignment="1">
      <alignment vertical="center"/>
    </xf>
    <xf numFmtId="0" fontId="3" fillId="3" borderId="3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165" fontId="3" fillId="0" borderId="3" xfId="1" applyNumberFormat="1" applyFont="1" applyFill="1" applyBorder="1" applyAlignment="1">
      <alignment horizontal="right" vertical="center"/>
    </xf>
    <xf numFmtId="165" fontId="3" fillId="4" borderId="3" xfId="1" applyNumberFormat="1" applyFont="1" applyFill="1" applyBorder="1" applyAlignment="1">
      <alignment horizontal="right" vertical="center"/>
    </xf>
    <xf numFmtId="0" fontId="3" fillId="0" borderId="8" xfId="0" applyFont="1" applyBorder="1" applyAlignment="1">
      <alignment vertical="center"/>
    </xf>
    <xf numFmtId="0" fontId="3" fillId="3" borderId="8" xfId="0" applyFont="1" applyFill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165" fontId="3" fillId="0" borderId="8" xfId="1" applyNumberFormat="1" applyFont="1" applyFill="1" applyBorder="1" applyAlignment="1">
      <alignment horizontal="right" vertical="center"/>
    </xf>
    <xf numFmtId="165" fontId="3" fillId="4" borderId="8" xfId="1" applyNumberFormat="1" applyFont="1" applyFill="1" applyBorder="1" applyAlignment="1">
      <alignment horizontal="right" vertical="center"/>
    </xf>
    <xf numFmtId="0" fontId="3" fillId="0" borderId="7" xfId="0" applyFont="1" applyBorder="1" applyAlignment="1">
      <alignment vertical="center"/>
    </xf>
    <xf numFmtId="0" fontId="3" fillId="3" borderId="7" xfId="0" applyFont="1" applyFill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43" fontId="4" fillId="0" borderId="7" xfId="1" applyFont="1" applyFill="1" applyBorder="1" applyAlignment="1">
      <alignment horizontal="right" vertical="center"/>
    </xf>
    <xf numFmtId="43" fontId="4" fillId="4" borderId="7" xfId="1" applyFont="1" applyFill="1" applyBorder="1" applyAlignment="1">
      <alignment horizontal="right" vertical="center"/>
    </xf>
    <xf numFmtId="0" fontId="2" fillId="4" borderId="8" xfId="0" applyFont="1" applyFill="1" applyBorder="1" applyAlignment="1">
      <alignment vertical="center"/>
    </xf>
    <xf numFmtId="43" fontId="4" fillId="0" borderId="8" xfId="1" applyFont="1" applyFill="1" applyBorder="1" applyAlignment="1">
      <alignment horizontal="right" vertical="center"/>
    </xf>
    <xf numFmtId="43" fontId="4" fillId="4" borderId="8" xfId="1" applyFont="1" applyFill="1" applyBorder="1" applyAlignment="1">
      <alignment horizontal="right" vertical="center"/>
    </xf>
    <xf numFmtId="0" fontId="2" fillId="0" borderId="1" xfId="0" applyFont="1" applyBorder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5" fontId="2" fillId="0" borderId="1" xfId="1" applyNumberFormat="1" applyFont="1" applyFill="1" applyBorder="1" applyAlignment="1">
      <alignment horizontal="right" vertical="center"/>
    </xf>
    <xf numFmtId="165" fontId="2" fillId="4" borderId="1" xfId="1" applyNumberFormat="1" applyFont="1" applyFill="1" applyBorder="1" applyAlignment="1">
      <alignment horizontal="right" vertical="center"/>
    </xf>
    <xf numFmtId="0" fontId="2" fillId="0" borderId="3" xfId="0" applyFont="1" applyBorder="1" applyAlignment="1">
      <alignment horizontal="center"/>
    </xf>
    <xf numFmtId="0" fontId="3" fillId="4" borderId="3" xfId="0" applyFont="1" applyFill="1" applyBorder="1" applyAlignment="1">
      <alignment horizontal="center" vertical="center"/>
    </xf>
    <xf numFmtId="165" fontId="3" fillId="4" borderId="3" xfId="1" applyNumberFormat="1" applyFont="1" applyFill="1" applyBorder="1"/>
    <xf numFmtId="0" fontId="2" fillId="0" borderId="8" xfId="0" applyFont="1" applyBorder="1" applyAlignment="1">
      <alignment horizontal="center"/>
    </xf>
    <xf numFmtId="0" fontId="5" fillId="0" borderId="3" xfId="0" applyFont="1" applyBorder="1" applyAlignment="1">
      <alignment vertical="center"/>
    </xf>
    <xf numFmtId="165" fontId="3" fillId="0" borderId="3" xfId="1" applyNumberFormat="1" applyFont="1" applyFill="1" applyBorder="1"/>
    <xf numFmtId="43" fontId="3" fillId="0" borderId="3" xfId="1" applyFont="1" applyFill="1" applyBorder="1"/>
    <xf numFmtId="165" fontId="2" fillId="0" borderId="3" xfId="1" applyNumberFormat="1" applyFont="1" applyFill="1" applyBorder="1"/>
    <xf numFmtId="165" fontId="2" fillId="4" borderId="3" xfId="1" applyNumberFormat="1" applyFont="1" applyFill="1" applyBorder="1"/>
    <xf numFmtId="165" fontId="3" fillId="0" borderId="8" xfId="1" applyNumberFormat="1" applyFont="1" applyFill="1" applyBorder="1"/>
    <xf numFmtId="165" fontId="3" fillId="4" borderId="8" xfId="1" applyNumberFormat="1" applyFont="1" applyFill="1" applyBorder="1"/>
    <xf numFmtId="0" fontId="3" fillId="6" borderId="8" xfId="0" applyFont="1" applyFill="1" applyBorder="1"/>
    <xf numFmtId="165" fontId="3" fillId="3" borderId="8" xfId="1" applyNumberFormat="1" applyFont="1" applyFill="1" applyBorder="1" applyAlignment="1">
      <alignment horizontal="center"/>
    </xf>
    <xf numFmtId="0" fontId="3" fillId="6" borderId="8" xfId="0" applyFont="1" applyFill="1" applyBorder="1" applyAlignment="1">
      <alignment horizontal="center"/>
    </xf>
    <xf numFmtId="165" fontId="3" fillId="6" borderId="8" xfId="1" applyNumberFormat="1" applyFont="1" applyFill="1" applyBorder="1"/>
    <xf numFmtId="0" fontId="6" fillId="0" borderId="8" xfId="0" applyFont="1" applyBorder="1" applyAlignment="1">
      <alignment horizontal="center"/>
    </xf>
    <xf numFmtId="0" fontId="7" fillId="0" borderId="8" xfId="0" quotePrefix="1" applyFont="1" applyBorder="1"/>
    <xf numFmtId="43" fontId="7" fillId="3" borderId="8" xfId="1" applyFont="1" applyFill="1" applyBorder="1" applyAlignment="1">
      <alignment horizontal="center"/>
    </xf>
    <xf numFmtId="0" fontId="7" fillId="0" borderId="8" xfId="0" applyFont="1" applyBorder="1" applyAlignment="1">
      <alignment horizontal="center"/>
    </xf>
    <xf numFmtId="166" fontId="3" fillId="0" borderId="8" xfId="2" applyNumberFormat="1" applyFont="1" applyFill="1" applyBorder="1"/>
    <xf numFmtId="166" fontId="3" fillId="4" borderId="8" xfId="2" applyNumberFormat="1" applyFont="1" applyFill="1" applyBorder="1"/>
    <xf numFmtId="166" fontId="8" fillId="0" borderId="8" xfId="2" applyNumberFormat="1" applyFont="1" applyFill="1" applyBorder="1"/>
    <xf numFmtId="0" fontId="3" fillId="0" borderId="8" xfId="0" quotePrefix="1" applyFont="1" applyBorder="1"/>
    <xf numFmtId="43" fontId="3" fillId="3" borderId="8" xfId="1" applyFont="1" applyFill="1" applyBorder="1" applyAlignment="1">
      <alignment horizontal="center"/>
    </xf>
    <xf numFmtId="0" fontId="3" fillId="0" borderId="8" xfId="0" applyFont="1" applyBorder="1" applyAlignment="1">
      <alignment horizontal="center"/>
    </xf>
    <xf numFmtId="43" fontId="3" fillId="3" borderId="8" xfId="1" applyFont="1" applyFill="1" applyBorder="1" applyAlignment="1">
      <alignment horizontal="right"/>
    </xf>
    <xf numFmtId="166" fontId="7" fillId="0" borderId="8" xfId="2" applyNumberFormat="1" applyFont="1" applyFill="1" applyBorder="1"/>
    <xf numFmtId="166" fontId="7" fillId="4" borderId="8" xfId="2" applyNumberFormat="1" applyFont="1" applyFill="1" applyBorder="1"/>
    <xf numFmtId="0" fontId="9" fillId="5" borderId="8" xfId="0" applyFont="1" applyFill="1" applyBorder="1"/>
    <xf numFmtId="0" fontId="3" fillId="3" borderId="8" xfId="0" applyFont="1" applyFill="1" applyBorder="1" applyAlignment="1">
      <alignment horizontal="center"/>
    </xf>
    <xf numFmtId="0" fontId="3" fillId="5" borderId="8" xfId="0" applyFont="1" applyFill="1" applyBorder="1" applyAlignment="1">
      <alignment horizontal="center"/>
    </xf>
    <xf numFmtId="0" fontId="3" fillId="6" borderId="8" xfId="0" quotePrefix="1" applyFont="1" applyFill="1" applyBorder="1"/>
    <xf numFmtId="0" fontId="3" fillId="6" borderId="8" xfId="0" quotePrefix="1" applyFont="1" applyFill="1" applyBorder="1" applyAlignment="1">
      <alignment horizontal="center"/>
    </xf>
    <xf numFmtId="0" fontId="5" fillId="0" borderId="3" xfId="0" applyFont="1" applyBorder="1"/>
    <xf numFmtId="0" fontId="10" fillId="3" borderId="3" xfId="0" applyFont="1" applyFill="1" applyBorder="1" applyAlignment="1">
      <alignment horizontal="center"/>
    </xf>
    <xf numFmtId="0" fontId="10" fillId="0" borderId="3" xfId="0" applyFont="1" applyBorder="1" applyAlignment="1">
      <alignment horizontal="center"/>
    </xf>
    <xf numFmtId="41" fontId="3" fillId="3" borderId="8" xfId="2" applyFont="1" applyFill="1" applyBorder="1" applyAlignment="1">
      <alignment horizontal="center"/>
    </xf>
    <xf numFmtId="165" fontId="3" fillId="6" borderId="7" xfId="1" applyNumberFormat="1" applyFont="1" applyFill="1" applyBorder="1"/>
    <xf numFmtId="41" fontId="10" fillId="3" borderId="3" xfId="2" applyFont="1" applyFill="1" applyBorder="1" applyAlignment="1">
      <alignment horizontal="center"/>
    </xf>
    <xf numFmtId="167" fontId="3" fillId="4" borderId="3" xfId="1" applyNumberFormat="1" applyFont="1" applyFill="1" applyBorder="1"/>
    <xf numFmtId="165" fontId="2" fillId="0" borderId="3" xfId="1" applyNumberFormat="1" applyFont="1" applyFill="1" applyBorder="1" applyAlignment="1">
      <alignment horizontal="center"/>
    </xf>
    <xf numFmtId="165" fontId="2" fillId="4" borderId="3" xfId="1" applyNumberFormat="1" applyFont="1" applyFill="1" applyBorder="1" applyAlignment="1">
      <alignment horizontal="center"/>
    </xf>
    <xf numFmtId="165" fontId="3" fillId="5" borderId="8" xfId="1" applyNumberFormat="1" applyFont="1" applyFill="1" applyBorder="1"/>
    <xf numFmtId="0" fontId="3" fillId="6" borderId="8" xfId="0" applyFont="1" applyFill="1" applyBorder="1" applyAlignment="1">
      <alignment vertical="center"/>
    </xf>
    <xf numFmtId="41" fontId="10" fillId="3" borderId="8" xfId="2" applyFont="1" applyFill="1" applyBorder="1" applyAlignment="1">
      <alignment horizontal="center" vertical="center"/>
    </xf>
    <xf numFmtId="0" fontId="3" fillId="6" borderId="8" xfId="0" applyFont="1" applyFill="1" applyBorder="1" applyAlignment="1">
      <alignment horizontal="center" vertical="center"/>
    </xf>
    <xf numFmtId="165" fontId="3" fillId="6" borderId="8" xfId="1" applyNumberFormat="1" applyFont="1" applyFill="1" applyBorder="1" applyAlignment="1">
      <alignment horizontal="center" vertical="center"/>
    </xf>
    <xf numFmtId="165" fontId="3" fillId="4" borderId="8" xfId="1" applyNumberFormat="1" applyFont="1" applyFill="1" applyBorder="1" applyAlignment="1">
      <alignment horizontal="center" vertical="center"/>
    </xf>
    <xf numFmtId="0" fontId="2" fillId="4" borderId="3" xfId="0" quotePrefix="1" applyFont="1" applyFill="1" applyBorder="1"/>
    <xf numFmtId="0" fontId="3" fillId="4" borderId="3" xfId="0" applyFont="1" applyFill="1" applyBorder="1" applyAlignment="1">
      <alignment horizontal="center"/>
    </xf>
    <xf numFmtId="0" fontId="3" fillId="5" borderId="8" xfId="0" quotePrefix="1" applyFont="1" applyFill="1" applyBorder="1"/>
    <xf numFmtId="0" fontId="3" fillId="5" borderId="8" xfId="0" quotePrefix="1" applyFont="1" applyFill="1" applyBorder="1" applyAlignment="1">
      <alignment horizontal="center"/>
    </xf>
    <xf numFmtId="43" fontId="3" fillId="0" borderId="8" xfId="1" applyFont="1" applyFill="1" applyBorder="1"/>
    <xf numFmtId="43" fontId="3" fillId="4" borderId="8" xfId="1" applyFont="1" applyFill="1" applyBorder="1"/>
    <xf numFmtId="0" fontId="2" fillId="4" borderId="3" xfId="0" applyFont="1" applyFill="1" applyBorder="1"/>
    <xf numFmtId="0" fontId="3" fillId="0" borderId="8" xfId="0" quotePrefix="1" applyFont="1" applyBorder="1" applyAlignment="1">
      <alignment horizontal="center"/>
    </xf>
    <xf numFmtId="0" fontId="3" fillId="0" borderId="8" xfId="0" applyFont="1" applyBorder="1"/>
    <xf numFmtId="43" fontId="8" fillId="0" borderId="8" xfId="1" applyFont="1" applyFill="1" applyBorder="1"/>
    <xf numFmtId="0" fontId="3" fillId="0" borderId="9" xfId="0" quotePrefix="1" applyFont="1" applyBorder="1"/>
    <xf numFmtId="43" fontId="3" fillId="3" borderId="9" xfId="1" applyFont="1" applyFill="1" applyBorder="1" applyAlignment="1">
      <alignment horizontal="center"/>
    </xf>
    <xf numFmtId="0" fontId="3" fillId="0" borderId="9" xfId="0" quotePrefix="1" applyFont="1" applyBorder="1" applyAlignment="1">
      <alignment horizontal="center"/>
    </xf>
    <xf numFmtId="165" fontId="3" fillId="0" borderId="9" xfId="1" applyNumberFormat="1" applyFont="1" applyFill="1" applyBorder="1"/>
    <xf numFmtId="165" fontId="3" fillId="4" borderId="9" xfId="1" applyNumberFormat="1" applyFont="1" applyFill="1" applyBorder="1"/>
    <xf numFmtId="165" fontId="3" fillId="0" borderId="10" xfId="1" applyNumberFormat="1" applyFont="1" applyFill="1" applyBorder="1"/>
    <xf numFmtId="165" fontId="3" fillId="4" borderId="10" xfId="1" applyNumberFormat="1" applyFont="1" applyFill="1" applyBorder="1"/>
    <xf numFmtId="0" fontId="3" fillId="0" borderId="11" xfId="0" applyFont="1" applyBorder="1"/>
    <xf numFmtId="0" fontId="3" fillId="3" borderId="11" xfId="0" applyFont="1" applyFill="1" applyBorder="1" applyAlignment="1">
      <alignment horizontal="center"/>
    </xf>
    <xf numFmtId="0" fontId="3" fillId="0" borderId="11" xfId="0" quotePrefix="1" applyFont="1" applyBorder="1" applyAlignment="1">
      <alignment horizontal="center"/>
    </xf>
    <xf numFmtId="43" fontId="3" fillId="0" borderId="11" xfId="1" applyFont="1" applyFill="1" applyBorder="1"/>
    <xf numFmtId="43" fontId="3" fillId="4" borderId="11" xfId="1" applyFont="1" applyFill="1" applyBorder="1"/>
    <xf numFmtId="0" fontId="3" fillId="0" borderId="7" xfId="0" applyFont="1" applyBorder="1" applyAlignment="1">
      <alignment horizontal="center"/>
    </xf>
    <xf numFmtId="0" fontId="3" fillId="0" borderId="7" xfId="0" applyFont="1" applyBorder="1"/>
    <xf numFmtId="0" fontId="3" fillId="0" borderId="7" xfId="0" quotePrefix="1" applyFont="1" applyBorder="1" applyAlignment="1">
      <alignment horizontal="center"/>
    </xf>
    <xf numFmtId="168" fontId="3" fillId="0" borderId="8" xfId="1" applyNumberFormat="1" applyFont="1" applyFill="1" applyBorder="1"/>
    <xf numFmtId="168" fontId="7" fillId="4" borderId="8" xfId="1" applyNumberFormat="1" applyFont="1" applyFill="1" applyBorder="1"/>
    <xf numFmtId="168" fontId="3" fillId="4" borderId="8" xfId="1" applyNumberFormat="1" applyFont="1" applyFill="1" applyBorder="1"/>
    <xf numFmtId="168" fontId="7" fillId="0" borderId="8" xfId="1" applyNumberFormat="1" applyFont="1" applyFill="1" applyBorder="1"/>
    <xf numFmtId="0" fontId="2" fillId="5" borderId="3" xfId="0" applyFont="1" applyFill="1" applyBorder="1" applyAlignment="1">
      <alignment horizontal="center"/>
    </xf>
    <xf numFmtId="0" fontId="2" fillId="5" borderId="3" xfId="0" quotePrefix="1" applyFont="1" applyFill="1" applyBorder="1"/>
    <xf numFmtId="169" fontId="3" fillId="3" borderId="3" xfId="1" applyNumberFormat="1" applyFont="1" applyFill="1" applyBorder="1" applyAlignment="1">
      <alignment horizontal="center"/>
    </xf>
    <xf numFmtId="0" fontId="3" fillId="5" borderId="3" xfId="0" quotePrefix="1" applyFont="1" applyFill="1" applyBorder="1" applyAlignment="1">
      <alignment horizontal="center"/>
    </xf>
    <xf numFmtId="43" fontId="11" fillId="0" borderId="3" xfId="1" applyFont="1" applyFill="1" applyBorder="1"/>
    <xf numFmtId="43" fontId="11" fillId="4" borderId="3" xfId="1" applyFont="1" applyFill="1" applyBorder="1"/>
    <xf numFmtId="170" fontId="3" fillId="3" borderId="8" xfId="1" applyNumberFormat="1" applyFont="1" applyFill="1" applyBorder="1" applyAlignment="1">
      <alignment horizontal="center"/>
    </xf>
    <xf numFmtId="0" fontId="3" fillId="5" borderId="7" xfId="0" applyFont="1" applyFill="1" applyBorder="1" applyAlignment="1">
      <alignment horizontal="center"/>
    </xf>
    <xf numFmtId="0" fontId="3" fillId="5" borderId="7" xfId="0" quotePrefix="1" applyFont="1" applyFill="1" applyBorder="1"/>
    <xf numFmtId="0" fontId="3" fillId="5" borderId="7" xfId="0" quotePrefix="1" applyFont="1" applyFill="1" applyBorder="1" applyAlignment="1">
      <alignment horizontal="center"/>
    </xf>
    <xf numFmtId="0" fontId="2" fillId="0" borderId="8" xfId="0" applyFont="1" applyBorder="1" applyAlignment="1">
      <alignment vertical="center"/>
    </xf>
    <xf numFmtId="0" fontId="2" fillId="3" borderId="8" xfId="0" applyFont="1" applyFill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165" fontId="2" fillId="0" borderId="8" xfId="1" applyNumberFormat="1" applyFont="1" applyFill="1" applyBorder="1"/>
    <xf numFmtId="165" fontId="2" fillId="4" borderId="8" xfId="1" applyNumberFormat="1" applyFont="1" applyFill="1" applyBorder="1"/>
    <xf numFmtId="0" fontId="2" fillId="0" borderId="8" xfId="0" quotePrefix="1" applyFont="1" applyBorder="1"/>
    <xf numFmtId="0" fontId="2" fillId="3" borderId="8" xfId="0" applyFont="1" applyFill="1" applyBorder="1" applyAlignment="1">
      <alignment horizontal="center"/>
    </xf>
    <xf numFmtId="0" fontId="2" fillId="0" borderId="8" xfId="0" quotePrefix="1" applyFont="1" applyBorder="1" applyAlignment="1">
      <alignment horizontal="center"/>
    </xf>
    <xf numFmtId="41" fontId="3" fillId="5" borderId="8" xfId="2" applyFont="1" applyFill="1" applyBorder="1"/>
    <xf numFmtId="166" fontId="3" fillId="0" borderId="8" xfId="2" applyNumberFormat="1" applyFont="1" applyBorder="1"/>
    <xf numFmtId="41" fontId="3" fillId="0" borderId="8" xfId="2" applyFont="1" applyFill="1" applyBorder="1"/>
    <xf numFmtId="166" fontId="3" fillId="4" borderId="8" xfId="2" applyNumberFormat="1" applyFont="1" applyFill="1" applyBorder="1" applyAlignment="1">
      <alignment vertical="center"/>
    </xf>
    <xf numFmtId="166" fontId="3" fillId="0" borderId="8" xfId="2" applyNumberFormat="1" applyFont="1" applyFill="1" applyBorder="1" applyAlignment="1">
      <alignment vertical="center"/>
    </xf>
    <xf numFmtId="0" fontId="12" fillId="0" borderId="8" xfId="0" quotePrefix="1" applyFont="1" applyBorder="1"/>
    <xf numFmtId="166" fontId="3" fillId="4" borderId="8" xfId="1" applyNumberFormat="1" applyFont="1" applyFill="1" applyBorder="1"/>
    <xf numFmtId="0" fontId="3" fillId="0" borderId="8" xfId="0" quotePrefix="1" applyFont="1" applyBorder="1" applyAlignment="1">
      <alignment vertical="center"/>
    </xf>
    <xf numFmtId="0" fontId="3" fillId="0" borderId="8" xfId="0" quotePrefix="1" applyFont="1" applyBorder="1" applyAlignment="1">
      <alignment horizontal="center" vertical="center"/>
    </xf>
    <xf numFmtId="165" fontId="3" fillId="0" borderId="8" xfId="1" applyNumberFormat="1" applyFont="1" applyFill="1" applyBorder="1" applyAlignment="1">
      <alignment vertical="center"/>
    </xf>
    <xf numFmtId="165" fontId="3" fillId="4" borderId="8" xfId="1" applyNumberFormat="1" applyFont="1" applyFill="1" applyBorder="1" applyAlignment="1">
      <alignment vertical="center"/>
    </xf>
    <xf numFmtId="165" fontId="3" fillId="0" borderId="12" xfId="1" applyNumberFormat="1" applyFont="1" applyFill="1" applyBorder="1" applyAlignment="1">
      <alignment wrapText="1"/>
    </xf>
    <xf numFmtId="165" fontId="3" fillId="4" borderId="12" xfId="1" applyNumberFormat="1" applyFont="1" applyFill="1" applyBorder="1" applyAlignment="1">
      <alignment wrapText="1"/>
    </xf>
    <xf numFmtId="165" fontId="3" fillId="0" borderId="8" xfId="1" applyNumberFormat="1" applyFont="1" applyBorder="1"/>
    <xf numFmtId="165" fontId="3" fillId="0" borderId="7" xfId="1" applyNumberFormat="1" applyFont="1" applyFill="1" applyBorder="1"/>
    <xf numFmtId="165" fontId="3" fillId="0" borderId="7" xfId="1" applyNumberFormat="1" applyFont="1" applyFill="1" applyBorder="1" applyAlignment="1">
      <alignment vertical="center"/>
    </xf>
    <xf numFmtId="43" fontId="2" fillId="0" borderId="8" xfId="1" applyFont="1" applyFill="1" applyBorder="1"/>
    <xf numFmtId="43" fontId="2" fillId="4" borderId="8" xfId="1" applyFont="1" applyFill="1" applyBorder="1"/>
    <xf numFmtId="41" fontId="3" fillId="4" borderId="8" xfId="2" applyFont="1" applyFill="1" applyBorder="1"/>
    <xf numFmtId="171" fontId="3" fillId="0" borderId="8" xfId="1" applyNumberFormat="1" applyFont="1" applyFill="1" applyBorder="1"/>
    <xf numFmtId="171" fontId="8" fillId="0" borderId="8" xfId="1" applyNumberFormat="1" applyFont="1" applyFill="1" applyBorder="1"/>
    <xf numFmtId="172" fontId="8" fillId="4" borderId="8" xfId="1" applyNumberFormat="1" applyFont="1" applyFill="1" applyBorder="1"/>
    <xf numFmtId="172" fontId="8" fillId="0" borderId="8" xfId="1" applyNumberFormat="1" applyFont="1" applyFill="1" applyBorder="1"/>
    <xf numFmtId="172" fontId="3" fillId="4" borderId="8" xfId="1" applyNumberFormat="1" applyFont="1" applyFill="1" applyBorder="1"/>
    <xf numFmtId="172" fontId="3" fillId="0" borderId="8" xfId="1" applyNumberFormat="1" applyFont="1" applyFill="1" applyBorder="1"/>
    <xf numFmtId="169" fontId="3" fillId="3" borderId="8" xfId="1" applyNumberFormat="1" applyFont="1" applyFill="1" applyBorder="1" applyAlignment="1">
      <alignment horizontal="center"/>
    </xf>
    <xf numFmtId="173" fontId="3" fillId="0" borderId="8" xfId="1" applyNumberFormat="1" applyFont="1" applyFill="1" applyBorder="1"/>
    <xf numFmtId="174" fontId="3" fillId="0" borderId="8" xfId="1" applyNumberFormat="1" applyFont="1" applyFill="1" applyBorder="1"/>
    <xf numFmtId="174" fontId="8" fillId="0" borderId="8" xfId="1" applyNumberFormat="1" applyFont="1" applyFill="1" applyBorder="1"/>
    <xf numFmtId="175" fontId="3" fillId="0" borderId="8" xfId="1" applyNumberFormat="1" applyFont="1" applyFill="1" applyBorder="1"/>
    <xf numFmtId="165" fontId="8" fillId="4" borderId="8" xfId="1" applyNumberFormat="1" applyFont="1" applyFill="1" applyBorder="1"/>
    <xf numFmtId="165" fontId="7" fillId="0" borderId="8" xfId="1" applyNumberFormat="1" applyFont="1" applyFill="1" applyBorder="1"/>
    <xf numFmtId="0" fontId="2" fillId="0" borderId="7" xfId="0" applyFont="1" applyBorder="1" applyAlignment="1">
      <alignment horizontal="center"/>
    </xf>
    <xf numFmtId="0" fontId="2" fillId="0" borderId="7" xfId="0" quotePrefix="1" applyFont="1" applyBorder="1"/>
    <xf numFmtId="43" fontId="2" fillId="3" borderId="7" xfId="1" applyFont="1" applyFill="1" applyBorder="1" applyAlignment="1">
      <alignment horizontal="center"/>
    </xf>
    <xf numFmtId="0" fontId="2" fillId="0" borderId="7" xfId="0" quotePrefix="1" applyFont="1" applyBorder="1" applyAlignment="1">
      <alignment horizontal="center"/>
    </xf>
    <xf numFmtId="43" fontId="2" fillId="0" borderId="7" xfId="1" applyFont="1" applyFill="1" applyBorder="1"/>
    <xf numFmtId="171" fontId="2" fillId="0" borderId="7" xfId="1" applyNumberFormat="1" applyFont="1" applyFill="1" applyBorder="1"/>
    <xf numFmtId="172" fontId="2" fillId="4" borderId="7" xfId="1" applyNumberFormat="1" applyFont="1" applyFill="1" applyBorder="1"/>
    <xf numFmtId="172" fontId="2" fillId="0" borderId="7" xfId="1" applyNumberFormat="1" applyFont="1" applyFill="1" applyBorder="1"/>
    <xf numFmtId="0" fontId="2" fillId="4" borderId="8" xfId="0" quotePrefix="1" applyFont="1" applyFill="1" applyBorder="1"/>
    <xf numFmtId="0" fontId="2" fillId="4" borderId="8" xfId="0" applyFont="1" applyFill="1" applyBorder="1" applyAlignment="1">
      <alignment horizontal="center"/>
    </xf>
    <xf numFmtId="172" fontId="2" fillId="4" borderId="8" xfId="1" applyNumberFormat="1" applyFont="1" applyFill="1" applyBorder="1"/>
    <xf numFmtId="165" fontId="2" fillId="3" borderId="8" xfId="1" applyNumberFormat="1" applyFont="1" applyFill="1" applyBorder="1" applyAlignment="1">
      <alignment horizontal="center"/>
    </xf>
    <xf numFmtId="43" fontId="3" fillId="4" borderId="3" xfId="1" applyFont="1" applyFill="1" applyBorder="1"/>
    <xf numFmtId="43" fontId="3" fillId="3" borderId="8" xfId="1" applyFont="1" applyFill="1" applyBorder="1" applyAlignment="1">
      <alignment horizontal="center" vertical="center"/>
    </xf>
    <xf numFmtId="43" fontId="3" fillId="0" borderId="8" xfId="1" applyFont="1" applyFill="1" applyBorder="1" applyAlignment="1">
      <alignment vertical="center"/>
    </xf>
    <xf numFmtId="43" fontId="3" fillId="4" borderId="8" xfId="1" applyFont="1" applyFill="1" applyBorder="1" applyAlignment="1">
      <alignment vertical="center"/>
    </xf>
    <xf numFmtId="0" fontId="2" fillId="0" borderId="8" xfId="0" quotePrefix="1" applyFont="1" applyBorder="1" applyAlignment="1">
      <alignment vertical="center"/>
    </xf>
    <xf numFmtId="43" fontId="3" fillId="3" borderId="8" xfId="1" applyFont="1" applyFill="1" applyBorder="1" applyAlignment="1">
      <alignment vertical="center"/>
    </xf>
    <xf numFmtId="0" fontId="2" fillId="5" borderId="8" xfId="0" applyFont="1" applyFill="1" applyBorder="1" applyAlignment="1">
      <alignment horizontal="center"/>
    </xf>
    <xf numFmtId="0" fontId="2" fillId="5" borderId="8" xfId="0" quotePrefix="1" applyFont="1" applyFill="1" applyBorder="1"/>
    <xf numFmtId="0" fontId="3" fillId="3" borderId="8" xfId="0" applyFont="1" applyFill="1" applyBorder="1" applyAlignment="1">
      <alignment horizontal="right"/>
    </xf>
    <xf numFmtId="0" fontId="3" fillId="5" borderId="8" xfId="0" applyFont="1" applyFill="1" applyBorder="1" applyAlignment="1">
      <alignment horizontal="right"/>
    </xf>
    <xf numFmtId="165" fontId="7" fillId="4" borderId="8" xfId="1" applyNumberFormat="1" applyFont="1" applyFill="1" applyBorder="1"/>
    <xf numFmtId="0" fontId="2" fillId="5" borderId="8" xfId="0" quotePrefix="1" applyFont="1" applyFill="1" applyBorder="1" applyAlignment="1">
      <alignment horizontal="center"/>
    </xf>
    <xf numFmtId="0" fontId="3" fillId="4" borderId="3" xfId="0" applyFont="1" applyFill="1" applyBorder="1"/>
    <xf numFmtId="0" fontId="3" fillId="5" borderId="8" xfId="0" applyFont="1" applyFill="1" applyBorder="1"/>
    <xf numFmtId="0" fontId="2" fillId="5" borderId="7" xfId="0" applyFont="1" applyFill="1" applyBorder="1"/>
    <xf numFmtId="0" fontId="2" fillId="3" borderId="7" xfId="0" applyFont="1" applyFill="1" applyBorder="1" applyAlignment="1">
      <alignment horizontal="center"/>
    </xf>
    <xf numFmtId="0" fontId="2" fillId="5" borderId="7" xfId="0" applyFont="1" applyFill="1" applyBorder="1" applyAlignment="1">
      <alignment horizontal="center"/>
    </xf>
    <xf numFmtId="165" fontId="2" fillId="0" borderId="7" xfId="1" applyNumberFormat="1" applyFont="1" applyBorder="1"/>
    <xf numFmtId="165" fontId="2" fillId="4" borderId="7" xfId="1" applyNumberFormat="1" applyFont="1" applyFill="1" applyBorder="1"/>
  </cellXfs>
  <cellStyles count="3">
    <cellStyle name="Comma" xfId="1" builtinId="3"/>
    <cellStyle name="Comma [0]" xfId="2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7F4418-4F6A-4506-8966-DB1D8C34289E}">
  <dimension ref="A1:AI185"/>
  <sheetViews>
    <sheetView tabSelected="1" zoomScale="31" workbookViewId="0">
      <selection activeCell="U17" sqref="A1:AI185"/>
    </sheetView>
  </sheetViews>
  <sheetFormatPr defaultRowHeight="14.5" x14ac:dyDescent="0.35"/>
  <cols>
    <col min="1" max="1" width="8.81640625" bestFit="1" customWidth="1"/>
    <col min="2" max="2" width="37.7265625" customWidth="1"/>
    <col min="3" max="3" width="16.54296875" customWidth="1"/>
    <col min="4" max="4" width="21.90625" customWidth="1"/>
    <col min="5" max="6" width="8.81640625" bestFit="1" customWidth="1"/>
    <col min="7" max="7" width="36.08984375" customWidth="1"/>
    <col min="8" max="8" width="18.453125" customWidth="1"/>
    <col min="9" max="9" width="13.26953125" customWidth="1"/>
    <col min="10" max="10" width="10.90625" customWidth="1"/>
    <col min="11" max="11" width="14.1796875" customWidth="1"/>
    <col min="12" max="12" width="17" customWidth="1"/>
    <col min="13" max="14" width="10.81640625" bestFit="1" customWidth="1"/>
    <col min="15" max="17" width="11.90625" bestFit="1" customWidth="1"/>
    <col min="18" max="19" width="10.81640625" bestFit="1" customWidth="1"/>
    <col min="20" max="20" width="34.08984375" customWidth="1"/>
    <col min="21" max="21" width="14.7265625" customWidth="1"/>
    <col min="22" max="22" width="14" customWidth="1"/>
    <col min="23" max="23" width="15.08984375" customWidth="1"/>
    <col min="24" max="25" width="11.90625" bestFit="1" customWidth="1"/>
    <col min="26" max="27" width="10.81640625" bestFit="1" customWidth="1"/>
    <col min="28" max="31" width="11.90625" bestFit="1" customWidth="1"/>
    <col min="32" max="34" width="10.81640625" bestFit="1" customWidth="1"/>
    <col min="35" max="35" width="11.90625" bestFit="1" customWidth="1"/>
  </cols>
  <sheetData>
    <row r="1" spans="1:35" x14ac:dyDescent="0.35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</row>
    <row r="2" spans="1:35" x14ac:dyDescent="0.35">
      <c r="A2" s="1"/>
      <c r="B2" s="1"/>
      <c r="C2" s="6"/>
      <c r="D2" s="7"/>
      <c r="E2" s="8">
        <v>1</v>
      </c>
      <c r="F2" s="8">
        <v>2</v>
      </c>
      <c r="G2" s="8">
        <v>3</v>
      </c>
      <c r="H2" s="9">
        <v>4</v>
      </c>
      <c r="I2" s="8">
        <v>5</v>
      </c>
      <c r="J2" s="8">
        <v>6</v>
      </c>
      <c r="K2" s="8">
        <v>7</v>
      </c>
      <c r="L2" s="9">
        <v>8</v>
      </c>
      <c r="M2" s="8">
        <v>9</v>
      </c>
      <c r="N2" s="8">
        <v>10</v>
      </c>
      <c r="O2" s="8">
        <v>11</v>
      </c>
      <c r="P2" s="9">
        <v>12</v>
      </c>
      <c r="Q2" s="9">
        <v>13</v>
      </c>
      <c r="R2" s="8">
        <v>14</v>
      </c>
      <c r="S2" s="9">
        <v>15</v>
      </c>
      <c r="T2" s="9">
        <v>16</v>
      </c>
      <c r="U2" s="8">
        <v>17</v>
      </c>
      <c r="V2" s="8">
        <v>18</v>
      </c>
      <c r="W2" s="8">
        <v>19</v>
      </c>
      <c r="X2" s="8">
        <v>20</v>
      </c>
      <c r="Y2" s="9">
        <v>21</v>
      </c>
      <c r="Z2" s="8">
        <v>22</v>
      </c>
      <c r="AA2" s="8">
        <v>23</v>
      </c>
      <c r="AB2" s="8">
        <v>24</v>
      </c>
      <c r="AC2" s="8">
        <v>25</v>
      </c>
      <c r="AD2" s="9">
        <v>26</v>
      </c>
      <c r="AE2" s="9">
        <v>27</v>
      </c>
      <c r="AF2" s="8">
        <v>28</v>
      </c>
      <c r="AG2" s="8">
        <v>29</v>
      </c>
      <c r="AH2" s="8">
        <v>30</v>
      </c>
      <c r="AI2" s="8">
        <v>31</v>
      </c>
    </row>
    <row r="3" spans="1:35" x14ac:dyDescent="0.35">
      <c r="A3" s="10">
        <v>1</v>
      </c>
      <c r="B3" s="11" t="s">
        <v>5</v>
      </c>
      <c r="C3" s="12"/>
      <c r="D3" s="13"/>
      <c r="E3" s="14"/>
      <c r="F3" s="14"/>
      <c r="G3" s="14"/>
      <c r="H3" s="15"/>
      <c r="I3" s="14"/>
      <c r="J3" s="14"/>
      <c r="K3" s="14"/>
      <c r="L3" s="15"/>
      <c r="M3" s="14"/>
      <c r="N3" s="14"/>
      <c r="O3" s="14"/>
      <c r="P3" s="15"/>
      <c r="Q3" s="15"/>
      <c r="R3" s="14"/>
      <c r="S3" s="15"/>
      <c r="T3" s="15"/>
      <c r="U3" s="14"/>
      <c r="V3" s="14"/>
      <c r="W3" s="14"/>
      <c r="X3" s="14"/>
      <c r="Y3" s="15"/>
      <c r="Z3" s="14"/>
      <c r="AA3" s="14"/>
      <c r="AB3" s="14"/>
      <c r="AC3" s="14"/>
      <c r="AD3" s="15"/>
      <c r="AE3" s="15"/>
      <c r="AF3" s="14"/>
      <c r="AG3" s="14"/>
      <c r="AH3" s="14"/>
      <c r="AI3" s="14"/>
    </row>
    <row r="4" spans="1:35" x14ac:dyDescent="0.35">
      <c r="A4" s="10"/>
      <c r="B4" s="16" t="s">
        <v>6</v>
      </c>
      <c r="C4" s="17"/>
      <c r="D4" s="18" t="s">
        <v>7</v>
      </c>
      <c r="E4" s="19">
        <v>0</v>
      </c>
      <c r="F4" s="19">
        <v>0</v>
      </c>
      <c r="G4" s="19">
        <v>0</v>
      </c>
      <c r="H4" s="20">
        <v>337860</v>
      </c>
      <c r="I4" s="19">
        <v>1051860</v>
      </c>
      <c r="J4" s="19">
        <v>1410140</v>
      </c>
      <c r="K4" s="19">
        <v>1408250</v>
      </c>
      <c r="L4" s="20">
        <v>1173300</v>
      </c>
      <c r="M4" s="19">
        <v>346130</v>
      </c>
      <c r="N4" s="19">
        <v>1092470</v>
      </c>
      <c r="O4" s="19">
        <v>1182310</v>
      </c>
      <c r="P4" s="20">
        <v>857330</v>
      </c>
      <c r="Q4" s="20">
        <v>1250330</v>
      </c>
      <c r="R4" s="19">
        <v>898080</v>
      </c>
      <c r="S4" s="20">
        <v>796550</v>
      </c>
      <c r="T4" s="20">
        <v>127880</v>
      </c>
      <c r="U4" s="19">
        <v>828590</v>
      </c>
      <c r="V4" s="19">
        <v>1039450</v>
      </c>
      <c r="W4" s="19">
        <v>1013990</v>
      </c>
      <c r="X4" s="19">
        <v>891240</v>
      </c>
      <c r="Y4" s="20">
        <v>1862270</v>
      </c>
      <c r="Z4" s="19">
        <v>1261810</v>
      </c>
      <c r="AA4" s="19">
        <v>1066340</v>
      </c>
      <c r="AB4" s="19">
        <v>978460</v>
      </c>
      <c r="AC4" s="19">
        <v>1631710</v>
      </c>
      <c r="AD4" s="20">
        <v>1563130</v>
      </c>
      <c r="AE4" s="20">
        <v>1359550</v>
      </c>
      <c r="AF4" s="19">
        <v>1714710</v>
      </c>
      <c r="AG4" s="19">
        <v>1510610</v>
      </c>
      <c r="AH4" s="19">
        <v>596200</v>
      </c>
      <c r="AI4" s="19">
        <v>1194440</v>
      </c>
    </row>
    <row r="5" spans="1:35" x14ac:dyDescent="0.35">
      <c r="A5" s="10"/>
      <c r="B5" s="16" t="s">
        <v>8</v>
      </c>
      <c r="C5" s="17"/>
      <c r="D5" s="18" t="s">
        <v>7</v>
      </c>
      <c r="E5" s="19">
        <v>0</v>
      </c>
      <c r="F5" s="19">
        <v>0</v>
      </c>
      <c r="G5" s="19">
        <v>0</v>
      </c>
      <c r="H5" s="20">
        <v>338080</v>
      </c>
      <c r="I5" s="19">
        <v>1050140</v>
      </c>
      <c r="J5" s="19">
        <v>1408760</v>
      </c>
      <c r="K5" s="19">
        <v>1406760</v>
      </c>
      <c r="L5" s="20">
        <v>1172090</v>
      </c>
      <c r="M5" s="19">
        <v>345800</v>
      </c>
      <c r="N5" s="19">
        <v>1091340</v>
      </c>
      <c r="O5" s="19">
        <v>1181110</v>
      </c>
      <c r="P5" s="20">
        <v>856880</v>
      </c>
      <c r="Q5" s="20">
        <v>1249200</v>
      </c>
      <c r="R5" s="19">
        <v>897560</v>
      </c>
      <c r="S5" s="20">
        <v>795630</v>
      </c>
      <c r="T5" s="20">
        <v>127750</v>
      </c>
      <c r="U5" s="19">
        <v>827640</v>
      </c>
      <c r="V5" s="19">
        <v>1038620</v>
      </c>
      <c r="W5" s="19">
        <v>1012620</v>
      </c>
      <c r="X5" s="19">
        <v>890150</v>
      </c>
      <c r="Y5" s="20">
        <v>1859760</v>
      </c>
      <c r="Z5" s="19">
        <v>1260120</v>
      </c>
      <c r="AA5" s="19">
        <v>1064760</v>
      </c>
      <c r="AB5" s="19">
        <v>977720</v>
      </c>
      <c r="AC5" s="19">
        <v>1630430</v>
      </c>
      <c r="AD5" s="20">
        <v>1562580</v>
      </c>
      <c r="AE5" s="20">
        <v>1358120</v>
      </c>
      <c r="AF5" s="19">
        <v>1712100</v>
      </c>
      <c r="AG5" s="19">
        <v>1509150</v>
      </c>
      <c r="AH5" s="19">
        <v>595770</v>
      </c>
      <c r="AI5" s="19">
        <v>1192890</v>
      </c>
    </row>
    <row r="6" spans="1:35" x14ac:dyDescent="0.35">
      <c r="A6" s="10"/>
      <c r="B6" s="21" t="s">
        <v>9</v>
      </c>
      <c r="C6" s="22"/>
      <c r="D6" s="23" t="s">
        <v>10</v>
      </c>
      <c r="E6" s="24" t="e">
        <f t="shared" ref="E6:AI6" si="0">((E5-E4)/E4)*100</f>
        <v>#DIV/0!</v>
      </c>
      <c r="F6" s="24" t="e">
        <f t="shared" si="0"/>
        <v>#DIV/0!</v>
      </c>
      <c r="G6" s="24" t="e">
        <f t="shared" si="0"/>
        <v>#DIV/0!</v>
      </c>
      <c r="H6" s="25">
        <f t="shared" si="0"/>
        <v>6.5115728408216417E-2</v>
      </c>
      <c r="I6" s="24">
        <f t="shared" si="0"/>
        <v>-0.16351986005742208</v>
      </c>
      <c r="J6" s="24">
        <f t="shared" si="0"/>
        <v>-9.7862623569290985E-2</v>
      </c>
      <c r="K6" s="24">
        <f t="shared" si="0"/>
        <v>-0.10580507722350435</v>
      </c>
      <c r="L6" s="25">
        <f t="shared" si="0"/>
        <v>-0.10312792977073212</v>
      </c>
      <c r="M6" s="24">
        <f t="shared" si="0"/>
        <v>-9.5339901193193299E-2</v>
      </c>
      <c r="N6" s="24">
        <f t="shared" si="0"/>
        <v>-0.10343533460873068</v>
      </c>
      <c r="O6" s="24">
        <f t="shared" si="0"/>
        <v>-0.10149622349468414</v>
      </c>
      <c r="P6" s="25">
        <f t="shared" si="0"/>
        <v>-5.2488540002099536E-2</v>
      </c>
      <c r="Q6" s="25">
        <f t="shared" si="0"/>
        <v>-9.0376140698855509E-2</v>
      </c>
      <c r="R6" s="24">
        <f t="shared" si="0"/>
        <v>-5.7901300552289328E-2</v>
      </c>
      <c r="S6" s="25">
        <f t="shared" si="0"/>
        <v>-0.11549808549369155</v>
      </c>
      <c r="T6" s="25">
        <f t="shared" si="0"/>
        <v>-0.10165780419142947</v>
      </c>
      <c r="U6" s="24">
        <f t="shared" si="0"/>
        <v>-0.11465260261407935</v>
      </c>
      <c r="V6" s="24">
        <f t="shared" si="0"/>
        <v>-7.984992063110298E-2</v>
      </c>
      <c r="W6" s="24">
        <f t="shared" si="0"/>
        <v>-0.13510981370624958</v>
      </c>
      <c r="X6" s="24">
        <f t="shared" si="0"/>
        <v>-0.12230151249943899</v>
      </c>
      <c r="Y6" s="25">
        <f t="shared" si="0"/>
        <v>-0.13478174485976793</v>
      </c>
      <c r="Z6" s="24">
        <f t="shared" si="0"/>
        <v>-0.13393458603117744</v>
      </c>
      <c r="AA6" s="24">
        <f t="shared" si="0"/>
        <v>-0.14817037717801076</v>
      </c>
      <c r="AB6" s="24">
        <f t="shared" si="0"/>
        <v>-7.5629049731210263E-2</v>
      </c>
      <c r="AC6" s="24">
        <f t="shared" si="0"/>
        <v>-7.8445311973328602E-2</v>
      </c>
      <c r="AD6" s="25">
        <f>((AD5-AD4)/AD4)*100</f>
        <v>-3.5185813080166078E-2</v>
      </c>
      <c r="AE6" s="25">
        <f t="shared" si="0"/>
        <v>-0.10518186164539738</v>
      </c>
      <c r="AF6" s="24">
        <f t="shared" si="0"/>
        <v>-0.15221232744895638</v>
      </c>
      <c r="AG6" s="24">
        <f t="shared" si="0"/>
        <v>-9.6649697804198312E-2</v>
      </c>
      <c r="AH6" s="24">
        <f t="shared" si="0"/>
        <v>-7.2123448507212348E-2</v>
      </c>
      <c r="AI6" s="24">
        <f t="shared" si="0"/>
        <v>-0.12976792471785942</v>
      </c>
    </row>
    <row r="7" spans="1:35" x14ac:dyDescent="0.35">
      <c r="A7" s="10"/>
      <c r="B7" s="11" t="s">
        <v>11</v>
      </c>
      <c r="C7" s="12"/>
      <c r="D7" s="13"/>
      <c r="E7" s="14"/>
      <c r="F7" s="14"/>
      <c r="G7" s="14"/>
      <c r="H7" s="15"/>
      <c r="I7" s="14"/>
      <c r="J7" s="14"/>
      <c r="K7" s="14"/>
      <c r="L7" s="15"/>
      <c r="M7" s="14"/>
      <c r="N7" s="14"/>
      <c r="O7" s="14"/>
      <c r="P7" s="15"/>
      <c r="Q7" s="15"/>
      <c r="R7" s="14"/>
      <c r="S7" s="15"/>
      <c r="T7" s="15"/>
      <c r="U7" s="14"/>
      <c r="V7" s="14"/>
      <c r="W7" s="14"/>
      <c r="X7" s="14"/>
      <c r="Y7" s="15"/>
      <c r="Z7" s="14"/>
      <c r="AA7" s="14"/>
      <c r="AB7" s="14"/>
      <c r="AC7" s="14"/>
      <c r="AD7" s="15"/>
      <c r="AE7" s="15"/>
      <c r="AF7" s="14"/>
      <c r="AG7" s="14"/>
      <c r="AH7" s="14"/>
      <c r="AI7" s="14"/>
    </row>
    <row r="8" spans="1:35" x14ac:dyDescent="0.35">
      <c r="A8" s="10"/>
      <c r="B8" s="16" t="s">
        <v>12</v>
      </c>
      <c r="C8" s="17"/>
      <c r="D8" s="18" t="s">
        <v>7</v>
      </c>
      <c r="E8" s="19">
        <v>0</v>
      </c>
      <c r="F8" s="19">
        <v>0</v>
      </c>
      <c r="G8" s="19">
        <v>0</v>
      </c>
      <c r="H8" s="20">
        <v>0</v>
      </c>
      <c r="I8" s="19">
        <v>0</v>
      </c>
      <c r="J8" s="19">
        <v>0</v>
      </c>
      <c r="K8" s="19">
        <v>0</v>
      </c>
      <c r="L8" s="20">
        <v>0</v>
      </c>
      <c r="M8" s="19">
        <v>0</v>
      </c>
      <c r="N8" s="19">
        <v>0</v>
      </c>
      <c r="O8" s="19">
        <v>0</v>
      </c>
      <c r="P8" s="20">
        <v>0</v>
      </c>
      <c r="Q8" s="20">
        <v>0</v>
      </c>
      <c r="R8" s="19">
        <v>0</v>
      </c>
      <c r="S8" s="20">
        <v>305725</v>
      </c>
      <c r="T8" s="20">
        <v>0</v>
      </c>
      <c r="U8" s="19">
        <v>0</v>
      </c>
      <c r="V8" s="19">
        <v>0</v>
      </c>
      <c r="W8" s="19">
        <v>0</v>
      </c>
      <c r="X8" s="19">
        <v>0</v>
      </c>
      <c r="Y8" s="20">
        <v>0</v>
      </c>
      <c r="Z8" s="19">
        <v>555332</v>
      </c>
      <c r="AA8" s="19">
        <v>0</v>
      </c>
      <c r="AB8" s="19">
        <v>0</v>
      </c>
      <c r="AC8" s="19">
        <v>0</v>
      </c>
      <c r="AD8" s="20">
        <v>0</v>
      </c>
      <c r="AE8" s="20">
        <v>0</v>
      </c>
      <c r="AF8" s="19">
        <v>0</v>
      </c>
      <c r="AG8" s="19">
        <v>234703</v>
      </c>
      <c r="AH8" s="19">
        <v>0</v>
      </c>
      <c r="AI8" s="19">
        <v>399114</v>
      </c>
    </row>
    <row r="9" spans="1:35" x14ac:dyDescent="0.35">
      <c r="A9" s="10"/>
      <c r="B9" s="16" t="s">
        <v>13</v>
      </c>
      <c r="C9" s="17"/>
      <c r="D9" s="18" t="s">
        <v>7</v>
      </c>
      <c r="E9" s="19">
        <v>0</v>
      </c>
      <c r="F9" s="19">
        <v>0</v>
      </c>
      <c r="G9" s="19">
        <v>0</v>
      </c>
      <c r="H9" s="20">
        <v>0</v>
      </c>
      <c r="I9" s="19">
        <v>0</v>
      </c>
      <c r="J9" s="19">
        <v>0</v>
      </c>
      <c r="K9" s="19">
        <v>0</v>
      </c>
      <c r="L9" s="20">
        <v>0</v>
      </c>
      <c r="M9" s="19">
        <v>0</v>
      </c>
      <c r="N9" s="19">
        <v>0</v>
      </c>
      <c r="O9" s="19">
        <v>0</v>
      </c>
      <c r="P9" s="20">
        <v>0</v>
      </c>
      <c r="Q9" s="20">
        <v>0</v>
      </c>
      <c r="R9" s="19">
        <v>0</v>
      </c>
      <c r="S9" s="20">
        <v>305503</v>
      </c>
      <c r="T9" s="20">
        <v>0</v>
      </c>
      <c r="U9" s="19">
        <v>0</v>
      </c>
      <c r="V9" s="19">
        <v>0</v>
      </c>
      <c r="W9" s="19">
        <v>0</v>
      </c>
      <c r="X9" s="19">
        <v>0</v>
      </c>
      <c r="Y9" s="20">
        <v>0</v>
      </c>
      <c r="Z9" s="19">
        <v>556528</v>
      </c>
      <c r="AA9" s="19">
        <v>0</v>
      </c>
      <c r="AB9" s="19">
        <v>0</v>
      </c>
      <c r="AC9" s="19">
        <v>0</v>
      </c>
      <c r="AD9" s="20">
        <v>0</v>
      </c>
      <c r="AE9" s="20">
        <v>0</v>
      </c>
      <c r="AF9" s="19">
        <v>0</v>
      </c>
      <c r="AG9" s="19">
        <v>236855</v>
      </c>
      <c r="AH9" s="19">
        <v>0</v>
      </c>
      <c r="AI9" s="19">
        <v>406481</v>
      </c>
    </row>
    <row r="10" spans="1:35" x14ac:dyDescent="0.35">
      <c r="A10" s="10"/>
      <c r="B10" s="21" t="s">
        <v>14</v>
      </c>
      <c r="C10" s="22"/>
      <c r="D10" s="23" t="s">
        <v>10</v>
      </c>
      <c r="E10" s="24" t="e">
        <f t="shared" ref="E10:AI10" si="1">((E9-E8)/E8)*100</f>
        <v>#DIV/0!</v>
      </c>
      <c r="F10" s="24" t="e">
        <f t="shared" si="1"/>
        <v>#DIV/0!</v>
      </c>
      <c r="G10" s="24" t="e">
        <f t="shared" si="1"/>
        <v>#DIV/0!</v>
      </c>
      <c r="H10" s="25" t="e">
        <f t="shared" si="1"/>
        <v>#DIV/0!</v>
      </c>
      <c r="I10" s="24" t="e">
        <f t="shared" si="1"/>
        <v>#DIV/0!</v>
      </c>
      <c r="J10" s="24" t="e">
        <f t="shared" si="1"/>
        <v>#DIV/0!</v>
      </c>
      <c r="K10" s="24" t="e">
        <f t="shared" si="1"/>
        <v>#DIV/0!</v>
      </c>
      <c r="L10" s="25" t="e">
        <f t="shared" si="1"/>
        <v>#DIV/0!</v>
      </c>
      <c r="M10" s="24" t="e">
        <f t="shared" si="1"/>
        <v>#DIV/0!</v>
      </c>
      <c r="N10" s="24" t="e">
        <f t="shared" si="1"/>
        <v>#DIV/0!</v>
      </c>
      <c r="O10" s="24" t="e">
        <f t="shared" si="1"/>
        <v>#DIV/0!</v>
      </c>
      <c r="P10" s="25" t="e">
        <f t="shared" si="1"/>
        <v>#DIV/0!</v>
      </c>
      <c r="Q10" s="25" t="e">
        <f t="shared" si="1"/>
        <v>#DIV/0!</v>
      </c>
      <c r="R10" s="24" t="e">
        <f t="shared" si="1"/>
        <v>#DIV/0!</v>
      </c>
      <c r="S10" s="25">
        <f t="shared" si="1"/>
        <v>-7.2614277537002198E-2</v>
      </c>
      <c r="T10" s="25" t="e">
        <f t="shared" si="1"/>
        <v>#DIV/0!</v>
      </c>
      <c r="U10" s="24" t="e">
        <f t="shared" si="1"/>
        <v>#DIV/0!</v>
      </c>
      <c r="V10" s="24" t="e">
        <f t="shared" si="1"/>
        <v>#DIV/0!</v>
      </c>
      <c r="W10" s="24" t="e">
        <f t="shared" si="1"/>
        <v>#DIV/0!</v>
      </c>
      <c r="X10" s="24" t="e">
        <f t="shared" si="1"/>
        <v>#DIV/0!</v>
      </c>
      <c r="Y10" s="25" t="e">
        <f t="shared" si="1"/>
        <v>#DIV/0!</v>
      </c>
      <c r="Z10" s="24">
        <f t="shared" si="1"/>
        <v>0.21536666354541067</v>
      </c>
      <c r="AA10" s="24" t="e">
        <f t="shared" si="1"/>
        <v>#DIV/0!</v>
      </c>
      <c r="AB10" s="24" t="e">
        <f t="shared" si="1"/>
        <v>#DIV/0!</v>
      </c>
      <c r="AC10" s="24" t="e">
        <f t="shared" si="1"/>
        <v>#DIV/0!</v>
      </c>
      <c r="AD10" s="25" t="e">
        <f t="shared" si="1"/>
        <v>#DIV/0!</v>
      </c>
      <c r="AE10" s="25" t="e">
        <f t="shared" si="1"/>
        <v>#DIV/0!</v>
      </c>
      <c r="AF10" s="24" t="e">
        <f t="shared" si="1"/>
        <v>#DIV/0!</v>
      </c>
      <c r="AG10" s="24">
        <f t="shared" si="1"/>
        <v>0.91690349079474909</v>
      </c>
      <c r="AH10" s="24" t="e">
        <f t="shared" si="1"/>
        <v>#DIV/0!</v>
      </c>
      <c r="AI10" s="24">
        <f t="shared" si="1"/>
        <v>1.8458385323491533</v>
      </c>
    </row>
    <row r="11" spans="1:35" x14ac:dyDescent="0.35">
      <c r="A11" s="10"/>
      <c r="B11" s="26" t="s">
        <v>15</v>
      </c>
      <c r="C11" s="17"/>
      <c r="D11" s="18"/>
      <c r="E11" s="19"/>
      <c r="F11" s="19"/>
      <c r="G11" s="19"/>
      <c r="H11" s="20"/>
      <c r="I11" s="19"/>
      <c r="J11" s="19"/>
      <c r="K11" s="19"/>
      <c r="L11" s="20"/>
      <c r="M11" s="19"/>
      <c r="N11" s="19"/>
      <c r="O11" s="19"/>
      <c r="P11" s="20"/>
      <c r="Q11" s="20"/>
      <c r="R11" s="19"/>
      <c r="S11" s="20"/>
      <c r="T11" s="20"/>
      <c r="U11" s="19"/>
      <c r="V11" s="19"/>
      <c r="W11" s="19"/>
      <c r="X11" s="19"/>
      <c r="Y11" s="20"/>
      <c r="Z11" s="19"/>
      <c r="AA11" s="19"/>
      <c r="AB11" s="19"/>
      <c r="AC11" s="19"/>
      <c r="AD11" s="20"/>
      <c r="AE11" s="20"/>
      <c r="AF11" s="19"/>
      <c r="AG11" s="19"/>
      <c r="AH11" s="19"/>
      <c r="AI11" s="19"/>
    </row>
    <row r="12" spans="1:35" x14ac:dyDescent="0.35">
      <c r="A12" s="10"/>
      <c r="B12" s="16" t="s">
        <v>6</v>
      </c>
      <c r="C12" s="17"/>
      <c r="D12" s="18" t="s">
        <v>7</v>
      </c>
      <c r="E12" s="19">
        <v>0</v>
      </c>
      <c r="F12" s="19">
        <v>0</v>
      </c>
      <c r="G12" s="19">
        <v>0</v>
      </c>
      <c r="H12" s="20">
        <v>0</v>
      </c>
      <c r="I12" s="19">
        <v>0</v>
      </c>
      <c r="J12" s="19">
        <v>0</v>
      </c>
      <c r="K12" s="19">
        <v>0</v>
      </c>
      <c r="L12" s="20">
        <v>0</v>
      </c>
      <c r="M12" s="19">
        <v>0</v>
      </c>
      <c r="N12" s="19">
        <v>0</v>
      </c>
      <c r="O12" s="19">
        <v>0</v>
      </c>
      <c r="P12" s="20">
        <v>0</v>
      </c>
      <c r="Q12" s="20">
        <v>0</v>
      </c>
      <c r="R12" s="19">
        <v>0</v>
      </c>
      <c r="S12" s="20">
        <v>0</v>
      </c>
      <c r="T12" s="20">
        <v>0</v>
      </c>
      <c r="U12" s="19">
        <v>0</v>
      </c>
      <c r="V12" s="19">
        <v>0</v>
      </c>
      <c r="W12" s="19">
        <v>0</v>
      </c>
      <c r="X12" s="19">
        <v>0</v>
      </c>
      <c r="Y12" s="20">
        <v>0</v>
      </c>
      <c r="Z12" s="19">
        <v>0</v>
      </c>
      <c r="AA12" s="19">
        <v>34460</v>
      </c>
      <c r="AB12" s="19">
        <v>36310</v>
      </c>
      <c r="AC12" s="19">
        <v>65600</v>
      </c>
      <c r="AD12" s="20">
        <v>27950</v>
      </c>
      <c r="AE12" s="20">
        <v>36370</v>
      </c>
      <c r="AF12" s="19">
        <v>59410</v>
      </c>
      <c r="AG12" s="19">
        <v>109670</v>
      </c>
      <c r="AH12" s="19">
        <v>81930</v>
      </c>
      <c r="AI12" s="19">
        <v>0</v>
      </c>
    </row>
    <row r="13" spans="1:35" x14ac:dyDescent="0.35">
      <c r="A13" s="10"/>
      <c r="B13" s="16" t="s">
        <v>8</v>
      </c>
      <c r="C13" s="17"/>
      <c r="D13" s="18" t="s">
        <v>7</v>
      </c>
      <c r="E13" s="19">
        <v>0</v>
      </c>
      <c r="F13" s="19">
        <v>0</v>
      </c>
      <c r="G13" s="19">
        <v>0</v>
      </c>
      <c r="H13" s="20">
        <v>0</v>
      </c>
      <c r="I13" s="19">
        <v>0</v>
      </c>
      <c r="J13" s="19">
        <v>0</v>
      </c>
      <c r="K13" s="19">
        <v>0</v>
      </c>
      <c r="L13" s="20">
        <v>0</v>
      </c>
      <c r="M13" s="19">
        <v>0</v>
      </c>
      <c r="N13" s="19">
        <v>0</v>
      </c>
      <c r="O13" s="19">
        <v>0</v>
      </c>
      <c r="P13" s="20">
        <v>0</v>
      </c>
      <c r="Q13" s="20">
        <v>0</v>
      </c>
      <c r="R13" s="19">
        <v>0</v>
      </c>
      <c r="S13" s="20">
        <v>0</v>
      </c>
      <c r="T13" s="20">
        <v>0</v>
      </c>
      <c r="U13" s="19">
        <v>0</v>
      </c>
      <c r="V13" s="19">
        <v>0</v>
      </c>
      <c r="W13" s="19">
        <v>0</v>
      </c>
      <c r="X13" s="19">
        <v>0</v>
      </c>
      <c r="Y13" s="20">
        <v>0</v>
      </c>
      <c r="Z13" s="19">
        <v>0</v>
      </c>
      <c r="AA13" s="19">
        <v>34250</v>
      </c>
      <c r="AB13" s="19">
        <v>36210</v>
      </c>
      <c r="AC13" s="19">
        <v>65350</v>
      </c>
      <c r="AD13" s="20">
        <v>27820</v>
      </c>
      <c r="AE13" s="20">
        <v>36470</v>
      </c>
      <c r="AF13" s="19">
        <v>59230</v>
      </c>
      <c r="AG13" s="19">
        <v>109390</v>
      </c>
      <c r="AH13" s="19">
        <v>81870</v>
      </c>
      <c r="AI13" s="19">
        <v>0</v>
      </c>
    </row>
    <row r="14" spans="1:35" x14ac:dyDescent="0.35">
      <c r="A14" s="10"/>
      <c r="B14" s="16" t="s">
        <v>9</v>
      </c>
      <c r="C14" s="17"/>
      <c r="D14" s="18" t="s">
        <v>10</v>
      </c>
      <c r="E14" s="27" t="e">
        <f t="shared" ref="E14:AI14" si="2">((E13-E12)/E12)*100</f>
        <v>#DIV/0!</v>
      </c>
      <c r="F14" s="27" t="e">
        <f t="shared" si="2"/>
        <v>#DIV/0!</v>
      </c>
      <c r="G14" s="27" t="e">
        <f t="shared" si="2"/>
        <v>#DIV/0!</v>
      </c>
      <c r="H14" s="28" t="e">
        <f t="shared" si="2"/>
        <v>#DIV/0!</v>
      </c>
      <c r="I14" s="27" t="e">
        <f t="shared" si="2"/>
        <v>#DIV/0!</v>
      </c>
      <c r="J14" s="27" t="e">
        <f t="shared" si="2"/>
        <v>#DIV/0!</v>
      </c>
      <c r="K14" s="27" t="e">
        <f t="shared" si="2"/>
        <v>#DIV/0!</v>
      </c>
      <c r="L14" s="28" t="e">
        <f t="shared" si="2"/>
        <v>#DIV/0!</v>
      </c>
      <c r="M14" s="27" t="e">
        <f t="shared" si="2"/>
        <v>#DIV/0!</v>
      </c>
      <c r="N14" s="27" t="e">
        <f t="shared" si="2"/>
        <v>#DIV/0!</v>
      </c>
      <c r="O14" s="27" t="e">
        <f t="shared" si="2"/>
        <v>#DIV/0!</v>
      </c>
      <c r="P14" s="28" t="e">
        <f t="shared" si="2"/>
        <v>#DIV/0!</v>
      </c>
      <c r="Q14" s="28" t="e">
        <f t="shared" si="2"/>
        <v>#DIV/0!</v>
      </c>
      <c r="R14" s="27" t="e">
        <f t="shared" si="2"/>
        <v>#DIV/0!</v>
      </c>
      <c r="S14" s="28" t="e">
        <f t="shared" si="2"/>
        <v>#DIV/0!</v>
      </c>
      <c r="T14" s="28" t="e">
        <f t="shared" si="2"/>
        <v>#DIV/0!</v>
      </c>
      <c r="U14" s="27" t="e">
        <f t="shared" si="2"/>
        <v>#DIV/0!</v>
      </c>
      <c r="V14" s="27" t="e">
        <f t="shared" si="2"/>
        <v>#DIV/0!</v>
      </c>
      <c r="W14" s="27" t="e">
        <f t="shared" si="2"/>
        <v>#DIV/0!</v>
      </c>
      <c r="X14" s="27" t="e">
        <f t="shared" si="2"/>
        <v>#DIV/0!</v>
      </c>
      <c r="Y14" s="28" t="e">
        <f t="shared" si="2"/>
        <v>#DIV/0!</v>
      </c>
      <c r="Z14" s="27" t="e">
        <f t="shared" si="2"/>
        <v>#DIV/0!</v>
      </c>
      <c r="AA14" s="27">
        <f t="shared" si="2"/>
        <v>-0.60940220545560064</v>
      </c>
      <c r="AB14" s="27">
        <f t="shared" si="2"/>
        <v>-0.27540622418066646</v>
      </c>
      <c r="AC14" s="27">
        <f t="shared" si="2"/>
        <v>-0.38109756097560976</v>
      </c>
      <c r="AD14" s="28">
        <f t="shared" si="2"/>
        <v>-0.46511627906976744</v>
      </c>
      <c r="AE14" s="28">
        <f t="shared" si="2"/>
        <v>0.27495188342040144</v>
      </c>
      <c r="AF14" s="27">
        <f t="shared" si="2"/>
        <v>-0.30297929641474497</v>
      </c>
      <c r="AG14" s="27">
        <f t="shared" si="2"/>
        <v>-0.25531138871158932</v>
      </c>
      <c r="AH14" s="27">
        <f t="shared" si="2"/>
        <v>-7.3233247894544135E-2</v>
      </c>
      <c r="AI14" s="27" t="e">
        <f t="shared" si="2"/>
        <v>#DIV/0!</v>
      </c>
    </row>
    <row r="15" spans="1:35" x14ac:dyDescent="0.35">
      <c r="A15" s="10"/>
      <c r="B15" s="29" t="s">
        <v>16</v>
      </c>
      <c r="C15" s="30"/>
      <c r="D15" s="31" t="s">
        <v>7</v>
      </c>
      <c r="E15" s="32">
        <f t="shared" ref="E15:Z15" si="3">SUM(E5,E9,E13)</f>
        <v>0</v>
      </c>
      <c r="F15" s="32">
        <f t="shared" si="3"/>
        <v>0</v>
      </c>
      <c r="G15" s="32">
        <f t="shared" si="3"/>
        <v>0</v>
      </c>
      <c r="H15" s="33">
        <f t="shared" si="3"/>
        <v>338080</v>
      </c>
      <c r="I15" s="32">
        <f t="shared" si="3"/>
        <v>1050140</v>
      </c>
      <c r="J15" s="32">
        <f t="shared" si="3"/>
        <v>1408760</v>
      </c>
      <c r="K15" s="32">
        <f t="shared" si="3"/>
        <v>1406760</v>
      </c>
      <c r="L15" s="33">
        <f t="shared" si="3"/>
        <v>1172090</v>
      </c>
      <c r="M15" s="32">
        <f t="shared" si="3"/>
        <v>345800</v>
      </c>
      <c r="N15" s="32">
        <f t="shared" si="3"/>
        <v>1091340</v>
      </c>
      <c r="O15" s="32">
        <f t="shared" si="3"/>
        <v>1181110</v>
      </c>
      <c r="P15" s="33">
        <f t="shared" si="3"/>
        <v>856880</v>
      </c>
      <c r="Q15" s="33">
        <f t="shared" si="3"/>
        <v>1249200</v>
      </c>
      <c r="R15" s="32">
        <f t="shared" si="3"/>
        <v>897560</v>
      </c>
      <c r="S15" s="33">
        <f t="shared" si="3"/>
        <v>1101133</v>
      </c>
      <c r="T15" s="33">
        <f t="shared" si="3"/>
        <v>127750</v>
      </c>
      <c r="U15" s="32">
        <f t="shared" si="3"/>
        <v>827640</v>
      </c>
      <c r="V15" s="32">
        <f t="shared" si="3"/>
        <v>1038620</v>
      </c>
      <c r="W15" s="32">
        <f t="shared" si="3"/>
        <v>1012620</v>
      </c>
      <c r="X15" s="32">
        <f t="shared" si="3"/>
        <v>890150</v>
      </c>
      <c r="Y15" s="33">
        <f t="shared" si="3"/>
        <v>1859760</v>
      </c>
      <c r="Z15" s="32">
        <f t="shared" si="3"/>
        <v>1816648</v>
      </c>
      <c r="AA15" s="32">
        <f>SUM(AA5,AA9,AA13)</f>
        <v>1099010</v>
      </c>
      <c r="AB15" s="32">
        <f t="shared" ref="AB15:AI15" si="4">SUM(AB5,AB9,AB13)</f>
        <v>1013930</v>
      </c>
      <c r="AC15" s="32">
        <f t="shared" si="4"/>
        <v>1695780</v>
      </c>
      <c r="AD15" s="33">
        <f t="shared" si="4"/>
        <v>1590400</v>
      </c>
      <c r="AE15" s="33">
        <f t="shared" si="4"/>
        <v>1394590</v>
      </c>
      <c r="AF15" s="32">
        <f t="shared" si="4"/>
        <v>1771330</v>
      </c>
      <c r="AG15" s="32">
        <f t="shared" si="4"/>
        <v>1855395</v>
      </c>
      <c r="AH15" s="32">
        <f t="shared" si="4"/>
        <v>677640</v>
      </c>
      <c r="AI15" s="32">
        <f t="shared" si="4"/>
        <v>1599371</v>
      </c>
    </row>
    <row r="16" spans="1:35" x14ac:dyDescent="0.35">
      <c r="A16" s="34">
        <v>2</v>
      </c>
      <c r="B16" s="11" t="s">
        <v>17</v>
      </c>
      <c r="C16" s="35"/>
      <c r="D16" s="35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15"/>
      <c r="AC16" s="36"/>
      <c r="AD16" s="36"/>
      <c r="AE16" s="36"/>
      <c r="AF16" s="36"/>
      <c r="AG16" s="15"/>
      <c r="AH16" s="15"/>
      <c r="AI16" s="15"/>
    </row>
    <row r="17" spans="1:35" x14ac:dyDescent="0.35">
      <c r="A17" s="37"/>
      <c r="B17" s="38" t="s">
        <v>18</v>
      </c>
      <c r="C17" s="12"/>
      <c r="D17" s="13"/>
      <c r="E17" s="39"/>
      <c r="F17" s="40"/>
      <c r="G17" s="39"/>
      <c r="H17" s="36"/>
      <c r="I17" s="41"/>
      <c r="J17" s="39"/>
      <c r="K17" s="39"/>
      <c r="L17" s="36"/>
      <c r="M17" s="39"/>
      <c r="N17" s="39"/>
      <c r="O17" s="39"/>
      <c r="P17" s="36"/>
      <c r="Q17" s="36"/>
      <c r="R17" s="39"/>
      <c r="S17" s="42"/>
      <c r="T17" s="42"/>
      <c r="U17" s="39"/>
      <c r="V17" s="39"/>
      <c r="W17" s="39"/>
      <c r="X17" s="39"/>
      <c r="Y17" s="36"/>
      <c r="Z17" s="39"/>
      <c r="AA17" s="39"/>
      <c r="AB17" s="39"/>
      <c r="AC17" s="39"/>
      <c r="AD17" s="36"/>
      <c r="AE17" s="36"/>
      <c r="AF17" s="39"/>
      <c r="AG17" s="39"/>
      <c r="AH17" s="39"/>
      <c r="AI17" s="39"/>
    </row>
    <row r="18" spans="1:35" x14ac:dyDescent="0.35">
      <c r="A18" s="37"/>
      <c r="B18" s="16" t="s">
        <v>19</v>
      </c>
      <c r="C18" s="17"/>
      <c r="D18" s="18" t="s">
        <v>20</v>
      </c>
      <c r="E18" s="43">
        <v>0</v>
      </c>
      <c r="F18" s="43">
        <v>0</v>
      </c>
      <c r="G18" s="43">
        <v>0</v>
      </c>
      <c r="H18" s="44">
        <v>1</v>
      </c>
      <c r="I18" s="43">
        <v>1</v>
      </c>
      <c r="J18" s="43">
        <v>1</v>
      </c>
      <c r="K18" s="43">
        <v>1</v>
      </c>
      <c r="L18" s="44">
        <v>1</v>
      </c>
      <c r="M18" s="43">
        <v>1</v>
      </c>
      <c r="N18" s="43">
        <v>1</v>
      </c>
      <c r="O18" s="43">
        <v>1</v>
      </c>
      <c r="P18" s="44">
        <v>1</v>
      </c>
      <c r="Q18" s="44">
        <v>1</v>
      </c>
      <c r="R18" s="43">
        <v>1</v>
      </c>
      <c r="S18" s="44">
        <v>1</v>
      </c>
      <c r="T18" s="44">
        <v>1</v>
      </c>
      <c r="U18" s="43">
        <v>1</v>
      </c>
      <c r="V18" s="43">
        <v>1</v>
      </c>
      <c r="W18" s="43">
        <v>1</v>
      </c>
      <c r="X18" s="43">
        <v>1</v>
      </c>
      <c r="Y18" s="44">
        <v>1</v>
      </c>
      <c r="Z18" s="43">
        <v>1</v>
      </c>
      <c r="AA18" s="43">
        <v>1</v>
      </c>
      <c r="AB18" s="43">
        <v>1</v>
      </c>
      <c r="AC18" s="43">
        <v>1</v>
      </c>
      <c r="AD18" s="44">
        <v>1</v>
      </c>
      <c r="AE18" s="44">
        <v>1</v>
      </c>
      <c r="AF18" s="43">
        <v>1</v>
      </c>
      <c r="AG18" s="43">
        <v>1</v>
      </c>
      <c r="AH18" s="43">
        <v>1</v>
      </c>
      <c r="AI18" s="43">
        <v>1</v>
      </c>
    </row>
    <row r="19" spans="1:35" x14ac:dyDescent="0.35">
      <c r="A19" s="37"/>
      <c r="B19" s="45" t="s">
        <v>21</v>
      </c>
      <c r="C19" s="46">
        <f>1796.40718562874*1000</f>
        <v>1796407.1856287401</v>
      </c>
      <c r="D19" s="47" t="s">
        <v>7</v>
      </c>
      <c r="E19" s="48">
        <v>0</v>
      </c>
      <c r="F19" s="48">
        <v>0</v>
      </c>
      <c r="G19" s="48">
        <v>0</v>
      </c>
      <c r="H19" s="44">
        <v>1141003</v>
      </c>
      <c r="I19" s="48">
        <v>2075800</v>
      </c>
      <c r="J19" s="48">
        <v>1697300</v>
      </c>
      <c r="K19" s="48">
        <v>2010000</v>
      </c>
      <c r="L19" s="44">
        <f>1921.39999999999*1000</f>
        <v>1921399.99999999</v>
      </c>
      <c r="M19" s="48">
        <v>2003800</v>
      </c>
      <c r="N19" s="48">
        <f>2103.39999999999*1000</f>
        <v>2103399.9999999902</v>
      </c>
      <c r="O19" s="48">
        <f>2115.90000000001*1000</f>
        <v>2115900.0000000102</v>
      </c>
      <c r="P19" s="44">
        <v>2011000</v>
      </c>
      <c r="Q19" s="44">
        <f>1853.5*1000</f>
        <v>1853500</v>
      </c>
      <c r="R19" s="48">
        <v>1554200</v>
      </c>
      <c r="S19" s="44">
        <f>1595.60000000001*1000</f>
        <v>1595600.00000001</v>
      </c>
      <c r="T19" s="44">
        <f>1508.29999999999*1000</f>
        <v>1508299.99999999</v>
      </c>
      <c r="U19" s="48">
        <f>1560.33*1000</f>
        <v>1560330</v>
      </c>
      <c r="V19" s="48">
        <f>1336.12*1000</f>
        <v>1336120</v>
      </c>
      <c r="W19" s="48">
        <f>1316.89999999999*1000</f>
        <v>1316899.99999999</v>
      </c>
      <c r="X19" s="48">
        <f>1043.81000000001*1000</f>
        <v>1043810.0000000099</v>
      </c>
      <c r="Y19" s="44">
        <f>1242.59999999999*1000</f>
        <v>1242599.99999999</v>
      </c>
      <c r="Z19" s="48">
        <f>1320.31*1000</f>
        <v>1320310</v>
      </c>
      <c r="AA19" s="48">
        <f>1303.49000000001*1000</f>
        <v>1303490.00000001</v>
      </c>
      <c r="AB19" s="48">
        <f>1315.83*1000</f>
        <v>1315830</v>
      </c>
      <c r="AC19" s="48">
        <f>1329.22*1000</f>
        <v>1329220</v>
      </c>
      <c r="AD19" s="44">
        <f>1428.91*1000</f>
        <v>1428910</v>
      </c>
      <c r="AE19" s="44">
        <v>1316360</v>
      </c>
      <c r="AF19" s="48">
        <f>1550.9*1000</f>
        <v>1550900</v>
      </c>
      <c r="AG19" s="48">
        <f>1457.99000000001*1000</f>
        <v>1457990.00000001</v>
      </c>
      <c r="AH19" s="48">
        <f>1542.15999999999*1000</f>
        <v>1542159.99999999</v>
      </c>
      <c r="AI19" s="48">
        <f>1382.91*1000</f>
        <v>1382910</v>
      </c>
    </row>
    <row r="20" spans="1:35" x14ac:dyDescent="0.35">
      <c r="A20" s="37"/>
      <c r="B20" s="45" t="s">
        <v>22</v>
      </c>
      <c r="C20" s="46"/>
      <c r="D20" s="47" t="s">
        <v>7</v>
      </c>
      <c r="E20" s="48"/>
      <c r="F20" s="48"/>
      <c r="G20" s="48"/>
      <c r="H20" s="44"/>
      <c r="I20" s="48"/>
      <c r="J20" s="48"/>
      <c r="K20" s="48"/>
      <c r="L20" s="44"/>
      <c r="M20" s="48"/>
      <c r="N20" s="48"/>
      <c r="O20" s="48"/>
      <c r="P20" s="44"/>
      <c r="Q20" s="44"/>
      <c r="R20" s="48"/>
      <c r="S20" s="44"/>
      <c r="T20" s="44"/>
      <c r="U20" s="48"/>
      <c r="V20" s="48"/>
      <c r="W20" s="48"/>
      <c r="X20" s="48"/>
      <c r="Y20" s="44"/>
      <c r="Z20" s="48"/>
      <c r="AA20" s="48"/>
      <c r="AB20" s="48"/>
      <c r="AC20" s="48"/>
      <c r="AD20" s="44"/>
      <c r="AE20" s="44"/>
      <c r="AF20" s="48"/>
      <c r="AG20" s="48"/>
      <c r="AH20" s="48"/>
      <c r="AI20" s="48"/>
    </row>
    <row r="21" spans="1:35" x14ac:dyDescent="0.35">
      <c r="A21" s="49"/>
      <c r="B21" s="50" t="s">
        <v>23</v>
      </c>
      <c r="C21" s="51">
        <v>5</v>
      </c>
      <c r="D21" s="52" t="s">
        <v>10</v>
      </c>
      <c r="E21" s="53">
        <v>0</v>
      </c>
      <c r="F21" s="53">
        <v>0</v>
      </c>
      <c r="G21" s="53">
        <v>0</v>
      </c>
      <c r="H21" s="54">
        <v>4.4000000000000004</v>
      </c>
      <c r="I21" s="53">
        <v>4.05</v>
      </c>
      <c r="J21" s="53">
        <v>4.29</v>
      </c>
      <c r="K21" s="53">
        <v>4.3499999999999996</v>
      </c>
      <c r="L21" s="54">
        <v>4.04</v>
      </c>
      <c r="M21" s="53">
        <v>3.91</v>
      </c>
      <c r="N21" s="53">
        <v>4.37</v>
      </c>
      <c r="O21" s="53">
        <v>4.43</v>
      </c>
      <c r="P21" s="54">
        <v>4.32</v>
      </c>
      <c r="Q21" s="54">
        <v>4.3499999999999996</v>
      </c>
      <c r="R21" s="53">
        <v>4.3600000000000003</v>
      </c>
      <c r="S21" s="54">
        <v>4.38</v>
      </c>
      <c r="T21" s="54">
        <v>4.3</v>
      </c>
      <c r="U21" s="53">
        <v>4.32</v>
      </c>
      <c r="V21" s="53">
        <v>4.3899999999999997</v>
      </c>
      <c r="W21" s="53">
        <v>4.43</v>
      </c>
      <c r="X21" s="53">
        <v>4.41</v>
      </c>
      <c r="Y21" s="54">
        <v>4.37</v>
      </c>
      <c r="Z21" s="55">
        <v>5.28</v>
      </c>
      <c r="AA21" s="55">
        <v>5.96</v>
      </c>
      <c r="AB21" s="55">
        <v>5.75</v>
      </c>
      <c r="AC21" s="53">
        <v>4.3600000000000003</v>
      </c>
      <c r="AD21" s="54">
        <v>4.3899999999999997</v>
      </c>
      <c r="AE21" s="54">
        <v>4.3</v>
      </c>
      <c r="AF21" s="53">
        <v>4.28</v>
      </c>
      <c r="AG21" s="53">
        <v>4.3</v>
      </c>
      <c r="AH21" s="53">
        <v>4.13</v>
      </c>
      <c r="AI21" s="53">
        <v>4.0999999999999996</v>
      </c>
    </row>
    <row r="22" spans="1:35" x14ac:dyDescent="0.35">
      <c r="A22" s="37"/>
      <c r="B22" s="56" t="s">
        <v>24</v>
      </c>
      <c r="C22" s="57">
        <v>0.5</v>
      </c>
      <c r="D22" s="58" t="s">
        <v>10</v>
      </c>
      <c r="E22" s="53">
        <v>0</v>
      </c>
      <c r="F22" s="53">
        <v>0</v>
      </c>
      <c r="G22" s="53">
        <v>0</v>
      </c>
      <c r="H22" s="54">
        <v>0.37</v>
      </c>
      <c r="I22" s="53">
        <v>0.37</v>
      </c>
      <c r="J22" s="53">
        <v>0.37</v>
      </c>
      <c r="K22" s="53">
        <v>0.36</v>
      </c>
      <c r="L22" s="54">
        <v>0.37</v>
      </c>
      <c r="M22" s="53">
        <v>0.36</v>
      </c>
      <c r="N22" s="53">
        <v>0.37</v>
      </c>
      <c r="O22" s="53">
        <v>0.38</v>
      </c>
      <c r="P22" s="54">
        <v>0.37</v>
      </c>
      <c r="Q22" s="54">
        <v>0.38</v>
      </c>
      <c r="R22" s="53">
        <v>0.36</v>
      </c>
      <c r="S22" s="54">
        <v>0.37</v>
      </c>
      <c r="T22" s="54">
        <v>0.37</v>
      </c>
      <c r="U22" s="53">
        <v>0.36</v>
      </c>
      <c r="V22" s="53">
        <v>0.37</v>
      </c>
      <c r="W22" s="53">
        <v>0.37</v>
      </c>
      <c r="X22" s="53">
        <v>0.36</v>
      </c>
      <c r="Y22" s="54">
        <v>0.38</v>
      </c>
      <c r="Z22" s="53">
        <v>0.37</v>
      </c>
      <c r="AA22" s="53">
        <v>0.39</v>
      </c>
      <c r="AB22" s="53">
        <v>0.42499999999999999</v>
      </c>
      <c r="AC22" s="53">
        <v>0.37</v>
      </c>
      <c r="AD22" s="54">
        <v>0.37</v>
      </c>
      <c r="AE22" s="54">
        <v>0.38</v>
      </c>
      <c r="AF22" s="53">
        <v>0.37</v>
      </c>
      <c r="AG22" s="53">
        <v>0.37</v>
      </c>
      <c r="AH22" s="53">
        <v>0.37</v>
      </c>
      <c r="AI22" s="53">
        <v>0.37</v>
      </c>
    </row>
    <row r="23" spans="1:35" x14ac:dyDescent="0.35">
      <c r="A23" s="37"/>
      <c r="B23" s="56" t="s">
        <v>25</v>
      </c>
      <c r="C23" s="59" t="s">
        <v>26</v>
      </c>
      <c r="D23" s="58" t="s">
        <v>10</v>
      </c>
      <c r="E23" s="53">
        <v>0</v>
      </c>
      <c r="F23" s="53">
        <v>0</v>
      </c>
      <c r="G23" s="53">
        <v>0</v>
      </c>
      <c r="H23" s="54">
        <v>2.2400000000000002</v>
      </c>
      <c r="I23" s="53">
        <v>2.23</v>
      </c>
      <c r="J23" s="60">
        <v>2.23</v>
      </c>
      <c r="K23" s="60">
        <v>2.2200000000000002</v>
      </c>
      <c r="L23" s="54">
        <v>2.23</v>
      </c>
      <c r="M23" s="53">
        <v>2.2200000000000002</v>
      </c>
      <c r="N23" s="60">
        <v>2.23</v>
      </c>
      <c r="O23" s="60">
        <v>2.23</v>
      </c>
      <c r="P23" s="61">
        <v>2.23</v>
      </c>
      <c r="Q23" s="54">
        <v>2.21</v>
      </c>
      <c r="R23" s="53">
        <v>2.23</v>
      </c>
      <c r="S23" s="54">
        <v>2.2200000000000002</v>
      </c>
      <c r="T23" s="61">
        <v>2.23</v>
      </c>
      <c r="U23" s="53">
        <v>2.23</v>
      </c>
      <c r="V23" s="53">
        <v>2.2400000000000002</v>
      </c>
      <c r="W23" s="53">
        <v>2.2400000000000002</v>
      </c>
      <c r="X23" s="53">
        <v>2.25</v>
      </c>
      <c r="Y23" s="54">
        <v>2.23</v>
      </c>
      <c r="Z23" s="53">
        <v>2.2200000000000002</v>
      </c>
      <c r="AA23" s="53">
        <v>2.21</v>
      </c>
      <c r="AB23" s="53">
        <v>2.206</v>
      </c>
      <c r="AC23" s="53">
        <v>2.21</v>
      </c>
      <c r="AD23" s="54">
        <v>2.23</v>
      </c>
      <c r="AE23" s="54">
        <v>2.25</v>
      </c>
      <c r="AF23" s="53">
        <v>2.2400000000000002</v>
      </c>
      <c r="AG23" s="53">
        <v>2.2400000000000002</v>
      </c>
      <c r="AH23" s="53">
        <v>2.25</v>
      </c>
      <c r="AI23" s="53">
        <v>2.23</v>
      </c>
    </row>
    <row r="24" spans="1:35" x14ac:dyDescent="0.35">
      <c r="A24" s="37"/>
      <c r="B24" s="62" t="s">
        <v>27</v>
      </c>
      <c r="C24" s="63"/>
      <c r="D24" s="64"/>
      <c r="E24" s="43"/>
      <c r="F24" s="43"/>
      <c r="G24" s="43"/>
      <c r="H24" s="44"/>
      <c r="I24" s="43"/>
      <c r="J24" s="43"/>
      <c r="K24" s="43"/>
      <c r="L24" s="44"/>
      <c r="M24" s="43"/>
      <c r="N24" s="43"/>
      <c r="O24" s="43"/>
      <c r="P24" s="44"/>
      <c r="Q24" s="44"/>
      <c r="R24" s="43"/>
      <c r="S24" s="44"/>
      <c r="T24" s="44"/>
      <c r="U24" s="43"/>
      <c r="V24" s="43"/>
      <c r="W24" s="43"/>
      <c r="X24" s="43"/>
      <c r="Y24" s="44"/>
      <c r="Z24" s="43"/>
      <c r="AA24" s="43"/>
      <c r="AB24" s="43"/>
      <c r="AC24" s="43"/>
      <c r="AD24" s="44"/>
      <c r="AE24" s="44"/>
      <c r="AF24" s="43"/>
      <c r="AG24" s="43"/>
      <c r="AH24" s="43"/>
      <c r="AI24" s="43"/>
    </row>
    <row r="25" spans="1:35" x14ac:dyDescent="0.35">
      <c r="A25" s="58"/>
      <c r="B25" s="65" t="s">
        <v>28</v>
      </c>
      <c r="C25" s="46">
        <f>C43%*C19</f>
        <v>1692215.5688622734</v>
      </c>
      <c r="D25" s="66" t="s">
        <v>7</v>
      </c>
      <c r="E25" s="48">
        <v>0</v>
      </c>
      <c r="F25" s="48">
        <v>0</v>
      </c>
      <c r="G25" s="48">
        <f>0.0999999999912689*1000</f>
        <v>99.999999991268908</v>
      </c>
      <c r="H25" s="44">
        <v>1061500</v>
      </c>
      <c r="I25" s="48">
        <f>1978.23*1000</f>
        <v>1978230</v>
      </c>
      <c r="J25" s="48">
        <f>1608.47*1000</f>
        <v>1608470</v>
      </c>
      <c r="K25" s="48">
        <f>1905.07000000001*1000</f>
        <v>1905070.00000001</v>
      </c>
      <c r="L25" s="44">
        <f>1825.33*1000</f>
        <v>1825330</v>
      </c>
      <c r="M25" s="48">
        <v>1905600</v>
      </c>
      <c r="N25" s="48">
        <f>1998.59999999999*1000</f>
        <v>1998599.99999999</v>
      </c>
      <c r="O25" s="48">
        <f>2002.8*1000</f>
        <v>2002800</v>
      </c>
      <c r="P25" s="44">
        <f>1904.10000000001*1000</f>
        <v>1904100.00000001</v>
      </c>
      <c r="Q25" s="44">
        <v>1763000</v>
      </c>
      <c r="R25" s="48">
        <f>1488.39999999999*1000</f>
        <v>1488399.99999999</v>
      </c>
      <c r="S25" s="44">
        <f>1517.39999999999*1000</f>
        <v>1517399.99999999</v>
      </c>
      <c r="T25" s="44">
        <v>1427000</v>
      </c>
      <c r="U25" s="48">
        <f>1480.3*1000</f>
        <v>1480300</v>
      </c>
      <c r="V25" s="48">
        <f>1267.59*1000</f>
        <v>1267590</v>
      </c>
      <c r="W25" s="48">
        <f>1250.93999999999*1000</f>
        <v>1250939.99999999</v>
      </c>
      <c r="X25" s="48">
        <f>995.12000000001*1000</f>
        <v>995120.00000001001</v>
      </c>
      <c r="Y25" s="44">
        <f>1181.3*1000</f>
        <v>1181300</v>
      </c>
      <c r="Z25" s="48">
        <f>1236.98*1000</f>
        <v>1236980</v>
      </c>
      <c r="AA25" s="48">
        <f>1211.71000000001*1000</f>
        <v>1211710.00000001</v>
      </c>
      <c r="AB25" s="48">
        <f>1226.75999999999*1000</f>
        <v>1226759.99999999</v>
      </c>
      <c r="AC25" s="48">
        <f>1262.48999999999*1000</f>
        <v>1262489.99999999</v>
      </c>
      <c r="AD25" s="44">
        <f>1355.70000000001*1000</f>
        <v>1355700.00000001</v>
      </c>
      <c r="AE25" s="44">
        <f>1254.84999999999*1000</f>
        <v>1254849.99999999</v>
      </c>
      <c r="AF25" s="48">
        <f>1477.98000000001*1000</f>
        <v>1477980.00000001</v>
      </c>
      <c r="AG25" s="48">
        <f>1386.39*1000</f>
        <v>1386390</v>
      </c>
      <c r="AH25" s="48">
        <f>1467.99999999999*1000</f>
        <v>1467999.99999999</v>
      </c>
      <c r="AI25" s="48">
        <f>1317.79000000001*1000</f>
        <v>1317790.00000001</v>
      </c>
    </row>
    <row r="26" spans="1:35" x14ac:dyDescent="0.35">
      <c r="A26" s="58"/>
      <c r="B26" s="65" t="s">
        <v>29</v>
      </c>
      <c r="C26" s="46">
        <f>C44%*C19</f>
        <v>89820.359281437006</v>
      </c>
      <c r="D26" s="66" t="s">
        <v>7</v>
      </c>
      <c r="E26" s="48">
        <v>0</v>
      </c>
      <c r="F26" s="48">
        <v>0</v>
      </c>
      <c r="G26" s="48">
        <f>5.80000000000018*1000</f>
        <v>5800.0000000001801</v>
      </c>
      <c r="H26" s="44">
        <v>61500</v>
      </c>
      <c r="I26" s="48">
        <f>84.6999999999998*1000</f>
        <v>84699.999999999811</v>
      </c>
      <c r="J26" s="48">
        <f>77.4000000000001*1000</f>
        <v>77400.000000000102</v>
      </c>
      <c r="K26" s="48">
        <f>91.6999999999998*1000</f>
        <v>91699.999999999811</v>
      </c>
      <c r="L26" s="44">
        <f>80.6900000000001*1000</f>
        <v>80690.000000000102</v>
      </c>
      <c r="M26" s="48">
        <f>83.0999999999999*1000</f>
        <v>83099.999999999898</v>
      </c>
      <c r="N26" s="48">
        <v>90300</v>
      </c>
      <c r="O26" s="48">
        <v>98500</v>
      </c>
      <c r="P26" s="44">
        <f>93.9000000000001*1000</f>
        <v>93900.000000000102</v>
      </c>
      <c r="Q26" s="44">
        <f>77.0599999999999*1000</f>
        <v>77059.999999999898</v>
      </c>
      <c r="R26" s="48">
        <f>54.75*1000</f>
        <v>54750</v>
      </c>
      <c r="S26" s="44">
        <f>67.1999999999998*1000</f>
        <v>67199.999999999811</v>
      </c>
      <c r="T26" s="44">
        <v>71000</v>
      </c>
      <c r="U26" s="48">
        <f>69.6900000000005*1000</f>
        <v>69690.000000000495</v>
      </c>
      <c r="V26" s="48">
        <f>59.96*1000</f>
        <v>59960</v>
      </c>
      <c r="W26" s="48">
        <f>57.7699999999995*1000</f>
        <v>57769.999999999498</v>
      </c>
      <c r="X26" s="48">
        <f>42.0300000000007*1000</f>
        <v>42030.000000000698</v>
      </c>
      <c r="Y26" s="44">
        <f>52.7799999999997*1000</f>
        <v>52779.999999999702</v>
      </c>
      <c r="Z26" s="48">
        <f>73.29*1000</f>
        <v>73290</v>
      </c>
      <c r="AA26" s="48">
        <f>81.6999999999998*1000</f>
        <v>81699.999999999811</v>
      </c>
      <c r="AB26" s="48">
        <f>78.8400000000001*1000</f>
        <v>78840.000000000102</v>
      </c>
      <c r="AC26" s="48">
        <f>56.8299999999999*1000</f>
        <v>56829.999999999898</v>
      </c>
      <c r="AD26" s="44">
        <f>62.2700000000004*1000</f>
        <v>62270.0000000004</v>
      </c>
      <c r="AE26" s="44">
        <f>53.5999999999995*1000</f>
        <v>53599.999999999498</v>
      </c>
      <c r="AF26" s="48">
        <f>63.5600000000004*1000</f>
        <v>63560.0000000004</v>
      </c>
      <c r="AG26" s="48">
        <f>62.8000000000002*1000</f>
        <v>62800.000000000204</v>
      </c>
      <c r="AH26" s="48">
        <f>64.8199999999997*1000</f>
        <v>64819.999999999694</v>
      </c>
      <c r="AI26" s="48">
        <f>56.7799999999997*1000</f>
        <v>56779.999999999702</v>
      </c>
    </row>
    <row r="27" spans="1:35" x14ac:dyDescent="0.35">
      <c r="A27" s="58"/>
      <c r="B27" s="67" t="s">
        <v>30</v>
      </c>
      <c r="C27" s="68"/>
      <c r="D27" s="69"/>
      <c r="E27" s="39"/>
      <c r="F27" s="39"/>
      <c r="G27" s="39"/>
      <c r="H27" s="36"/>
      <c r="I27" s="39"/>
      <c r="J27" s="39"/>
      <c r="K27" s="39"/>
      <c r="L27" s="36"/>
      <c r="M27" s="39"/>
      <c r="N27" s="39"/>
      <c r="O27" s="39"/>
      <c r="P27" s="36"/>
      <c r="Q27" s="36"/>
      <c r="R27" s="39"/>
      <c r="S27" s="36"/>
      <c r="T27" s="36"/>
      <c r="U27" s="39"/>
      <c r="V27" s="39"/>
      <c r="W27" s="39"/>
      <c r="X27" s="39"/>
      <c r="Y27" s="36"/>
      <c r="Z27" s="39"/>
      <c r="AA27" s="39"/>
      <c r="AB27" s="39"/>
      <c r="AC27" s="39"/>
      <c r="AD27" s="36"/>
      <c r="AE27" s="36"/>
      <c r="AF27" s="39"/>
      <c r="AG27" s="39"/>
      <c r="AH27" s="39"/>
      <c r="AI27" s="39"/>
    </row>
    <row r="28" spans="1:35" x14ac:dyDescent="0.35">
      <c r="A28" s="58"/>
      <c r="B28" s="65" t="s">
        <v>31</v>
      </c>
      <c r="C28" s="70">
        <f>SUM(C29:C30)</f>
        <v>39640824.376159139</v>
      </c>
      <c r="D28" s="66" t="s">
        <v>7</v>
      </c>
      <c r="E28" s="48">
        <f>SUM(E29:E30)</f>
        <v>0</v>
      </c>
      <c r="F28" s="48">
        <f t="shared" ref="F28" si="5">SUM(F29:F30)</f>
        <v>0</v>
      </c>
      <c r="G28" s="48">
        <f>SUM(G29:G30)</f>
        <v>336399.99999996542</v>
      </c>
      <c r="H28" s="44">
        <f t="shared" ref="H28:AI28" si="6">SUM(H29:H30)</f>
        <v>1205800.000000017</v>
      </c>
      <c r="I28" s="48">
        <f t="shared" si="6"/>
        <v>2105500.0000000582</v>
      </c>
      <c r="J28" s="48">
        <f t="shared" si="6"/>
        <v>1878299.9999999299</v>
      </c>
      <c r="K28" s="48">
        <f t="shared" si="6"/>
        <v>1897800.000000102</v>
      </c>
      <c r="L28" s="44">
        <f t="shared" si="6"/>
        <v>1831899.999999936</v>
      </c>
      <c r="M28" s="44">
        <f t="shared" si="6"/>
        <v>1509499.999999997</v>
      </c>
      <c r="N28" s="48">
        <f t="shared" si="6"/>
        <v>971499.9999999709</v>
      </c>
      <c r="O28" s="48">
        <f>SUM(O29:O30)</f>
        <v>2089500</v>
      </c>
      <c r="P28" s="44">
        <f t="shared" si="6"/>
        <v>2089500</v>
      </c>
      <c r="Q28" s="44">
        <f t="shared" si="6"/>
        <v>1846899.9999999679</v>
      </c>
      <c r="R28" s="48">
        <f t="shared" si="6"/>
        <v>1662200.0000000121</v>
      </c>
      <c r="S28" s="44">
        <f t="shared" si="6"/>
        <v>1417700.0000000701</v>
      </c>
      <c r="T28" s="44">
        <f t="shared" si="6"/>
        <v>1183899.9999999648</v>
      </c>
      <c r="U28" s="48">
        <f t="shared" si="6"/>
        <v>0</v>
      </c>
      <c r="V28" s="48">
        <f t="shared" si="6"/>
        <v>0</v>
      </c>
      <c r="W28" s="48">
        <f t="shared" si="6"/>
        <v>535200.00000004051</v>
      </c>
      <c r="X28" s="48">
        <f t="shared" si="6"/>
        <v>1538799.999999963</v>
      </c>
      <c r="Y28" s="44">
        <f t="shared" si="6"/>
        <v>1783999.9999999418</v>
      </c>
      <c r="Z28" s="48">
        <f t="shared" si="6"/>
        <v>1751000</v>
      </c>
      <c r="AA28" s="48">
        <f t="shared" si="6"/>
        <v>1048800.0000000759</v>
      </c>
      <c r="AB28" s="48">
        <f t="shared" si="6"/>
        <v>1302500.0000000261</v>
      </c>
      <c r="AC28" s="48">
        <f t="shared" si="6"/>
        <v>1317499.9999998771</v>
      </c>
      <c r="AD28" s="44">
        <f t="shared" si="6"/>
        <v>1386100.0000000931</v>
      </c>
      <c r="AE28" s="44">
        <f t="shared" si="6"/>
        <v>1387499.9999999739</v>
      </c>
      <c r="AF28" s="48">
        <f t="shared" si="6"/>
        <v>968300.000000017</v>
      </c>
      <c r="AG28" s="48">
        <f t="shared" si="6"/>
        <v>299800.00000001717</v>
      </c>
      <c r="AH28" s="48">
        <f t="shared" si="6"/>
        <v>0</v>
      </c>
      <c r="AI28" s="48">
        <f t="shared" si="6"/>
        <v>0</v>
      </c>
    </row>
    <row r="29" spans="1:35" x14ac:dyDescent="0.35">
      <c r="A29" s="58"/>
      <c r="B29" s="65" t="s">
        <v>32</v>
      </c>
      <c r="C29" s="70">
        <f>32505.4759884505*1000</f>
        <v>32505475.988450501</v>
      </c>
      <c r="D29" s="66" t="s">
        <v>7</v>
      </c>
      <c r="E29" s="48">
        <v>0</v>
      </c>
      <c r="F29" s="48">
        <v>0</v>
      </c>
      <c r="G29" s="48">
        <f>307.599999999977*1000</f>
        <v>307599.99999997701</v>
      </c>
      <c r="H29" s="44">
        <v>1010000</v>
      </c>
      <c r="I29" s="48">
        <f>1767.20000000007*1000</f>
        <v>1767200.0000000701</v>
      </c>
      <c r="J29" s="48">
        <f>1572.29999999993*1000</f>
        <v>1572299.9999999299</v>
      </c>
      <c r="K29" s="48">
        <f>1599.60000000009*1000</f>
        <v>1599600.0000000899</v>
      </c>
      <c r="L29" s="44">
        <f>1548.29999999993*1000</f>
        <v>1548299.9999999299</v>
      </c>
      <c r="M29" s="44">
        <f>1246.90000000002*1000</f>
        <v>1246900.00000002</v>
      </c>
      <c r="N29" s="48">
        <f>810.099999999977*1000</f>
        <v>810099.99999997695</v>
      </c>
      <c r="O29" s="48">
        <f>1738.5*1000</f>
        <v>1738500</v>
      </c>
      <c r="P29" s="44">
        <f>1736.5*1000</f>
        <v>1736500</v>
      </c>
      <c r="Q29" s="44">
        <f>1533.59999999998*1000</f>
        <v>1533599.99999998</v>
      </c>
      <c r="R29" s="48">
        <v>1374000</v>
      </c>
      <c r="S29" s="44">
        <f>1174.20000000007*1000</f>
        <v>1174200.0000000701</v>
      </c>
      <c r="T29" s="44">
        <f>972.599999999977*1000</f>
        <v>972599.99999997695</v>
      </c>
      <c r="U29" s="48">
        <v>0</v>
      </c>
      <c r="V29" s="48">
        <v>0</v>
      </c>
      <c r="W29" s="48">
        <f>456.400000000023*1000</f>
        <v>456400.00000002299</v>
      </c>
      <c r="X29" s="48">
        <f>1270.09999999998*1000</f>
        <v>1270099.99999998</v>
      </c>
      <c r="Y29" s="44">
        <f>1495.29999999993*1000</f>
        <v>1495299.9999999299</v>
      </c>
      <c r="Z29" s="48">
        <v>1455000</v>
      </c>
      <c r="AA29" s="48">
        <f>891.70000000007*1000</f>
        <v>891700.00000006997</v>
      </c>
      <c r="AB29" s="48">
        <f>1021.40000000002*1000</f>
        <v>1021400.00000002</v>
      </c>
      <c r="AC29" s="48">
        <f>1066.3999999999*1000</f>
        <v>1066399.9999999001</v>
      </c>
      <c r="AD29" s="44">
        <f>1126.20000000007*1000</f>
        <v>1126200.0000000701</v>
      </c>
      <c r="AE29" s="44">
        <f>1153.09999999998*1000</f>
        <v>1153099.99999998</v>
      </c>
      <c r="AF29" s="48">
        <f>803.400000000023*1000</f>
        <v>803400.00000002305</v>
      </c>
      <c r="AG29" s="48">
        <f>252.400000000023*1000</f>
        <v>252400.00000002299</v>
      </c>
      <c r="AH29" s="48">
        <v>0</v>
      </c>
      <c r="AI29" s="48">
        <v>0</v>
      </c>
    </row>
    <row r="30" spans="1:35" x14ac:dyDescent="0.35">
      <c r="A30" s="58"/>
      <c r="B30" s="65" t="s">
        <v>33</v>
      </c>
      <c r="C30" s="70">
        <f>7135.34838770864*1000</f>
        <v>7135348.3877086397</v>
      </c>
      <c r="D30" s="66" t="s">
        <v>7</v>
      </c>
      <c r="E30" s="48">
        <v>0</v>
      </c>
      <c r="F30" s="48">
        <v>0</v>
      </c>
      <c r="G30" s="48">
        <f>28.7999999999884*1000</f>
        <v>28799.999999988402</v>
      </c>
      <c r="H30" s="44">
        <f>195.800000000017*1000</f>
        <v>195800.000000017</v>
      </c>
      <c r="I30" s="48">
        <f>338.299999999988*1000</f>
        <v>338299.99999998801</v>
      </c>
      <c r="J30" s="48">
        <v>306000</v>
      </c>
      <c r="K30" s="48">
        <f>298.200000000012*1000</f>
        <v>298200.00000001199</v>
      </c>
      <c r="L30" s="44">
        <f>283.600000000006*1000</f>
        <v>283600.000000006</v>
      </c>
      <c r="M30" s="44">
        <f>262.599999999977*1000</f>
        <v>262599.99999997701</v>
      </c>
      <c r="N30" s="48">
        <f>161.399999999994*1000</f>
        <v>161399.999999994</v>
      </c>
      <c r="O30" s="48">
        <v>351000</v>
      </c>
      <c r="P30" s="44">
        <v>353000</v>
      </c>
      <c r="Q30" s="44">
        <f>313.299999999988*1000</f>
        <v>313299.99999998801</v>
      </c>
      <c r="R30" s="48">
        <f>288.200000000012*1000</f>
        <v>288200.00000001199</v>
      </c>
      <c r="S30" s="44">
        <v>243500</v>
      </c>
      <c r="T30" s="44">
        <f>211.299999999988*1000</f>
        <v>211299.99999998798</v>
      </c>
      <c r="U30" s="48">
        <v>0</v>
      </c>
      <c r="V30" s="48">
        <v>0</v>
      </c>
      <c r="W30" s="48">
        <f>78.8000000000175*1000</f>
        <v>78800.000000017506</v>
      </c>
      <c r="X30" s="48">
        <f>268.699999999983*1000</f>
        <v>268699.999999983</v>
      </c>
      <c r="Y30" s="44">
        <f>288.700000000012*1000</f>
        <v>288700.00000001199</v>
      </c>
      <c r="Z30" s="71">
        <v>296000</v>
      </c>
      <c r="AA30" s="48">
        <f>157.100000000006*1000</f>
        <v>157100.000000006</v>
      </c>
      <c r="AB30" s="48">
        <f>281.100000000006*1000</f>
        <v>281100.000000006</v>
      </c>
      <c r="AC30" s="48">
        <f>251.099999999977*1000</f>
        <v>251099.99999997701</v>
      </c>
      <c r="AD30" s="44">
        <f>259.900000000023*1000</f>
        <v>259900.00000002299</v>
      </c>
      <c r="AE30" s="44">
        <f>234.399999999994*1000</f>
        <v>234399.999999994</v>
      </c>
      <c r="AF30" s="48">
        <f>164.899999999994*1000</f>
        <v>164899.999999994</v>
      </c>
      <c r="AG30" s="48">
        <f>47.3999999999942*1000</f>
        <v>47399.999999994201</v>
      </c>
      <c r="AH30" s="48">
        <v>0</v>
      </c>
      <c r="AI30" s="48">
        <v>0</v>
      </c>
    </row>
    <row r="31" spans="1:35" x14ac:dyDescent="0.35">
      <c r="A31" s="58"/>
      <c r="B31" s="67" t="s">
        <v>34</v>
      </c>
      <c r="C31" s="72"/>
      <c r="D31" s="69"/>
      <c r="E31" s="39"/>
      <c r="F31" s="39"/>
      <c r="G31" s="39"/>
      <c r="H31" s="73"/>
      <c r="I31" s="39"/>
      <c r="J31" s="39"/>
      <c r="K31" s="39"/>
      <c r="L31" s="36"/>
      <c r="M31" s="36"/>
      <c r="N31" s="39"/>
      <c r="O31" s="39"/>
      <c r="P31" s="36"/>
      <c r="Q31" s="36"/>
      <c r="R31" s="39"/>
      <c r="S31" s="36"/>
      <c r="T31" s="36"/>
      <c r="U31" s="39"/>
      <c r="V31" s="39"/>
      <c r="W31" s="39"/>
      <c r="X31" s="74"/>
      <c r="Y31" s="75"/>
      <c r="Z31" s="76"/>
      <c r="AA31" s="74"/>
      <c r="AB31" s="74"/>
      <c r="AC31" s="74"/>
      <c r="AD31" s="75"/>
      <c r="AE31" s="75"/>
      <c r="AF31" s="74"/>
      <c r="AG31" s="74"/>
      <c r="AH31" s="74"/>
      <c r="AI31" s="74"/>
    </row>
    <row r="32" spans="1:35" x14ac:dyDescent="0.35">
      <c r="A32" s="18"/>
      <c r="B32" s="77" t="s">
        <v>21</v>
      </c>
      <c r="C32" s="78"/>
      <c r="D32" s="79" t="s">
        <v>7</v>
      </c>
      <c r="E32" s="48"/>
      <c r="F32" s="48"/>
      <c r="G32" s="48"/>
      <c r="H32" s="44"/>
      <c r="I32" s="48"/>
      <c r="J32" s="48"/>
      <c r="K32" s="48"/>
      <c r="L32" s="44"/>
      <c r="M32" s="44">
        <f>706.6*1000</f>
        <v>706600</v>
      </c>
      <c r="N32" s="48"/>
      <c r="O32" s="48"/>
      <c r="P32" s="44"/>
      <c r="Q32" s="44"/>
      <c r="R32" s="48"/>
      <c r="S32" s="44"/>
      <c r="T32" s="44"/>
      <c r="U32" s="48"/>
      <c r="V32" s="48"/>
      <c r="W32" s="48"/>
      <c r="X32" s="48"/>
      <c r="Y32" s="44"/>
      <c r="Z32" s="48"/>
      <c r="AA32" s="48"/>
      <c r="AB32" s="80"/>
      <c r="AC32" s="80"/>
      <c r="AD32" s="81"/>
      <c r="AE32" s="81"/>
      <c r="AF32" s="80"/>
      <c r="AG32" s="80"/>
      <c r="AH32" s="80"/>
      <c r="AI32" s="80"/>
    </row>
    <row r="33" spans="1:35" x14ac:dyDescent="0.35">
      <c r="A33" s="58"/>
      <c r="B33" s="65" t="s">
        <v>35</v>
      </c>
      <c r="C33" s="70">
        <f>SUM(C34:C35)</f>
        <v>1128336.1585714291</v>
      </c>
      <c r="D33" s="66" t="s">
        <v>7</v>
      </c>
      <c r="E33" s="48">
        <f>SUM(E34:E35)</f>
        <v>0</v>
      </c>
      <c r="F33" s="48">
        <f t="shared" ref="F33:N33" si="7">SUM(F34:F35)</f>
        <v>0</v>
      </c>
      <c r="G33" s="48">
        <f t="shared" si="7"/>
        <v>0</v>
      </c>
      <c r="H33" s="44">
        <f t="shared" si="7"/>
        <v>0</v>
      </c>
      <c r="I33" s="48">
        <f t="shared" si="7"/>
        <v>0</v>
      </c>
      <c r="J33" s="48">
        <f t="shared" si="7"/>
        <v>0</v>
      </c>
      <c r="K33" s="48">
        <f t="shared" si="7"/>
        <v>0</v>
      </c>
      <c r="L33" s="44">
        <f t="shared" si="7"/>
        <v>0</v>
      </c>
      <c r="M33" s="44">
        <f t="shared" si="7"/>
        <v>0</v>
      </c>
      <c r="N33" s="48">
        <f t="shared" si="7"/>
        <v>672000.00000008696</v>
      </c>
      <c r="O33" s="48">
        <v>0</v>
      </c>
      <c r="P33" s="44">
        <v>0</v>
      </c>
      <c r="Q33" s="44">
        <v>0</v>
      </c>
      <c r="R33" s="48">
        <v>0</v>
      </c>
      <c r="S33" s="44">
        <v>0</v>
      </c>
      <c r="T33" s="44">
        <v>0</v>
      </c>
      <c r="U33" s="48">
        <v>0</v>
      </c>
      <c r="V33" s="48">
        <v>0</v>
      </c>
      <c r="W33" s="48">
        <f>SUM(W34:W35)</f>
        <v>339799.99999997701</v>
      </c>
      <c r="X33" s="48">
        <v>0</v>
      </c>
      <c r="Y33" s="44">
        <v>0</v>
      </c>
      <c r="Z33" s="48">
        <v>0</v>
      </c>
      <c r="AA33" s="48">
        <v>0</v>
      </c>
      <c r="AB33" s="48">
        <v>0</v>
      </c>
      <c r="AC33" s="48">
        <v>0</v>
      </c>
      <c r="AD33" s="44">
        <v>0</v>
      </c>
      <c r="AE33" s="44">
        <v>0</v>
      </c>
      <c r="AF33" s="48">
        <v>0</v>
      </c>
      <c r="AG33" s="48">
        <v>0</v>
      </c>
      <c r="AH33" s="48">
        <v>0</v>
      </c>
      <c r="AI33" s="48">
        <v>0</v>
      </c>
    </row>
    <row r="34" spans="1:35" x14ac:dyDescent="0.35">
      <c r="A34" s="58"/>
      <c r="B34" s="65" t="s">
        <v>36</v>
      </c>
      <c r="C34" s="70">
        <f>789.835311*1000</f>
        <v>789835.3110000001</v>
      </c>
      <c r="D34" s="66" t="s">
        <v>7</v>
      </c>
      <c r="E34" s="48">
        <v>0</v>
      </c>
      <c r="F34" s="48">
        <v>0</v>
      </c>
      <c r="G34" s="48">
        <v>0</v>
      </c>
      <c r="H34" s="44">
        <v>0</v>
      </c>
      <c r="I34" s="48">
        <v>0</v>
      </c>
      <c r="J34" s="48">
        <v>0</v>
      </c>
      <c r="K34" s="48">
        <v>0</v>
      </c>
      <c r="L34" s="44">
        <v>0</v>
      </c>
      <c r="M34" s="44">
        <v>0</v>
      </c>
      <c r="N34" s="48">
        <f>536.70000000007*1000</f>
        <v>536700.00000006997</v>
      </c>
      <c r="O34" s="48">
        <v>0</v>
      </c>
      <c r="P34" s="44">
        <v>0</v>
      </c>
      <c r="Q34" s="44">
        <v>0</v>
      </c>
      <c r="R34" s="48">
        <v>0</v>
      </c>
      <c r="S34" s="44">
        <v>0</v>
      </c>
      <c r="T34" s="44">
        <v>0</v>
      </c>
      <c r="U34" s="48">
        <v>0</v>
      </c>
      <c r="V34" s="48">
        <v>0</v>
      </c>
      <c r="W34" s="48">
        <f>259.599999999977*1000</f>
        <v>259599.99999997701</v>
      </c>
      <c r="X34" s="48">
        <v>0</v>
      </c>
      <c r="Y34" s="44">
        <v>0</v>
      </c>
      <c r="Z34" s="48">
        <v>0</v>
      </c>
      <c r="AA34" s="48">
        <v>0</v>
      </c>
      <c r="AB34" s="48">
        <v>0</v>
      </c>
      <c r="AC34" s="48">
        <v>0</v>
      </c>
      <c r="AD34" s="44">
        <v>0</v>
      </c>
      <c r="AE34" s="44">
        <v>0</v>
      </c>
      <c r="AF34" s="48">
        <v>0</v>
      </c>
      <c r="AG34" s="48">
        <v>0</v>
      </c>
      <c r="AH34" s="48">
        <v>0</v>
      </c>
      <c r="AI34" s="48">
        <v>0</v>
      </c>
    </row>
    <row r="35" spans="1:35" x14ac:dyDescent="0.35">
      <c r="A35" s="58"/>
      <c r="B35" s="45" t="s">
        <v>33</v>
      </c>
      <c r="C35" s="70">
        <f>338.500847571429*1000</f>
        <v>338500.84757142898</v>
      </c>
      <c r="D35" s="66" t="s">
        <v>7</v>
      </c>
      <c r="E35" s="48">
        <v>0</v>
      </c>
      <c r="F35" s="48">
        <v>0</v>
      </c>
      <c r="G35" s="48">
        <v>0</v>
      </c>
      <c r="H35" s="44">
        <v>0</v>
      </c>
      <c r="I35" s="48">
        <v>0</v>
      </c>
      <c r="J35" s="48">
        <v>0</v>
      </c>
      <c r="K35" s="48">
        <v>0</v>
      </c>
      <c r="L35" s="44">
        <v>0</v>
      </c>
      <c r="M35" s="44">
        <v>0</v>
      </c>
      <c r="N35" s="48">
        <f>135.300000000017*1000</f>
        <v>135300.000000017</v>
      </c>
      <c r="O35" s="48">
        <v>0</v>
      </c>
      <c r="P35" s="44">
        <v>0</v>
      </c>
      <c r="Q35" s="44">
        <v>0</v>
      </c>
      <c r="R35" s="48">
        <v>0</v>
      </c>
      <c r="S35" s="44">
        <v>0</v>
      </c>
      <c r="T35" s="44">
        <v>0</v>
      </c>
      <c r="U35" s="48">
        <v>0</v>
      </c>
      <c r="V35" s="48">
        <v>0</v>
      </c>
      <c r="W35" s="48">
        <v>80200</v>
      </c>
      <c r="X35" s="48">
        <v>0</v>
      </c>
      <c r="Y35" s="44">
        <v>0</v>
      </c>
      <c r="Z35" s="48">
        <v>0</v>
      </c>
      <c r="AA35" s="48">
        <v>0</v>
      </c>
      <c r="AB35" s="48">
        <v>0</v>
      </c>
      <c r="AC35" s="48">
        <v>0</v>
      </c>
      <c r="AD35" s="44">
        <v>0</v>
      </c>
      <c r="AE35" s="44">
        <v>0</v>
      </c>
      <c r="AF35" s="48">
        <v>0</v>
      </c>
      <c r="AG35" s="48">
        <v>0</v>
      </c>
      <c r="AH35" s="48">
        <v>0</v>
      </c>
      <c r="AI35" s="48">
        <v>0</v>
      </c>
    </row>
    <row r="36" spans="1:35" x14ac:dyDescent="0.35">
      <c r="A36" s="58"/>
      <c r="B36" s="67" t="s">
        <v>37</v>
      </c>
      <c r="C36" s="72"/>
      <c r="D36" s="69"/>
      <c r="E36" s="39"/>
      <c r="F36" s="39"/>
      <c r="G36" s="39"/>
      <c r="H36" s="73"/>
      <c r="I36" s="39"/>
      <c r="J36" s="39"/>
      <c r="K36" s="39"/>
      <c r="L36" s="36"/>
      <c r="M36" s="36"/>
      <c r="N36" s="39"/>
      <c r="O36" s="39"/>
      <c r="P36" s="36"/>
      <c r="Q36" s="36"/>
      <c r="R36" s="39"/>
      <c r="S36" s="36"/>
      <c r="T36" s="36"/>
      <c r="U36" s="39"/>
      <c r="V36" s="39"/>
      <c r="W36" s="39"/>
      <c r="X36" s="39"/>
      <c r="Y36" s="36"/>
      <c r="Z36" s="39"/>
      <c r="AA36" s="39"/>
      <c r="AB36" s="39"/>
      <c r="AC36" s="74"/>
      <c r="AD36" s="75"/>
      <c r="AE36" s="75"/>
      <c r="AF36" s="74"/>
      <c r="AG36" s="74"/>
      <c r="AH36" s="74"/>
      <c r="AI36" s="74"/>
    </row>
    <row r="37" spans="1:35" x14ac:dyDescent="0.35">
      <c r="A37" s="18"/>
      <c r="B37" s="77" t="s">
        <v>21</v>
      </c>
      <c r="C37" s="78"/>
      <c r="D37" s="79" t="s">
        <v>7</v>
      </c>
      <c r="E37" s="48"/>
      <c r="F37" s="48"/>
      <c r="G37" s="48"/>
      <c r="H37" s="44"/>
      <c r="I37" s="48"/>
      <c r="J37" s="48"/>
      <c r="K37" s="48"/>
      <c r="L37" s="44"/>
      <c r="M37" s="44"/>
      <c r="N37" s="48"/>
      <c r="O37" s="48"/>
      <c r="P37" s="44"/>
      <c r="Q37" s="44"/>
      <c r="R37" s="48"/>
      <c r="S37" s="44"/>
      <c r="T37" s="44">
        <f>1183.29999999999*1000</f>
        <v>1183299.99999999</v>
      </c>
      <c r="U37" s="48">
        <f>U19</f>
        <v>1560330</v>
      </c>
      <c r="V37" s="48"/>
      <c r="W37" s="48"/>
      <c r="X37" s="48"/>
      <c r="Y37" s="44"/>
      <c r="Z37" s="48"/>
      <c r="AA37" s="48"/>
      <c r="AB37" s="48"/>
      <c r="AC37" s="80"/>
      <c r="AD37" s="81"/>
      <c r="AE37" s="81"/>
      <c r="AF37" s="80">
        <f>441.2*1000</f>
        <v>441200</v>
      </c>
      <c r="AG37" s="80">
        <f>AG19</f>
        <v>1457990.00000001</v>
      </c>
      <c r="AH37" s="80">
        <f>AH19</f>
        <v>1542159.99999999</v>
      </c>
      <c r="AI37" s="80">
        <f>AI19</f>
        <v>1382910</v>
      </c>
    </row>
    <row r="38" spans="1:35" x14ac:dyDescent="0.35">
      <c r="A38" s="58"/>
      <c r="B38" s="65" t="s">
        <v>35</v>
      </c>
      <c r="C38" s="70">
        <f>SUM(C40:C41)</f>
        <v>3689522.0999999996</v>
      </c>
      <c r="D38" s="66" t="s">
        <v>7</v>
      </c>
      <c r="E38" s="48">
        <v>0</v>
      </c>
      <c r="F38" s="48">
        <v>0</v>
      </c>
      <c r="G38" s="48">
        <v>0</v>
      </c>
      <c r="H38" s="44">
        <v>0</v>
      </c>
      <c r="I38" s="48">
        <v>0</v>
      </c>
      <c r="J38" s="48">
        <v>0</v>
      </c>
      <c r="K38" s="48">
        <v>0</v>
      </c>
      <c r="L38" s="44">
        <v>0</v>
      </c>
      <c r="M38" s="44">
        <v>0</v>
      </c>
      <c r="N38" s="48">
        <v>0</v>
      </c>
      <c r="O38" s="48">
        <v>0</v>
      </c>
      <c r="P38" s="44">
        <v>0</v>
      </c>
      <c r="Q38" s="44">
        <v>0</v>
      </c>
      <c r="R38" s="48">
        <v>0</v>
      </c>
      <c r="S38" s="44">
        <v>0</v>
      </c>
      <c r="T38" s="44">
        <v>0</v>
      </c>
      <c r="U38" s="48">
        <f>SUM(U40:U41)</f>
        <v>737500</v>
      </c>
      <c r="V38" s="48">
        <f>SUM(V40:V41)</f>
        <v>883699.99999995297</v>
      </c>
      <c r="W38" s="48">
        <f>SUM(W40:W41)</f>
        <v>456000.00000008714</v>
      </c>
      <c r="X38" s="48">
        <v>0</v>
      </c>
      <c r="Y38" s="44">
        <v>0</v>
      </c>
      <c r="Z38" s="48">
        <v>0</v>
      </c>
      <c r="AA38" s="48">
        <v>0</v>
      </c>
      <c r="AB38" s="48">
        <v>0</v>
      </c>
      <c r="AC38" s="48">
        <v>0</v>
      </c>
      <c r="AD38" s="44">
        <v>0</v>
      </c>
      <c r="AE38" s="44">
        <v>0</v>
      </c>
      <c r="AF38" s="48">
        <v>0</v>
      </c>
      <c r="AG38" s="48">
        <f>SUM(AG40:AG41)</f>
        <v>492599.99999994697</v>
      </c>
      <c r="AH38" s="48">
        <f>SUM(AH40:AH41)</f>
        <v>867000</v>
      </c>
      <c r="AI38" s="48">
        <f>SUM(AI40:AI41)</f>
        <v>900500</v>
      </c>
    </row>
    <row r="39" spans="1:35" x14ac:dyDescent="0.35">
      <c r="A39" s="58"/>
      <c r="B39" s="65" t="s">
        <v>38</v>
      </c>
      <c r="C39" s="70"/>
      <c r="D39" s="66" t="s">
        <v>7</v>
      </c>
      <c r="E39" s="48"/>
      <c r="F39" s="48"/>
      <c r="G39" s="48"/>
      <c r="H39" s="44"/>
      <c r="I39" s="48"/>
      <c r="J39" s="48"/>
      <c r="K39" s="48"/>
      <c r="L39" s="44"/>
      <c r="M39" s="44"/>
      <c r="N39" s="48"/>
      <c r="O39" s="48"/>
      <c r="P39" s="44"/>
      <c r="Q39" s="44"/>
      <c r="R39" s="48"/>
      <c r="S39" s="44"/>
      <c r="T39" s="44"/>
      <c r="U39" s="48"/>
      <c r="V39" s="48">
        <v>0</v>
      </c>
      <c r="W39" s="48"/>
      <c r="X39" s="48"/>
      <c r="Y39" s="44"/>
      <c r="Z39" s="48"/>
      <c r="AA39" s="48"/>
      <c r="AB39" s="48"/>
      <c r="AC39" s="48"/>
      <c r="AD39" s="44"/>
      <c r="AE39" s="44"/>
      <c r="AF39" s="48"/>
      <c r="AG39" s="48"/>
      <c r="AH39" s="48"/>
      <c r="AI39" s="48"/>
    </row>
    <row r="40" spans="1:35" x14ac:dyDescent="0.35">
      <c r="A40" s="58"/>
      <c r="B40" s="65" t="s">
        <v>39</v>
      </c>
      <c r="C40" s="70">
        <f>2213.71326*1000</f>
        <v>2213713.2599999998</v>
      </c>
      <c r="D40" s="66" t="s">
        <v>7</v>
      </c>
      <c r="E40" s="48">
        <v>0</v>
      </c>
      <c r="F40" s="48">
        <v>0</v>
      </c>
      <c r="G40" s="48">
        <v>0</v>
      </c>
      <c r="H40" s="44">
        <v>0</v>
      </c>
      <c r="I40" s="48">
        <v>0</v>
      </c>
      <c r="J40" s="48">
        <v>0</v>
      </c>
      <c r="K40" s="48">
        <v>0</v>
      </c>
      <c r="L40" s="44">
        <v>0</v>
      </c>
      <c r="M40" s="44">
        <v>0</v>
      </c>
      <c r="N40" s="48">
        <v>0</v>
      </c>
      <c r="O40" s="48">
        <v>0</v>
      </c>
      <c r="P40" s="44">
        <v>0</v>
      </c>
      <c r="Q40" s="44">
        <v>0</v>
      </c>
      <c r="R40" s="48">
        <v>0</v>
      </c>
      <c r="S40" s="44">
        <v>0</v>
      </c>
      <c r="T40" s="44">
        <v>0</v>
      </c>
      <c r="U40" s="48">
        <v>456000</v>
      </c>
      <c r="V40" s="48">
        <f>518.79999999993*1000</f>
        <v>518799.99999993003</v>
      </c>
      <c r="W40" s="48">
        <v>279600.00000009313</v>
      </c>
      <c r="X40" s="48">
        <v>0</v>
      </c>
      <c r="Y40" s="44">
        <v>0</v>
      </c>
      <c r="Z40" s="48">
        <v>0</v>
      </c>
      <c r="AA40" s="48">
        <v>0</v>
      </c>
      <c r="AB40" s="48">
        <v>0</v>
      </c>
      <c r="AC40" s="48">
        <v>0</v>
      </c>
      <c r="AD40" s="44">
        <v>0</v>
      </c>
      <c r="AE40" s="44">
        <v>0</v>
      </c>
      <c r="AF40" s="48">
        <v>0</v>
      </c>
      <c r="AG40" s="48">
        <f>293.29999999993*1000</f>
        <v>293299.99999992998</v>
      </c>
      <c r="AH40" s="48">
        <v>527000</v>
      </c>
      <c r="AI40" s="48">
        <f>574.900000000023*1000</f>
        <v>574900.00000002305</v>
      </c>
    </row>
    <row r="41" spans="1:35" x14ac:dyDescent="0.35">
      <c r="A41" s="58"/>
      <c r="B41" s="65" t="s">
        <v>40</v>
      </c>
      <c r="C41" s="70">
        <f>1475.80884*1000</f>
        <v>1475808.8399999999</v>
      </c>
      <c r="D41" s="66" t="s">
        <v>7</v>
      </c>
      <c r="E41" s="48">
        <v>0</v>
      </c>
      <c r="F41" s="48">
        <v>0</v>
      </c>
      <c r="G41" s="48">
        <v>0</v>
      </c>
      <c r="H41" s="44">
        <v>0</v>
      </c>
      <c r="I41" s="48">
        <v>0</v>
      </c>
      <c r="J41" s="48">
        <v>0</v>
      </c>
      <c r="K41" s="48">
        <v>0</v>
      </c>
      <c r="L41" s="44">
        <v>0</v>
      </c>
      <c r="M41" s="44">
        <v>0</v>
      </c>
      <c r="N41" s="48">
        <v>0</v>
      </c>
      <c r="O41" s="48">
        <v>0</v>
      </c>
      <c r="P41" s="44">
        <v>0</v>
      </c>
      <c r="Q41" s="44">
        <v>0</v>
      </c>
      <c r="R41" s="48">
        <v>0</v>
      </c>
      <c r="S41" s="44">
        <v>0</v>
      </c>
      <c r="T41" s="44">
        <v>0</v>
      </c>
      <c r="U41" s="48">
        <v>281500</v>
      </c>
      <c r="V41" s="48">
        <f>364.900000000023*1000</f>
        <v>364900.00000002299</v>
      </c>
      <c r="W41" s="48">
        <f>176.399999999994*1000</f>
        <v>176399.999999994</v>
      </c>
      <c r="X41" s="48">
        <v>0</v>
      </c>
      <c r="Y41" s="44">
        <v>0</v>
      </c>
      <c r="Z41" s="48">
        <v>0</v>
      </c>
      <c r="AA41" s="48">
        <v>0</v>
      </c>
      <c r="AB41" s="48">
        <v>0</v>
      </c>
      <c r="AC41" s="48">
        <v>0</v>
      </c>
      <c r="AD41" s="44">
        <v>0</v>
      </c>
      <c r="AE41" s="44">
        <v>0</v>
      </c>
      <c r="AF41" s="48">
        <v>0</v>
      </c>
      <c r="AG41" s="48">
        <f>199.300000000017*1000</f>
        <v>199300.000000017</v>
      </c>
      <c r="AH41" s="48">
        <v>340000</v>
      </c>
      <c r="AI41" s="48">
        <f>325.599999999977*1000</f>
        <v>325599.99999997701</v>
      </c>
    </row>
    <row r="42" spans="1:35" x14ac:dyDescent="0.35">
      <c r="A42" s="37"/>
      <c r="B42" s="82" t="s">
        <v>41</v>
      </c>
      <c r="C42" s="83"/>
      <c r="D42" s="83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  <c r="AA42" s="36"/>
      <c r="AB42" s="36"/>
      <c r="AC42" s="36"/>
      <c r="AD42" s="36"/>
      <c r="AE42" s="36"/>
      <c r="AF42" s="36"/>
      <c r="AG42" s="36"/>
      <c r="AH42" s="36"/>
      <c r="AI42" s="36"/>
    </row>
    <row r="43" spans="1:35" x14ac:dyDescent="0.35">
      <c r="A43" s="58"/>
      <c r="B43" s="84" t="s">
        <v>42</v>
      </c>
      <c r="C43" s="57">
        <v>94.2</v>
      </c>
      <c r="D43" s="85" t="s">
        <v>10</v>
      </c>
      <c r="E43" s="86" t="e">
        <f t="shared" ref="E43:AI43" si="8">(E25/(E19+E20))*100</f>
        <v>#DIV/0!</v>
      </c>
      <c r="F43" s="86" t="e">
        <f t="shared" si="8"/>
        <v>#DIV/0!</v>
      </c>
      <c r="G43" s="86" t="e">
        <f t="shared" si="8"/>
        <v>#DIV/0!</v>
      </c>
      <c r="H43" s="87">
        <f t="shared" si="8"/>
        <v>93.032183088037456</v>
      </c>
      <c r="I43" s="86">
        <f t="shared" si="8"/>
        <v>95.299643510935539</v>
      </c>
      <c r="J43" s="86">
        <f t="shared" si="8"/>
        <v>94.766393684086495</v>
      </c>
      <c r="K43" s="86">
        <f t="shared" si="8"/>
        <v>94.779601990050239</v>
      </c>
      <c r="L43" s="87">
        <f t="shared" si="8"/>
        <v>95.000000000000497</v>
      </c>
      <c r="M43" s="87">
        <f t="shared" si="8"/>
        <v>95.099311308513819</v>
      </c>
      <c r="N43" s="86">
        <f t="shared" si="8"/>
        <v>95.017590567652348</v>
      </c>
      <c r="O43" s="86">
        <f t="shared" si="8"/>
        <v>94.654756841060077</v>
      </c>
      <c r="P43" s="87">
        <f t="shared" si="8"/>
        <v>94.684236698160618</v>
      </c>
      <c r="Q43" s="87">
        <f t="shared" si="8"/>
        <v>95.117345562449415</v>
      </c>
      <c r="R43" s="86">
        <f t="shared" si="8"/>
        <v>95.766310642130364</v>
      </c>
      <c r="S43" s="87">
        <f t="shared" si="8"/>
        <v>95.099022311355014</v>
      </c>
      <c r="T43" s="87">
        <f t="shared" si="8"/>
        <v>94.609825631506297</v>
      </c>
      <c r="U43" s="86">
        <f t="shared" si="8"/>
        <v>94.870956784782706</v>
      </c>
      <c r="V43" s="86">
        <f t="shared" si="8"/>
        <v>94.870969673382632</v>
      </c>
      <c r="W43" s="86">
        <f t="shared" si="8"/>
        <v>94.991267370339401</v>
      </c>
      <c r="X43" s="86">
        <f t="shared" si="8"/>
        <v>95.335357967446228</v>
      </c>
      <c r="Y43" s="87">
        <f t="shared" si="8"/>
        <v>95.066795428940083</v>
      </c>
      <c r="Z43" s="86">
        <f t="shared" si="8"/>
        <v>93.688603434042008</v>
      </c>
      <c r="AA43" s="86">
        <f t="shared" si="8"/>
        <v>92.958902638301851</v>
      </c>
      <c r="AB43" s="86">
        <f t="shared" si="8"/>
        <v>93.230888488633795</v>
      </c>
      <c r="AC43" s="86">
        <f t="shared" si="8"/>
        <v>94.979762567520041</v>
      </c>
      <c r="AD43" s="87">
        <f t="shared" si="8"/>
        <v>94.876514266119628</v>
      </c>
      <c r="AE43" s="87">
        <f t="shared" si="8"/>
        <v>95.327266097419397</v>
      </c>
      <c r="AF43" s="86">
        <f t="shared" si="8"/>
        <v>95.29821394029338</v>
      </c>
      <c r="AG43" s="86">
        <f t="shared" si="8"/>
        <v>95.089129555071736</v>
      </c>
      <c r="AH43" s="86">
        <f t="shared" si="8"/>
        <v>95.191160450277508</v>
      </c>
      <c r="AI43" s="86">
        <f t="shared" si="8"/>
        <v>95.29108908027348</v>
      </c>
    </row>
    <row r="44" spans="1:35" x14ac:dyDescent="0.35">
      <c r="A44" s="58"/>
      <c r="B44" s="84" t="s">
        <v>29</v>
      </c>
      <c r="C44" s="57">
        <v>5</v>
      </c>
      <c r="D44" s="85" t="s">
        <v>10</v>
      </c>
      <c r="E44" s="86" t="e">
        <f t="shared" ref="E44:AI44" si="9">(E26/(E19+E20))*100</f>
        <v>#DIV/0!</v>
      </c>
      <c r="F44" s="86" t="e">
        <f t="shared" si="9"/>
        <v>#DIV/0!</v>
      </c>
      <c r="G44" s="86" t="e">
        <f t="shared" si="9"/>
        <v>#DIV/0!</v>
      </c>
      <c r="H44" s="87">
        <f t="shared" si="9"/>
        <v>5.3899945924769694</v>
      </c>
      <c r="I44" s="86">
        <f t="shared" si="9"/>
        <v>4.0803545620965318</v>
      </c>
      <c r="J44" s="86">
        <f t="shared" si="9"/>
        <v>4.5601838213633474</v>
      </c>
      <c r="K44" s="86">
        <f t="shared" si="9"/>
        <v>4.5621890547263586</v>
      </c>
      <c r="L44" s="87">
        <f t="shared" si="9"/>
        <v>4.1995420006245716</v>
      </c>
      <c r="M44" s="87">
        <f t="shared" si="9"/>
        <v>4.1471204711048957</v>
      </c>
      <c r="N44" s="86">
        <f t="shared" si="9"/>
        <v>4.2930493486735966</v>
      </c>
      <c r="O44" s="86">
        <f t="shared" si="9"/>
        <v>4.6552294531877463</v>
      </c>
      <c r="P44" s="87">
        <f t="shared" si="9"/>
        <v>4.669318746892098</v>
      </c>
      <c r="Q44" s="87">
        <f t="shared" si="9"/>
        <v>4.1575397895872621</v>
      </c>
      <c r="R44" s="86">
        <f t="shared" si="9"/>
        <v>3.5227126495946468</v>
      </c>
      <c r="S44" s="87">
        <f t="shared" si="9"/>
        <v>4.2115818500877023</v>
      </c>
      <c r="T44" s="87">
        <f t="shared" si="9"/>
        <v>4.7072863488696193</v>
      </c>
      <c r="U44" s="86">
        <f t="shared" si="9"/>
        <v>4.4663628847744068</v>
      </c>
      <c r="V44" s="86">
        <f t="shared" si="9"/>
        <v>4.4876208723767324</v>
      </c>
      <c r="W44" s="86">
        <f t="shared" si="9"/>
        <v>4.3868175260080449</v>
      </c>
      <c r="X44" s="86">
        <f t="shared" si="9"/>
        <v>4.0265948783782779</v>
      </c>
      <c r="Y44" s="87">
        <f t="shared" si="9"/>
        <v>4.2475454691775409</v>
      </c>
      <c r="Z44" s="86">
        <f t="shared" si="9"/>
        <v>5.5509690905923605</v>
      </c>
      <c r="AA44" s="86">
        <f t="shared" si="9"/>
        <v>6.2677887824225103</v>
      </c>
      <c r="AB44" s="86">
        <f t="shared" si="9"/>
        <v>5.991655457011932</v>
      </c>
      <c r="AC44" s="86">
        <f t="shared" si="9"/>
        <v>4.2754397315718915</v>
      </c>
      <c r="AD44" s="87">
        <f t="shared" si="9"/>
        <v>4.3578671854770699</v>
      </c>
      <c r="AE44" s="87">
        <f t="shared" si="9"/>
        <v>4.0718344525813226</v>
      </c>
      <c r="AF44" s="86">
        <f t="shared" si="9"/>
        <v>4.0982655232445939</v>
      </c>
      <c r="AG44" s="86">
        <f t="shared" si="9"/>
        <v>4.3072997757186107</v>
      </c>
      <c r="AH44" s="86">
        <f t="shared" si="9"/>
        <v>4.2031955179747964</v>
      </c>
      <c r="AI44" s="86">
        <f t="shared" si="9"/>
        <v>4.1058347976368452</v>
      </c>
    </row>
    <row r="45" spans="1:35" x14ac:dyDescent="0.35">
      <c r="A45" s="58"/>
      <c r="B45" s="84" t="s">
        <v>43</v>
      </c>
      <c r="C45" s="57">
        <v>82</v>
      </c>
      <c r="D45" s="85" t="s">
        <v>10</v>
      </c>
      <c r="E45" s="86" t="e">
        <f t="shared" ref="E45:AI45" si="10">(E29/E28)*100</f>
        <v>#DIV/0!</v>
      </c>
      <c r="F45" s="86" t="e">
        <f t="shared" si="10"/>
        <v>#DIV/0!</v>
      </c>
      <c r="G45" s="86">
        <f t="shared" si="10"/>
        <v>91.438763376934787</v>
      </c>
      <c r="H45" s="87">
        <f t="shared" si="10"/>
        <v>83.761817880244308</v>
      </c>
      <c r="I45" s="86">
        <f t="shared" si="10"/>
        <v>83.932557587272441</v>
      </c>
      <c r="J45" s="86">
        <f t="shared" si="10"/>
        <v>83.708672735984052</v>
      </c>
      <c r="K45" s="86">
        <f t="shared" si="10"/>
        <v>84.287069238065342</v>
      </c>
      <c r="L45" s="87">
        <f t="shared" si="10"/>
        <v>84.518805611659147</v>
      </c>
      <c r="M45" s="87">
        <f t="shared" si="10"/>
        <v>82.603511096391031</v>
      </c>
      <c r="N45" s="86">
        <f t="shared" si="10"/>
        <v>83.386515697375316</v>
      </c>
      <c r="O45" s="86">
        <f t="shared" si="10"/>
        <v>83.201722900215358</v>
      </c>
      <c r="P45" s="87">
        <f t="shared" si="10"/>
        <v>83.10600622158411</v>
      </c>
      <c r="Q45" s="87">
        <f t="shared" si="10"/>
        <v>83.036439439060402</v>
      </c>
      <c r="R45" s="86">
        <f t="shared" si="10"/>
        <v>82.661532908193351</v>
      </c>
      <c r="S45" s="87">
        <f t="shared" si="10"/>
        <v>82.824292868731902</v>
      </c>
      <c r="T45" s="87">
        <f t="shared" si="10"/>
        <v>82.152208801419533</v>
      </c>
      <c r="U45" s="86" t="e">
        <f t="shared" si="10"/>
        <v>#DIV/0!</v>
      </c>
      <c r="V45" s="86" t="e">
        <f t="shared" si="10"/>
        <v>#DIV/0!</v>
      </c>
      <c r="W45" s="86">
        <f t="shared" si="10"/>
        <v>85.276532137516526</v>
      </c>
      <c r="X45" s="86">
        <f t="shared" si="10"/>
        <v>82.538341564856424</v>
      </c>
      <c r="Y45" s="87">
        <f t="shared" si="10"/>
        <v>83.817264573989831</v>
      </c>
      <c r="Z45" s="86">
        <f t="shared" si="10"/>
        <v>83.095374071958886</v>
      </c>
      <c r="AA45" s="86">
        <f t="shared" si="10"/>
        <v>85.020976353928816</v>
      </c>
      <c r="AB45" s="86">
        <f t="shared" si="10"/>
        <v>78.418426103646794</v>
      </c>
      <c r="AC45" s="86">
        <f t="shared" si="10"/>
        <v>80.941176470588204</v>
      </c>
      <c r="AD45" s="87">
        <f t="shared" si="10"/>
        <v>81.249549094581525</v>
      </c>
      <c r="AE45" s="87">
        <f t="shared" si="10"/>
        <v>83.106306306306422</v>
      </c>
      <c r="AF45" s="86">
        <f t="shared" si="10"/>
        <v>82.970153877931324</v>
      </c>
      <c r="AG45" s="86">
        <f t="shared" si="10"/>
        <v>84.189459639762688</v>
      </c>
      <c r="AH45" s="86" t="e">
        <f t="shared" si="10"/>
        <v>#DIV/0!</v>
      </c>
      <c r="AI45" s="86" t="e">
        <f t="shared" si="10"/>
        <v>#DIV/0!</v>
      </c>
    </row>
    <row r="46" spans="1:35" x14ac:dyDescent="0.35">
      <c r="A46" s="58"/>
      <c r="B46" s="84" t="s">
        <v>44</v>
      </c>
      <c r="C46" s="57">
        <v>18</v>
      </c>
      <c r="D46" s="85" t="s">
        <v>10</v>
      </c>
      <c r="E46" s="86" t="e">
        <f t="shared" ref="E46:AI46" si="11">(E30/E28)*100</f>
        <v>#DIV/0!</v>
      </c>
      <c r="F46" s="86" t="e">
        <f t="shared" si="11"/>
        <v>#DIV/0!</v>
      </c>
      <c r="G46" s="86">
        <f t="shared" si="11"/>
        <v>8.5612366230652093</v>
      </c>
      <c r="H46" s="87">
        <f t="shared" si="11"/>
        <v>16.238182119755702</v>
      </c>
      <c r="I46" s="86">
        <f t="shared" si="11"/>
        <v>16.067442412727555</v>
      </c>
      <c r="J46" s="86">
        <f t="shared" si="11"/>
        <v>16.291327264015941</v>
      </c>
      <c r="K46" s="86">
        <f t="shared" si="11"/>
        <v>15.712930761934659</v>
      </c>
      <c r="L46" s="87">
        <f t="shared" si="11"/>
        <v>15.481194388340844</v>
      </c>
      <c r="M46" s="87">
        <f t="shared" si="11"/>
        <v>17.396488903608979</v>
      </c>
      <c r="N46" s="86">
        <f t="shared" si="11"/>
        <v>16.613484302624688</v>
      </c>
      <c r="O46" s="86">
        <f t="shared" si="11"/>
        <v>16.798277099784638</v>
      </c>
      <c r="P46" s="87">
        <f t="shared" si="11"/>
        <v>16.89399377841589</v>
      </c>
      <c r="Q46" s="87">
        <f t="shared" si="11"/>
        <v>16.963560560939602</v>
      </c>
      <c r="R46" s="86">
        <f t="shared" si="11"/>
        <v>17.338467091806635</v>
      </c>
      <c r="S46" s="87">
        <f t="shared" si="11"/>
        <v>17.175707131268108</v>
      </c>
      <c r="T46" s="87">
        <f t="shared" si="11"/>
        <v>17.847791198580477</v>
      </c>
      <c r="U46" s="86" t="e">
        <f t="shared" si="11"/>
        <v>#DIV/0!</v>
      </c>
      <c r="V46" s="86" t="e">
        <f t="shared" si="11"/>
        <v>#DIV/0!</v>
      </c>
      <c r="W46" s="86">
        <f t="shared" si="11"/>
        <v>14.723467862483473</v>
      </c>
      <c r="X46" s="86">
        <f t="shared" si="11"/>
        <v>17.461658435143583</v>
      </c>
      <c r="Y46" s="87">
        <f t="shared" si="11"/>
        <v>16.182735426010169</v>
      </c>
      <c r="Z46" s="86">
        <f t="shared" si="11"/>
        <v>16.904625928041121</v>
      </c>
      <c r="AA46" s="86">
        <f t="shared" si="11"/>
        <v>14.979023646071187</v>
      </c>
      <c r="AB46" s="86">
        <f t="shared" si="11"/>
        <v>21.581573896353195</v>
      </c>
      <c r="AC46" s="86">
        <f t="shared" si="11"/>
        <v>19.058823529411796</v>
      </c>
      <c r="AD46" s="87">
        <f t="shared" si="11"/>
        <v>18.750450905418479</v>
      </c>
      <c r="AE46" s="87">
        <f t="shared" si="11"/>
        <v>16.893693693693578</v>
      </c>
      <c r="AF46" s="86">
        <f t="shared" si="11"/>
        <v>17.02984612206869</v>
      </c>
      <c r="AG46" s="86">
        <f t="shared" si="11"/>
        <v>15.81054036023732</v>
      </c>
      <c r="AH46" s="86" t="e">
        <f t="shared" si="11"/>
        <v>#DIV/0!</v>
      </c>
      <c r="AI46" s="86" t="e">
        <f t="shared" si="11"/>
        <v>#DIV/0!</v>
      </c>
    </row>
    <row r="47" spans="1:35" x14ac:dyDescent="0.35">
      <c r="A47" s="58"/>
      <c r="B47" s="84" t="s">
        <v>45</v>
      </c>
      <c r="C47" s="57">
        <v>70</v>
      </c>
      <c r="D47" s="85" t="s">
        <v>10</v>
      </c>
      <c r="E47" s="86" t="e">
        <f t="shared" ref="E47:AB47" si="12">E34/E33*100</f>
        <v>#DIV/0!</v>
      </c>
      <c r="F47" s="86" t="e">
        <f t="shared" si="12"/>
        <v>#DIV/0!</v>
      </c>
      <c r="G47" s="86" t="e">
        <f t="shared" si="12"/>
        <v>#DIV/0!</v>
      </c>
      <c r="H47" s="87" t="e">
        <f t="shared" si="12"/>
        <v>#DIV/0!</v>
      </c>
      <c r="I47" s="86" t="e">
        <f t="shared" si="12"/>
        <v>#DIV/0!</v>
      </c>
      <c r="J47" s="86" t="e">
        <f t="shared" si="12"/>
        <v>#DIV/0!</v>
      </c>
      <c r="K47" s="86" t="e">
        <f t="shared" si="12"/>
        <v>#DIV/0!</v>
      </c>
      <c r="L47" s="87" t="e">
        <f t="shared" si="12"/>
        <v>#DIV/0!</v>
      </c>
      <c r="M47" s="87" t="e">
        <f t="shared" si="12"/>
        <v>#DIV/0!</v>
      </c>
      <c r="N47" s="86">
        <f t="shared" si="12"/>
        <v>79.866071428571502</v>
      </c>
      <c r="O47" s="86" t="e">
        <f t="shared" si="12"/>
        <v>#DIV/0!</v>
      </c>
      <c r="P47" s="87" t="e">
        <f t="shared" si="12"/>
        <v>#DIV/0!</v>
      </c>
      <c r="Q47" s="87" t="e">
        <f t="shared" si="12"/>
        <v>#DIV/0!</v>
      </c>
      <c r="R47" s="86" t="e">
        <f t="shared" si="12"/>
        <v>#DIV/0!</v>
      </c>
      <c r="S47" s="87" t="e">
        <f t="shared" si="12"/>
        <v>#DIV/0!</v>
      </c>
      <c r="T47" s="87" t="e">
        <f t="shared" si="12"/>
        <v>#DIV/0!</v>
      </c>
      <c r="U47" s="86" t="e">
        <f t="shared" si="12"/>
        <v>#DIV/0!</v>
      </c>
      <c r="V47" s="86" t="e">
        <f t="shared" si="12"/>
        <v>#DIV/0!</v>
      </c>
      <c r="W47" s="86">
        <f t="shared" si="12"/>
        <v>76.397881106531656</v>
      </c>
      <c r="X47" s="86" t="e">
        <f t="shared" si="12"/>
        <v>#DIV/0!</v>
      </c>
      <c r="Y47" s="87" t="e">
        <f t="shared" si="12"/>
        <v>#DIV/0!</v>
      </c>
      <c r="Z47" s="86" t="e">
        <f t="shared" si="12"/>
        <v>#DIV/0!</v>
      </c>
      <c r="AA47" s="86" t="e">
        <f t="shared" si="12"/>
        <v>#DIV/0!</v>
      </c>
      <c r="AB47" s="86" t="e">
        <f t="shared" si="12"/>
        <v>#DIV/0!</v>
      </c>
      <c r="AC47" s="86" t="e">
        <f t="shared" ref="AC47:AI47" si="13">AC37/AC36*100</f>
        <v>#DIV/0!</v>
      </c>
      <c r="AD47" s="87" t="e">
        <f t="shared" si="13"/>
        <v>#DIV/0!</v>
      </c>
      <c r="AE47" s="87" t="e">
        <f t="shared" si="13"/>
        <v>#DIV/0!</v>
      </c>
      <c r="AF47" s="86" t="e">
        <f t="shared" si="13"/>
        <v>#DIV/0!</v>
      </c>
      <c r="AG47" s="86" t="e">
        <f t="shared" si="13"/>
        <v>#DIV/0!</v>
      </c>
      <c r="AH47" s="86" t="e">
        <f t="shared" si="13"/>
        <v>#DIV/0!</v>
      </c>
      <c r="AI47" s="86" t="e">
        <f t="shared" si="13"/>
        <v>#DIV/0!</v>
      </c>
    </row>
    <row r="48" spans="1:35" x14ac:dyDescent="0.35">
      <c r="A48" s="58"/>
      <c r="B48" s="84" t="s">
        <v>44</v>
      </c>
      <c r="C48" s="57">
        <v>30</v>
      </c>
      <c r="D48" s="85" t="s">
        <v>10</v>
      </c>
      <c r="E48" s="86" t="e">
        <f t="shared" ref="E48:AB48" si="14">E35/E33*100</f>
        <v>#DIV/0!</v>
      </c>
      <c r="F48" s="86" t="e">
        <f t="shared" si="14"/>
        <v>#DIV/0!</v>
      </c>
      <c r="G48" s="86" t="e">
        <f t="shared" si="14"/>
        <v>#DIV/0!</v>
      </c>
      <c r="H48" s="87" t="e">
        <f t="shared" si="14"/>
        <v>#DIV/0!</v>
      </c>
      <c r="I48" s="86" t="e">
        <f t="shared" si="14"/>
        <v>#DIV/0!</v>
      </c>
      <c r="J48" s="86" t="e">
        <f t="shared" si="14"/>
        <v>#DIV/0!</v>
      </c>
      <c r="K48" s="86" t="e">
        <f t="shared" si="14"/>
        <v>#DIV/0!</v>
      </c>
      <c r="L48" s="87" t="e">
        <f t="shared" si="14"/>
        <v>#DIV/0!</v>
      </c>
      <c r="M48" s="87" t="e">
        <f t="shared" si="14"/>
        <v>#DIV/0!</v>
      </c>
      <c r="N48" s="86">
        <f t="shared" si="14"/>
        <v>20.133928571428495</v>
      </c>
      <c r="O48" s="86" t="e">
        <f t="shared" si="14"/>
        <v>#DIV/0!</v>
      </c>
      <c r="P48" s="87" t="e">
        <f t="shared" si="14"/>
        <v>#DIV/0!</v>
      </c>
      <c r="Q48" s="87" t="e">
        <f t="shared" si="14"/>
        <v>#DIV/0!</v>
      </c>
      <c r="R48" s="86" t="e">
        <f t="shared" si="14"/>
        <v>#DIV/0!</v>
      </c>
      <c r="S48" s="87" t="e">
        <f t="shared" si="14"/>
        <v>#DIV/0!</v>
      </c>
      <c r="T48" s="87" t="e">
        <f t="shared" si="14"/>
        <v>#DIV/0!</v>
      </c>
      <c r="U48" s="86" t="e">
        <f t="shared" si="14"/>
        <v>#DIV/0!</v>
      </c>
      <c r="V48" s="86" t="e">
        <f t="shared" si="14"/>
        <v>#DIV/0!</v>
      </c>
      <c r="W48" s="86">
        <f t="shared" si="14"/>
        <v>23.602118893468344</v>
      </c>
      <c r="X48" s="86" t="e">
        <f t="shared" si="14"/>
        <v>#DIV/0!</v>
      </c>
      <c r="Y48" s="87" t="e">
        <f t="shared" si="14"/>
        <v>#DIV/0!</v>
      </c>
      <c r="Z48" s="86" t="e">
        <f t="shared" si="14"/>
        <v>#DIV/0!</v>
      </c>
      <c r="AA48" s="86" t="e">
        <f t="shared" si="14"/>
        <v>#DIV/0!</v>
      </c>
      <c r="AB48" s="86" t="e">
        <f t="shared" si="14"/>
        <v>#DIV/0!</v>
      </c>
      <c r="AC48" s="86" t="e">
        <f t="shared" ref="AC48:AI48" si="15">AC38/AC36*100</f>
        <v>#DIV/0!</v>
      </c>
      <c r="AD48" s="87" t="e">
        <f t="shared" si="15"/>
        <v>#DIV/0!</v>
      </c>
      <c r="AE48" s="87" t="e">
        <f t="shared" si="15"/>
        <v>#DIV/0!</v>
      </c>
      <c r="AF48" s="86" t="e">
        <f t="shared" si="15"/>
        <v>#DIV/0!</v>
      </c>
      <c r="AG48" s="86" t="e">
        <f t="shared" si="15"/>
        <v>#DIV/0!</v>
      </c>
      <c r="AH48" s="86" t="e">
        <f t="shared" si="15"/>
        <v>#DIV/0!</v>
      </c>
      <c r="AI48" s="86" t="e">
        <f t="shared" si="15"/>
        <v>#DIV/0!</v>
      </c>
    </row>
    <row r="49" spans="1:35" x14ac:dyDescent="0.35">
      <c r="A49" s="58"/>
      <c r="B49" s="84" t="s">
        <v>46</v>
      </c>
      <c r="C49" s="57">
        <v>60</v>
      </c>
      <c r="D49" s="85" t="s">
        <v>10</v>
      </c>
      <c r="E49" s="86" t="e">
        <f t="shared" ref="E49:AI49" si="16">E40/E38*100</f>
        <v>#DIV/0!</v>
      </c>
      <c r="F49" s="86" t="e">
        <f t="shared" si="16"/>
        <v>#DIV/0!</v>
      </c>
      <c r="G49" s="86" t="e">
        <f t="shared" si="16"/>
        <v>#DIV/0!</v>
      </c>
      <c r="H49" s="87" t="e">
        <f>H40/H38*100</f>
        <v>#DIV/0!</v>
      </c>
      <c r="I49" s="86" t="e">
        <f>I40/I38*100</f>
        <v>#DIV/0!</v>
      </c>
      <c r="J49" s="86" t="e">
        <f>J40/J38*100</f>
        <v>#DIV/0!</v>
      </c>
      <c r="K49" s="86" t="e">
        <f t="shared" si="16"/>
        <v>#DIV/0!</v>
      </c>
      <c r="L49" s="87" t="e">
        <f t="shared" si="16"/>
        <v>#DIV/0!</v>
      </c>
      <c r="M49" s="87" t="e">
        <f t="shared" si="16"/>
        <v>#DIV/0!</v>
      </c>
      <c r="N49" s="86" t="e">
        <f t="shared" si="16"/>
        <v>#DIV/0!</v>
      </c>
      <c r="O49" s="86" t="e">
        <f t="shared" si="16"/>
        <v>#DIV/0!</v>
      </c>
      <c r="P49" s="87" t="e">
        <f t="shared" si="16"/>
        <v>#DIV/0!</v>
      </c>
      <c r="Q49" s="87" t="e">
        <f t="shared" si="16"/>
        <v>#DIV/0!</v>
      </c>
      <c r="R49" s="86" t="e">
        <f t="shared" si="16"/>
        <v>#DIV/0!</v>
      </c>
      <c r="S49" s="87" t="e">
        <f t="shared" ref="S49:V49" si="17">(S40+S39)/S38*100</f>
        <v>#DIV/0!</v>
      </c>
      <c r="T49" s="87" t="e">
        <f t="shared" si="17"/>
        <v>#DIV/0!</v>
      </c>
      <c r="U49" s="86">
        <f>(U40+U39)/U38*100</f>
        <v>61.830508474576277</v>
      </c>
      <c r="V49" s="86">
        <f t="shared" si="17"/>
        <v>58.707706235142886</v>
      </c>
      <c r="W49" s="86">
        <f t="shared" si="16"/>
        <v>61.315789473692917</v>
      </c>
      <c r="X49" s="86" t="e">
        <f t="shared" si="16"/>
        <v>#DIV/0!</v>
      </c>
      <c r="Y49" s="87" t="e">
        <f t="shared" si="16"/>
        <v>#DIV/0!</v>
      </c>
      <c r="Z49" s="86" t="e">
        <f t="shared" si="16"/>
        <v>#DIV/0!</v>
      </c>
      <c r="AA49" s="86" t="e">
        <f t="shared" si="16"/>
        <v>#DIV/0!</v>
      </c>
      <c r="AB49" s="86" t="e">
        <f t="shared" si="16"/>
        <v>#DIV/0!</v>
      </c>
      <c r="AC49" s="86" t="e">
        <f t="shared" si="16"/>
        <v>#DIV/0!</v>
      </c>
      <c r="AD49" s="87" t="e">
        <f t="shared" si="16"/>
        <v>#DIV/0!</v>
      </c>
      <c r="AE49" s="87" t="e">
        <f t="shared" si="16"/>
        <v>#DIV/0!</v>
      </c>
      <c r="AF49" s="86" t="e">
        <f t="shared" si="16"/>
        <v>#DIV/0!</v>
      </c>
      <c r="AG49" s="86">
        <f t="shared" si="16"/>
        <v>59.541209906610135</v>
      </c>
      <c r="AH49" s="86">
        <f t="shared" si="16"/>
        <v>60.784313725490193</v>
      </c>
      <c r="AI49" s="86">
        <f t="shared" si="16"/>
        <v>63.842309827875965</v>
      </c>
    </row>
    <row r="50" spans="1:35" x14ac:dyDescent="0.35">
      <c r="A50" s="58"/>
      <c r="B50" s="84" t="s">
        <v>47</v>
      </c>
      <c r="C50" s="57">
        <v>40</v>
      </c>
      <c r="D50" s="85" t="s">
        <v>10</v>
      </c>
      <c r="E50" s="86" t="e">
        <f t="shared" ref="E50:AI50" si="18">E41/E38*100</f>
        <v>#DIV/0!</v>
      </c>
      <c r="F50" s="86" t="e">
        <f t="shared" si="18"/>
        <v>#DIV/0!</v>
      </c>
      <c r="G50" s="86" t="e">
        <f t="shared" si="18"/>
        <v>#DIV/0!</v>
      </c>
      <c r="H50" s="87" t="e">
        <f>H41/H38*100</f>
        <v>#DIV/0!</v>
      </c>
      <c r="I50" s="86" t="e">
        <f>I41/I38*100</f>
        <v>#DIV/0!</v>
      </c>
      <c r="J50" s="86" t="e">
        <f>J41/J38*100</f>
        <v>#DIV/0!</v>
      </c>
      <c r="K50" s="86" t="e">
        <f t="shared" si="18"/>
        <v>#DIV/0!</v>
      </c>
      <c r="L50" s="87" t="e">
        <f t="shared" si="18"/>
        <v>#DIV/0!</v>
      </c>
      <c r="M50" s="87" t="e">
        <f t="shared" si="18"/>
        <v>#DIV/0!</v>
      </c>
      <c r="N50" s="86" t="e">
        <f t="shared" si="18"/>
        <v>#DIV/0!</v>
      </c>
      <c r="O50" s="86" t="e">
        <f t="shared" si="18"/>
        <v>#DIV/0!</v>
      </c>
      <c r="P50" s="87" t="e">
        <f t="shared" si="18"/>
        <v>#DIV/0!</v>
      </c>
      <c r="Q50" s="87" t="e">
        <f t="shared" si="18"/>
        <v>#DIV/0!</v>
      </c>
      <c r="R50" s="86" t="e">
        <f t="shared" si="18"/>
        <v>#DIV/0!</v>
      </c>
      <c r="S50" s="87" t="e">
        <f t="shared" si="18"/>
        <v>#DIV/0!</v>
      </c>
      <c r="T50" s="87" t="e">
        <f t="shared" si="18"/>
        <v>#DIV/0!</v>
      </c>
      <c r="U50" s="86">
        <f t="shared" si="18"/>
        <v>38.169491525423723</v>
      </c>
      <c r="V50" s="86">
        <f t="shared" si="18"/>
        <v>41.292293764857121</v>
      </c>
      <c r="W50" s="86">
        <f t="shared" si="18"/>
        <v>38.684210526307083</v>
      </c>
      <c r="X50" s="86" t="e">
        <f t="shared" si="18"/>
        <v>#DIV/0!</v>
      </c>
      <c r="Y50" s="87" t="e">
        <f t="shared" si="18"/>
        <v>#DIV/0!</v>
      </c>
      <c r="Z50" s="86" t="e">
        <f t="shared" si="18"/>
        <v>#DIV/0!</v>
      </c>
      <c r="AA50" s="86" t="e">
        <f t="shared" si="18"/>
        <v>#DIV/0!</v>
      </c>
      <c r="AB50" s="86" t="e">
        <f t="shared" si="18"/>
        <v>#DIV/0!</v>
      </c>
      <c r="AC50" s="86" t="e">
        <f t="shared" si="18"/>
        <v>#DIV/0!</v>
      </c>
      <c r="AD50" s="87" t="e">
        <f t="shared" si="18"/>
        <v>#DIV/0!</v>
      </c>
      <c r="AE50" s="87" t="e">
        <f t="shared" si="18"/>
        <v>#DIV/0!</v>
      </c>
      <c r="AF50" s="86" t="e">
        <f t="shared" si="18"/>
        <v>#DIV/0!</v>
      </c>
      <c r="AG50" s="86">
        <f t="shared" si="18"/>
        <v>40.458790093389865</v>
      </c>
      <c r="AH50" s="86">
        <f t="shared" si="18"/>
        <v>39.215686274509807</v>
      </c>
      <c r="AI50" s="86">
        <f t="shared" si="18"/>
        <v>36.157690172124042</v>
      </c>
    </row>
    <row r="51" spans="1:35" x14ac:dyDescent="0.35">
      <c r="A51" s="34">
        <v>3</v>
      </c>
      <c r="B51" s="88" t="s">
        <v>48</v>
      </c>
      <c r="C51" s="83"/>
      <c r="D51" s="83"/>
      <c r="E51" s="36"/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  <c r="AA51" s="36"/>
      <c r="AB51" s="36"/>
      <c r="AC51" s="36"/>
      <c r="AD51" s="36"/>
      <c r="AE51" s="36"/>
      <c r="AF51" s="36"/>
      <c r="AG51" s="36"/>
      <c r="AH51" s="36"/>
      <c r="AI51" s="36"/>
    </row>
    <row r="52" spans="1:35" x14ac:dyDescent="0.35">
      <c r="A52" s="37"/>
      <c r="B52" s="56" t="s">
        <v>49</v>
      </c>
      <c r="C52" s="57">
        <v>9</v>
      </c>
      <c r="D52" s="89" t="s">
        <v>50</v>
      </c>
      <c r="E52" s="43"/>
      <c r="F52" s="43">
        <v>0</v>
      </c>
      <c r="G52" s="43">
        <v>2460</v>
      </c>
      <c r="H52" s="44">
        <v>15048</v>
      </c>
      <c r="I52" s="43">
        <v>16445</v>
      </c>
      <c r="J52" s="43">
        <v>12844</v>
      </c>
      <c r="K52" s="43">
        <v>14782</v>
      </c>
      <c r="L52" s="44">
        <v>13956</v>
      </c>
      <c r="M52" s="44">
        <f>20852-M54</f>
        <v>10073</v>
      </c>
      <c r="N52" s="43">
        <v>17689</v>
      </c>
      <c r="O52" s="43">
        <v>16287</v>
      </c>
      <c r="P52" s="44">
        <v>16388</v>
      </c>
      <c r="Q52" s="44">
        <v>12420</v>
      </c>
      <c r="R52" s="43">
        <v>12604</v>
      </c>
      <c r="S52" s="44">
        <v>11943</v>
      </c>
      <c r="T52" s="44">
        <v>2570</v>
      </c>
      <c r="U52" s="43">
        <v>0</v>
      </c>
      <c r="V52" s="43">
        <v>10752</v>
      </c>
      <c r="W52" s="43">
        <v>10208</v>
      </c>
      <c r="X52" s="43">
        <v>7506</v>
      </c>
      <c r="Y52" s="44">
        <v>9664</v>
      </c>
      <c r="Z52" s="43">
        <v>15810</v>
      </c>
      <c r="AA52" s="43">
        <v>15980</v>
      </c>
      <c r="AB52" s="43">
        <v>12343</v>
      </c>
      <c r="AC52" s="43">
        <v>8755</v>
      </c>
      <c r="AD52" s="44">
        <v>9469</v>
      </c>
      <c r="AE52" s="44">
        <v>7972</v>
      </c>
      <c r="AF52" s="43">
        <v>6732</v>
      </c>
      <c r="AG52" s="43">
        <v>0</v>
      </c>
      <c r="AH52" s="43">
        <v>0</v>
      </c>
      <c r="AI52" s="43">
        <v>0</v>
      </c>
    </row>
    <row r="53" spans="1:35" x14ac:dyDescent="0.35">
      <c r="A53" s="58"/>
      <c r="B53" s="90"/>
      <c r="C53" s="63"/>
      <c r="D53" s="89" t="s">
        <v>10</v>
      </c>
      <c r="E53" s="86" t="e">
        <f>E52/E19*100</f>
        <v>#DIV/0!</v>
      </c>
      <c r="F53" s="86" t="e">
        <f>F52/(F19-F37)*100</f>
        <v>#DIV/0!</v>
      </c>
      <c r="G53" s="86" t="e">
        <f t="shared" ref="G53:L53" si="19">G52/((G19+G20)-G37)*100</f>
        <v>#DIV/0!</v>
      </c>
      <c r="H53" s="87">
        <f t="shared" si="19"/>
        <v>1.3188396524811943</v>
      </c>
      <c r="I53" s="86">
        <f t="shared" si="19"/>
        <v>0.79222468445900374</v>
      </c>
      <c r="J53" s="86">
        <f>J52/((J19+J20)-J37)*100</f>
        <v>0.7567312790903199</v>
      </c>
      <c r="K53" s="86">
        <f t="shared" si="19"/>
        <v>0.73542288557213931</v>
      </c>
      <c r="L53" s="87">
        <f t="shared" si="19"/>
        <v>0.72634537316540404</v>
      </c>
      <c r="M53" s="87">
        <f>M52/((M19+M20)-(M37+M32))*100</f>
        <v>0.7765186555658341</v>
      </c>
      <c r="N53" s="86">
        <f t="shared" ref="N53:AI53" si="20">N52/((N19+N20)-(N37+N32))*100</f>
        <v>0.84097176000761054</v>
      </c>
      <c r="O53" s="86">
        <f t="shared" si="20"/>
        <v>0.76974337161491191</v>
      </c>
      <c r="P53" s="87">
        <f t="shared" si="20"/>
        <v>0.81491795126802591</v>
      </c>
      <c r="Q53" s="87">
        <f t="shared" si="20"/>
        <v>0.67008362557323975</v>
      </c>
      <c r="R53" s="86">
        <f t="shared" si="20"/>
        <v>0.81096383991764254</v>
      </c>
      <c r="S53" s="87">
        <f t="shared" si="20"/>
        <v>0.74849586362496401</v>
      </c>
      <c r="T53" s="87">
        <f t="shared" si="20"/>
        <v>0.79076923076923078</v>
      </c>
      <c r="U53" s="86" t="e">
        <f t="shared" si="20"/>
        <v>#DIV/0!</v>
      </c>
      <c r="V53" s="86">
        <f t="shared" si="20"/>
        <v>0.80471813908930334</v>
      </c>
      <c r="W53" s="86">
        <f t="shared" si="20"/>
        <v>0.77515377021794196</v>
      </c>
      <c r="X53" s="86">
        <f t="shared" si="20"/>
        <v>0.71909638727353919</v>
      </c>
      <c r="Y53" s="87">
        <f t="shared" si="20"/>
        <v>0.7777241268308448</v>
      </c>
      <c r="Z53" s="91">
        <f t="shared" si="20"/>
        <v>1.1974460543357242</v>
      </c>
      <c r="AA53" s="91">
        <f t="shared" si="20"/>
        <v>1.2259395929389467</v>
      </c>
      <c r="AB53" s="91">
        <f t="shared" si="20"/>
        <v>0.93803910839546145</v>
      </c>
      <c r="AC53" s="86">
        <f t="shared" si="20"/>
        <v>0.65865695671145486</v>
      </c>
      <c r="AD53" s="87">
        <f t="shared" si="20"/>
        <v>0.66267294651167674</v>
      </c>
      <c r="AE53" s="87">
        <f t="shared" si="20"/>
        <v>0.60560940776079497</v>
      </c>
      <c r="AF53" s="86">
        <f t="shared" si="20"/>
        <v>0.60665044606650442</v>
      </c>
      <c r="AG53" s="86" t="e">
        <f t="shared" si="20"/>
        <v>#DIV/0!</v>
      </c>
      <c r="AH53" s="86" t="e">
        <f t="shared" si="20"/>
        <v>#DIV/0!</v>
      </c>
      <c r="AI53" s="86" t="e">
        <f t="shared" si="20"/>
        <v>#DIV/0!</v>
      </c>
    </row>
    <row r="54" spans="1:35" x14ac:dyDescent="0.35">
      <c r="A54" s="37"/>
      <c r="B54" s="92" t="s">
        <v>51</v>
      </c>
      <c r="C54" s="93">
        <v>14</v>
      </c>
      <c r="D54" s="94" t="s">
        <v>50</v>
      </c>
      <c r="E54" s="95"/>
      <c r="F54" s="95">
        <v>0</v>
      </c>
      <c r="G54" s="95">
        <v>0</v>
      </c>
      <c r="H54" s="96"/>
      <c r="I54" s="95">
        <v>0</v>
      </c>
      <c r="J54" s="95"/>
      <c r="K54" s="95"/>
      <c r="L54" s="96"/>
      <c r="M54" s="96">
        <v>10779</v>
      </c>
      <c r="N54" s="95">
        <v>0</v>
      </c>
      <c r="O54" s="95">
        <v>0</v>
      </c>
      <c r="P54" s="96">
        <v>0</v>
      </c>
      <c r="Q54" s="96">
        <v>0</v>
      </c>
      <c r="R54" s="95">
        <v>0</v>
      </c>
      <c r="S54" s="96">
        <v>0</v>
      </c>
      <c r="T54" s="96">
        <v>17744</v>
      </c>
      <c r="U54" s="97">
        <v>17630</v>
      </c>
      <c r="V54" s="97">
        <v>0</v>
      </c>
      <c r="W54" s="97">
        <v>0</v>
      </c>
      <c r="X54" s="97">
        <v>0</v>
      </c>
      <c r="Y54" s="98">
        <v>0</v>
      </c>
      <c r="Z54" s="95">
        <v>0</v>
      </c>
      <c r="AA54" s="95">
        <v>0</v>
      </c>
      <c r="AB54" s="95">
        <v>0</v>
      </c>
      <c r="AC54" s="95">
        <v>0</v>
      </c>
      <c r="AD54" s="96">
        <v>0</v>
      </c>
      <c r="AE54" s="96">
        <v>0</v>
      </c>
      <c r="AF54" s="95">
        <v>5950</v>
      </c>
      <c r="AG54" s="95">
        <v>18735</v>
      </c>
      <c r="AH54" s="95">
        <v>19252</v>
      </c>
      <c r="AI54" s="95">
        <v>18020</v>
      </c>
    </row>
    <row r="55" spans="1:35" x14ac:dyDescent="0.35">
      <c r="A55" s="58"/>
      <c r="B55" s="99"/>
      <c r="C55" s="100"/>
      <c r="D55" s="101" t="s">
        <v>10</v>
      </c>
      <c r="E55" s="102" t="e">
        <f>E54/E37*100</f>
        <v>#DIV/0!</v>
      </c>
      <c r="F55" s="102" t="e">
        <f>F54/F37*100</f>
        <v>#DIV/0!</v>
      </c>
      <c r="G55" s="102" t="e">
        <f t="shared" ref="G55:R55" si="21">G54/G37*100</f>
        <v>#DIV/0!</v>
      </c>
      <c r="H55" s="103" t="e">
        <f t="shared" si="21"/>
        <v>#DIV/0!</v>
      </c>
      <c r="I55" s="102" t="e">
        <f t="shared" si="21"/>
        <v>#DIV/0!</v>
      </c>
      <c r="J55" s="102" t="e">
        <f t="shared" si="21"/>
        <v>#DIV/0!</v>
      </c>
      <c r="K55" s="102" t="e">
        <f t="shared" si="21"/>
        <v>#DIV/0!</v>
      </c>
      <c r="L55" s="103" t="e">
        <f t="shared" si="21"/>
        <v>#DIV/0!</v>
      </c>
      <c r="M55" s="103">
        <f>M54/(M32+M37)*100</f>
        <v>1.5254741013303141</v>
      </c>
      <c r="N55" s="102" t="e">
        <f t="shared" si="21"/>
        <v>#DIV/0!</v>
      </c>
      <c r="O55" s="102" t="e">
        <f>O54/(O37+O32)*100</f>
        <v>#DIV/0!</v>
      </c>
      <c r="P55" s="103" t="e">
        <f>P54/P37*100</f>
        <v>#DIV/0!</v>
      </c>
      <c r="Q55" s="103" t="e">
        <f>Q54/Q37*100</f>
        <v>#DIV/0!</v>
      </c>
      <c r="R55" s="102" t="e">
        <f t="shared" si="21"/>
        <v>#DIV/0!</v>
      </c>
      <c r="S55" s="103" t="e">
        <f>S54/(S37+S32)*100</f>
        <v>#DIV/0!</v>
      </c>
      <c r="T55" s="103">
        <f>T54/T37*100</f>
        <v>1.499535198174609</v>
      </c>
      <c r="U55" s="102">
        <f t="shared" ref="U55:AA55" si="22">U54/U37*100</f>
        <v>1.1298891901072208</v>
      </c>
      <c r="V55" s="102" t="e">
        <f t="shared" si="22"/>
        <v>#DIV/0!</v>
      </c>
      <c r="W55" s="102" t="e">
        <f t="shared" si="22"/>
        <v>#DIV/0!</v>
      </c>
      <c r="X55" s="102" t="e">
        <f t="shared" si="22"/>
        <v>#DIV/0!</v>
      </c>
      <c r="Y55" s="103" t="e">
        <f t="shared" si="22"/>
        <v>#DIV/0!</v>
      </c>
      <c r="Z55" s="102" t="e">
        <f t="shared" si="22"/>
        <v>#DIV/0!</v>
      </c>
      <c r="AA55" s="102" t="e">
        <f t="shared" si="22"/>
        <v>#DIV/0!</v>
      </c>
      <c r="AB55" s="102" t="e">
        <f>AB54/(AB37)*100</f>
        <v>#DIV/0!</v>
      </c>
      <c r="AC55" s="102" t="e">
        <f t="shared" ref="AC55:AI55" si="23">AC54/AC37*100</f>
        <v>#DIV/0!</v>
      </c>
      <c r="AD55" s="103" t="e">
        <f t="shared" si="23"/>
        <v>#DIV/0!</v>
      </c>
      <c r="AE55" s="103" t="e">
        <f t="shared" si="23"/>
        <v>#DIV/0!</v>
      </c>
      <c r="AF55" s="102">
        <f t="shared" si="23"/>
        <v>1.3485947416137807</v>
      </c>
      <c r="AG55" s="102">
        <f t="shared" si="23"/>
        <v>1.2849882372306993</v>
      </c>
      <c r="AH55" s="102">
        <f t="shared" si="23"/>
        <v>1.2483788971313046</v>
      </c>
      <c r="AI55" s="102">
        <f t="shared" si="23"/>
        <v>1.3030493669146943</v>
      </c>
    </row>
    <row r="56" spans="1:35" x14ac:dyDescent="0.35">
      <c r="A56" s="58"/>
      <c r="B56" s="56" t="s">
        <v>52</v>
      </c>
      <c r="C56" s="57">
        <v>0.55000000000000004</v>
      </c>
      <c r="D56" s="89" t="s">
        <v>7</v>
      </c>
      <c r="E56" s="43"/>
      <c r="F56" s="43">
        <v>0</v>
      </c>
      <c r="G56" s="43">
        <v>106.5</v>
      </c>
      <c r="H56" s="44">
        <v>741.6</v>
      </c>
      <c r="I56" s="43">
        <v>915.4</v>
      </c>
      <c r="J56" s="43">
        <v>839.5</v>
      </c>
      <c r="K56" s="43">
        <v>1006.2</v>
      </c>
      <c r="L56" s="44">
        <v>951.5</v>
      </c>
      <c r="M56" s="44">
        <v>983</v>
      </c>
      <c r="N56" s="43">
        <v>1055.2</v>
      </c>
      <c r="O56" s="43">
        <v>1080.8</v>
      </c>
      <c r="P56" s="44">
        <v>1062.2</v>
      </c>
      <c r="Q56" s="44">
        <v>829.1</v>
      </c>
      <c r="R56" s="43">
        <v>790.5</v>
      </c>
      <c r="S56" s="44">
        <v>726.4</v>
      </c>
      <c r="T56" s="44">
        <v>760.2</v>
      </c>
      <c r="U56" s="43">
        <v>781.2</v>
      </c>
      <c r="V56" s="43">
        <v>643.70000000000005</v>
      </c>
      <c r="W56" s="43">
        <v>622.61</v>
      </c>
      <c r="X56" s="43">
        <v>516</v>
      </c>
      <c r="Y56" s="44">
        <v>641.29999999999995</v>
      </c>
      <c r="Z56" s="43">
        <v>696.1</v>
      </c>
      <c r="AA56" s="43">
        <v>712.4</v>
      </c>
      <c r="AB56" s="43">
        <v>683.4</v>
      </c>
      <c r="AC56" s="43">
        <v>629.70000000000005</v>
      </c>
      <c r="AD56" s="44">
        <v>691.5</v>
      </c>
      <c r="AE56" s="44">
        <v>646</v>
      </c>
      <c r="AF56" s="43">
        <v>742.8</v>
      </c>
      <c r="AG56" s="43">
        <v>704.30000000000007</v>
      </c>
      <c r="AH56" s="43">
        <v>760.2</v>
      </c>
      <c r="AI56" s="43">
        <v>658.8</v>
      </c>
    </row>
    <row r="57" spans="1:35" x14ac:dyDescent="0.35">
      <c r="A57" s="104"/>
      <c r="B57" s="105"/>
      <c r="C57" s="63"/>
      <c r="D57" s="106" t="s">
        <v>10</v>
      </c>
      <c r="E57" s="107" t="e">
        <f t="shared" ref="E57:AI57" si="24">E56/(E19+E20)*100</f>
        <v>#DIV/0!</v>
      </c>
      <c r="F57" s="107" t="e">
        <f t="shared" si="24"/>
        <v>#DIV/0!</v>
      </c>
      <c r="G57" s="107" t="e">
        <f t="shared" si="24"/>
        <v>#DIV/0!</v>
      </c>
      <c r="H57" s="108">
        <f t="shared" si="24"/>
        <v>6.4995446988307656E-2</v>
      </c>
      <c r="I57" s="107">
        <f t="shared" si="24"/>
        <v>4.4098660757298389E-2</v>
      </c>
      <c r="J57" s="107">
        <f t="shared" si="24"/>
        <v>4.9460908501738052E-2</v>
      </c>
      <c r="K57" s="107">
        <f t="shared" si="24"/>
        <v>5.0059701492537322E-2</v>
      </c>
      <c r="L57" s="109">
        <f t="shared" si="24"/>
        <v>4.9521182471115067E-2</v>
      </c>
      <c r="M57" s="109">
        <f t="shared" si="24"/>
        <v>4.9056792095019459E-2</v>
      </c>
      <c r="N57" s="107">
        <f t="shared" si="24"/>
        <v>5.0166397261576727E-2</v>
      </c>
      <c r="O57" s="107">
        <f t="shared" si="24"/>
        <v>5.1079918710713865E-2</v>
      </c>
      <c r="P57" s="109">
        <f t="shared" si="24"/>
        <v>5.2819492789656891E-2</v>
      </c>
      <c r="Q57" s="109">
        <f t="shared" si="24"/>
        <v>4.4731588885891557E-2</v>
      </c>
      <c r="R57" s="107">
        <f t="shared" si="24"/>
        <v>5.0862179899626811E-2</v>
      </c>
      <c r="S57" s="109">
        <f t="shared" si="24"/>
        <v>4.5525194284281485E-2</v>
      </c>
      <c r="T57" s="109">
        <f t="shared" si="24"/>
        <v>5.0401113836770213E-2</v>
      </c>
      <c r="U57" s="107">
        <f t="shared" si="24"/>
        <v>5.0066332122051103E-2</v>
      </c>
      <c r="V57" s="107">
        <f t="shared" si="24"/>
        <v>4.8176810466125798E-2</v>
      </c>
      <c r="W57" s="107">
        <f t="shared" si="24"/>
        <v>4.7278456982307294E-2</v>
      </c>
      <c r="X57" s="107">
        <f t="shared" si="24"/>
        <v>4.9434284017205732E-2</v>
      </c>
      <c r="Y57" s="109">
        <f t="shared" si="24"/>
        <v>5.1609528408176814E-2</v>
      </c>
      <c r="Z57" s="107">
        <f t="shared" si="24"/>
        <v>5.2722466693428054E-2</v>
      </c>
      <c r="AA57" s="107">
        <f t="shared" si="24"/>
        <v>5.4653276971821381E-2</v>
      </c>
      <c r="AB57" s="107">
        <f t="shared" si="24"/>
        <v>5.1936800346549329E-2</v>
      </c>
      <c r="AC57" s="110">
        <f t="shared" si="24"/>
        <v>4.7373647703164261E-2</v>
      </c>
      <c r="AD57" s="108">
        <f t="shared" si="24"/>
        <v>4.8393530733216228E-2</v>
      </c>
      <c r="AE57" s="109">
        <f t="shared" si="24"/>
        <v>4.9074721200887295E-2</v>
      </c>
      <c r="AF57" s="107">
        <f t="shared" si="24"/>
        <v>4.7894770778257788E-2</v>
      </c>
      <c r="AG57" s="110">
        <f t="shared" si="24"/>
        <v>4.8306229809531975E-2</v>
      </c>
      <c r="AH57" s="107">
        <f t="shared" si="24"/>
        <v>4.9294496031540506E-2</v>
      </c>
      <c r="AI57" s="107">
        <f t="shared" si="24"/>
        <v>4.7638674968002254E-2</v>
      </c>
    </row>
    <row r="58" spans="1:35" x14ac:dyDescent="0.35">
      <c r="A58" s="111">
        <v>4</v>
      </c>
      <c r="B58" s="112" t="s">
        <v>53</v>
      </c>
      <c r="C58" s="113">
        <v>0.8</v>
      </c>
      <c r="D58" s="114" t="s">
        <v>10</v>
      </c>
      <c r="E58" s="115" t="e">
        <f t="shared" ref="E58:AI58" si="25">((SUM(E25:E26))-(SUM(E19:E20)))/(SUM(E19:E20))*100</f>
        <v>#DIV/0!</v>
      </c>
      <c r="F58" s="115" t="e">
        <f t="shared" si="25"/>
        <v>#DIV/0!</v>
      </c>
      <c r="G58" s="115" t="e">
        <f t="shared" si="25"/>
        <v>#DIV/0!</v>
      </c>
      <c r="H58" s="116">
        <f t="shared" si="25"/>
        <v>-1.5778223194855754</v>
      </c>
      <c r="I58" s="115">
        <f t="shared" si="25"/>
        <v>-0.62000192696792722</v>
      </c>
      <c r="J58" s="115">
        <f>((SUM(J25:J26))-(SUM(J19:J20)))/(SUM(J19:J20))*100</f>
        <v>-0.67342249455016789</v>
      </c>
      <c r="K58" s="115">
        <f t="shared" si="25"/>
        <v>-0.65820895522339407</v>
      </c>
      <c r="L58" s="116">
        <f t="shared" si="25"/>
        <v>-0.80045799937493844</v>
      </c>
      <c r="M58" s="116">
        <f t="shared" si="25"/>
        <v>-0.75356822038127558</v>
      </c>
      <c r="N58" s="115">
        <f t="shared" si="25"/>
        <v>-0.68936008367406587</v>
      </c>
      <c r="O58" s="115">
        <f t="shared" si="25"/>
        <v>-0.69001370575217047</v>
      </c>
      <c r="P58" s="116">
        <f t="shared" si="25"/>
        <v>-0.64644455494728936</v>
      </c>
      <c r="Q58" s="116">
        <f t="shared" si="25"/>
        <v>-0.72511464796331271</v>
      </c>
      <c r="R58" s="115">
        <f t="shared" si="25"/>
        <v>-0.71097670827499759</v>
      </c>
      <c r="S58" s="116">
        <f t="shared" si="25"/>
        <v>-0.68939583855729425</v>
      </c>
      <c r="T58" s="116">
        <f t="shared" si="25"/>
        <v>-0.68288801962408385</v>
      </c>
      <c r="U58" s="115">
        <f t="shared" si="25"/>
        <v>-0.66268033044288932</v>
      </c>
      <c r="V58" s="115">
        <f t="shared" si="25"/>
        <v>-0.64140945424063711</v>
      </c>
      <c r="W58" s="115">
        <f t="shared" si="25"/>
        <v>-0.62191510365255731</v>
      </c>
      <c r="X58" s="115">
        <f t="shared" si="25"/>
        <v>-0.63804715417548419</v>
      </c>
      <c r="Y58" s="116">
        <f t="shared" si="25"/>
        <v>-0.68565910188236678</v>
      </c>
      <c r="Z58" s="115">
        <f t="shared" si="25"/>
        <v>-0.76042747536563382</v>
      </c>
      <c r="AA58" s="115">
        <f t="shared" si="25"/>
        <v>-0.77330857927564889</v>
      </c>
      <c r="AB58" s="115">
        <f t="shared" si="25"/>
        <v>-0.77745605435428677</v>
      </c>
      <c r="AC58" s="115">
        <f>((SUM(AC25:AC26))-(SUM(AC19:AC20)))/(SUM(AC19:AC20))*100</f>
        <v>-0.7447977009080522</v>
      </c>
      <c r="AD58" s="116">
        <f t="shared" si="25"/>
        <v>-0.76561854840329502</v>
      </c>
      <c r="AE58" s="116">
        <f t="shared" si="25"/>
        <v>-0.60089944999927658</v>
      </c>
      <c r="AF58" s="115">
        <f t="shared" si="25"/>
        <v>-0.60352053646202353</v>
      </c>
      <c r="AG58" s="115">
        <f>((SUM(AG25:AG26))-(SUM(AG19:AG20)))/(SUM(AG19:AG20))*100</f>
        <v>-0.60357066920964608</v>
      </c>
      <c r="AH58" s="115">
        <f t="shared" ref="AH58" si="26">((SUM(AH25:AH26))-(SUM(AH19:AH20)))/(SUM(AH19:AH20))*100</f>
        <v>-0.60564403174769754</v>
      </c>
      <c r="AI58" s="115">
        <f t="shared" si="25"/>
        <v>-0.60307612208966754</v>
      </c>
    </row>
    <row r="59" spans="1:35" x14ac:dyDescent="0.35">
      <c r="A59" s="64"/>
      <c r="B59" s="84" t="s">
        <v>54</v>
      </c>
      <c r="C59" s="117">
        <v>22</v>
      </c>
      <c r="D59" s="85" t="s">
        <v>10</v>
      </c>
      <c r="E59" s="86">
        <v>0</v>
      </c>
      <c r="F59" s="86">
        <v>0</v>
      </c>
      <c r="G59" s="86">
        <v>0</v>
      </c>
      <c r="H59" s="87">
        <v>21.33</v>
      </c>
      <c r="I59" s="86">
        <v>21.36</v>
      </c>
      <c r="J59" s="86">
        <v>21.35</v>
      </c>
      <c r="K59" s="86">
        <v>21.37</v>
      </c>
      <c r="L59" s="87">
        <v>21.36</v>
      </c>
      <c r="M59" s="87">
        <v>21.34</v>
      </c>
      <c r="N59" s="86">
        <v>21.28</v>
      </c>
      <c r="O59" s="86">
        <v>21.3</v>
      </c>
      <c r="P59" s="87">
        <v>21.29</v>
      </c>
      <c r="Q59" s="87">
        <v>21.28</v>
      </c>
      <c r="R59" s="86">
        <v>21.31</v>
      </c>
      <c r="S59" s="87">
        <v>21.28</v>
      </c>
      <c r="T59" s="87">
        <v>21.31</v>
      </c>
      <c r="U59" s="86">
        <v>21.32</v>
      </c>
      <c r="V59" s="86">
        <v>21.31</v>
      </c>
      <c r="W59" s="86">
        <v>21.33</v>
      </c>
      <c r="X59" s="86">
        <v>21.34</v>
      </c>
      <c r="Y59" s="87">
        <v>21.31</v>
      </c>
      <c r="Z59" s="86">
        <v>21.33</v>
      </c>
      <c r="AA59" s="86">
        <v>21.33</v>
      </c>
      <c r="AB59" s="86">
        <v>21.36</v>
      </c>
      <c r="AC59" s="86">
        <v>21.34</v>
      </c>
      <c r="AD59" s="87">
        <v>21.36</v>
      </c>
      <c r="AE59" s="87">
        <v>21.35</v>
      </c>
      <c r="AF59" s="86">
        <v>21.36</v>
      </c>
      <c r="AG59" s="86">
        <v>21.34</v>
      </c>
      <c r="AH59" s="86">
        <v>21.36</v>
      </c>
      <c r="AI59" s="86">
        <v>21.37</v>
      </c>
    </row>
    <row r="60" spans="1:35" x14ac:dyDescent="0.35">
      <c r="A60" s="118"/>
      <c r="B60" s="119" t="s">
        <v>55</v>
      </c>
      <c r="C60" s="63"/>
      <c r="D60" s="120" t="s">
        <v>7</v>
      </c>
      <c r="E60" s="86">
        <f t="shared" ref="E60:AI60" si="27">SUM(E52,E54)+(E59%*SUM(E52,E54))</f>
        <v>0</v>
      </c>
      <c r="F60" s="86">
        <f t="shared" si="27"/>
        <v>0</v>
      </c>
      <c r="G60" s="86">
        <f t="shared" si="27"/>
        <v>2460</v>
      </c>
      <c r="H60" s="87">
        <f t="shared" si="27"/>
        <v>18257.738399999998</v>
      </c>
      <c r="I60" s="86">
        <f>SUM(I52,I54)+(I59%*SUM(I52,I54))</f>
        <v>19957.651999999998</v>
      </c>
      <c r="J60" s="86">
        <f t="shared" si="27"/>
        <v>15586.194</v>
      </c>
      <c r="K60" s="86">
        <f t="shared" si="27"/>
        <v>17940.913400000001</v>
      </c>
      <c r="L60" s="87">
        <f t="shared" si="27"/>
        <v>16937.0016</v>
      </c>
      <c r="M60" s="87">
        <f t="shared" si="27"/>
        <v>25301.816800000001</v>
      </c>
      <c r="N60" s="86">
        <f t="shared" si="27"/>
        <v>21453.2192</v>
      </c>
      <c r="O60" s="86">
        <f t="shared" si="27"/>
        <v>19756.131000000001</v>
      </c>
      <c r="P60" s="87">
        <f t="shared" si="27"/>
        <v>19877.0052</v>
      </c>
      <c r="Q60" s="87">
        <f t="shared" si="27"/>
        <v>15062.976000000001</v>
      </c>
      <c r="R60" s="86">
        <f t="shared" si="27"/>
        <v>15289.912399999999</v>
      </c>
      <c r="S60" s="87">
        <f t="shared" si="27"/>
        <v>14484.4704</v>
      </c>
      <c r="T60" s="87">
        <f t="shared" si="27"/>
        <v>24642.913399999998</v>
      </c>
      <c r="U60" s="86">
        <f t="shared" si="27"/>
        <v>21388.716</v>
      </c>
      <c r="V60" s="86">
        <f t="shared" si="27"/>
        <v>13043.251199999999</v>
      </c>
      <c r="W60" s="86">
        <f t="shared" si="27"/>
        <v>12385.366399999999</v>
      </c>
      <c r="X60" s="86">
        <f>SUM(X52,X54)+(X59%*SUM(X52,X54))</f>
        <v>9107.7803999999996</v>
      </c>
      <c r="Y60" s="87">
        <f t="shared" si="27"/>
        <v>11723.3984</v>
      </c>
      <c r="Z60" s="86">
        <f t="shared" si="27"/>
        <v>19182.273000000001</v>
      </c>
      <c r="AA60" s="86">
        <f t="shared" si="27"/>
        <v>19388.534</v>
      </c>
      <c r="AB60" s="86">
        <f t="shared" si="27"/>
        <v>14979.4648</v>
      </c>
      <c r="AC60" s="86">
        <f t="shared" si="27"/>
        <v>10623.316999999999</v>
      </c>
      <c r="AD60" s="87">
        <f t="shared" si="27"/>
        <v>11491.5784</v>
      </c>
      <c r="AE60" s="87">
        <f t="shared" si="27"/>
        <v>9674.0220000000008</v>
      </c>
      <c r="AF60" s="86">
        <f t="shared" si="27"/>
        <v>15390.8752</v>
      </c>
      <c r="AG60" s="86">
        <f t="shared" si="27"/>
        <v>22733.048999999999</v>
      </c>
      <c r="AH60" s="86">
        <f t="shared" si="27"/>
        <v>23364.227200000001</v>
      </c>
      <c r="AI60" s="86">
        <f t="shared" si="27"/>
        <v>21870.874</v>
      </c>
    </row>
    <row r="61" spans="1:35" x14ac:dyDescent="0.35">
      <c r="A61" s="34">
        <v>5</v>
      </c>
      <c r="B61" s="11" t="s">
        <v>56</v>
      </c>
      <c r="C61" s="35"/>
      <c r="D61" s="35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6"/>
      <c r="W61" s="36"/>
      <c r="X61" s="36"/>
      <c r="Y61" s="36"/>
      <c r="Z61" s="36"/>
      <c r="AA61" s="36"/>
      <c r="AB61" s="15"/>
      <c r="AC61" s="36"/>
      <c r="AD61" s="36"/>
      <c r="AE61" s="36"/>
      <c r="AF61" s="36"/>
      <c r="AG61" s="15"/>
      <c r="AH61" s="15"/>
      <c r="AI61" s="15"/>
    </row>
    <row r="62" spans="1:35" x14ac:dyDescent="0.35">
      <c r="A62" s="37"/>
      <c r="B62" s="121" t="s">
        <v>57</v>
      </c>
      <c r="C62" s="122"/>
      <c r="D62" s="123" t="s">
        <v>7</v>
      </c>
      <c r="E62" s="124">
        <v>0</v>
      </c>
      <c r="F62" s="124">
        <v>0</v>
      </c>
      <c r="G62" s="124">
        <v>98005</v>
      </c>
      <c r="H62" s="125">
        <v>115062</v>
      </c>
      <c r="I62" s="124">
        <v>113938</v>
      </c>
      <c r="J62" s="124">
        <v>118467</v>
      </c>
      <c r="K62" s="124">
        <v>98715</v>
      </c>
      <c r="L62" s="125">
        <v>135626</v>
      </c>
      <c r="M62" s="125">
        <v>76047</v>
      </c>
      <c r="N62" s="124"/>
      <c r="O62" s="124">
        <v>114028</v>
      </c>
      <c r="P62" s="125">
        <v>87114</v>
      </c>
      <c r="Q62" s="125">
        <v>130666</v>
      </c>
      <c r="R62" s="124">
        <v>103605</v>
      </c>
      <c r="S62" s="125">
        <v>52746</v>
      </c>
      <c r="T62" s="125">
        <v>45335</v>
      </c>
      <c r="U62" s="124">
        <v>95256</v>
      </c>
      <c r="V62" s="124">
        <v>123360</v>
      </c>
      <c r="W62" s="124">
        <v>102834</v>
      </c>
      <c r="X62" s="124">
        <v>122993</v>
      </c>
      <c r="Y62" s="125">
        <v>102734</v>
      </c>
      <c r="Z62" s="124">
        <v>101901</v>
      </c>
      <c r="AA62" s="124">
        <v>88060</v>
      </c>
      <c r="AB62" s="124">
        <v>74744</v>
      </c>
      <c r="AC62" s="124">
        <v>108463</v>
      </c>
      <c r="AD62" s="125">
        <v>119968</v>
      </c>
      <c r="AE62" s="125">
        <v>128579</v>
      </c>
      <c r="AF62" s="124">
        <v>99584</v>
      </c>
      <c r="AG62" s="124">
        <v>96573</v>
      </c>
      <c r="AH62" s="124">
        <v>95373</v>
      </c>
      <c r="AI62" s="124">
        <v>84391</v>
      </c>
    </row>
    <row r="63" spans="1:35" x14ac:dyDescent="0.35">
      <c r="A63" s="58"/>
      <c r="B63" s="126" t="s">
        <v>58</v>
      </c>
      <c r="C63" s="127"/>
      <c r="D63" s="128" t="s">
        <v>7</v>
      </c>
      <c r="E63" s="129">
        <v>0</v>
      </c>
      <c r="F63" s="130">
        <v>0</v>
      </c>
      <c r="G63" s="131">
        <v>91763.385000000009</v>
      </c>
      <c r="H63" s="54">
        <v>115667.155</v>
      </c>
      <c r="I63" s="131">
        <v>115678.015</v>
      </c>
      <c r="J63" s="53">
        <v>112810.97500000001</v>
      </c>
      <c r="K63" s="53">
        <v>0</v>
      </c>
      <c r="L63" s="54">
        <v>76829.974999999991</v>
      </c>
      <c r="M63" s="132">
        <v>51056.479999999996</v>
      </c>
      <c r="N63" s="133">
        <v>77123.194999999992</v>
      </c>
      <c r="O63" s="53">
        <v>115687.965</v>
      </c>
      <c r="P63" s="54">
        <v>115699.735</v>
      </c>
      <c r="Q63" s="54">
        <v>115080.715</v>
      </c>
      <c r="R63" s="131">
        <v>0</v>
      </c>
      <c r="S63" s="54">
        <v>77111.429999999993</v>
      </c>
      <c r="T63" s="54">
        <v>0</v>
      </c>
      <c r="U63" s="53">
        <v>115710.595</v>
      </c>
      <c r="V63" s="53">
        <v>115667.155</v>
      </c>
      <c r="W63" s="53">
        <v>114982.97500000001</v>
      </c>
      <c r="X63" s="53">
        <v>115353.125</v>
      </c>
      <c r="Y63" s="54">
        <v>111616.375</v>
      </c>
      <c r="Z63" s="53">
        <v>77122.289999999994</v>
      </c>
      <c r="AA63" s="130">
        <v>76590.154999999999</v>
      </c>
      <c r="AB63" s="53">
        <v>102731.985</v>
      </c>
      <c r="AC63" s="53">
        <v>115678.015</v>
      </c>
      <c r="AD63" s="54">
        <v>115688.875</v>
      </c>
      <c r="AE63" s="54">
        <v>113495.155</v>
      </c>
      <c r="AF63" s="53">
        <v>0</v>
      </c>
      <c r="AG63" s="53">
        <v>77122.289999999994</v>
      </c>
      <c r="AH63" s="130">
        <v>48870</v>
      </c>
      <c r="AI63" s="130">
        <v>115373.92499999999</v>
      </c>
    </row>
    <row r="64" spans="1:35" x14ac:dyDescent="0.35">
      <c r="A64" s="58"/>
      <c r="B64" s="134" t="s">
        <v>59</v>
      </c>
      <c r="C64" s="63"/>
      <c r="D64" s="89" t="s">
        <v>7</v>
      </c>
      <c r="E64" s="86">
        <f t="shared" ref="E64:AI64" si="28">SUM(E68:E69)*10.86</f>
        <v>0</v>
      </c>
      <c r="F64" s="86">
        <f t="shared" si="28"/>
        <v>0</v>
      </c>
      <c r="G64" s="86">
        <f t="shared" si="28"/>
        <v>91756.14</v>
      </c>
      <c r="H64" s="87">
        <f t="shared" si="28"/>
        <v>115659</v>
      </c>
      <c r="I64" s="86">
        <f t="shared" si="28"/>
        <v>115669.86</v>
      </c>
      <c r="J64" s="86">
        <f t="shared" si="28"/>
        <v>112802.81999999999</v>
      </c>
      <c r="K64" s="86">
        <f t="shared" si="28"/>
        <v>0</v>
      </c>
      <c r="L64" s="87">
        <f t="shared" si="28"/>
        <v>76823.64</v>
      </c>
      <c r="M64" s="87">
        <f t="shared" si="28"/>
        <v>51052.86</v>
      </c>
      <c r="N64" s="86">
        <f t="shared" si="28"/>
        <v>77116.86</v>
      </c>
      <c r="O64" s="86">
        <f t="shared" si="28"/>
        <v>115680.72</v>
      </c>
      <c r="P64" s="87">
        <f t="shared" si="28"/>
        <v>115691.57999999999</v>
      </c>
      <c r="Q64" s="87">
        <f t="shared" si="28"/>
        <v>115072.56</v>
      </c>
      <c r="R64" s="86">
        <f t="shared" si="28"/>
        <v>0</v>
      </c>
      <c r="S64" s="87">
        <f t="shared" si="28"/>
        <v>77106</v>
      </c>
      <c r="T64" s="87">
        <f t="shared" si="28"/>
        <v>0</v>
      </c>
      <c r="U64" s="86">
        <f t="shared" si="28"/>
        <v>115702.43999999999</v>
      </c>
      <c r="V64" s="86">
        <f t="shared" si="28"/>
        <v>115659</v>
      </c>
      <c r="W64" s="86">
        <f t="shared" si="28"/>
        <v>114974.81999999999</v>
      </c>
      <c r="X64" s="86">
        <f t="shared" si="28"/>
        <v>115344.06</v>
      </c>
      <c r="Y64" s="87">
        <f t="shared" si="28"/>
        <v>111608.22</v>
      </c>
      <c r="Z64" s="86">
        <f t="shared" si="28"/>
        <v>77116.86</v>
      </c>
      <c r="AA64" s="86">
        <f t="shared" si="28"/>
        <v>76584.72</v>
      </c>
      <c r="AB64" s="86">
        <f t="shared" si="28"/>
        <v>102724.73999999999</v>
      </c>
      <c r="AC64" s="86">
        <f t="shared" si="28"/>
        <v>115669.86</v>
      </c>
      <c r="AD64" s="87">
        <f t="shared" si="28"/>
        <v>115680.72</v>
      </c>
      <c r="AE64" s="135">
        <f t="shared" si="28"/>
        <v>113487</v>
      </c>
      <c r="AF64" s="86">
        <f t="shared" si="28"/>
        <v>0</v>
      </c>
      <c r="AG64" s="86">
        <f t="shared" si="28"/>
        <v>77116.86</v>
      </c>
      <c r="AH64" s="86">
        <f>SUM(AH68:AH69)*10.86</f>
        <v>48870</v>
      </c>
      <c r="AI64" s="86">
        <f t="shared" si="28"/>
        <v>115365.78</v>
      </c>
    </row>
    <row r="65" spans="1:35" x14ac:dyDescent="0.35">
      <c r="A65" s="58"/>
      <c r="B65" s="134" t="s">
        <v>60</v>
      </c>
      <c r="C65" s="63"/>
      <c r="D65" s="89" t="s">
        <v>7</v>
      </c>
      <c r="E65" s="86">
        <f>E63-E64</f>
        <v>0</v>
      </c>
      <c r="F65" s="86">
        <f t="shared" ref="F65:AI65" si="29">F63-F64</f>
        <v>0</v>
      </c>
      <c r="G65" s="86">
        <f t="shared" si="29"/>
        <v>7.2450000000098953</v>
      </c>
      <c r="H65" s="87">
        <f t="shared" si="29"/>
        <v>8.1549999999988358</v>
      </c>
      <c r="I65" s="86">
        <f t="shared" si="29"/>
        <v>8.1549999999988358</v>
      </c>
      <c r="J65" s="86">
        <f t="shared" si="29"/>
        <v>8.1550000000133878</v>
      </c>
      <c r="K65" s="86">
        <f t="shared" si="29"/>
        <v>0</v>
      </c>
      <c r="L65" s="87">
        <f t="shared" si="29"/>
        <v>6.3349999999918509</v>
      </c>
      <c r="M65" s="87">
        <f t="shared" si="29"/>
        <v>3.6199999999953434</v>
      </c>
      <c r="N65" s="86">
        <f t="shared" si="29"/>
        <v>6.3349999999918509</v>
      </c>
      <c r="O65" s="86">
        <f t="shared" si="29"/>
        <v>7.2449999999953434</v>
      </c>
      <c r="P65" s="87">
        <f t="shared" si="29"/>
        <v>8.1550000000133878</v>
      </c>
      <c r="Q65" s="87">
        <f t="shared" si="29"/>
        <v>8.1549999999988358</v>
      </c>
      <c r="R65" s="86">
        <f t="shared" si="29"/>
        <v>0</v>
      </c>
      <c r="S65" s="87">
        <f t="shared" si="29"/>
        <v>5.4299999999930151</v>
      </c>
      <c r="T65" s="87">
        <f t="shared" si="29"/>
        <v>0</v>
      </c>
      <c r="U65" s="86">
        <f t="shared" si="29"/>
        <v>8.1550000000133878</v>
      </c>
      <c r="V65" s="86">
        <f t="shared" si="29"/>
        <v>8.1549999999988358</v>
      </c>
      <c r="W65" s="86">
        <f t="shared" si="29"/>
        <v>8.1550000000133878</v>
      </c>
      <c r="X65" s="86">
        <f t="shared" si="29"/>
        <v>9.0650000000023283</v>
      </c>
      <c r="Y65" s="87">
        <f t="shared" si="29"/>
        <v>8.1549999999988358</v>
      </c>
      <c r="Z65" s="86">
        <f t="shared" si="29"/>
        <v>5.4299999999930151</v>
      </c>
      <c r="AA65" s="86">
        <f t="shared" si="29"/>
        <v>5.4349999999976717</v>
      </c>
      <c r="AB65" s="86">
        <f t="shared" si="29"/>
        <v>7.2450000000098953</v>
      </c>
      <c r="AC65" s="86">
        <f t="shared" si="29"/>
        <v>8.1549999999988358</v>
      </c>
      <c r="AD65" s="87">
        <f t="shared" si="29"/>
        <v>8.1549999999988358</v>
      </c>
      <c r="AE65" s="87">
        <f t="shared" si="29"/>
        <v>8.1549999999988358</v>
      </c>
      <c r="AF65" s="86">
        <f t="shared" si="29"/>
        <v>0</v>
      </c>
      <c r="AG65" s="86">
        <f t="shared" si="29"/>
        <v>5.4299999999930151</v>
      </c>
      <c r="AH65" s="86">
        <f t="shared" si="29"/>
        <v>0</v>
      </c>
      <c r="AI65" s="86">
        <f t="shared" si="29"/>
        <v>8.1449999999895226</v>
      </c>
    </row>
    <row r="66" spans="1:35" x14ac:dyDescent="0.35">
      <c r="A66" s="58"/>
      <c r="B66" s="134" t="s">
        <v>61</v>
      </c>
      <c r="C66" s="63"/>
      <c r="D66" s="58" t="s">
        <v>7</v>
      </c>
      <c r="E66" s="86">
        <v>0</v>
      </c>
      <c r="F66" s="86">
        <v>102.26</v>
      </c>
      <c r="G66" s="86">
        <v>0</v>
      </c>
      <c r="H66" s="87">
        <v>0</v>
      </c>
      <c r="I66" s="86">
        <v>0</v>
      </c>
      <c r="J66" s="86">
        <v>0</v>
      </c>
      <c r="K66" s="86">
        <v>0</v>
      </c>
      <c r="L66" s="87">
        <v>0</v>
      </c>
      <c r="M66" s="87">
        <v>0</v>
      </c>
      <c r="N66" s="86">
        <v>0</v>
      </c>
      <c r="O66" s="86">
        <v>0</v>
      </c>
      <c r="P66" s="87">
        <v>0</v>
      </c>
      <c r="Q66" s="87">
        <v>0</v>
      </c>
      <c r="R66" s="86">
        <v>6.56</v>
      </c>
      <c r="S66" s="87">
        <v>0</v>
      </c>
      <c r="T66" s="87">
        <v>0</v>
      </c>
      <c r="U66" s="86">
        <v>0</v>
      </c>
      <c r="V66" s="86">
        <v>0</v>
      </c>
      <c r="W66" s="86">
        <v>0</v>
      </c>
      <c r="X66" s="86">
        <v>0</v>
      </c>
      <c r="Y66" s="87">
        <v>0</v>
      </c>
      <c r="Z66" s="86">
        <v>0</v>
      </c>
      <c r="AA66" s="86">
        <v>0</v>
      </c>
      <c r="AB66" s="86">
        <v>0</v>
      </c>
      <c r="AC66" s="86">
        <v>0</v>
      </c>
      <c r="AD66" s="87">
        <v>460</v>
      </c>
      <c r="AE66" s="87">
        <v>0</v>
      </c>
      <c r="AF66" s="86">
        <v>0</v>
      </c>
      <c r="AG66" s="86">
        <v>0</v>
      </c>
      <c r="AH66" s="86">
        <v>0</v>
      </c>
      <c r="AI66" s="86">
        <v>0</v>
      </c>
    </row>
    <row r="67" spans="1:35" x14ac:dyDescent="0.35">
      <c r="A67" s="58"/>
      <c r="B67" s="134" t="s">
        <v>62</v>
      </c>
      <c r="C67" s="63"/>
      <c r="D67" s="58"/>
      <c r="E67" s="43"/>
      <c r="F67" s="43"/>
      <c r="G67" s="43"/>
      <c r="H67" s="44"/>
      <c r="I67" s="43"/>
      <c r="J67" s="43"/>
      <c r="K67" s="43"/>
      <c r="L67" s="44"/>
      <c r="M67" s="44"/>
      <c r="N67" s="43"/>
      <c r="O67" s="43"/>
      <c r="P67" s="44"/>
      <c r="Q67" s="44"/>
      <c r="R67" s="43"/>
      <c r="S67" s="44"/>
      <c r="T67" s="44"/>
      <c r="U67" s="43"/>
      <c r="V67" s="43"/>
      <c r="W67" s="43"/>
      <c r="X67" s="43"/>
      <c r="Y67" s="44"/>
      <c r="Z67" s="43"/>
      <c r="AA67" s="43"/>
      <c r="AB67" s="43"/>
      <c r="AC67" s="43"/>
      <c r="AD67" s="44"/>
      <c r="AE67" s="44"/>
      <c r="AF67" s="43"/>
      <c r="AG67" s="43"/>
      <c r="AH67" s="43"/>
      <c r="AI67" s="43"/>
    </row>
    <row r="68" spans="1:35" x14ac:dyDescent="0.35">
      <c r="A68" s="18"/>
      <c r="B68" s="136" t="s">
        <v>63</v>
      </c>
      <c r="C68" s="17"/>
      <c r="D68" s="137" t="s">
        <v>64</v>
      </c>
      <c r="E68" s="138">
        <v>0</v>
      </c>
      <c r="F68" s="138">
        <v>0</v>
      </c>
      <c r="G68" s="138">
        <v>2816</v>
      </c>
      <c r="H68" s="139">
        <v>3550</v>
      </c>
      <c r="I68" s="138">
        <v>3551</v>
      </c>
      <c r="J68" s="138">
        <v>3552</v>
      </c>
      <c r="K68" s="138">
        <v>0</v>
      </c>
      <c r="L68" s="139">
        <v>7074</v>
      </c>
      <c r="M68" s="139">
        <v>4701</v>
      </c>
      <c r="N68" s="138">
        <v>7101</v>
      </c>
      <c r="O68" s="138">
        <v>3550</v>
      </c>
      <c r="P68" s="139">
        <v>3550</v>
      </c>
      <c r="Q68" s="139">
        <v>3491</v>
      </c>
      <c r="R68" s="138">
        <v>0</v>
      </c>
      <c r="S68" s="139">
        <v>7100</v>
      </c>
      <c r="T68" s="139">
        <v>0</v>
      </c>
      <c r="U68" s="138">
        <v>3550</v>
      </c>
      <c r="V68" s="138">
        <v>3550</v>
      </c>
      <c r="W68" s="138">
        <v>3487</v>
      </c>
      <c r="X68" s="138">
        <v>3521</v>
      </c>
      <c r="Y68" s="139">
        <v>3426</v>
      </c>
      <c r="Z68" s="138">
        <v>7101</v>
      </c>
      <c r="AA68" s="138">
        <v>2350</v>
      </c>
      <c r="AB68" s="138">
        <v>3550</v>
      </c>
      <c r="AC68" s="138">
        <v>3550</v>
      </c>
      <c r="AD68" s="139">
        <v>3550</v>
      </c>
      <c r="AE68" s="139">
        <v>3550</v>
      </c>
      <c r="AF68" s="138">
        <v>0</v>
      </c>
      <c r="AG68" s="138">
        <v>7101</v>
      </c>
      <c r="AH68" s="138">
        <v>0</v>
      </c>
      <c r="AI68" s="138">
        <v>3521</v>
      </c>
    </row>
    <row r="69" spans="1:35" x14ac:dyDescent="0.35">
      <c r="A69" s="18"/>
      <c r="B69" s="136" t="s">
        <v>65</v>
      </c>
      <c r="C69" s="17"/>
      <c r="D69" s="137" t="s">
        <v>64</v>
      </c>
      <c r="E69" s="138">
        <v>0</v>
      </c>
      <c r="F69" s="138">
        <v>0</v>
      </c>
      <c r="G69" s="138">
        <v>5633</v>
      </c>
      <c r="H69" s="139">
        <v>7100</v>
      </c>
      <c r="I69" s="138">
        <v>7100</v>
      </c>
      <c r="J69" s="138">
        <v>6835</v>
      </c>
      <c r="K69" s="138">
        <v>0</v>
      </c>
      <c r="L69" s="139">
        <v>0</v>
      </c>
      <c r="M69" s="139">
        <v>0</v>
      </c>
      <c r="N69" s="138">
        <v>0</v>
      </c>
      <c r="O69" s="138">
        <v>7102</v>
      </c>
      <c r="P69" s="139">
        <v>7103</v>
      </c>
      <c r="Q69" s="139">
        <v>7105</v>
      </c>
      <c r="R69" s="138">
        <v>0</v>
      </c>
      <c r="S69" s="139">
        <v>0</v>
      </c>
      <c r="T69" s="139">
        <v>0</v>
      </c>
      <c r="U69" s="138">
        <v>7104</v>
      </c>
      <c r="V69" s="138">
        <v>7100</v>
      </c>
      <c r="W69" s="138">
        <v>7100</v>
      </c>
      <c r="X69" s="138">
        <v>7100</v>
      </c>
      <c r="Y69" s="139">
        <v>6851</v>
      </c>
      <c r="Z69" s="138">
        <v>0</v>
      </c>
      <c r="AA69" s="138">
        <v>4702</v>
      </c>
      <c r="AB69" s="138">
        <v>5909</v>
      </c>
      <c r="AC69" s="138">
        <v>7101</v>
      </c>
      <c r="AD69" s="139">
        <v>7102</v>
      </c>
      <c r="AE69" s="139">
        <v>6900</v>
      </c>
      <c r="AF69" s="138">
        <v>0</v>
      </c>
      <c r="AG69" s="138">
        <v>0</v>
      </c>
      <c r="AH69" s="138">
        <v>4500</v>
      </c>
      <c r="AI69" s="138">
        <v>7102</v>
      </c>
    </row>
    <row r="70" spans="1:35" x14ac:dyDescent="0.35">
      <c r="A70" s="58"/>
      <c r="B70" s="134" t="s">
        <v>66</v>
      </c>
      <c r="C70" s="63"/>
      <c r="D70" s="58"/>
      <c r="E70" s="43"/>
      <c r="F70" s="43"/>
      <c r="G70" s="43"/>
      <c r="H70" s="44"/>
      <c r="I70" s="43"/>
      <c r="J70" s="43"/>
      <c r="K70" s="43"/>
      <c r="L70" s="44"/>
      <c r="M70" s="44"/>
      <c r="N70" s="43"/>
      <c r="O70" s="43"/>
      <c r="P70" s="44"/>
      <c r="Q70" s="44"/>
      <c r="R70" s="43"/>
      <c r="S70" s="44"/>
      <c r="T70" s="44"/>
      <c r="U70" s="43"/>
      <c r="V70" s="43"/>
      <c r="W70" s="43"/>
      <c r="X70" s="43"/>
      <c r="Y70" s="44"/>
      <c r="Z70" s="43"/>
      <c r="AA70" s="43"/>
      <c r="AB70" s="43"/>
      <c r="AC70" s="43"/>
      <c r="AD70" s="44"/>
      <c r="AE70" s="44"/>
      <c r="AF70" s="43"/>
      <c r="AG70" s="43"/>
      <c r="AH70" s="43"/>
      <c r="AI70" s="43"/>
    </row>
    <row r="71" spans="1:35" x14ac:dyDescent="0.35">
      <c r="A71" s="58"/>
      <c r="B71" s="56" t="s">
        <v>63</v>
      </c>
      <c r="C71" s="63"/>
      <c r="D71" s="89" t="s">
        <v>66</v>
      </c>
      <c r="E71" s="43">
        <f t="shared" ref="E71:AI71" si="30">E68*12</f>
        <v>0</v>
      </c>
      <c r="F71" s="43">
        <f t="shared" si="30"/>
        <v>0</v>
      </c>
      <c r="G71" s="43">
        <f t="shared" si="30"/>
        <v>33792</v>
      </c>
      <c r="H71" s="44">
        <f t="shared" si="30"/>
        <v>42600</v>
      </c>
      <c r="I71" s="43">
        <f t="shared" si="30"/>
        <v>42612</v>
      </c>
      <c r="J71" s="43">
        <f t="shared" si="30"/>
        <v>42624</v>
      </c>
      <c r="K71" s="43">
        <f t="shared" si="30"/>
        <v>0</v>
      </c>
      <c r="L71" s="44">
        <f t="shared" si="30"/>
        <v>84888</v>
      </c>
      <c r="M71" s="44">
        <f t="shared" si="30"/>
        <v>56412</v>
      </c>
      <c r="N71" s="43">
        <f t="shared" si="30"/>
        <v>85212</v>
      </c>
      <c r="O71" s="43">
        <f t="shared" si="30"/>
        <v>42600</v>
      </c>
      <c r="P71" s="44">
        <f t="shared" si="30"/>
        <v>42600</v>
      </c>
      <c r="Q71" s="44">
        <f t="shared" si="30"/>
        <v>41892</v>
      </c>
      <c r="R71" s="43">
        <f t="shared" si="30"/>
        <v>0</v>
      </c>
      <c r="S71" s="44">
        <f t="shared" si="30"/>
        <v>85200</v>
      </c>
      <c r="T71" s="44">
        <f t="shared" si="30"/>
        <v>0</v>
      </c>
      <c r="U71" s="43">
        <f t="shared" si="30"/>
        <v>42600</v>
      </c>
      <c r="V71" s="43">
        <f t="shared" si="30"/>
        <v>42600</v>
      </c>
      <c r="W71" s="43">
        <f t="shared" si="30"/>
        <v>41844</v>
      </c>
      <c r="X71" s="43">
        <f t="shared" si="30"/>
        <v>42252</v>
      </c>
      <c r="Y71" s="44">
        <f t="shared" si="30"/>
        <v>41112</v>
      </c>
      <c r="Z71" s="43">
        <f t="shared" si="30"/>
        <v>85212</v>
      </c>
      <c r="AA71" s="43">
        <f t="shared" si="30"/>
        <v>28200</v>
      </c>
      <c r="AB71" s="43">
        <f t="shared" si="30"/>
        <v>42600</v>
      </c>
      <c r="AC71" s="43">
        <f t="shared" si="30"/>
        <v>42600</v>
      </c>
      <c r="AD71" s="44">
        <f t="shared" si="30"/>
        <v>42600</v>
      </c>
      <c r="AE71" s="44">
        <f t="shared" si="30"/>
        <v>42600</v>
      </c>
      <c r="AF71" s="43">
        <f t="shared" si="30"/>
        <v>0</v>
      </c>
      <c r="AG71" s="43">
        <f t="shared" si="30"/>
        <v>85212</v>
      </c>
      <c r="AH71" s="43">
        <f t="shared" si="30"/>
        <v>0</v>
      </c>
      <c r="AI71" s="43">
        <f t="shared" si="30"/>
        <v>42252</v>
      </c>
    </row>
    <row r="72" spans="1:35" x14ac:dyDescent="0.35">
      <c r="A72" s="58"/>
      <c r="B72" s="56" t="s">
        <v>65</v>
      </c>
      <c r="C72" s="63"/>
      <c r="D72" s="89" t="s">
        <v>66</v>
      </c>
      <c r="E72" s="43">
        <f t="shared" ref="E72:AI72" si="31">E69*6</f>
        <v>0</v>
      </c>
      <c r="F72" s="43">
        <f t="shared" si="31"/>
        <v>0</v>
      </c>
      <c r="G72" s="43">
        <v>0</v>
      </c>
      <c r="H72" s="44">
        <f t="shared" si="31"/>
        <v>42600</v>
      </c>
      <c r="I72" s="43">
        <f t="shared" si="31"/>
        <v>42600</v>
      </c>
      <c r="J72" s="43">
        <f t="shared" si="31"/>
        <v>41010</v>
      </c>
      <c r="K72" s="43">
        <f t="shared" si="31"/>
        <v>0</v>
      </c>
      <c r="L72" s="44">
        <f t="shared" si="31"/>
        <v>0</v>
      </c>
      <c r="M72" s="44">
        <f t="shared" si="31"/>
        <v>0</v>
      </c>
      <c r="N72" s="43">
        <f t="shared" si="31"/>
        <v>0</v>
      </c>
      <c r="O72" s="43">
        <f t="shared" si="31"/>
        <v>42612</v>
      </c>
      <c r="P72" s="44">
        <f t="shared" si="31"/>
        <v>42618</v>
      </c>
      <c r="Q72" s="44">
        <f t="shared" si="31"/>
        <v>42630</v>
      </c>
      <c r="R72" s="43">
        <f t="shared" si="31"/>
        <v>0</v>
      </c>
      <c r="S72" s="44">
        <f t="shared" si="31"/>
        <v>0</v>
      </c>
      <c r="T72" s="44">
        <f t="shared" si="31"/>
        <v>0</v>
      </c>
      <c r="U72" s="43">
        <f t="shared" si="31"/>
        <v>42624</v>
      </c>
      <c r="V72" s="43">
        <f t="shared" si="31"/>
        <v>42600</v>
      </c>
      <c r="W72" s="43">
        <f t="shared" si="31"/>
        <v>42600</v>
      </c>
      <c r="X72" s="43">
        <f t="shared" si="31"/>
        <v>42600</v>
      </c>
      <c r="Y72" s="44">
        <f t="shared" si="31"/>
        <v>41106</v>
      </c>
      <c r="Z72" s="43">
        <f t="shared" si="31"/>
        <v>0</v>
      </c>
      <c r="AA72" s="43">
        <f t="shared" si="31"/>
        <v>28212</v>
      </c>
      <c r="AB72" s="43">
        <f t="shared" si="31"/>
        <v>35454</v>
      </c>
      <c r="AC72" s="43">
        <f t="shared" si="31"/>
        <v>42606</v>
      </c>
      <c r="AD72" s="44">
        <f t="shared" si="31"/>
        <v>42612</v>
      </c>
      <c r="AE72" s="44">
        <f t="shared" si="31"/>
        <v>41400</v>
      </c>
      <c r="AF72" s="43">
        <f t="shared" si="31"/>
        <v>0</v>
      </c>
      <c r="AG72" s="43">
        <f t="shared" si="31"/>
        <v>0</v>
      </c>
      <c r="AH72" s="43">
        <f t="shared" si="31"/>
        <v>27000</v>
      </c>
      <c r="AI72" s="43">
        <f t="shared" si="31"/>
        <v>42612</v>
      </c>
    </row>
    <row r="73" spans="1:35" x14ac:dyDescent="0.35">
      <c r="A73" s="58"/>
      <c r="B73" s="134" t="s">
        <v>67</v>
      </c>
      <c r="C73" s="63"/>
      <c r="D73" s="89" t="s">
        <v>68</v>
      </c>
      <c r="E73" s="140">
        <f>(E63*45)/1700</f>
        <v>0</v>
      </c>
      <c r="F73" s="140">
        <f>(F63*45)/1700</f>
        <v>0</v>
      </c>
      <c r="G73" s="140">
        <f t="shared" ref="G73:AH73" si="32">(G63*45)/1700</f>
        <v>2429.0307794117648</v>
      </c>
      <c r="H73" s="141">
        <f t="shared" si="32"/>
        <v>3061.7776323529411</v>
      </c>
      <c r="I73" s="140">
        <f t="shared" si="32"/>
        <v>3062.0651029411765</v>
      </c>
      <c r="J73" s="140">
        <f t="shared" si="32"/>
        <v>2986.1728676470589</v>
      </c>
      <c r="K73" s="140">
        <f t="shared" si="32"/>
        <v>0</v>
      </c>
      <c r="L73" s="141">
        <f t="shared" si="32"/>
        <v>2033.7346323529409</v>
      </c>
      <c r="M73" s="141">
        <f t="shared" si="32"/>
        <v>1351.4950588235292</v>
      </c>
      <c r="N73" s="140">
        <f t="shared" si="32"/>
        <v>2041.4963382352937</v>
      </c>
      <c r="O73" s="140">
        <f t="shared" si="32"/>
        <v>3062.3284852941174</v>
      </c>
      <c r="P73" s="141">
        <f t="shared" si="32"/>
        <v>3062.640044117647</v>
      </c>
      <c r="Q73" s="141">
        <f t="shared" si="32"/>
        <v>3046.2542205882351</v>
      </c>
      <c r="R73" s="140">
        <f t="shared" si="32"/>
        <v>0</v>
      </c>
      <c r="S73" s="141">
        <f t="shared" si="32"/>
        <v>2041.1849117647057</v>
      </c>
      <c r="T73" s="141">
        <f t="shared" si="32"/>
        <v>0</v>
      </c>
      <c r="U73" s="140">
        <f t="shared" si="32"/>
        <v>3062.9275147058825</v>
      </c>
      <c r="V73" s="140">
        <f t="shared" si="32"/>
        <v>3061.7776323529411</v>
      </c>
      <c r="W73" s="140">
        <f t="shared" si="32"/>
        <v>3043.6669852941177</v>
      </c>
      <c r="X73" s="140">
        <f t="shared" si="32"/>
        <v>3053.4650735294117</v>
      </c>
      <c r="Y73" s="141">
        <f t="shared" si="32"/>
        <v>2954.5511029411764</v>
      </c>
      <c r="Z73" s="140">
        <f t="shared" si="32"/>
        <v>2041.4723823529412</v>
      </c>
      <c r="AA73" s="140">
        <f t="shared" si="32"/>
        <v>2027.3864558823529</v>
      </c>
      <c r="AB73" s="140">
        <f t="shared" si="32"/>
        <v>2719.3760735294118</v>
      </c>
      <c r="AC73" s="140">
        <f>(AC63*45)/1700</f>
        <v>3062.0651029411765</v>
      </c>
      <c r="AD73" s="141">
        <f t="shared" si="32"/>
        <v>3062.352573529412</v>
      </c>
      <c r="AE73" s="141">
        <f t="shared" si="32"/>
        <v>3004.2835147058822</v>
      </c>
      <c r="AF73" s="140">
        <f t="shared" si="32"/>
        <v>0</v>
      </c>
      <c r="AG73" s="140">
        <f t="shared" si="32"/>
        <v>2041.4723823529412</v>
      </c>
      <c r="AH73" s="140">
        <f t="shared" si="32"/>
        <v>1293.6176470588234</v>
      </c>
      <c r="AI73" s="140">
        <f>(AI63*45)/1700</f>
        <v>3054.0156617647053</v>
      </c>
    </row>
    <row r="74" spans="1:35" x14ac:dyDescent="0.35">
      <c r="A74" s="58"/>
      <c r="B74" s="134" t="s">
        <v>69</v>
      </c>
      <c r="C74" s="63"/>
      <c r="D74" s="89" t="s">
        <v>70</v>
      </c>
      <c r="E74" s="43">
        <f t="shared" ref="E74:AI74" si="33">SUM(E68:E69)/500</f>
        <v>0</v>
      </c>
      <c r="F74" s="43">
        <f t="shared" si="33"/>
        <v>0</v>
      </c>
      <c r="G74" s="43">
        <f t="shared" si="33"/>
        <v>16.898</v>
      </c>
      <c r="H74" s="44">
        <f t="shared" si="33"/>
        <v>21.3</v>
      </c>
      <c r="I74" s="43">
        <f t="shared" si="33"/>
        <v>21.302</v>
      </c>
      <c r="J74" s="43">
        <f t="shared" si="33"/>
        <v>20.774000000000001</v>
      </c>
      <c r="K74" s="43">
        <f t="shared" si="33"/>
        <v>0</v>
      </c>
      <c r="L74" s="44">
        <f t="shared" si="33"/>
        <v>14.148</v>
      </c>
      <c r="M74" s="44">
        <f t="shared" si="33"/>
        <v>9.4019999999999992</v>
      </c>
      <c r="N74" s="43">
        <f t="shared" si="33"/>
        <v>14.202</v>
      </c>
      <c r="O74" s="43">
        <f t="shared" si="33"/>
        <v>21.303999999999998</v>
      </c>
      <c r="P74" s="44">
        <f t="shared" si="33"/>
        <v>21.306000000000001</v>
      </c>
      <c r="Q74" s="44">
        <f t="shared" si="33"/>
        <v>21.192</v>
      </c>
      <c r="R74" s="43">
        <f t="shared" si="33"/>
        <v>0</v>
      </c>
      <c r="S74" s="44">
        <f t="shared" si="33"/>
        <v>14.2</v>
      </c>
      <c r="T74" s="44">
        <f t="shared" si="33"/>
        <v>0</v>
      </c>
      <c r="U74" s="43">
        <f t="shared" si="33"/>
        <v>21.308</v>
      </c>
      <c r="V74" s="43">
        <f t="shared" si="33"/>
        <v>21.3</v>
      </c>
      <c r="W74" s="43">
        <f t="shared" si="33"/>
        <v>21.173999999999999</v>
      </c>
      <c r="X74" s="43">
        <f t="shared" si="33"/>
        <v>21.242000000000001</v>
      </c>
      <c r="Y74" s="44">
        <f t="shared" si="33"/>
        <v>20.553999999999998</v>
      </c>
      <c r="Z74" s="43">
        <f t="shared" si="33"/>
        <v>14.202</v>
      </c>
      <c r="AA74" s="43">
        <f t="shared" si="33"/>
        <v>14.103999999999999</v>
      </c>
      <c r="AB74" s="43">
        <f t="shared" si="33"/>
        <v>18.917999999999999</v>
      </c>
      <c r="AC74" s="43">
        <f t="shared" si="33"/>
        <v>21.302</v>
      </c>
      <c r="AD74" s="44">
        <f t="shared" si="33"/>
        <v>21.303999999999998</v>
      </c>
      <c r="AE74" s="44">
        <f t="shared" si="33"/>
        <v>20.9</v>
      </c>
      <c r="AF74" s="43">
        <f t="shared" si="33"/>
        <v>0</v>
      </c>
      <c r="AG74" s="43">
        <f t="shared" si="33"/>
        <v>14.202</v>
      </c>
      <c r="AH74" s="43">
        <f>SUM(AH68:AH69)/500</f>
        <v>9</v>
      </c>
      <c r="AI74" s="43">
        <f t="shared" si="33"/>
        <v>21.245999999999999</v>
      </c>
    </row>
    <row r="75" spans="1:35" x14ac:dyDescent="0.35">
      <c r="A75" s="37"/>
      <c r="B75" s="11" t="s">
        <v>71</v>
      </c>
      <c r="C75" s="35"/>
      <c r="D75" s="35"/>
      <c r="E75" s="36"/>
      <c r="F75" s="36"/>
      <c r="G75" s="36"/>
      <c r="H75" s="36"/>
      <c r="I75" s="36"/>
      <c r="J75" s="36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6"/>
      <c r="V75" s="36"/>
      <c r="W75" s="36"/>
      <c r="X75" s="36"/>
      <c r="Y75" s="36"/>
      <c r="Z75" s="36"/>
      <c r="AA75" s="36"/>
      <c r="AB75" s="15"/>
      <c r="AC75" s="36"/>
      <c r="AD75" s="36"/>
      <c r="AE75" s="36"/>
      <c r="AF75" s="36"/>
      <c r="AG75" s="15"/>
      <c r="AH75" s="15"/>
      <c r="AI75" s="15"/>
    </row>
    <row r="76" spans="1:35" x14ac:dyDescent="0.35">
      <c r="A76" s="58"/>
      <c r="B76" s="134" t="s">
        <v>62</v>
      </c>
      <c r="C76" s="63"/>
      <c r="D76" s="58"/>
      <c r="E76" s="43"/>
      <c r="F76" s="43"/>
      <c r="G76" s="43"/>
      <c r="H76" s="44"/>
      <c r="I76" s="43"/>
      <c r="J76" s="43"/>
      <c r="K76" s="43"/>
      <c r="L76" s="44"/>
      <c r="M76" s="44"/>
      <c r="N76" s="43"/>
      <c r="O76" s="43"/>
      <c r="P76" s="44"/>
      <c r="Q76" s="44"/>
      <c r="R76" s="43"/>
      <c r="S76" s="44"/>
      <c r="T76" s="44"/>
      <c r="U76" s="43"/>
      <c r="V76" s="43"/>
      <c r="W76" s="43"/>
      <c r="X76" s="43"/>
      <c r="Y76" s="44"/>
      <c r="Z76" s="43"/>
      <c r="AA76" s="43"/>
      <c r="AB76" s="43"/>
      <c r="AC76" s="43"/>
      <c r="AD76" s="44"/>
      <c r="AE76" s="44"/>
      <c r="AF76" s="43"/>
      <c r="AG76" s="43"/>
      <c r="AH76" s="43"/>
      <c r="AI76" s="43"/>
    </row>
    <row r="77" spans="1:35" x14ac:dyDescent="0.35">
      <c r="A77" s="58"/>
      <c r="B77" s="56" t="s">
        <v>63</v>
      </c>
      <c r="C77" s="63"/>
      <c r="D77" s="89" t="s">
        <v>64</v>
      </c>
      <c r="E77" s="43">
        <v>0</v>
      </c>
      <c r="F77" s="43">
        <v>0</v>
      </c>
      <c r="G77" s="43">
        <v>5</v>
      </c>
      <c r="H77" s="44">
        <v>5</v>
      </c>
      <c r="I77" s="43">
        <v>3</v>
      </c>
      <c r="J77" s="43">
        <v>0</v>
      </c>
      <c r="K77" s="43">
        <v>0</v>
      </c>
      <c r="L77" s="44">
        <v>9</v>
      </c>
      <c r="M77" s="44">
        <v>3</v>
      </c>
      <c r="N77" s="43">
        <v>11</v>
      </c>
      <c r="O77" s="43">
        <v>3</v>
      </c>
      <c r="P77" s="44">
        <v>2</v>
      </c>
      <c r="Q77" s="44">
        <v>0</v>
      </c>
      <c r="R77" s="43">
        <v>0</v>
      </c>
      <c r="S77" s="44">
        <v>4</v>
      </c>
      <c r="T77" s="44"/>
      <c r="U77" s="43">
        <v>2</v>
      </c>
      <c r="V77" s="43">
        <v>7</v>
      </c>
      <c r="W77" s="43">
        <v>3</v>
      </c>
      <c r="X77" s="43">
        <v>4</v>
      </c>
      <c r="Y77" s="44">
        <v>8</v>
      </c>
      <c r="Z77" s="43">
        <v>11</v>
      </c>
      <c r="AA77" s="43">
        <v>13</v>
      </c>
      <c r="AB77" s="43">
        <v>7</v>
      </c>
      <c r="AC77" s="43">
        <v>10</v>
      </c>
      <c r="AD77" s="44">
        <v>13</v>
      </c>
      <c r="AE77" s="44">
        <v>4</v>
      </c>
      <c r="AF77" s="43">
        <v>0</v>
      </c>
      <c r="AG77" s="43">
        <v>5</v>
      </c>
      <c r="AH77" s="43">
        <v>0</v>
      </c>
      <c r="AI77" s="43">
        <v>0</v>
      </c>
    </row>
    <row r="78" spans="1:35" x14ac:dyDescent="0.35">
      <c r="A78" s="58"/>
      <c r="B78" s="56" t="s">
        <v>65</v>
      </c>
      <c r="C78" s="63"/>
      <c r="D78" s="89" t="s">
        <v>64</v>
      </c>
      <c r="E78" s="43">
        <v>0</v>
      </c>
      <c r="F78" s="43">
        <v>0</v>
      </c>
      <c r="G78" s="43">
        <v>6</v>
      </c>
      <c r="H78" s="44">
        <v>9</v>
      </c>
      <c r="I78" s="43">
        <v>15</v>
      </c>
      <c r="J78" s="43">
        <v>7</v>
      </c>
      <c r="K78" s="43">
        <v>0</v>
      </c>
      <c r="L78" s="44">
        <v>0</v>
      </c>
      <c r="M78" s="44">
        <v>0</v>
      </c>
      <c r="N78" s="43">
        <v>0</v>
      </c>
      <c r="O78" s="43">
        <v>8</v>
      </c>
      <c r="P78" s="44">
        <v>7</v>
      </c>
      <c r="Q78" s="44">
        <v>0</v>
      </c>
      <c r="R78" s="43">
        <v>0</v>
      </c>
      <c r="S78" s="44">
        <v>0</v>
      </c>
      <c r="T78" s="44">
        <v>0</v>
      </c>
      <c r="U78" s="43">
        <v>5</v>
      </c>
      <c r="V78" s="43">
        <v>2</v>
      </c>
      <c r="W78" s="43">
        <v>7</v>
      </c>
      <c r="X78" s="43">
        <v>2</v>
      </c>
      <c r="Y78" s="44">
        <v>9</v>
      </c>
      <c r="Z78" s="43">
        <v>0</v>
      </c>
      <c r="AA78" s="43">
        <v>11</v>
      </c>
      <c r="AB78" s="43">
        <v>7</v>
      </c>
      <c r="AC78" s="43">
        <v>18</v>
      </c>
      <c r="AD78" s="44">
        <v>9</v>
      </c>
      <c r="AE78" s="44">
        <v>4</v>
      </c>
      <c r="AF78" s="43">
        <v>0</v>
      </c>
      <c r="AG78" s="43">
        <v>0</v>
      </c>
      <c r="AH78" s="43">
        <v>2</v>
      </c>
      <c r="AI78" s="43">
        <v>2</v>
      </c>
    </row>
    <row r="79" spans="1:35" x14ac:dyDescent="0.35">
      <c r="A79" s="58"/>
      <c r="B79" s="134" t="s">
        <v>66</v>
      </c>
      <c r="C79" s="63"/>
      <c r="D79" s="58"/>
      <c r="E79" s="43"/>
      <c r="F79" s="43"/>
      <c r="G79" s="43"/>
      <c r="H79" s="44"/>
      <c r="I79" s="43"/>
      <c r="J79" s="43"/>
      <c r="K79" s="43"/>
      <c r="L79" s="44"/>
      <c r="M79" s="44"/>
      <c r="N79" s="43"/>
      <c r="O79" s="43"/>
      <c r="P79" s="44"/>
      <c r="Q79" s="44"/>
      <c r="R79" s="43"/>
      <c r="S79" s="44"/>
      <c r="T79" s="44"/>
      <c r="U79" s="43"/>
      <c r="V79" s="43"/>
      <c r="W79" s="43"/>
      <c r="X79" s="43"/>
      <c r="Y79" s="44"/>
      <c r="Z79" s="43"/>
      <c r="AA79" s="43"/>
      <c r="AB79" s="43"/>
      <c r="AC79" s="43"/>
      <c r="AD79" s="44"/>
      <c r="AE79" s="44"/>
      <c r="AF79" s="43"/>
      <c r="AG79" s="43"/>
      <c r="AH79" s="43"/>
      <c r="AI79" s="43"/>
    </row>
    <row r="80" spans="1:35" x14ac:dyDescent="0.35">
      <c r="A80" s="58"/>
      <c r="B80" s="56" t="s">
        <v>63</v>
      </c>
      <c r="C80" s="63"/>
      <c r="D80" s="89" t="s">
        <v>66</v>
      </c>
      <c r="E80" s="43">
        <v>0</v>
      </c>
      <c r="F80" s="43">
        <v>0</v>
      </c>
      <c r="G80" s="138">
        <v>5</v>
      </c>
      <c r="H80" s="44">
        <v>14</v>
      </c>
      <c r="I80" s="43">
        <v>8</v>
      </c>
      <c r="J80" s="43">
        <v>3</v>
      </c>
      <c r="K80" s="43">
        <v>0</v>
      </c>
      <c r="L80" s="44">
        <v>33</v>
      </c>
      <c r="M80" s="44">
        <v>37</v>
      </c>
      <c r="N80" s="43">
        <v>41</v>
      </c>
      <c r="O80" s="43">
        <v>8</v>
      </c>
      <c r="P80" s="44">
        <v>14</v>
      </c>
      <c r="Q80" s="44">
        <v>13</v>
      </c>
      <c r="R80" s="43">
        <v>0</v>
      </c>
      <c r="S80" s="44">
        <v>37</v>
      </c>
      <c r="T80" s="44"/>
      <c r="U80" s="43">
        <v>20</v>
      </c>
      <c r="V80" s="43">
        <v>23</v>
      </c>
      <c r="W80" s="43">
        <v>21</v>
      </c>
      <c r="X80" s="43">
        <v>38</v>
      </c>
      <c r="Y80" s="44">
        <v>25</v>
      </c>
      <c r="Z80" s="43">
        <v>35</v>
      </c>
      <c r="AA80" s="142">
        <v>6</v>
      </c>
      <c r="AB80" s="43">
        <v>28</v>
      </c>
      <c r="AC80" s="43">
        <v>45</v>
      </c>
      <c r="AD80" s="44">
        <v>15</v>
      </c>
      <c r="AE80" s="44">
        <v>19</v>
      </c>
      <c r="AF80" s="138">
        <v>0</v>
      </c>
      <c r="AG80" s="138">
        <v>51</v>
      </c>
      <c r="AH80" s="138">
        <v>0</v>
      </c>
      <c r="AI80" s="43">
        <v>22</v>
      </c>
    </row>
    <row r="81" spans="1:35" x14ac:dyDescent="0.35">
      <c r="A81" s="58"/>
      <c r="B81" s="56" t="s">
        <v>65</v>
      </c>
      <c r="C81" s="63"/>
      <c r="D81" s="89" t="s">
        <v>66</v>
      </c>
      <c r="E81" s="143">
        <v>0</v>
      </c>
      <c r="F81" s="143">
        <v>0</v>
      </c>
      <c r="G81" s="138">
        <v>8</v>
      </c>
      <c r="H81" s="139">
        <v>12</v>
      </c>
      <c r="I81" s="138">
        <v>6</v>
      </c>
      <c r="J81" s="43">
        <v>12</v>
      </c>
      <c r="K81" s="43">
        <v>0</v>
      </c>
      <c r="L81" s="44">
        <v>0</v>
      </c>
      <c r="M81" s="44">
        <v>0</v>
      </c>
      <c r="N81" s="43">
        <v>0</v>
      </c>
      <c r="O81" s="43">
        <v>7</v>
      </c>
      <c r="P81" s="44">
        <v>7</v>
      </c>
      <c r="Q81" s="44">
        <v>10</v>
      </c>
      <c r="R81" s="43"/>
      <c r="S81" s="44"/>
      <c r="T81" s="44"/>
      <c r="U81" s="43">
        <v>17</v>
      </c>
      <c r="V81" s="43">
        <v>11</v>
      </c>
      <c r="W81" s="43">
        <v>15</v>
      </c>
      <c r="X81" s="43">
        <v>17</v>
      </c>
      <c r="Y81" s="44">
        <v>10</v>
      </c>
      <c r="Z81" s="43"/>
      <c r="AA81" s="142">
        <v>5</v>
      </c>
      <c r="AB81" s="43">
        <v>35</v>
      </c>
      <c r="AC81" s="43">
        <v>29</v>
      </c>
      <c r="AD81" s="44">
        <v>21</v>
      </c>
      <c r="AE81" s="44">
        <v>14</v>
      </c>
      <c r="AF81" s="144">
        <v>0</v>
      </c>
      <c r="AG81" s="138">
        <v>0</v>
      </c>
      <c r="AH81" s="138">
        <v>6</v>
      </c>
      <c r="AI81" s="43">
        <v>20</v>
      </c>
    </row>
    <row r="82" spans="1:35" x14ac:dyDescent="0.35">
      <c r="A82" s="37"/>
      <c r="B82" s="11" t="s">
        <v>72</v>
      </c>
      <c r="C82" s="35"/>
      <c r="D82" s="35"/>
      <c r="E82" s="36"/>
      <c r="F82" s="36"/>
      <c r="G82" s="36"/>
      <c r="H82" s="36"/>
      <c r="I82" s="36"/>
      <c r="J82" s="36"/>
      <c r="K82" s="36"/>
      <c r="L82" s="36"/>
      <c r="M82" s="36"/>
      <c r="N82" s="36"/>
      <c r="O82" s="36"/>
      <c r="P82" s="36"/>
      <c r="Q82" s="36"/>
      <c r="R82" s="36"/>
      <c r="S82" s="36"/>
      <c r="T82" s="36"/>
      <c r="U82" s="36"/>
      <c r="V82" s="36"/>
      <c r="W82" s="36"/>
      <c r="X82" s="36"/>
      <c r="Y82" s="36"/>
      <c r="Z82" s="36"/>
      <c r="AA82" s="36"/>
      <c r="AB82" s="15"/>
      <c r="AC82" s="36"/>
      <c r="AD82" s="36"/>
      <c r="AE82" s="36"/>
      <c r="AF82" s="36"/>
      <c r="AG82" s="15"/>
      <c r="AH82" s="15"/>
      <c r="AI82" s="15"/>
    </row>
    <row r="83" spans="1:35" x14ac:dyDescent="0.35">
      <c r="A83" s="58"/>
      <c r="B83" s="134" t="s">
        <v>62</v>
      </c>
      <c r="C83" s="63"/>
      <c r="D83" s="58"/>
      <c r="E83" s="43"/>
      <c r="F83" s="43"/>
      <c r="G83" s="43"/>
      <c r="H83" s="44"/>
      <c r="I83" s="43"/>
      <c r="J83" s="43"/>
      <c r="K83" s="43"/>
      <c r="L83" s="44"/>
      <c r="M83" s="44"/>
      <c r="N83" s="43"/>
      <c r="O83" s="43"/>
      <c r="P83" s="44"/>
      <c r="Q83" s="44"/>
      <c r="R83" s="43"/>
      <c r="S83" s="44"/>
      <c r="T83" s="44"/>
      <c r="U83" s="43"/>
      <c r="V83" s="43"/>
      <c r="W83" s="43"/>
      <c r="X83" s="43"/>
      <c r="Y83" s="44"/>
      <c r="Z83" s="43"/>
      <c r="AA83" s="43"/>
      <c r="AB83" s="43"/>
      <c r="AC83" s="43"/>
      <c r="AD83" s="44"/>
      <c r="AE83" s="44"/>
      <c r="AF83" s="43"/>
      <c r="AG83" s="43"/>
      <c r="AH83" s="43"/>
      <c r="AI83" s="43"/>
    </row>
    <row r="84" spans="1:35" x14ac:dyDescent="0.35">
      <c r="A84" s="58"/>
      <c r="B84" s="56" t="s">
        <v>63</v>
      </c>
      <c r="C84" s="57">
        <v>0.3</v>
      </c>
      <c r="D84" s="89" t="s">
        <v>10</v>
      </c>
      <c r="E84" s="86" t="e">
        <f t="shared" ref="E84:AI85" si="34">E77/E68*100</f>
        <v>#DIV/0!</v>
      </c>
      <c r="F84" s="86" t="e">
        <f t="shared" si="34"/>
        <v>#DIV/0!</v>
      </c>
      <c r="G84" s="86">
        <f t="shared" si="34"/>
        <v>0.17755681818181818</v>
      </c>
      <c r="H84" s="87">
        <f t="shared" si="34"/>
        <v>0.14084507042253522</v>
      </c>
      <c r="I84" s="86">
        <f t="shared" si="34"/>
        <v>8.4483244156575613E-2</v>
      </c>
      <c r="J84" s="86">
        <f t="shared" si="34"/>
        <v>0</v>
      </c>
      <c r="K84" s="86" t="e">
        <f t="shared" si="34"/>
        <v>#DIV/0!</v>
      </c>
      <c r="L84" s="87">
        <f t="shared" si="34"/>
        <v>0.1272264631043257</v>
      </c>
      <c r="M84" s="87">
        <f t="shared" si="34"/>
        <v>6.381620931716657E-2</v>
      </c>
      <c r="N84" s="86">
        <f t="shared" si="34"/>
        <v>0.15490775947049712</v>
      </c>
      <c r="O84" s="86">
        <f t="shared" si="34"/>
        <v>8.4507042253521125E-2</v>
      </c>
      <c r="P84" s="87">
        <f t="shared" si="34"/>
        <v>5.6338028169014086E-2</v>
      </c>
      <c r="Q84" s="87">
        <f t="shared" si="34"/>
        <v>0</v>
      </c>
      <c r="R84" s="86" t="e">
        <f t="shared" si="34"/>
        <v>#DIV/0!</v>
      </c>
      <c r="S84" s="87">
        <f t="shared" si="34"/>
        <v>5.6338028169014086E-2</v>
      </c>
      <c r="T84" s="87" t="e">
        <f t="shared" si="34"/>
        <v>#DIV/0!</v>
      </c>
      <c r="U84" s="86">
        <f t="shared" si="34"/>
        <v>5.6338028169014086E-2</v>
      </c>
      <c r="V84" s="86">
        <f t="shared" si="34"/>
        <v>0.19718309859154928</v>
      </c>
      <c r="W84" s="86">
        <f t="shared" si="34"/>
        <v>8.6033839977057644E-2</v>
      </c>
      <c r="X84" s="86">
        <f t="shared" si="34"/>
        <v>0.11360408974723089</v>
      </c>
      <c r="Y84" s="87">
        <f t="shared" si="34"/>
        <v>0.23350846468184472</v>
      </c>
      <c r="Z84" s="86">
        <f t="shared" si="34"/>
        <v>0.15490775947049712</v>
      </c>
      <c r="AA84" s="86">
        <f t="shared" si="34"/>
        <v>0.55319148936170215</v>
      </c>
      <c r="AB84" s="86">
        <f t="shared" si="34"/>
        <v>0.19718309859154928</v>
      </c>
      <c r="AC84" s="86">
        <f t="shared" si="34"/>
        <v>0.28169014084507044</v>
      </c>
      <c r="AD84" s="87">
        <f t="shared" si="34"/>
        <v>0.36619718309859156</v>
      </c>
      <c r="AE84" s="87">
        <f t="shared" si="34"/>
        <v>0.11267605633802817</v>
      </c>
      <c r="AF84" s="86" t="e">
        <f t="shared" si="34"/>
        <v>#DIV/0!</v>
      </c>
      <c r="AG84" s="86">
        <f t="shared" si="34"/>
        <v>7.0412617941135042E-2</v>
      </c>
      <c r="AH84" s="86" t="e">
        <f t="shared" si="34"/>
        <v>#DIV/0!</v>
      </c>
      <c r="AI84" s="86">
        <f t="shared" si="34"/>
        <v>0</v>
      </c>
    </row>
    <row r="85" spans="1:35" x14ac:dyDescent="0.35">
      <c r="A85" s="58"/>
      <c r="B85" s="56" t="s">
        <v>65</v>
      </c>
      <c r="C85" s="57">
        <v>0.3</v>
      </c>
      <c r="D85" s="89" t="s">
        <v>10</v>
      </c>
      <c r="E85" s="86" t="e">
        <f t="shared" si="34"/>
        <v>#DIV/0!</v>
      </c>
      <c r="F85" s="86" t="e">
        <f t="shared" si="34"/>
        <v>#DIV/0!</v>
      </c>
      <c r="G85" s="86">
        <f t="shared" si="34"/>
        <v>0.10651517841292384</v>
      </c>
      <c r="H85" s="87">
        <f t="shared" si="34"/>
        <v>0.12676056338028169</v>
      </c>
      <c r="I85" s="86">
        <f t="shared" si="34"/>
        <v>0.21126760563380279</v>
      </c>
      <c r="J85" s="86">
        <f t="shared" si="34"/>
        <v>0.10241404535479151</v>
      </c>
      <c r="K85" s="86" t="e">
        <f t="shared" si="34"/>
        <v>#DIV/0!</v>
      </c>
      <c r="L85" s="87" t="e">
        <f t="shared" si="34"/>
        <v>#DIV/0!</v>
      </c>
      <c r="M85" s="87" t="e">
        <f t="shared" si="34"/>
        <v>#DIV/0!</v>
      </c>
      <c r="N85" s="86" t="e">
        <f t="shared" si="34"/>
        <v>#DIV/0!</v>
      </c>
      <c r="O85" s="86">
        <f t="shared" si="34"/>
        <v>0.11264432554210081</v>
      </c>
      <c r="P85" s="87">
        <f t="shared" si="34"/>
        <v>9.8549908489370674E-2</v>
      </c>
      <c r="Q85" s="87">
        <f t="shared" si="34"/>
        <v>0</v>
      </c>
      <c r="R85" s="86" t="e">
        <f t="shared" si="34"/>
        <v>#DIV/0!</v>
      </c>
      <c r="S85" s="87" t="e">
        <f t="shared" si="34"/>
        <v>#DIV/0!</v>
      </c>
      <c r="T85" s="87" t="e">
        <f t="shared" si="34"/>
        <v>#DIV/0!</v>
      </c>
      <c r="U85" s="86">
        <f t="shared" si="34"/>
        <v>7.0382882882882886E-2</v>
      </c>
      <c r="V85" s="86">
        <f t="shared" si="34"/>
        <v>2.8169014084507043E-2</v>
      </c>
      <c r="W85" s="86">
        <f t="shared" si="34"/>
        <v>9.8591549295774641E-2</v>
      </c>
      <c r="X85" s="86">
        <f t="shared" si="34"/>
        <v>2.8169014084507043E-2</v>
      </c>
      <c r="Y85" s="87">
        <f t="shared" si="34"/>
        <v>0.13136768354984674</v>
      </c>
      <c r="Z85" s="86" t="e">
        <f t="shared" si="34"/>
        <v>#DIV/0!</v>
      </c>
      <c r="AA85" s="86">
        <f t="shared" si="34"/>
        <v>0.23394300297745638</v>
      </c>
      <c r="AB85" s="86">
        <f t="shared" si="34"/>
        <v>0.11846336097478423</v>
      </c>
      <c r="AC85" s="86">
        <f t="shared" si="34"/>
        <v>0.25348542458808615</v>
      </c>
      <c r="AD85" s="87">
        <f t="shared" si="34"/>
        <v>0.12672486623486343</v>
      </c>
      <c r="AE85" s="87">
        <f t="shared" si="34"/>
        <v>5.7971014492753624E-2</v>
      </c>
      <c r="AF85" s="86" t="e">
        <f t="shared" si="34"/>
        <v>#DIV/0!</v>
      </c>
      <c r="AG85" s="86" t="e">
        <f t="shared" si="34"/>
        <v>#DIV/0!</v>
      </c>
      <c r="AH85" s="86">
        <f t="shared" si="34"/>
        <v>4.4444444444444446E-2</v>
      </c>
      <c r="AI85" s="86">
        <f t="shared" si="34"/>
        <v>2.8161081385525203E-2</v>
      </c>
    </row>
    <row r="86" spans="1:35" x14ac:dyDescent="0.35">
      <c r="A86" s="58"/>
      <c r="B86" s="134" t="s">
        <v>66</v>
      </c>
      <c r="C86" s="57"/>
      <c r="D86" s="58"/>
      <c r="E86" s="86"/>
      <c r="F86" s="86"/>
      <c r="G86" s="86"/>
      <c r="H86" s="87"/>
      <c r="I86" s="86"/>
      <c r="J86" s="86"/>
      <c r="K86" s="86"/>
      <c r="L86" s="87"/>
      <c r="M86" s="87"/>
      <c r="N86" s="86"/>
      <c r="O86" s="86"/>
      <c r="P86" s="87"/>
      <c r="Q86" s="87"/>
      <c r="R86" s="86"/>
      <c r="S86" s="87"/>
      <c r="T86" s="87"/>
      <c r="U86" s="86"/>
      <c r="V86" s="86"/>
      <c r="W86" s="86"/>
      <c r="X86" s="86"/>
      <c r="Y86" s="87"/>
      <c r="Z86" s="86"/>
      <c r="AA86" s="86"/>
      <c r="AB86" s="86"/>
      <c r="AC86" s="86"/>
      <c r="AD86" s="87"/>
      <c r="AE86" s="87"/>
      <c r="AF86" s="86"/>
      <c r="AG86" s="86"/>
      <c r="AH86" s="86"/>
      <c r="AI86" s="86"/>
    </row>
    <row r="87" spans="1:35" x14ac:dyDescent="0.35">
      <c r="A87" s="58"/>
      <c r="B87" s="56" t="s">
        <v>63</v>
      </c>
      <c r="C87" s="57">
        <v>0.5</v>
      </c>
      <c r="D87" s="89" t="s">
        <v>10</v>
      </c>
      <c r="E87" s="86" t="e">
        <f t="shared" ref="E87:AI88" si="35">E80/E71*100</f>
        <v>#DIV/0!</v>
      </c>
      <c r="F87" s="86" t="e">
        <f t="shared" si="35"/>
        <v>#DIV/0!</v>
      </c>
      <c r="G87" s="86">
        <f t="shared" si="35"/>
        <v>1.4796401515151516E-2</v>
      </c>
      <c r="H87" s="87">
        <f t="shared" si="35"/>
        <v>3.2863849765258211E-2</v>
      </c>
      <c r="I87" s="86">
        <f t="shared" si="35"/>
        <v>1.8774054257016802E-2</v>
      </c>
      <c r="J87" s="86">
        <f t="shared" si="35"/>
        <v>7.0382882882882884E-3</v>
      </c>
      <c r="K87" s="86" t="e">
        <f t="shared" si="35"/>
        <v>#DIV/0!</v>
      </c>
      <c r="L87" s="87">
        <f t="shared" si="35"/>
        <v>3.8874752615210631E-2</v>
      </c>
      <c r="M87" s="87">
        <f t="shared" si="35"/>
        <v>6.5588881798198967E-2</v>
      </c>
      <c r="N87" s="86">
        <f t="shared" si="35"/>
        <v>4.8115288926442283E-2</v>
      </c>
      <c r="O87" s="86">
        <f t="shared" si="35"/>
        <v>1.8779342723004695E-2</v>
      </c>
      <c r="P87" s="87">
        <f t="shared" si="35"/>
        <v>3.2863849765258211E-2</v>
      </c>
      <c r="Q87" s="87">
        <f t="shared" si="35"/>
        <v>3.1032177981476176E-2</v>
      </c>
      <c r="R87" s="86" t="e">
        <f t="shared" si="35"/>
        <v>#DIV/0!</v>
      </c>
      <c r="S87" s="87">
        <f t="shared" si="35"/>
        <v>4.3427230046948359E-2</v>
      </c>
      <c r="T87" s="87" t="e">
        <f t="shared" si="35"/>
        <v>#DIV/0!</v>
      </c>
      <c r="U87" s="86">
        <f t="shared" si="35"/>
        <v>4.6948356807511735E-2</v>
      </c>
      <c r="V87" s="86">
        <f t="shared" si="35"/>
        <v>5.39906103286385E-2</v>
      </c>
      <c r="W87" s="86">
        <f t="shared" si="35"/>
        <v>5.0186406653283631E-2</v>
      </c>
      <c r="X87" s="86">
        <f t="shared" si="35"/>
        <v>8.9936571049891126E-2</v>
      </c>
      <c r="Y87" s="87">
        <f t="shared" si="35"/>
        <v>6.0809496010897066E-2</v>
      </c>
      <c r="Z87" s="86">
        <f t="shared" si="35"/>
        <v>4.1074027132328786E-2</v>
      </c>
      <c r="AA87" s="86">
        <f t="shared" si="35"/>
        <v>2.1276595744680851E-2</v>
      </c>
      <c r="AB87" s="86">
        <f t="shared" si="35"/>
        <v>6.5727699530516423E-2</v>
      </c>
      <c r="AC87" s="86">
        <f t="shared" si="35"/>
        <v>0.10563380281690139</v>
      </c>
      <c r="AD87" s="87">
        <f t="shared" si="35"/>
        <v>3.5211267605633804E-2</v>
      </c>
      <c r="AE87" s="87">
        <f t="shared" si="35"/>
        <v>4.4600938967136149E-2</v>
      </c>
      <c r="AF87" s="86" t="e">
        <f t="shared" si="35"/>
        <v>#DIV/0!</v>
      </c>
      <c r="AG87" s="86">
        <f t="shared" si="35"/>
        <v>5.9850725249964792E-2</v>
      </c>
      <c r="AH87" s="86" t="e">
        <f t="shared" si="35"/>
        <v>#DIV/0!</v>
      </c>
      <c r="AI87" s="86">
        <f t="shared" si="35"/>
        <v>5.2068541134147502E-2</v>
      </c>
    </row>
    <row r="88" spans="1:35" x14ac:dyDescent="0.35">
      <c r="A88" s="58"/>
      <c r="B88" s="56" t="s">
        <v>65</v>
      </c>
      <c r="C88" s="57">
        <v>0.5</v>
      </c>
      <c r="D88" s="89" t="s">
        <v>10</v>
      </c>
      <c r="E88" s="86" t="e">
        <f t="shared" si="35"/>
        <v>#DIV/0!</v>
      </c>
      <c r="F88" s="86" t="e">
        <f t="shared" si="35"/>
        <v>#DIV/0!</v>
      </c>
      <c r="G88" s="86" t="e">
        <f t="shared" si="35"/>
        <v>#DIV/0!</v>
      </c>
      <c r="H88" s="87">
        <f t="shared" si="35"/>
        <v>2.8169014084507043E-2</v>
      </c>
      <c r="I88" s="86">
        <f t="shared" si="35"/>
        <v>1.4084507042253521E-2</v>
      </c>
      <c r="J88" s="86">
        <f t="shared" si="35"/>
        <v>2.9261155815654721E-2</v>
      </c>
      <c r="K88" s="86" t="e">
        <f t="shared" si="35"/>
        <v>#DIV/0!</v>
      </c>
      <c r="L88" s="87" t="e">
        <f t="shared" si="35"/>
        <v>#DIV/0!</v>
      </c>
      <c r="M88" s="87" t="e">
        <f t="shared" si="35"/>
        <v>#DIV/0!</v>
      </c>
      <c r="N88" s="86" t="e">
        <f t="shared" si="35"/>
        <v>#DIV/0!</v>
      </c>
      <c r="O88" s="86">
        <f t="shared" si="35"/>
        <v>1.6427297474889701E-2</v>
      </c>
      <c r="P88" s="87">
        <f t="shared" si="35"/>
        <v>1.6424984748228448E-2</v>
      </c>
      <c r="Q88" s="87">
        <f t="shared" si="35"/>
        <v>2.3457658925639221E-2</v>
      </c>
      <c r="R88" s="86" t="e">
        <f t="shared" si="35"/>
        <v>#DIV/0!</v>
      </c>
      <c r="S88" s="87" t="e">
        <f t="shared" si="35"/>
        <v>#DIV/0!</v>
      </c>
      <c r="T88" s="87" t="e">
        <f t="shared" si="35"/>
        <v>#DIV/0!</v>
      </c>
      <c r="U88" s="86">
        <f t="shared" si="35"/>
        <v>3.9883633633633633E-2</v>
      </c>
      <c r="V88" s="86">
        <f t="shared" si="35"/>
        <v>2.5821596244131453E-2</v>
      </c>
      <c r="W88" s="86">
        <f t="shared" si="35"/>
        <v>3.5211267605633804E-2</v>
      </c>
      <c r="X88" s="86">
        <f t="shared" si="35"/>
        <v>3.9906103286384977E-2</v>
      </c>
      <c r="Y88" s="87">
        <f t="shared" si="35"/>
        <v>2.4327348805527175E-2</v>
      </c>
      <c r="Z88" s="86" t="e">
        <f t="shared" si="35"/>
        <v>#DIV/0!</v>
      </c>
      <c r="AA88" s="86">
        <f t="shared" si="35"/>
        <v>1.7722954771019424E-2</v>
      </c>
      <c r="AB88" s="86">
        <f t="shared" si="35"/>
        <v>9.8719467478986855E-2</v>
      </c>
      <c r="AC88" s="86">
        <f t="shared" si="35"/>
        <v>6.806553067643055E-2</v>
      </c>
      <c r="AD88" s="87">
        <f t="shared" si="35"/>
        <v>4.9281892424669113E-2</v>
      </c>
      <c r="AE88" s="87">
        <f t="shared" si="35"/>
        <v>3.3816425120772951E-2</v>
      </c>
      <c r="AF88" s="86" t="e">
        <f t="shared" si="35"/>
        <v>#DIV/0!</v>
      </c>
      <c r="AG88" s="86" t="e">
        <f t="shared" si="35"/>
        <v>#DIV/0!</v>
      </c>
      <c r="AH88" s="86">
        <f t="shared" si="35"/>
        <v>2.2222222222222223E-2</v>
      </c>
      <c r="AI88" s="86">
        <f t="shared" si="35"/>
        <v>4.6935135642542009E-2</v>
      </c>
    </row>
    <row r="89" spans="1:35" x14ac:dyDescent="0.35">
      <c r="A89" s="34">
        <v>6</v>
      </c>
      <c r="B89" s="11" t="s">
        <v>73</v>
      </c>
      <c r="C89" s="35"/>
      <c r="D89" s="35"/>
      <c r="E89" s="36"/>
      <c r="F89" s="36"/>
      <c r="G89" s="36"/>
      <c r="H89" s="36"/>
      <c r="I89" s="36"/>
      <c r="J89" s="36"/>
      <c r="K89" s="36"/>
      <c r="L89" s="36"/>
      <c r="M89" s="36"/>
      <c r="N89" s="36"/>
      <c r="O89" s="36"/>
      <c r="P89" s="36"/>
      <c r="Q89" s="36"/>
      <c r="R89" s="36"/>
      <c r="S89" s="36"/>
      <c r="T89" s="36"/>
      <c r="U89" s="36"/>
      <c r="V89" s="36"/>
      <c r="W89" s="36"/>
      <c r="X89" s="36"/>
      <c r="Y89" s="36"/>
      <c r="Z89" s="36"/>
      <c r="AA89" s="36"/>
      <c r="AB89" s="15"/>
      <c r="AC89" s="36"/>
      <c r="AD89" s="36"/>
      <c r="AE89" s="36"/>
      <c r="AF89" s="36"/>
      <c r="AG89" s="15"/>
      <c r="AH89" s="15"/>
      <c r="AI89" s="15"/>
    </row>
    <row r="90" spans="1:35" x14ac:dyDescent="0.35">
      <c r="A90" s="58"/>
      <c r="B90" s="126" t="s">
        <v>58</v>
      </c>
      <c r="C90" s="127"/>
      <c r="D90" s="128" t="s">
        <v>7</v>
      </c>
      <c r="E90" s="145">
        <v>0</v>
      </c>
      <c r="F90" s="145">
        <v>0</v>
      </c>
      <c r="G90" s="145">
        <v>0</v>
      </c>
      <c r="H90" s="146">
        <v>0</v>
      </c>
      <c r="I90" s="145">
        <v>0</v>
      </c>
      <c r="J90" s="145">
        <v>0</v>
      </c>
      <c r="K90" s="145">
        <v>111604.605</v>
      </c>
      <c r="L90" s="146">
        <v>0</v>
      </c>
      <c r="M90" s="146">
        <v>0</v>
      </c>
      <c r="N90" s="145">
        <v>0</v>
      </c>
      <c r="O90" s="145">
        <v>0</v>
      </c>
      <c r="P90" s="146">
        <v>0</v>
      </c>
      <c r="Q90" s="146">
        <v>0</v>
      </c>
      <c r="R90" s="145">
        <v>111605.515</v>
      </c>
      <c r="S90" s="146">
        <v>0</v>
      </c>
      <c r="T90" s="146">
        <v>0</v>
      </c>
      <c r="U90" s="145">
        <v>0</v>
      </c>
      <c r="V90" s="145">
        <v>0</v>
      </c>
      <c r="W90" s="145">
        <v>0</v>
      </c>
      <c r="X90" s="145">
        <v>0</v>
      </c>
      <c r="Y90" s="146">
        <v>0</v>
      </c>
      <c r="Z90" s="145">
        <v>0</v>
      </c>
      <c r="AA90" s="145">
        <v>0</v>
      </c>
      <c r="AB90" s="145">
        <v>0</v>
      </c>
      <c r="AC90" s="145">
        <v>0</v>
      </c>
      <c r="AD90" s="146">
        <v>0</v>
      </c>
      <c r="AE90" s="146">
        <v>2172</v>
      </c>
      <c r="AF90" s="145">
        <v>112430.875</v>
      </c>
      <c r="AG90" s="145">
        <v>0</v>
      </c>
      <c r="AH90" s="145">
        <v>27699.344999999998</v>
      </c>
      <c r="AI90" s="145">
        <v>0</v>
      </c>
    </row>
    <row r="91" spans="1:35" x14ac:dyDescent="0.35">
      <c r="A91" s="58"/>
      <c r="B91" s="134" t="s">
        <v>59</v>
      </c>
      <c r="C91" s="63"/>
      <c r="D91" s="89" t="s">
        <v>7</v>
      </c>
      <c r="E91" s="86">
        <f t="shared" ref="E91:AI91" si="36">SUM(E94:E95)*10.86</f>
        <v>0</v>
      </c>
      <c r="F91" s="86">
        <f t="shared" si="36"/>
        <v>0</v>
      </c>
      <c r="G91" s="86">
        <f t="shared" si="36"/>
        <v>0</v>
      </c>
      <c r="H91" s="87">
        <f t="shared" si="36"/>
        <v>0</v>
      </c>
      <c r="I91" s="86">
        <f t="shared" si="36"/>
        <v>0</v>
      </c>
      <c r="J91" s="86">
        <f t="shared" si="36"/>
        <v>0</v>
      </c>
      <c r="K91" s="86">
        <f t="shared" si="36"/>
        <v>111597.36</v>
      </c>
      <c r="L91" s="87">
        <f t="shared" si="36"/>
        <v>0</v>
      </c>
      <c r="M91" s="87">
        <f t="shared" si="36"/>
        <v>0</v>
      </c>
      <c r="N91" s="86">
        <f t="shared" si="36"/>
        <v>0</v>
      </c>
      <c r="O91" s="86">
        <f t="shared" si="36"/>
        <v>0</v>
      </c>
      <c r="P91" s="87">
        <f>SUM(P94:P95)*10.86</f>
        <v>0</v>
      </c>
      <c r="Q91" s="87">
        <f t="shared" si="36"/>
        <v>0</v>
      </c>
      <c r="R91" s="86">
        <f t="shared" si="36"/>
        <v>111597.36</v>
      </c>
      <c r="S91" s="87">
        <f t="shared" si="36"/>
        <v>0</v>
      </c>
      <c r="T91" s="87">
        <f t="shared" si="36"/>
        <v>0</v>
      </c>
      <c r="U91" s="86">
        <f t="shared" si="36"/>
        <v>0</v>
      </c>
      <c r="V91" s="86">
        <f t="shared" si="36"/>
        <v>0</v>
      </c>
      <c r="W91" s="86">
        <f t="shared" si="36"/>
        <v>0</v>
      </c>
      <c r="X91" s="86">
        <f t="shared" si="36"/>
        <v>0</v>
      </c>
      <c r="Y91" s="87">
        <f t="shared" si="36"/>
        <v>0</v>
      </c>
      <c r="Z91" s="86">
        <f t="shared" si="36"/>
        <v>0</v>
      </c>
      <c r="AA91" s="86">
        <f t="shared" si="36"/>
        <v>0</v>
      </c>
      <c r="AB91" s="86">
        <f t="shared" si="36"/>
        <v>0</v>
      </c>
      <c r="AC91" s="86">
        <f t="shared" si="36"/>
        <v>0</v>
      </c>
      <c r="AD91" s="87">
        <f t="shared" si="36"/>
        <v>0</v>
      </c>
      <c r="AE91" s="87">
        <f t="shared" si="36"/>
        <v>2172</v>
      </c>
      <c r="AF91" s="86">
        <f t="shared" si="36"/>
        <v>112422.72</v>
      </c>
      <c r="AG91" s="86">
        <f t="shared" si="36"/>
        <v>0</v>
      </c>
      <c r="AH91" s="86">
        <f>SUM(AH94:AH95)*10.86</f>
        <v>27693</v>
      </c>
      <c r="AI91" s="86">
        <f t="shared" si="36"/>
        <v>0</v>
      </c>
    </row>
    <row r="92" spans="1:35" x14ac:dyDescent="0.35">
      <c r="A92" s="58"/>
      <c r="B92" s="134" t="s">
        <v>60</v>
      </c>
      <c r="C92" s="63"/>
      <c r="D92" s="89" t="s">
        <v>7</v>
      </c>
      <c r="E92" s="86">
        <f t="shared" ref="E92:AI92" si="37">E90-E91</f>
        <v>0</v>
      </c>
      <c r="F92" s="86">
        <f t="shared" si="37"/>
        <v>0</v>
      </c>
      <c r="G92" s="86">
        <f t="shared" si="37"/>
        <v>0</v>
      </c>
      <c r="H92" s="87">
        <f t="shared" si="37"/>
        <v>0</v>
      </c>
      <c r="I92" s="86">
        <f t="shared" si="37"/>
        <v>0</v>
      </c>
      <c r="J92" s="86">
        <f t="shared" si="37"/>
        <v>0</v>
      </c>
      <c r="K92" s="86">
        <f t="shared" si="37"/>
        <v>7.2449999999953434</v>
      </c>
      <c r="L92" s="87">
        <f t="shared" si="37"/>
        <v>0</v>
      </c>
      <c r="M92" s="87">
        <f t="shared" si="37"/>
        <v>0</v>
      </c>
      <c r="N92" s="86">
        <f t="shared" si="37"/>
        <v>0</v>
      </c>
      <c r="O92" s="86">
        <f t="shared" si="37"/>
        <v>0</v>
      </c>
      <c r="P92" s="87">
        <f t="shared" si="37"/>
        <v>0</v>
      </c>
      <c r="Q92" s="87">
        <f t="shared" si="37"/>
        <v>0</v>
      </c>
      <c r="R92" s="86">
        <f t="shared" si="37"/>
        <v>8.1549999999988358</v>
      </c>
      <c r="S92" s="87">
        <f t="shared" si="37"/>
        <v>0</v>
      </c>
      <c r="T92" s="87">
        <f t="shared" si="37"/>
        <v>0</v>
      </c>
      <c r="U92" s="86">
        <f t="shared" si="37"/>
        <v>0</v>
      </c>
      <c r="V92" s="86">
        <f t="shared" si="37"/>
        <v>0</v>
      </c>
      <c r="W92" s="86">
        <f t="shared" si="37"/>
        <v>0</v>
      </c>
      <c r="X92" s="86">
        <f t="shared" si="37"/>
        <v>0</v>
      </c>
      <c r="Y92" s="87">
        <f t="shared" si="37"/>
        <v>0</v>
      </c>
      <c r="Z92" s="86">
        <f t="shared" si="37"/>
        <v>0</v>
      </c>
      <c r="AA92" s="86">
        <f t="shared" si="37"/>
        <v>0</v>
      </c>
      <c r="AB92" s="86">
        <f t="shared" si="37"/>
        <v>0</v>
      </c>
      <c r="AC92" s="86">
        <f t="shared" si="37"/>
        <v>0</v>
      </c>
      <c r="AD92" s="87">
        <f t="shared" si="37"/>
        <v>0</v>
      </c>
      <c r="AE92" s="87">
        <f t="shared" si="37"/>
        <v>0</v>
      </c>
      <c r="AF92" s="86">
        <f t="shared" si="37"/>
        <v>8.1549999999988358</v>
      </c>
      <c r="AG92" s="86">
        <f t="shared" si="37"/>
        <v>0</v>
      </c>
      <c r="AH92" s="86">
        <f t="shared" si="37"/>
        <v>6.3449999999975262</v>
      </c>
      <c r="AI92" s="86">
        <f t="shared" si="37"/>
        <v>0</v>
      </c>
    </row>
    <row r="93" spans="1:35" x14ac:dyDescent="0.35">
      <c r="A93" s="58"/>
      <c r="B93" s="134" t="s">
        <v>62</v>
      </c>
      <c r="C93" s="63"/>
      <c r="D93" s="58"/>
      <c r="E93" s="43"/>
      <c r="F93" s="43"/>
      <c r="G93" s="43"/>
      <c r="H93" s="44"/>
      <c r="I93" s="43"/>
      <c r="J93" s="43"/>
      <c r="K93" s="43"/>
      <c r="L93" s="44"/>
      <c r="M93" s="44"/>
      <c r="N93" s="43"/>
      <c r="O93" s="43"/>
      <c r="P93" s="44"/>
      <c r="Q93" s="44"/>
      <c r="R93" s="43"/>
      <c r="S93" s="44"/>
      <c r="T93" s="44"/>
      <c r="U93" s="43"/>
      <c r="V93" s="43"/>
      <c r="W93" s="43"/>
      <c r="X93" s="43"/>
      <c r="Y93" s="44"/>
      <c r="Z93" s="43"/>
      <c r="AA93" s="43"/>
      <c r="AB93" s="43"/>
      <c r="AC93" s="43"/>
      <c r="AD93" s="44"/>
      <c r="AE93" s="44"/>
      <c r="AF93" s="43"/>
      <c r="AG93" s="43"/>
      <c r="AH93" s="43"/>
      <c r="AI93" s="43"/>
    </row>
    <row r="94" spans="1:35" x14ac:dyDescent="0.35">
      <c r="A94" s="18"/>
      <c r="B94" s="16" t="s">
        <v>74</v>
      </c>
      <c r="C94" s="17"/>
      <c r="D94" s="137" t="s">
        <v>64</v>
      </c>
      <c r="E94" s="138">
        <v>0</v>
      </c>
      <c r="F94" s="138">
        <v>0</v>
      </c>
      <c r="G94" s="138">
        <v>0</v>
      </c>
      <c r="H94" s="139">
        <v>0</v>
      </c>
      <c r="I94" s="138">
        <v>0</v>
      </c>
      <c r="J94" s="138">
        <v>0</v>
      </c>
      <c r="K94" s="138">
        <v>3426</v>
      </c>
      <c r="L94" s="139">
        <v>0</v>
      </c>
      <c r="M94" s="139">
        <v>0</v>
      </c>
      <c r="N94" s="138">
        <v>0</v>
      </c>
      <c r="O94" s="138">
        <v>0</v>
      </c>
      <c r="P94" s="139">
        <v>0</v>
      </c>
      <c r="Q94" s="139">
        <v>0</v>
      </c>
      <c r="R94" s="138">
        <v>3426</v>
      </c>
      <c r="S94" s="139">
        <v>0</v>
      </c>
      <c r="T94" s="139">
        <v>0</v>
      </c>
      <c r="U94" s="138">
        <v>0</v>
      </c>
      <c r="V94" s="138">
        <v>0</v>
      </c>
      <c r="W94" s="138">
        <v>0</v>
      </c>
      <c r="X94" s="138">
        <v>0</v>
      </c>
      <c r="Y94" s="139">
        <v>0</v>
      </c>
      <c r="Z94" s="138">
        <v>0</v>
      </c>
      <c r="AA94" s="138">
        <v>0</v>
      </c>
      <c r="AB94" s="138">
        <v>0</v>
      </c>
      <c r="AC94" s="138">
        <v>0</v>
      </c>
      <c r="AD94" s="139">
        <v>0</v>
      </c>
      <c r="AE94" s="139">
        <v>0</v>
      </c>
      <c r="AF94" s="138">
        <v>3760</v>
      </c>
      <c r="AG94" s="138">
        <v>0</v>
      </c>
      <c r="AH94" s="138">
        <v>2350</v>
      </c>
      <c r="AI94" s="138">
        <v>0</v>
      </c>
    </row>
    <row r="95" spans="1:35" x14ac:dyDescent="0.35">
      <c r="A95" s="18"/>
      <c r="B95" s="16" t="s">
        <v>75</v>
      </c>
      <c r="C95" s="17"/>
      <c r="D95" s="137" t="s">
        <v>64</v>
      </c>
      <c r="E95" s="138">
        <v>0</v>
      </c>
      <c r="F95" s="138">
        <v>0</v>
      </c>
      <c r="G95" s="138">
        <v>0</v>
      </c>
      <c r="H95" s="139">
        <v>0</v>
      </c>
      <c r="I95" s="138">
        <v>0</v>
      </c>
      <c r="J95" s="138">
        <v>0</v>
      </c>
      <c r="K95" s="138">
        <v>6850</v>
      </c>
      <c r="L95" s="139">
        <v>0</v>
      </c>
      <c r="M95" s="139">
        <v>0</v>
      </c>
      <c r="N95" s="138">
        <v>0</v>
      </c>
      <c r="O95" s="138">
        <v>0</v>
      </c>
      <c r="P95" s="139">
        <v>0</v>
      </c>
      <c r="Q95" s="139">
        <v>0</v>
      </c>
      <c r="R95" s="138">
        <v>6850</v>
      </c>
      <c r="S95" s="139">
        <v>0</v>
      </c>
      <c r="T95" s="139">
        <v>0</v>
      </c>
      <c r="U95" s="138">
        <v>0</v>
      </c>
      <c r="V95" s="138">
        <v>0</v>
      </c>
      <c r="W95" s="138">
        <v>0</v>
      </c>
      <c r="X95" s="138">
        <v>0</v>
      </c>
      <c r="Y95" s="139">
        <v>0</v>
      </c>
      <c r="Z95" s="138">
        <v>0</v>
      </c>
      <c r="AA95" s="138">
        <v>0</v>
      </c>
      <c r="AB95" s="138">
        <v>0</v>
      </c>
      <c r="AC95" s="138">
        <v>0</v>
      </c>
      <c r="AD95" s="139">
        <v>0</v>
      </c>
      <c r="AE95" s="139">
        <v>200</v>
      </c>
      <c r="AF95" s="138">
        <v>6592</v>
      </c>
      <c r="AG95" s="138">
        <v>0</v>
      </c>
      <c r="AH95" s="138">
        <v>200</v>
      </c>
      <c r="AI95" s="138">
        <v>0</v>
      </c>
    </row>
    <row r="96" spans="1:35" x14ac:dyDescent="0.35">
      <c r="A96" s="58"/>
      <c r="B96" s="134" t="s">
        <v>66</v>
      </c>
      <c r="C96" s="63"/>
      <c r="D96" s="58"/>
      <c r="E96" s="43"/>
      <c r="F96" s="43"/>
      <c r="G96" s="43"/>
      <c r="H96" s="44"/>
      <c r="I96" s="43"/>
      <c r="J96" s="43"/>
      <c r="K96" s="43"/>
      <c r="L96" s="44"/>
      <c r="M96" s="44"/>
      <c r="N96" s="43"/>
      <c r="O96" s="43"/>
      <c r="P96" s="44"/>
      <c r="Q96" s="44"/>
      <c r="R96" s="43"/>
      <c r="S96" s="44"/>
      <c r="T96" s="44"/>
      <c r="U96" s="43"/>
      <c r="V96" s="43"/>
      <c r="W96" s="43"/>
      <c r="X96" s="43"/>
      <c r="Y96" s="44"/>
      <c r="Z96" s="43"/>
      <c r="AA96" s="43"/>
      <c r="AB96" s="43"/>
      <c r="AC96" s="43"/>
      <c r="AD96" s="44"/>
      <c r="AE96" s="44"/>
      <c r="AF96" s="43"/>
      <c r="AG96" s="43"/>
      <c r="AH96" s="43"/>
      <c r="AI96" s="43"/>
    </row>
    <row r="97" spans="1:35" x14ac:dyDescent="0.35">
      <c r="A97" s="58"/>
      <c r="B97" s="16" t="s">
        <v>74</v>
      </c>
      <c r="C97" s="63"/>
      <c r="D97" s="89" t="s">
        <v>66</v>
      </c>
      <c r="E97" s="43">
        <f t="shared" ref="E97:AI97" si="38">E94*12</f>
        <v>0</v>
      </c>
      <c r="F97" s="43">
        <f t="shared" si="38"/>
        <v>0</v>
      </c>
      <c r="G97" s="43">
        <f t="shared" si="38"/>
        <v>0</v>
      </c>
      <c r="H97" s="44">
        <f t="shared" si="38"/>
        <v>0</v>
      </c>
      <c r="I97" s="43">
        <f t="shared" si="38"/>
        <v>0</v>
      </c>
      <c r="J97" s="43">
        <f t="shared" si="38"/>
        <v>0</v>
      </c>
      <c r="K97" s="43">
        <f t="shared" si="38"/>
        <v>41112</v>
      </c>
      <c r="L97" s="44">
        <f t="shared" si="38"/>
        <v>0</v>
      </c>
      <c r="M97" s="44">
        <f t="shared" si="38"/>
        <v>0</v>
      </c>
      <c r="N97" s="43">
        <f t="shared" si="38"/>
        <v>0</v>
      </c>
      <c r="O97" s="43">
        <f t="shared" si="38"/>
        <v>0</v>
      </c>
      <c r="P97" s="44">
        <f t="shared" si="38"/>
        <v>0</v>
      </c>
      <c r="Q97" s="44">
        <f t="shared" si="38"/>
        <v>0</v>
      </c>
      <c r="R97" s="43">
        <f t="shared" si="38"/>
        <v>41112</v>
      </c>
      <c r="S97" s="44">
        <f t="shared" si="38"/>
        <v>0</v>
      </c>
      <c r="T97" s="44">
        <f t="shared" si="38"/>
        <v>0</v>
      </c>
      <c r="U97" s="43">
        <f t="shared" si="38"/>
        <v>0</v>
      </c>
      <c r="V97" s="43">
        <f t="shared" si="38"/>
        <v>0</v>
      </c>
      <c r="W97" s="43">
        <f t="shared" si="38"/>
        <v>0</v>
      </c>
      <c r="X97" s="43">
        <f t="shared" si="38"/>
        <v>0</v>
      </c>
      <c r="Y97" s="44">
        <f t="shared" si="38"/>
        <v>0</v>
      </c>
      <c r="Z97" s="43">
        <f t="shared" si="38"/>
        <v>0</v>
      </c>
      <c r="AA97" s="43">
        <f t="shared" si="38"/>
        <v>0</v>
      </c>
      <c r="AB97" s="43">
        <f t="shared" si="38"/>
        <v>0</v>
      </c>
      <c r="AC97" s="43">
        <f t="shared" si="38"/>
        <v>0</v>
      </c>
      <c r="AD97" s="44">
        <f t="shared" si="38"/>
        <v>0</v>
      </c>
      <c r="AE97" s="44">
        <f t="shared" si="38"/>
        <v>0</v>
      </c>
      <c r="AF97" s="43">
        <f t="shared" si="38"/>
        <v>45120</v>
      </c>
      <c r="AG97" s="43">
        <f t="shared" si="38"/>
        <v>0</v>
      </c>
      <c r="AH97" s="43">
        <f t="shared" si="38"/>
        <v>28200</v>
      </c>
      <c r="AI97" s="43">
        <f t="shared" si="38"/>
        <v>0</v>
      </c>
    </row>
    <row r="98" spans="1:35" x14ac:dyDescent="0.35">
      <c r="A98" s="58"/>
      <c r="B98" s="16" t="s">
        <v>75</v>
      </c>
      <c r="C98" s="63"/>
      <c r="D98" s="89" t="s">
        <v>66</v>
      </c>
      <c r="E98" s="43">
        <f t="shared" ref="E98:AI98" si="39">E95*6</f>
        <v>0</v>
      </c>
      <c r="F98" s="43">
        <f t="shared" si="39"/>
        <v>0</v>
      </c>
      <c r="G98" s="43">
        <f t="shared" si="39"/>
        <v>0</v>
      </c>
      <c r="H98" s="44">
        <f t="shared" si="39"/>
        <v>0</v>
      </c>
      <c r="I98" s="43">
        <f t="shared" si="39"/>
        <v>0</v>
      </c>
      <c r="J98" s="43">
        <f t="shared" si="39"/>
        <v>0</v>
      </c>
      <c r="K98" s="43">
        <f t="shared" si="39"/>
        <v>41100</v>
      </c>
      <c r="L98" s="44">
        <f t="shared" si="39"/>
        <v>0</v>
      </c>
      <c r="M98" s="44">
        <f t="shared" si="39"/>
        <v>0</v>
      </c>
      <c r="N98" s="43">
        <f t="shared" si="39"/>
        <v>0</v>
      </c>
      <c r="O98" s="43">
        <f t="shared" si="39"/>
        <v>0</v>
      </c>
      <c r="P98" s="44">
        <f t="shared" si="39"/>
        <v>0</v>
      </c>
      <c r="Q98" s="44">
        <f t="shared" si="39"/>
        <v>0</v>
      </c>
      <c r="R98" s="43">
        <f t="shared" si="39"/>
        <v>41100</v>
      </c>
      <c r="S98" s="44">
        <f t="shared" si="39"/>
        <v>0</v>
      </c>
      <c r="T98" s="44">
        <f t="shared" si="39"/>
        <v>0</v>
      </c>
      <c r="U98" s="43">
        <f t="shared" si="39"/>
        <v>0</v>
      </c>
      <c r="V98" s="43">
        <f t="shared" si="39"/>
        <v>0</v>
      </c>
      <c r="W98" s="43">
        <f t="shared" si="39"/>
        <v>0</v>
      </c>
      <c r="X98" s="43">
        <f t="shared" si="39"/>
        <v>0</v>
      </c>
      <c r="Y98" s="44">
        <f t="shared" si="39"/>
        <v>0</v>
      </c>
      <c r="Z98" s="43">
        <f t="shared" si="39"/>
        <v>0</v>
      </c>
      <c r="AA98" s="43">
        <f t="shared" si="39"/>
        <v>0</v>
      </c>
      <c r="AB98" s="43">
        <f t="shared" si="39"/>
        <v>0</v>
      </c>
      <c r="AC98" s="43">
        <f t="shared" si="39"/>
        <v>0</v>
      </c>
      <c r="AD98" s="44">
        <f t="shared" si="39"/>
        <v>0</v>
      </c>
      <c r="AE98" s="44">
        <f t="shared" si="39"/>
        <v>1200</v>
      </c>
      <c r="AF98" s="43">
        <f t="shared" si="39"/>
        <v>39552</v>
      </c>
      <c r="AG98" s="43">
        <f t="shared" si="39"/>
        <v>0</v>
      </c>
      <c r="AH98" s="43">
        <f t="shared" si="39"/>
        <v>1200</v>
      </c>
      <c r="AI98" s="43">
        <f t="shared" si="39"/>
        <v>0</v>
      </c>
    </row>
    <row r="99" spans="1:35" x14ac:dyDescent="0.35">
      <c r="A99" s="58"/>
      <c r="B99" s="134" t="s">
        <v>67</v>
      </c>
      <c r="C99" s="63"/>
      <c r="D99" s="89" t="s">
        <v>68</v>
      </c>
      <c r="E99" s="43">
        <v>0</v>
      </c>
      <c r="F99" s="43">
        <f>(F90*45)/1700</f>
        <v>0</v>
      </c>
      <c r="G99" s="43">
        <f t="shared" ref="G99:X99" si="40">(G90*45)/1700</f>
        <v>0</v>
      </c>
      <c r="H99" s="44">
        <f t="shared" si="40"/>
        <v>0</v>
      </c>
      <c r="I99" s="43">
        <f t="shared" si="40"/>
        <v>0</v>
      </c>
      <c r="J99" s="43">
        <f t="shared" si="40"/>
        <v>0</v>
      </c>
      <c r="K99" s="43">
        <f t="shared" si="40"/>
        <v>2954.2395441176468</v>
      </c>
      <c r="L99" s="44">
        <f t="shared" si="40"/>
        <v>0</v>
      </c>
      <c r="M99" s="44">
        <f t="shared" si="40"/>
        <v>0</v>
      </c>
      <c r="N99" s="43">
        <f t="shared" si="40"/>
        <v>0</v>
      </c>
      <c r="O99" s="43">
        <f t="shared" si="40"/>
        <v>0</v>
      </c>
      <c r="P99" s="44">
        <f t="shared" si="40"/>
        <v>0</v>
      </c>
      <c r="Q99" s="44">
        <f t="shared" si="40"/>
        <v>0</v>
      </c>
      <c r="R99" s="43">
        <f t="shared" si="40"/>
        <v>2954.2636323529409</v>
      </c>
      <c r="S99" s="44">
        <f t="shared" si="40"/>
        <v>0</v>
      </c>
      <c r="T99" s="44">
        <f t="shared" si="40"/>
        <v>0</v>
      </c>
      <c r="U99" s="43">
        <f t="shared" si="40"/>
        <v>0</v>
      </c>
      <c r="V99" s="43">
        <f t="shared" si="40"/>
        <v>0</v>
      </c>
      <c r="W99" s="43">
        <f t="shared" si="40"/>
        <v>0</v>
      </c>
      <c r="X99" s="43">
        <f t="shared" si="40"/>
        <v>0</v>
      </c>
      <c r="Y99" s="44">
        <f t="shared" ref="Y99:AI99" si="41">Y90*45/1700</f>
        <v>0</v>
      </c>
      <c r="Z99" s="43">
        <f t="shared" si="41"/>
        <v>0</v>
      </c>
      <c r="AA99" s="43">
        <f t="shared" si="41"/>
        <v>0</v>
      </c>
      <c r="AB99" s="43">
        <f t="shared" si="41"/>
        <v>0</v>
      </c>
      <c r="AC99" s="43">
        <f t="shared" si="41"/>
        <v>0</v>
      </c>
      <c r="AD99" s="44">
        <f t="shared" si="41"/>
        <v>0</v>
      </c>
      <c r="AE99" s="44">
        <f t="shared" si="41"/>
        <v>57.494117647058822</v>
      </c>
      <c r="AF99" s="43">
        <f t="shared" si="41"/>
        <v>2976.1113970588235</v>
      </c>
      <c r="AG99" s="43">
        <f t="shared" si="41"/>
        <v>0</v>
      </c>
      <c r="AH99" s="43">
        <f t="shared" si="41"/>
        <v>733.21795588235284</v>
      </c>
      <c r="AI99" s="43">
        <f t="shared" si="41"/>
        <v>0</v>
      </c>
    </row>
    <row r="100" spans="1:35" x14ac:dyDescent="0.35">
      <c r="A100" s="58"/>
      <c r="B100" s="134" t="s">
        <v>69</v>
      </c>
      <c r="C100" s="63"/>
      <c r="D100" s="89" t="s">
        <v>70</v>
      </c>
      <c r="E100" s="43">
        <f t="shared" ref="E100:AI100" si="42">SUM(E94:E95)/500</f>
        <v>0</v>
      </c>
      <c r="F100" s="43">
        <f t="shared" si="42"/>
        <v>0</v>
      </c>
      <c r="G100" s="43">
        <f t="shared" si="42"/>
        <v>0</v>
      </c>
      <c r="H100" s="44">
        <f t="shared" si="42"/>
        <v>0</v>
      </c>
      <c r="I100" s="43">
        <f t="shared" si="42"/>
        <v>0</v>
      </c>
      <c r="J100" s="43">
        <f t="shared" si="42"/>
        <v>0</v>
      </c>
      <c r="K100" s="43">
        <f t="shared" si="42"/>
        <v>20.552</v>
      </c>
      <c r="L100" s="44">
        <f t="shared" si="42"/>
        <v>0</v>
      </c>
      <c r="M100" s="44">
        <f t="shared" si="42"/>
        <v>0</v>
      </c>
      <c r="N100" s="43">
        <f t="shared" si="42"/>
        <v>0</v>
      </c>
      <c r="O100" s="43">
        <f t="shared" si="42"/>
        <v>0</v>
      </c>
      <c r="P100" s="44">
        <f t="shared" si="42"/>
        <v>0</v>
      </c>
      <c r="Q100" s="44">
        <f t="shared" si="42"/>
        <v>0</v>
      </c>
      <c r="R100" s="43">
        <f t="shared" si="42"/>
        <v>20.552</v>
      </c>
      <c r="S100" s="44">
        <f t="shared" si="42"/>
        <v>0</v>
      </c>
      <c r="T100" s="44">
        <f t="shared" si="42"/>
        <v>0</v>
      </c>
      <c r="U100" s="43">
        <f t="shared" si="42"/>
        <v>0</v>
      </c>
      <c r="V100" s="43">
        <f t="shared" si="42"/>
        <v>0</v>
      </c>
      <c r="W100" s="43">
        <f t="shared" si="42"/>
        <v>0</v>
      </c>
      <c r="X100" s="43">
        <f t="shared" si="42"/>
        <v>0</v>
      </c>
      <c r="Y100" s="44">
        <f t="shared" si="42"/>
        <v>0</v>
      </c>
      <c r="Z100" s="43">
        <f t="shared" si="42"/>
        <v>0</v>
      </c>
      <c r="AA100" s="43">
        <f t="shared" si="42"/>
        <v>0</v>
      </c>
      <c r="AB100" s="43">
        <f t="shared" si="42"/>
        <v>0</v>
      </c>
      <c r="AC100" s="43">
        <f t="shared" si="42"/>
        <v>0</v>
      </c>
      <c r="AD100" s="44">
        <f t="shared" si="42"/>
        <v>0</v>
      </c>
      <c r="AE100" s="147">
        <f t="shared" si="42"/>
        <v>0.4</v>
      </c>
      <c r="AF100" s="43">
        <f t="shared" si="42"/>
        <v>20.704000000000001</v>
      </c>
      <c r="AG100" s="43">
        <f t="shared" si="42"/>
        <v>0</v>
      </c>
      <c r="AH100" s="43">
        <f>SUM(AH94:AH95)/500</f>
        <v>5.0999999999999996</v>
      </c>
      <c r="AI100" s="43">
        <f t="shared" si="42"/>
        <v>0</v>
      </c>
    </row>
    <row r="101" spans="1:35" x14ac:dyDescent="0.35">
      <c r="A101" s="37"/>
      <c r="B101" s="11" t="s">
        <v>71</v>
      </c>
      <c r="C101" s="35"/>
      <c r="D101" s="35"/>
      <c r="E101" s="36"/>
      <c r="F101" s="36"/>
      <c r="G101" s="36"/>
      <c r="H101" s="36"/>
      <c r="I101" s="36"/>
      <c r="J101" s="36"/>
      <c r="K101" s="36"/>
      <c r="L101" s="36"/>
      <c r="M101" s="36"/>
      <c r="N101" s="36"/>
      <c r="O101" s="36"/>
      <c r="P101" s="36"/>
      <c r="Q101" s="36"/>
      <c r="R101" s="36"/>
      <c r="S101" s="36"/>
      <c r="T101" s="36"/>
      <c r="U101" s="36"/>
      <c r="V101" s="36"/>
      <c r="W101" s="36"/>
      <c r="X101" s="36"/>
      <c r="Y101" s="36"/>
      <c r="Z101" s="36"/>
      <c r="AA101" s="36"/>
      <c r="AB101" s="15"/>
      <c r="AC101" s="36"/>
      <c r="AD101" s="36"/>
      <c r="AE101" s="36"/>
      <c r="AF101" s="36"/>
      <c r="AG101" s="36"/>
      <c r="AH101" s="15"/>
      <c r="AI101" s="15"/>
    </row>
    <row r="102" spans="1:35" x14ac:dyDescent="0.35">
      <c r="A102" s="58"/>
      <c r="B102" s="134" t="s">
        <v>62</v>
      </c>
      <c r="C102" s="63"/>
      <c r="D102" s="58"/>
      <c r="E102" s="43"/>
      <c r="F102" s="43"/>
      <c r="G102" s="43"/>
      <c r="H102" s="44"/>
      <c r="I102" s="43"/>
      <c r="J102" s="43"/>
      <c r="K102" s="43"/>
      <c r="L102" s="44"/>
      <c r="M102" s="44"/>
      <c r="N102" s="43"/>
      <c r="O102" s="43"/>
      <c r="P102" s="44"/>
      <c r="Q102" s="44"/>
      <c r="R102" s="43"/>
      <c r="S102" s="44"/>
      <c r="T102" s="44"/>
      <c r="U102" s="43"/>
      <c r="V102" s="43"/>
      <c r="W102" s="43"/>
      <c r="X102" s="43"/>
      <c r="Y102" s="44"/>
      <c r="Z102" s="43"/>
      <c r="AA102" s="43"/>
      <c r="AB102" s="43"/>
      <c r="AC102" s="43"/>
      <c r="AD102" s="44"/>
      <c r="AE102" s="44"/>
      <c r="AF102" s="43"/>
      <c r="AG102" s="43"/>
      <c r="AH102" s="43"/>
      <c r="AI102" s="43"/>
    </row>
    <row r="103" spans="1:35" x14ac:dyDescent="0.35">
      <c r="A103" s="58"/>
      <c r="B103" s="16" t="s">
        <v>74</v>
      </c>
      <c r="C103" s="63"/>
      <c r="D103" s="89" t="s">
        <v>64</v>
      </c>
      <c r="E103" s="43">
        <v>0</v>
      </c>
      <c r="F103" s="43">
        <v>0</v>
      </c>
      <c r="G103" s="43">
        <v>0</v>
      </c>
      <c r="H103" s="44">
        <v>0</v>
      </c>
      <c r="I103" s="43">
        <v>0</v>
      </c>
      <c r="J103" s="43">
        <v>0</v>
      </c>
      <c r="K103" s="43">
        <v>3</v>
      </c>
      <c r="L103" s="44">
        <v>0</v>
      </c>
      <c r="M103" s="44">
        <v>0</v>
      </c>
      <c r="N103" s="43">
        <v>0</v>
      </c>
      <c r="O103" s="43">
        <v>0</v>
      </c>
      <c r="P103" s="44">
        <v>0</v>
      </c>
      <c r="Q103" s="44">
        <v>0</v>
      </c>
      <c r="R103" s="43">
        <v>1</v>
      </c>
      <c r="S103" s="44">
        <v>0</v>
      </c>
      <c r="T103" s="44">
        <v>0</v>
      </c>
      <c r="U103" s="43">
        <v>0</v>
      </c>
      <c r="V103" s="43">
        <v>0</v>
      </c>
      <c r="W103" s="43">
        <v>0</v>
      </c>
      <c r="X103" s="43">
        <v>0</v>
      </c>
      <c r="Y103" s="44">
        <v>0</v>
      </c>
      <c r="Z103" s="43">
        <v>0</v>
      </c>
      <c r="AA103" s="43">
        <v>0</v>
      </c>
      <c r="AB103" s="43">
        <v>0</v>
      </c>
      <c r="AC103" s="43">
        <v>0</v>
      </c>
      <c r="AD103" s="44">
        <v>0</v>
      </c>
      <c r="AE103" s="44">
        <v>0</v>
      </c>
      <c r="AF103" s="43">
        <v>2</v>
      </c>
      <c r="AG103" s="43">
        <v>0</v>
      </c>
      <c r="AH103" s="43">
        <v>0</v>
      </c>
      <c r="AI103" s="43">
        <v>0</v>
      </c>
    </row>
    <row r="104" spans="1:35" x14ac:dyDescent="0.35">
      <c r="A104" s="58"/>
      <c r="B104" s="16" t="s">
        <v>75</v>
      </c>
      <c r="C104" s="63"/>
      <c r="D104" s="89" t="s">
        <v>64</v>
      </c>
      <c r="E104" s="43">
        <v>0</v>
      </c>
      <c r="F104" s="43">
        <v>0</v>
      </c>
      <c r="G104" s="43">
        <v>0</v>
      </c>
      <c r="H104" s="44">
        <v>0</v>
      </c>
      <c r="I104" s="43">
        <v>0</v>
      </c>
      <c r="J104" s="43">
        <v>0</v>
      </c>
      <c r="K104" s="43">
        <v>7</v>
      </c>
      <c r="L104" s="44">
        <v>0</v>
      </c>
      <c r="M104" s="44">
        <v>0</v>
      </c>
      <c r="N104" s="43">
        <v>0</v>
      </c>
      <c r="O104" s="43">
        <v>0</v>
      </c>
      <c r="P104" s="44">
        <v>0</v>
      </c>
      <c r="Q104" s="44">
        <v>0</v>
      </c>
      <c r="R104" s="43">
        <v>2</v>
      </c>
      <c r="S104" s="44">
        <v>0</v>
      </c>
      <c r="T104" s="44">
        <v>0</v>
      </c>
      <c r="U104" s="43">
        <v>0</v>
      </c>
      <c r="V104" s="43">
        <v>0</v>
      </c>
      <c r="W104" s="43">
        <v>0</v>
      </c>
      <c r="X104" s="43">
        <v>0</v>
      </c>
      <c r="Y104" s="44">
        <v>0</v>
      </c>
      <c r="Z104" s="43">
        <v>0</v>
      </c>
      <c r="AA104" s="43">
        <v>0</v>
      </c>
      <c r="AB104" s="43">
        <v>0</v>
      </c>
      <c r="AC104" s="43">
        <v>0</v>
      </c>
      <c r="AD104" s="44">
        <v>0</v>
      </c>
      <c r="AE104" s="44">
        <v>1</v>
      </c>
      <c r="AF104" s="43">
        <v>4</v>
      </c>
      <c r="AG104" s="43">
        <v>0</v>
      </c>
      <c r="AH104" s="43">
        <v>0</v>
      </c>
      <c r="AI104" s="43">
        <v>0</v>
      </c>
    </row>
    <row r="105" spans="1:35" x14ac:dyDescent="0.35">
      <c r="A105" s="58"/>
      <c r="B105" s="134" t="s">
        <v>66</v>
      </c>
      <c r="C105" s="63"/>
      <c r="D105" s="58"/>
      <c r="E105" s="43"/>
      <c r="F105" s="43"/>
      <c r="G105" s="43"/>
      <c r="H105" s="44"/>
      <c r="I105" s="43"/>
      <c r="J105" s="43"/>
      <c r="K105" s="43"/>
      <c r="L105" s="44"/>
      <c r="M105" s="44"/>
      <c r="N105" s="43"/>
      <c r="O105" s="43"/>
      <c r="P105" s="44"/>
      <c r="Q105" s="44"/>
      <c r="R105" s="43"/>
      <c r="S105" s="44"/>
      <c r="T105" s="44"/>
      <c r="U105" s="43"/>
      <c r="V105" s="43"/>
      <c r="W105" s="43"/>
      <c r="X105" s="43"/>
      <c r="Y105" s="44"/>
      <c r="Z105" s="43"/>
      <c r="AA105" s="43"/>
      <c r="AB105" s="43"/>
      <c r="AC105" s="43"/>
      <c r="AD105" s="44"/>
      <c r="AE105" s="44"/>
      <c r="AF105" s="43"/>
      <c r="AG105" s="43"/>
      <c r="AH105" s="43"/>
      <c r="AI105" s="43"/>
    </row>
    <row r="106" spans="1:35" x14ac:dyDescent="0.35">
      <c r="A106" s="58"/>
      <c r="B106" s="16" t="s">
        <v>74</v>
      </c>
      <c r="C106" s="63"/>
      <c r="D106" s="89" t="s">
        <v>66</v>
      </c>
      <c r="E106" s="43">
        <v>0</v>
      </c>
      <c r="F106" s="43">
        <v>0</v>
      </c>
      <c r="G106" s="43">
        <v>0</v>
      </c>
      <c r="H106" s="44">
        <v>0</v>
      </c>
      <c r="I106" s="43">
        <v>0</v>
      </c>
      <c r="J106" s="43">
        <v>0</v>
      </c>
      <c r="K106" s="43">
        <v>12</v>
      </c>
      <c r="L106" s="44">
        <v>0</v>
      </c>
      <c r="M106" s="44">
        <v>0</v>
      </c>
      <c r="N106" s="43">
        <v>0</v>
      </c>
      <c r="O106" s="43">
        <v>0</v>
      </c>
      <c r="P106" s="44">
        <v>0</v>
      </c>
      <c r="Q106" s="44">
        <v>0</v>
      </c>
      <c r="R106" s="43">
        <v>9</v>
      </c>
      <c r="S106" s="44">
        <v>0</v>
      </c>
      <c r="T106" s="44">
        <v>0</v>
      </c>
      <c r="U106" s="43">
        <v>0</v>
      </c>
      <c r="V106" s="43">
        <v>0</v>
      </c>
      <c r="W106" s="43">
        <v>0</v>
      </c>
      <c r="X106" s="43">
        <v>0</v>
      </c>
      <c r="Y106" s="44">
        <v>0</v>
      </c>
      <c r="Z106" s="43">
        <v>0</v>
      </c>
      <c r="AA106" s="43">
        <v>0</v>
      </c>
      <c r="AB106" s="43">
        <v>0</v>
      </c>
      <c r="AC106" s="43">
        <v>0</v>
      </c>
      <c r="AD106" s="44">
        <v>0</v>
      </c>
      <c r="AE106" s="44">
        <v>0</v>
      </c>
      <c r="AF106" s="43">
        <v>0</v>
      </c>
      <c r="AG106" s="43">
        <v>0</v>
      </c>
      <c r="AH106" s="43">
        <v>0</v>
      </c>
      <c r="AI106" s="43">
        <v>0</v>
      </c>
    </row>
    <row r="107" spans="1:35" x14ac:dyDescent="0.35">
      <c r="A107" s="58"/>
      <c r="B107" s="16" t="s">
        <v>75</v>
      </c>
      <c r="C107" s="63"/>
      <c r="D107" s="89" t="s">
        <v>66</v>
      </c>
      <c r="E107" s="43">
        <v>0</v>
      </c>
      <c r="F107" s="43">
        <v>0</v>
      </c>
      <c r="G107" s="43">
        <v>0</v>
      </c>
      <c r="H107" s="44">
        <v>0</v>
      </c>
      <c r="I107" s="43">
        <v>0</v>
      </c>
      <c r="J107" s="43">
        <v>0</v>
      </c>
      <c r="K107" s="43">
        <v>11</v>
      </c>
      <c r="L107" s="44">
        <v>0</v>
      </c>
      <c r="M107" s="44">
        <v>0</v>
      </c>
      <c r="N107" s="43">
        <v>0</v>
      </c>
      <c r="O107" s="43">
        <v>0</v>
      </c>
      <c r="P107" s="44">
        <v>0</v>
      </c>
      <c r="Q107" s="44">
        <v>0</v>
      </c>
      <c r="R107" s="43">
        <v>9</v>
      </c>
      <c r="S107" s="44">
        <v>0</v>
      </c>
      <c r="T107" s="44">
        <v>0</v>
      </c>
      <c r="U107" s="43">
        <v>0</v>
      </c>
      <c r="V107" s="43">
        <v>0</v>
      </c>
      <c r="W107" s="43">
        <v>0</v>
      </c>
      <c r="X107" s="43">
        <v>0</v>
      </c>
      <c r="Y107" s="44">
        <v>0</v>
      </c>
      <c r="Z107" s="43">
        <v>0</v>
      </c>
      <c r="AA107" s="43">
        <v>0</v>
      </c>
      <c r="AB107" s="43">
        <v>0</v>
      </c>
      <c r="AC107" s="43">
        <v>0</v>
      </c>
      <c r="AD107" s="44">
        <v>0</v>
      </c>
      <c r="AE107" s="44">
        <v>0</v>
      </c>
      <c r="AF107" s="43">
        <v>12</v>
      </c>
      <c r="AG107" s="43">
        <v>0</v>
      </c>
      <c r="AH107" s="43">
        <v>0</v>
      </c>
      <c r="AI107" s="43">
        <v>0</v>
      </c>
    </row>
    <row r="108" spans="1:35" x14ac:dyDescent="0.35">
      <c r="A108" s="37"/>
      <c r="B108" s="11" t="s">
        <v>72</v>
      </c>
      <c r="C108" s="35"/>
      <c r="D108" s="35"/>
      <c r="E108" s="36"/>
      <c r="F108" s="36"/>
      <c r="G108" s="36"/>
      <c r="H108" s="36"/>
      <c r="I108" s="36"/>
      <c r="J108" s="36"/>
      <c r="K108" s="36"/>
      <c r="L108" s="36"/>
      <c r="M108" s="36"/>
      <c r="N108" s="36"/>
      <c r="O108" s="36"/>
      <c r="P108" s="36"/>
      <c r="Q108" s="36"/>
      <c r="R108" s="36"/>
      <c r="S108" s="36"/>
      <c r="T108" s="36"/>
      <c r="U108" s="36"/>
      <c r="V108" s="36"/>
      <c r="W108" s="36"/>
      <c r="X108" s="36"/>
      <c r="Y108" s="36"/>
      <c r="Z108" s="36"/>
      <c r="AA108" s="36"/>
      <c r="AB108" s="15"/>
      <c r="AC108" s="36"/>
      <c r="AD108" s="36"/>
      <c r="AE108" s="36"/>
      <c r="AF108" s="36"/>
      <c r="AG108" s="15"/>
      <c r="AH108" s="15"/>
      <c r="AI108" s="15"/>
    </row>
    <row r="109" spans="1:35" x14ac:dyDescent="0.35">
      <c r="A109" s="58"/>
      <c r="B109" s="134" t="s">
        <v>62</v>
      </c>
      <c r="C109" s="63"/>
      <c r="D109" s="58"/>
      <c r="E109" s="43"/>
      <c r="F109" s="43"/>
      <c r="G109" s="43"/>
      <c r="H109" s="44"/>
      <c r="I109" s="43"/>
      <c r="J109" s="43"/>
      <c r="K109" s="43"/>
      <c r="L109" s="44"/>
      <c r="M109" s="44"/>
      <c r="N109" s="43"/>
      <c r="O109" s="43"/>
      <c r="P109" s="44"/>
      <c r="Q109" s="44"/>
      <c r="R109" s="43"/>
      <c r="S109" s="44"/>
      <c r="T109" s="44"/>
      <c r="U109" s="43"/>
      <c r="V109" s="43"/>
      <c r="W109" s="43"/>
      <c r="X109" s="43"/>
      <c r="Y109" s="44"/>
      <c r="Z109" s="43"/>
      <c r="AA109" s="43"/>
      <c r="AB109" s="43"/>
      <c r="AC109" s="43"/>
      <c r="AD109" s="44"/>
      <c r="AE109" s="44"/>
      <c r="AF109" s="43"/>
      <c r="AG109" s="43"/>
      <c r="AH109" s="43"/>
      <c r="AI109" s="43"/>
    </row>
    <row r="110" spans="1:35" x14ac:dyDescent="0.35">
      <c r="A110" s="58"/>
      <c r="B110" s="16" t="s">
        <v>74</v>
      </c>
      <c r="C110" s="57">
        <v>0.3</v>
      </c>
      <c r="D110" s="89" t="s">
        <v>10</v>
      </c>
      <c r="E110" s="86" t="e">
        <f t="shared" ref="E110:AI111" si="43">E103/E94*100</f>
        <v>#DIV/0!</v>
      </c>
      <c r="F110" s="86" t="e">
        <f t="shared" si="43"/>
        <v>#DIV/0!</v>
      </c>
      <c r="G110" s="86" t="e">
        <f t="shared" si="43"/>
        <v>#DIV/0!</v>
      </c>
      <c r="H110" s="87" t="e">
        <f t="shared" si="43"/>
        <v>#DIV/0!</v>
      </c>
      <c r="I110" s="86" t="e">
        <f t="shared" si="43"/>
        <v>#DIV/0!</v>
      </c>
      <c r="J110" s="86" t="e">
        <f t="shared" si="43"/>
        <v>#DIV/0!</v>
      </c>
      <c r="K110" s="86">
        <f t="shared" si="43"/>
        <v>8.7565674255691769E-2</v>
      </c>
      <c r="L110" s="87" t="e">
        <f t="shared" si="43"/>
        <v>#DIV/0!</v>
      </c>
      <c r="M110" s="87" t="e">
        <f t="shared" si="43"/>
        <v>#DIV/0!</v>
      </c>
      <c r="N110" s="86" t="e">
        <f t="shared" si="43"/>
        <v>#DIV/0!</v>
      </c>
      <c r="O110" s="86" t="e">
        <f t="shared" si="43"/>
        <v>#DIV/0!</v>
      </c>
      <c r="P110" s="87" t="e">
        <f t="shared" si="43"/>
        <v>#DIV/0!</v>
      </c>
      <c r="Q110" s="87" t="e">
        <f t="shared" si="43"/>
        <v>#DIV/0!</v>
      </c>
      <c r="R110" s="86">
        <f t="shared" si="43"/>
        <v>2.918855808523059E-2</v>
      </c>
      <c r="S110" s="87" t="e">
        <f t="shared" si="43"/>
        <v>#DIV/0!</v>
      </c>
      <c r="T110" s="87" t="e">
        <f t="shared" si="43"/>
        <v>#DIV/0!</v>
      </c>
      <c r="U110" s="86" t="e">
        <f t="shared" si="43"/>
        <v>#DIV/0!</v>
      </c>
      <c r="V110" s="86" t="e">
        <f t="shared" si="43"/>
        <v>#DIV/0!</v>
      </c>
      <c r="W110" s="86" t="e">
        <f t="shared" si="43"/>
        <v>#DIV/0!</v>
      </c>
      <c r="X110" s="86" t="e">
        <f t="shared" si="43"/>
        <v>#DIV/0!</v>
      </c>
      <c r="Y110" s="87" t="e">
        <f t="shared" si="43"/>
        <v>#DIV/0!</v>
      </c>
      <c r="Z110" s="86" t="e">
        <f t="shared" si="43"/>
        <v>#DIV/0!</v>
      </c>
      <c r="AA110" s="86" t="e">
        <f t="shared" si="43"/>
        <v>#DIV/0!</v>
      </c>
      <c r="AB110" s="86" t="e">
        <f t="shared" si="43"/>
        <v>#DIV/0!</v>
      </c>
      <c r="AC110" s="86" t="e">
        <f t="shared" si="43"/>
        <v>#DIV/0!</v>
      </c>
      <c r="AD110" s="87" t="e">
        <f t="shared" si="43"/>
        <v>#DIV/0!</v>
      </c>
      <c r="AE110" s="87" t="e">
        <f t="shared" si="43"/>
        <v>#DIV/0!</v>
      </c>
      <c r="AF110" s="86">
        <f t="shared" si="43"/>
        <v>5.3191489361702128E-2</v>
      </c>
      <c r="AG110" s="86" t="e">
        <f t="shared" si="43"/>
        <v>#DIV/0!</v>
      </c>
      <c r="AH110" s="86">
        <f t="shared" si="43"/>
        <v>0</v>
      </c>
      <c r="AI110" s="86" t="e">
        <f t="shared" si="43"/>
        <v>#DIV/0!</v>
      </c>
    </row>
    <row r="111" spans="1:35" x14ac:dyDescent="0.35">
      <c r="A111" s="58"/>
      <c r="B111" s="16" t="s">
        <v>75</v>
      </c>
      <c r="C111" s="57">
        <v>0.3</v>
      </c>
      <c r="D111" s="89" t="s">
        <v>10</v>
      </c>
      <c r="E111" s="86" t="e">
        <f t="shared" si="43"/>
        <v>#DIV/0!</v>
      </c>
      <c r="F111" s="86" t="e">
        <f t="shared" si="43"/>
        <v>#DIV/0!</v>
      </c>
      <c r="G111" s="86" t="e">
        <f t="shared" si="43"/>
        <v>#DIV/0!</v>
      </c>
      <c r="H111" s="87" t="e">
        <f t="shared" si="43"/>
        <v>#DIV/0!</v>
      </c>
      <c r="I111" s="86" t="e">
        <f t="shared" si="43"/>
        <v>#DIV/0!</v>
      </c>
      <c r="J111" s="86" t="e">
        <f t="shared" si="43"/>
        <v>#DIV/0!</v>
      </c>
      <c r="K111" s="86">
        <f t="shared" si="43"/>
        <v>0.10218978102189782</v>
      </c>
      <c r="L111" s="87" t="e">
        <f t="shared" si="43"/>
        <v>#DIV/0!</v>
      </c>
      <c r="M111" s="87" t="e">
        <f t="shared" si="43"/>
        <v>#DIV/0!</v>
      </c>
      <c r="N111" s="86" t="e">
        <f t="shared" si="43"/>
        <v>#DIV/0!</v>
      </c>
      <c r="O111" s="86" t="e">
        <f t="shared" si="43"/>
        <v>#DIV/0!</v>
      </c>
      <c r="P111" s="87" t="e">
        <f t="shared" si="43"/>
        <v>#DIV/0!</v>
      </c>
      <c r="Q111" s="87" t="e">
        <f t="shared" si="43"/>
        <v>#DIV/0!</v>
      </c>
      <c r="R111" s="86">
        <f t="shared" si="43"/>
        <v>2.9197080291970805E-2</v>
      </c>
      <c r="S111" s="87" t="e">
        <f t="shared" si="43"/>
        <v>#DIV/0!</v>
      </c>
      <c r="T111" s="87" t="e">
        <f t="shared" si="43"/>
        <v>#DIV/0!</v>
      </c>
      <c r="U111" s="86" t="e">
        <f t="shared" si="43"/>
        <v>#DIV/0!</v>
      </c>
      <c r="V111" s="86" t="e">
        <f t="shared" si="43"/>
        <v>#DIV/0!</v>
      </c>
      <c r="W111" s="86" t="e">
        <f t="shared" si="43"/>
        <v>#DIV/0!</v>
      </c>
      <c r="X111" s="86" t="e">
        <f t="shared" si="43"/>
        <v>#DIV/0!</v>
      </c>
      <c r="Y111" s="87" t="e">
        <f t="shared" si="43"/>
        <v>#DIV/0!</v>
      </c>
      <c r="Z111" s="86" t="e">
        <f t="shared" si="43"/>
        <v>#DIV/0!</v>
      </c>
      <c r="AA111" s="86" t="e">
        <f t="shared" si="43"/>
        <v>#DIV/0!</v>
      </c>
      <c r="AB111" s="86" t="e">
        <f t="shared" si="43"/>
        <v>#DIV/0!</v>
      </c>
      <c r="AC111" s="86" t="e">
        <f t="shared" si="43"/>
        <v>#DIV/0!</v>
      </c>
      <c r="AD111" s="87" t="e">
        <f t="shared" si="43"/>
        <v>#DIV/0!</v>
      </c>
      <c r="AE111" s="87">
        <f t="shared" si="43"/>
        <v>0.5</v>
      </c>
      <c r="AF111" s="86">
        <f t="shared" si="43"/>
        <v>6.0679611650485431E-2</v>
      </c>
      <c r="AG111" s="86" t="e">
        <f t="shared" si="43"/>
        <v>#DIV/0!</v>
      </c>
      <c r="AH111" s="86">
        <f t="shared" si="43"/>
        <v>0</v>
      </c>
      <c r="AI111" s="86" t="e">
        <f t="shared" si="43"/>
        <v>#DIV/0!</v>
      </c>
    </row>
    <row r="112" spans="1:35" x14ac:dyDescent="0.35">
      <c r="A112" s="58"/>
      <c r="B112" s="134" t="s">
        <v>66</v>
      </c>
      <c r="C112" s="57"/>
      <c r="D112" s="58"/>
      <c r="E112" s="86"/>
      <c r="F112" s="86"/>
      <c r="G112" s="86"/>
      <c r="H112" s="87"/>
      <c r="I112" s="86"/>
      <c r="J112" s="86"/>
      <c r="K112" s="86"/>
      <c r="L112" s="87"/>
      <c r="M112" s="87"/>
      <c r="N112" s="86"/>
      <c r="O112" s="86"/>
      <c r="P112" s="87"/>
      <c r="Q112" s="87"/>
      <c r="R112" s="86"/>
      <c r="S112" s="87"/>
      <c r="T112" s="87"/>
      <c r="U112" s="86"/>
      <c r="V112" s="86"/>
      <c r="W112" s="86"/>
      <c r="X112" s="86"/>
      <c r="Y112" s="87"/>
      <c r="Z112" s="86"/>
      <c r="AA112" s="86"/>
      <c r="AB112" s="86"/>
      <c r="AC112" s="86"/>
      <c r="AD112" s="87"/>
      <c r="AE112" s="87"/>
      <c r="AF112" s="86"/>
      <c r="AG112" s="86"/>
      <c r="AH112" s="86"/>
      <c r="AI112" s="86"/>
    </row>
    <row r="113" spans="1:35" x14ac:dyDescent="0.35">
      <c r="A113" s="58"/>
      <c r="B113" s="16" t="s">
        <v>74</v>
      </c>
      <c r="C113" s="57">
        <v>0.5</v>
      </c>
      <c r="D113" s="89" t="s">
        <v>10</v>
      </c>
      <c r="E113" s="86" t="e">
        <f t="shared" ref="E113:AI114" si="44">E106/E97*100</f>
        <v>#DIV/0!</v>
      </c>
      <c r="F113" s="86" t="e">
        <f t="shared" si="44"/>
        <v>#DIV/0!</v>
      </c>
      <c r="G113" s="86" t="e">
        <f t="shared" si="44"/>
        <v>#DIV/0!</v>
      </c>
      <c r="H113" s="87" t="e">
        <f t="shared" si="44"/>
        <v>#DIV/0!</v>
      </c>
      <c r="I113" s="86" t="e">
        <f t="shared" si="44"/>
        <v>#DIV/0!</v>
      </c>
      <c r="J113" s="86" t="e">
        <f t="shared" si="44"/>
        <v>#DIV/0!</v>
      </c>
      <c r="K113" s="86">
        <f t="shared" si="44"/>
        <v>2.918855808523059E-2</v>
      </c>
      <c r="L113" s="87" t="e">
        <f t="shared" si="44"/>
        <v>#DIV/0!</v>
      </c>
      <c r="M113" s="87" t="e">
        <f t="shared" si="44"/>
        <v>#DIV/0!</v>
      </c>
      <c r="N113" s="86" t="e">
        <f t="shared" si="44"/>
        <v>#DIV/0!</v>
      </c>
      <c r="O113" s="86" t="e">
        <f t="shared" si="44"/>
        <v>#DIV/0!</v>
      </c>
      <c r="P113" s="87" t="e">
        <f t="shared" si="44"/>
        <v>#DIV/0!</v>
      </c>
      <c r="Q113" s="87" t="e">
        <f t="shared" si="44"/>
        <v>#DIV/0!</v>
      </c>
      <c r="R113" s="86">
        <f t="shared" si="44"/>
        <v>2.1891418563922942E-2</v>
      </c>
      <c r="S113" s="87" t="e">
        <f t="shared" si="44"/>
        <v>#DIV/0!</v>
      </c>
      <c r="T113" s="87" t="e">
        <f t="shared" si="44"/>
        <v>#DIV/0!</v>
      </c>
      <c r="U113" s="86" t="e">
        <f t="shared" si="44"/>
        <v>#DIV/0!</v>
      </c>
      <c r="V113" s="86" t="e">
        <f t="shared" si="44"/>
        <v>#DIV/0!</v>
      </c>
      <c r="W113" s="86" t="e">
        <f t="shared" si="44"/>
        <v>#DIV/0!</v>
      </c>
      <c r="X113" s="86" t="e">
        <f t="shared" si="44"/>
        <v>#DIV/0!</v>
      </c>
      <c r="Y113" s="87" t="e">
        <f t="shared" si="44"/>
        <v>#DIV/0!</v>
      </c>
      <c r="Z113" s="86" t="e">
        <f t="shared" si="44"/>
        <v>#DIV/0!</v>
      </c>
      <c r="AA113" s="86" t="e">
        <f t="shared" si="44"/>
        <v>#DIV/0!</v>
      </c>
      <c r="AB113" s="86" t="e">
        <f t="shared" si="44"/>
        <v>#DIV/0!</v>
      </c>
      <c r="AC113" s="86" t="e">
        <f t="shared" si="44"/>
        <v>#DIV/0!</v>
      </c>
      <c r="AD113" s="87" t="e">
        <f t="shared" si="44"/>
        <v>#DIV/0!</v>
      </c>
      <c r="AE113" s="87" t="e">
        <f t="shared" si="44"/>
        <v>#DIV/0!</v>
      </c>
      <c r="AF113" s="86">
        <f t="shared" si="44"/>
        <v>0</v>
      </c>
      <c r="AG113" s="86" t="e">
        <f t="shared" si="44"/>
        <v>#DIV/0!</v>
      </c>
      <c r="AH113" s="86">
        <f t="shared" si="44"/>
        <v>0</v>
      </c>
      <c r="AI113" s="86" t="e">
        <f t="shared" si="44"/>
        <v>#DIV/0!</v>
      </c>
    </row>
    <row r="114" spans="1:35" x14ac:dyDescent="0.35">
      <c r="A114" s="58"/>
      <c r="B114" s="16" t="s">
        <v>75</v>
      </c>
      <c r="C114" s="57">
        <v>0.5</v>
      </c>
      <c r="D114" s="89" t="s">
        <v>10</v>
      </c>
      <c r="E114" s="86" t="e">
        <f t="shared" si="44"/>
        <v>#DIV/0!</v>
      </c>
      <c r="F114" s="86" t="e">
        <f t="shared" si="44"/>
        <v>#DIV/0!</v>
      </c>
      <c r="G114" s="86" t="e">
        <f t="shared" si="44"/>
        <v>#DIV/0!</v>
      </c>
      <c r="H114" s="87" t="e">
        <f t="shared" si="44"/>
        <v>#DIV/0!</v>
      </c>
      <c r="I114" s="86" t="e">
        <f t="shared" si="44"/>
        <v>#DIV/0!</v>
      </c>
      <c r="J114" s="86" t="e">
        <f t="shared" si="44"/>
        <v>#DIV/0!</v>
      </c>
      <c r="K114" s="86">
        <f t="shared" si="44"/>
        <v>2.6763990267639905E-2</v>
      </c>
      <c r="L114" s="87" t="e">
        <f t="shared" si="44"/>
        <v>#DIV/0!</v>
      </c>
      <c r="M114" s="87" t="e">
        <f t="shared" si="44"/>
        <v>#DIV/0!</v>
      </c>
      <c r="N114" s="86" t="e">
        <f t="shared" si="44"/>
        <v>#DIV/0!</v>
      </c>
      <c r="O114" s="86" t="e">
        <f t="shared" si="44"/>
        <v>#DIV/0!</v>
      </c>
      <c r="P114" s="87" t="e">
        <f t="shared" si="44"/>
        <v>#DIV/0!</v>
      </c>
      <c r="Q114" s="87" t="e">
        <f t="shared" si="44"/>
        <v>#DIV/0!</v>
      </c>
      <c r="R114" s="86">
        <f t="shared" si="44"/>
        <v>2.18978102189781E-2</v>
      </c>
      <c r="S114" s="87" t="e">
        <f t="shared" si="44"/>
        <v>#DIV/0!</v>
      </c>
      <c r="T114" s="87" t="e">
        <f t="shared" si="44"/>
        <v>#DIV/0!</v>
      </c>
      <c r="U114" s="86" t="e">
        <f t="shared" si="44"/>
        <v>#DIV/0!</v>
      </c>
      <c r="V114" s="86" t="e">
        <f t="shared" si="44"/>
        <v>#DIV/0!</v>
      </c>
      <c r="W114" s="86" t="e">
        <f t="shared" si="44"/>
        <v>#DIV/0!</v>
      </c>
      <c r="X114" s="86" t="e">
        <f t="shared" si="44"/>
        <v>#DIV/0!</v>
      </c>
      <c r="Y114" s="87" t="e">
        <f t="shared" si="44"/>
        <v>#DIV/0!</v>
      </c>
      <c r="Z114" s="86" t="e">
        <f t="shared" si="44"/>
        <v>#DIV/0!</v>
      </c>
      <c r="AA114" s="86" t="e">
        <f t="shared" si="44"/>
        <v>#DIV/0!</v>
      </c>
      <c r="AB114" s="86" t="e">
        <f t="shared" si="44"/>
        <v>#DIV/0!</v>
      </c>
      <c r="AC114" s="86" t="e">
        <f t="shared" si="44"/>
        <v>#DIV/0!</v>
      </c>
      <c r="AD114" s="87" t="e">
        <f t="shared" si="44"/>
        <v>#DIV/0!</v>
      </c>
      <c r="AE114" s="87">
        <f t="shared" si="44"/>
        <v>0</v>
      </c>
      <c r="AF114" s="86">
        <f t="shared" si="44"/>
        <v>3.0339805825242715E-2</v>
      </c>
      <c r="AG114" s="86" t="e">
        <f t="shared" si="44"/>
        <v>#DIV/0!</v>
      </c>
      <c r="AH114" s="86">
        <f t="shared" si="44"/>
        <v>0</v>
      </c>
      <c r="AI114" s="86" t="e">
        <f t="shared" si="44"/>
        <v>#DIV/0!</v>
      </c>
    </row>
    <row r="115" spans="1:35" x14ac:dyDescent="0.35">
      <c r="A115" s="34">
        <v>7</v>
      </c>
      <c r="B115" s="11" t="s">
        <v>76</v>
      </c>
      <c r="C115" s="35"/>
      <c r="D115" s="35"/>
      <c r="E115" s="36"/>
      <c r="F115" s="36"/>
      <c r="G115" s="36"/>
      <c r="H115" s="36"/>
      <c r="I115" s="36"/>
      <c r="J115" s="36"/>
      <c r="K115" s="36"/>
      <c r="L115" s="36"/>
      <c r="M115" s="36"/>
      <c r="N115" s="36"/>
      <c r="O115" s="36"/>
      <c r="P115" s="36"/>
      <c r="Q115" s="36"/>
      <c r="R115" s="36"/>
      <c r="S115" s="36"/>
      <c r="T115" s="36"/>
      <c r="U115" s="36"/>
      <c r="V115" s="36"/>
      <c r="W115" s="36"/>
      <c r="X115" s="36"/>
      <c r="Y115" s="36"/>
      <c r="Z115" s="36"/>
      <c r="AA115" s="36"/>
      <c r="AB115" s="15"/>
      <c r="AC115" s="36"/>
      <c r="AD115" s="36"/>
      <c r="AE115" s="36"/>
      <c r="AF115" s="36"/>
      <c r="AG115" s="15"/>
      <c r="AH115" s="15"/>
      <c r="AI115" s="15"/>
    </row>
    <row r="116" spans="1:35" x14ac:dyDescent="0.35">
      <c r="A116" s="58"/>
      <c r="B116" s="126" t="s">
        <v>77</v>
      </c>
      <c r="C116" s="127"/>
      <c r="D116" s="128" t="s">
        <v>7</v>
      </c>
      <c r="E116" s="145">
        <v>0</v>
      </c>
      <c r="F116" s="145">
        <v>0</v>
      </c>
      <c r="G116" s="145">
        <v>10041</v>
      </c>
      <c r="H116" s="146">
        <v>10393</v>
      </c>
      <c r="I116" s="145">
        <v>3201</v>
      </c>
      <c r="J116" s="145">
        <v>3232</v>
      </c>
      <c r="K116" s="145">
        <v>4624</v>
      </c>
      <c r="L116" s="146">
        <v>0</v>
      </c>
      <c r="M116" s="146"/>
      <c r="N116" s="145">
        <v>15414</v>
      </c>
      <c r="O116" s="145">
        <v>15054</v>
      </c>
      <c r="P116" s="146">
        <v>15074</v>
      </c>
      <c r="Q116" s="146">
        <v>14961</v>
      </c>
      <c r="R116" s="145">
        <v>14961</v>
      </c>
      <c r="S116" s="146">
        <v>96513</v>
      </c>
      <c r="T116" s="146">
        <v>16149</v>
      </c>
      <c r="U116" s="145"/>
      <c r="V116" s="145">
        <v>10259</v>
      </c>
      <c r="W116" s="145">
        <v>0</v>
      </c>
      <c r="X116" s="145">
        <v>10239</v>
      </c>
      <c r="Y116" s="146">
        <v>10106</v>
      </c>
      <c r="Z116" s="145">
        <v>15218</v>
      </c>
      <c r="AA116" s="145"/>
      <c r="AB116" s="145">
        <v>14718</v>
      </c>
      <c r="AC116" s="145">
        <v>15100</v>
      </c>
      <c r="AD116" s="146">
        <v>5135</v>
      </c>
      <c r="AE116" s="146">
        <v>5167</v>
      </c>
      <c r="AF116" s="145">
        <v>5163</v>
      </c>
      <c r="AG116" s="145">
        <v>57101</v>
      </c>
      <c r="AH116" s="145">
        <v>0</v>
      </c>
      <c r="AI116" s="145">
        <v>0</v>
      </c>
    </row>
    <row r="117" spans="1:35" x14ac:dyDescent="0.35">
      <c r="A117" s="58"/>
      <c r="B117" s="126" t="s">
        <v>78</v>
      </c>
      <c r="C117" s="127"/>
      <c r="D117" s="128" t="s">
        <v>7</v>
      </c>
      <c r="E117" s="145">
        <v>0</v>
      </c>
      <c r="F117" s="145">
        <v>0</v>
      </c>
      <c r="G117" s="145">
        <v>4603.5540000000001</v>
      </c>
      <c r="H117" s="146">
        <v>10096.541999999999</v>
      </c>
      <c r="I117" s="145">
        <v>10712.304000000002</v>
      </c>
      <c r="J117" s="145">
        <v>3196.098</v>
      </c>
      <c r="K117" s="145">
        <v>2443.5</v>
      </c>
      <c r="L117" s="146">
        <v>2443.5</v>
      </c>
      <c r="M117" s="146">
        <v>0</v>
      </c>
      <c r="N117" s="145">
        <v>2932.2000000000003</v>
      </c>
      <c r="O117" s="145">
        <v>14661.815000000001</v>
      </c>
      <c r="P117" s="146">
        <v>15844.469000000001</v>
      </c>
      <c r="Q117" s="146">
        <v>15082.097000000002</v>
      </c>
      <c r="R117" s="145">
        <v>14955.035000000002</v>
      </c>
      <c r="S117" s="146">
        <v>14943.146360000002</v>
      </c>
      <c r="T117" s="146">
        <v>83944.593880000015</v>
      </c>
      <c r="U117" s="145">
        <v>14670.95002</v>
      </c>
      <c r="V117" s="145">
        <v>14068.040260000002</v>
      </c>
      <c r="W117" s="145">
        <v>5316.9557000000004</v>
      </c>
      <c r="X117" s="145">
        <v>4936.5699800000002</v>
      </c>
      <c r="Y117" s="146">
        <v>5014.59782</v>
      </c>
      <c r="Z117" s="145">
        <v>15326.23918</v>
      </c>
      <c r="AA117" s="145">
        <v>0</v>
      </c>
      <c r="AB117" s="145">
        <v>15062.89522</v>
      </c>
      <c r="AC117" s="145">
        <v>14886.429680000001</v>
      </c>
      <c r="AD117" s="146">
        <v>15091.252760000003</v>
      </c>
      <c r="AE117" s="146">
        <v>5121.8861000000006</v>
      </c>
      <c r="AF117" s="145">
        <v>5170.6535000000003</v>
      </c>
      <c r="AG117" s="145">
        <v>5160.90002</v>
      </c>
      <c r="AH117" s="145">
        <v>0</v>
      </c>
      <c r="AI117" s="145">
        <v>14633.742099999999</v>
      </c>
    </row>
    <row r="118" spans="1:35" x14ac:dyDescent="0.35">
      <c r="A118" s="58"/>
      <c r="B118" s="134" t="s">
        <v>59</v>
      </c>
      <c r="C118" s="63"/>
      <c r="D118" s="89" t="s">
        <v>7</v>
      </c>
      <c r="E118" s="86">
        <f>SUM(E121:E123)*9.774</f>
        <v>0</v>
      </c>
      <c r="F118" s="86">
        <f t="shared" ref="F118:P118" si="45">SUM(F121:F123)*9.774</f>
        <v>0</v>
      </c>
      <c r="G118" s="86">
        <f t="shared" si="45"/>
        <v>4603.5539999999992</v>
      </c>
      <c r="H118" s="87">
        <f t="shared" si="45"/>
        <v>10096.541999999999</v>
      </c>
      <c r="I118" s="86">
        <f t="shared" si="45"/>
        <v>10712.303999999998</v>
      </c>
      <c r="J118" s="86">
        <f t="shared" si="45"/>
        <v>3196.0979999999995</v>
      </c>
      <c r="K118" s="86">
        <f t="shared" si="45"/>
        <v>2443.5</v>
      </c>
      <c r="L118" s="87">
        <f t="shared" si="45"/>
        <v>2443.5</v>
      </c>
      <c r="M118" s="87">
        <f t="shared" si="45"/>
        <v>0</v>
      </c>
      <c r="N118" s="86">
        <f t="shared" si="45"/>
        <v>2932.2</v>
      </c>
      <c r="O118" s="86">
        <f t="shared" si="45"/>
        <v>14660.999999999998</v>
      </c>
      <c r="P118" s="87">
        <f t="shared" si="45"/>
        <v>15843.653999999999</v>
      </c>
      <c r="Q118" s="87">
        <f>SUM(Q121:Q123)*9.774</f>
        <v>15081.281999999999</v>
      </c>
      <c r="R118" s="86">
        <f>SUM(R121:R123)*9.774</f>
        <v>14954.22</v>
      </c>
      <c r="S118" s="87">
        <f>SUM(S121:S123)*9.75348</f>
        <v>14942.33136</v>
      </c>
      <c r="T118" s="87">
        <f t="shared" ref="T118:AI118" si="46">SUM(T121:T123)*9.75348</f>
        <v>83938.448879999996</v>
      </c>
      <c r="U118" s="86">
        <f t="shared" si="46"/>
        <v>14669.233919999999</v>
      </c>
      <c r="V118" s="86">
        <f t="shared" si="46"/>
        <v>14064.51816</v>
      </c>
      <c r="W118" s="86">
        <f t="shared" si="46"/>
        <v>5315.6466</v>
      </c>
      <c r="X118" s="86">
        <f t="shared" si="46"/>
        <v>4935.2608799999998</v>
      </c>
      <c r="Y118" s="87">
        <f t="shared" si="46"/>
        <v>5013.2887199999996</v>
      </c>
      <c r="Z118" s="86">
        <f t="shared" si="46"/>
        <v>15322.71708</v>
      </c>
      <c r="AA118" s="86">
        <f t="shared" si="46"/>
        <v>0</v>
      </c>
      <c r="AB118" s="86">
        <f t="shared" si="46"/>
        <v>15059.37312</v>
      </c>
      <c r="AC118" s="86">
        <f t="shared" si="46"/>
        <v>14883.81048</v>
      </c>
      <c r="AD118" s="87">
        <f t="shared" si="46"/>
        <v>15088.63356</v>
      </c>
      <c r="AE118" s="87">
        <f t="shared" si="46"/>
        <v>5120.5770000000002</v>
      </c>
      <c r="AF118" s="86">
        <f t="shared" si="46"/>
        <v>5169.3444</v>
      </c>
      <c r="AG118" s="86">
        <f t="shared" si="46"/>
        <v>5159.5909199999996</v>
      </c>
      <c r="AH118" s="86">
        <f t="shared" si="46"/>
        <v>0</v>
      </c>
      <c r="AI118" s="86">
        <f t="shared" si="46"/>
        <v>14630.22</v>
      </c>
    </row>
    <row r="119" spans="1:35" x14ac:dyDescent="0.35">
      <c r="A119" s="58"/>
      <c r="B119" s="134" t="s">
        <v>60</v>
      </c>
      <c r="C119" s="63"/>
      <c r="D119" s="89" t="s">
        <v>7</v>
      </c>
      <c r="E119" s="86">
        <f t="shared" ref="E119:AI119" si="47">E117-E118</f>
        <v>0</v>
      </c>
      <c r="F119" s="86">
        <f t="shared" si="47"/>
        <v>0</v>
      </c>
      <c r="G119" s="86">
        <f t="shared" si="47"/>
        <v>0</v>
      </c>
      <c r="H119" s="87">
        <f t="shared" si="47"/>
        <v>0</v>
      </c>
      <c r="I119" s="86">
        <f t="shared" si="47"/>
        <v>0</v>
      </c>
      <c r="J119" s="86">
        <f t="shared" si="47"/>
        <v>0</v>
      </c>
      <c r="K119" s="86">
        <f t="shared" si="47"/>
        <v>0</v>
      </c>
      <c r="L119" s="87">
        <f t="shared" si="47"/>
        <v>0</v>
      </c>
      <c r="M119" s="87">
        <f t="shared" si="47"/>
        <v>0</v>
      </c>
      <c r="N119" s="86">
        <f t="shared" si="47"/>
        <v>0</v>
      </c>
      <c r="O119" s="86">
        <f t="shared" si="47"/>
        <v>0.81500000000232831</v>
      </c>
      <c r="P119" s="87">
        <f t="shared" si="47"/>
        <v>0.81500000000232831</v>
      </c>
      <c r="Q119" s="44">
        <v>0</v>
      </c>
      <c r="R119" s="43">
        <v>0</v>
      </c>
      <c r="S119" s="87">
        <f t="shared" si="47"/>
        <v>0.81500000000232831</v>
      </c>
      <c r="T119" s="87">
        <f t="shared" si="47"/>
        <v>6.1450000000186265</v>
      </c>
      <c r="U119" s="86">
        <f t="shared" si="47"/>
        <v>1.716100000001461</v>
      </c>
      <c r="V119" s="86">
        <f t="shared" si="47"/>
        <v>3.5221000000019558</v>
      </c>
      <c r="W119" s="86">
        <f t="shared" si="47"/>
        <v>1.3091000000003987</v>
      </c>
      <c r="X119" s="86">
        <f t="shared" si="47"/>
        <v>1.3091000000003987</v>
      </c>
      <c r="Y119" s="87">
        <f t="shared" si="47"/>
        <v>1.3091000000003987</v>
      </c>
      <c r="Z119" s="86">
        <f t="shared" si="47"/>
        <v>3.5221000000001368</v>
      </c>
      <c r="AA119" s="86">
        <f t="shared" si="47"/>
        <v>0</v>
      </c>
      <c r="AB119" s="86">
        <f t="shared" si="47"/>
        <v>3.5221000000001368</v>
      </c>
      <c r="AC119" s="86">
        <f t="shared" si="47"/>
        <v>2.6192000000010012</v>
      </c>
      <c r="AD119" s="87">
        <f t="shared" si="47"/>
        <v>2.6192000000028202</v>
      </c>
      <c r="AE119" s="87">
        <f t="shared" si="47"/>
        <v>1.3091000000003987</v>
      </c>
      <c r="AF119" s="86">
        <f t="shared" si="47"/>
        <v>1.3091000000003987</v>
      </c>
      <c r="AG119" s="86">
        <f t="shared" si="47"/>
        <v>1.3091000000003987</v>
      </c>
      <c r="AH119" s="86">
        <f t="shared" si="47"/>
        <v>0</v>
      </c>
      <c r="AI119" s="86">
        <f t="shared" si="47"/>
        <v>3.5221000000001368</v>
      </c>
    </row>
    <row r="120" spans="1:35" x14ac:dyDescent="0.35">
      <c r="A120" s="58"/>
      <c r="B120" s="134" t="s">
        <v>62</v>
      </c>
      <c r="C120" s="63"/>
      <c r="D120" s="58"/>
      <c r="E120" s="43"/>
      <c r="F120" s="43"/>
      <c r="G120" s="43"/>
      <c r="H120" s="44"/>
      <c r="I120" s="43"/>
      <c r="J120" s="43"/>
      <c r="K120" s="43"/>
      <c r="L120" s="44"/>
      <c r="M120" s="44"/>
      <c r="N120" s="43"/>
      <c r="O120" s="43"/>
      <c r="P120" s="44"/>
      <c r="Q120" s="44"/>
      <c r="R120" s="43"/>
      <c r="S120" s="44"/>
      <c r="T120" s="44"/>
      <c r="U120" s="43"/>
      <c r="V120" s="43"/>
      <c r="W120" s="43"/>
      <c r="X120" s="43"/>
      <c r="Y120" s="44"/>
      <c r="Z120" s="43"/>
      <c r="AA120" s="43"/>
      <c r="AB120" s="43"/>
      <c r="AC120" s="43"/>
      <c r="AD120" s="44"/>
      <c r="AE120" s="44"/>
      <c r="AF120" s="43"/>
      <c r="AG120" s="43"/>
      <c r="AH120" s="43"/>
      <c r="AI120" s="43"/>
    </row>
    <row r="121" spans="1:35" x14ac:dyDescent="0.35">
      <c r="A121" s="18"/>
      <c r="B121" s="16" t="s">
        <v>79</v>
      </c>
      <c r="C121" s="17"/>
      <c r="D121" s="137" t="s">
        <v>64</v>
      </c>
      <c r="E121" s="138">
        <v>0</v>
      </c>
      <c r="F121" s="138">
        <v>0</v>
      </c>
      <c r="G121" s="138">
        <v>0</v>
      </c>
      <c r="H121" s="139">
        <v>0</v>
      </c>
      <c r="I121" s="138">
        <v>0</v>
      </c>
      <c r="J121" s="138">
        <v>327</v>
      </c>
      <c r="K121" s="138">
        <v>250</v>
      </c>
      <c r="L121" s="139">
        <v>250</v>
      </c>
      <c r="M121" s="139">
        <v>0</v>
      </c>
      <c r="N121" s="138">
        <v>300</v>
      </c>
      <c r="O121" s="138">
        <v>0</v>
      </c>
      <c r="P121" s="139">
        <v>0</v>
      </c>
      <c r="Q121" s="139">
        <v>0</v>
      </c>
      <c r="R121" s="138">
        <v>0</v>
      </c>
      <c r="S121" s="139">
        <v>0</v>
      </c>
      <c r="T121" s="139">
        <v>0</v>
      </c>
      <c r="U121" s="138">
        <v>0</v>
      </c>
      <c r="V121" s="138">
        <v>0</v>
      </c>
      <c r="W121" s="138">
        <v>545</v>
      </c>
      <c r="X121" s="138">
        <v>506</v>
      </c>
      <c r="Y121" s="139">
        <v>514</v>
      </c>
      <c r="Z121" s="138">
        <v>0</v>
      </c>
      <c r="AA121" s="138">
        <v>0</v>
      </c>
      <c r="AB121" s="138">
        <v>0</v>
      </c>
      <c r="AC121" s="138">
        <v>0</v>
      </c>
      <c r="AD121" s="139">
        <v>0</v>
      </c>
      <c r="AE121" s="139">
        <v>525</v>
      </c>
      <c r="AF121" s="138">
        <v>530</v>
      </c>
      <c r="AG121" s="138">
        <v>529</v>
      </c>
      <c r="AH121" s="138">
        <v>0</v>
      </c>
      <c r="AI121" s="138">
        <v>0</v>
      </c>
    </row>
    <row r="122" spans="1:35" x14ac:dyDescent="0.35">
      <c r="A122" s="18"/>
      <c r="B122" s="16" t="s">
        <v>80</v>
      </c>
      <c r="C122" s="17"/>
      <c r="D122" s="137" t="s">
        <v>64</v>
      </c>
      <c r="E122" s="138">
        <v>0</v>
      </c>
      <c r="F122" s="138">
        <v>0</v>
      </c>
      <c r="G122" s="138">
        <v>471</v>
      </c>
      <c r="H122" s="139">
        <v>1033</v>
      </c>
      <c r="I122" s="138">
        <v>1096</v>
      </c>
      <c r="J122" s="138"/>
      <c r="K122" s="138"/>
      <c r="L122" s="139"/>
      <c r="M122" s="139"/>
      <c r="N122" s="138"/>
      <c r="O122" s="138">
        <v>1500</v>
      </c>
      <c r="P122" s="139">
        <v>1621</v>
      </c>
      <c r="Q122" s="139">
        <v>1543</v>
      </c>
      <c r="R122" s="138">
        <v>1530</v>
      </c>
      <c r="S122" s="139">
        <v>1532</v>
      </c>
      <c r="T122" s="139">
        <v>0</v>
      </c>
      <c r="U122" s="138">
        <v>1504</v>
      </c>
      <c r="V122" s="138">
        <v>1442</v>
      </c>
      <c r="W122" s="138">
        <v>0</v>
      </c>
      <c r="X122" s="138">
        <v>0</v>
      </c>
      <c r="Y122" s="139">
        <v>0</v>
      </c>
      <c r="Z122" s="138">
        <v>1571</v>
      </c>
      <c r="AA122" s="138"/>
      <c r="AB122" s="138">
        <v>1544</v>
      </c>
      <c r="AC122" s="138">
        <v>1526</v>
      </c>
      <c r="AD122" s="139">
        <v>1547</v>
      </c>
      <c r="AE122" s="139">
        <v>0</v>
      </c>
      <c r="AF122" s="138">
        <v>0</v>
      </c>
      <c r="AG122" s="138">
        <v>0</v>
      </c>
      <c r="AH122" s="138">
        <v>0</v>
      </c>
      <c r="AI122" s="138">
        <v>1500</v>
      </c>
    </row>
    <row r="123" spans="1:35" x14ac:dyDescent="0.35">
      <c r="A123" s="18"/>
      <c r="B123" s="16" t="s">
        <v>81</v>
      </c>
      <c r="C123" s="17"/>
      <c r="D123" s="137" t="s">
        <v>64</v>
      </c>
      <c r="E123" s="138">
        <v>0</v>
      </c>
      <c r="F123" s="138">
        <v>0</v>
      </c>
      <c r="G123" s="138">
        <v>0</v>
      </c>
      <c r="H123" s="139">
        <v>0</v>
      </c>
      <c r="I123" s="138">
        <v>0</v>
      </c>
      <c r="J123" s="138">
        <v>0</v>
      </c>
      <c r="K123" s="138">
        <v>0</v>
      </c>
      <c r="L123" s="139">
        <v>0</v>
      </c>
      <c r="M123" s="139">
        <v>0</v>
      </c>
      <c r="N123" s="138">
        <v>0</v>
      </c>
      <c r="O123" s="138">
        <v>0</v>
      </c>
      <c r="P123" s="139">
        <v>0</v>
      </c>
      <c r="Q123" s="139">
        <v>0</v>
      </c>
      <c r="R123" s="138">
        <v>0</v>
      </c>
      <c r="S123" s="139">
        <v>0</v>
      </c>
      <c r="T123" s="139">
        <v>8606</v>
      </c>
      <c r="U123" s="138">
        <v>0</v>
      </c>
      <c r="V123" s="138">
        <v>0</v>
      </c>
      <c r="W123" s="138">
        <v>0</v>
      </c>
      <c r="X123" s="138">
        <v>0</v>
      </c>
      <c r="Y123" s="139">
        <v>0</v>
      </c>
      <c r="Z123" s="138">
        <v>0</v>
      </c>
      <c r="AA123" s="138">
        <v>0</v>
      </c>
      <c r="AB123" s="138">
        <v>0</v>
      </c>
      <c r="AC123" s="138">
        <v>0</v>
      </c>
      <c r="AD123" s="139">
        <v>0</v>
      </c>
      <c r="AE123" s="139">
        <v>0</v>
      </c>
      <c r="AF123" s="138">
        <v>0</v>
      </c>
      <c r="AG123" s="138">
        <v>0</v>
      </c>
      <c r="AH123" s="138">
        <v>0</v>
      </c>
      <c r="AI123" s="138">
        <v>0</v>
      </c>
    </row>
    <row r="124" spans="1:35" x14ac:dyDescent="0.35">
      <c r="A124" s="58"/>
      <c r="B124" s="134" t="s">
        <v>66</v>
      </c>
      <c r="C124" s="63"/>
      <c r="D124" s="58"/>
      <c r="E124" s="43"/>
      <c r="F124" s="43"/>
      <c r="G124" s="43"/>
      <c r="H124" s="44"/>
      <c r="I124" s="43"/>
      <c r="J124" s="43"/>
      <c r="K124" s="43"/>
      <c r="L124" s="44"/>
      <c r="M124" s="44"/>
      <c r="N124" s="43"/>
      <c r="O124" s="43"/>
      <c r="P124" s="44"/>
      <c r="Q124" s="44"/>
      <c r="R124" s="43"/>
      <c r="S124" s="44"/>
      <c r="T124" s="44"/>
      <c r="U124" s="43"/>
      <c r="V124" s="43"/>
      <c r="W124" s="43"/>
      <c r="X124" s="43"/>
      <c r="Y124" s="44"/>
      <c r="Z124" s="43"/>
      <c r="AA124" s="43"/>
      <c r="AB124" s="43"/>
      <c r="AC124" s="43"/>
      <c r="AD124" s="44"/>
      <c r="AE124" s="44"/>
      <c r="AF124" s="43"/>
      <c r="AG124" s="43"/>
      <c r="AH124" s="43"/>
      <c r="AI124" s="43"/>
    </row>
    <row r="125" spans="1:35" x14ac:dyDescent="0.35">
      <c r="A125" s="58"/>
      <c r="B125" s="16" t="s">
        <v>79</v>
      </c>
      <c r="C125" s="63"/>
      <c r="D125" s="89" t="s">
        <v>66</v>
      </c>
      <c r="E125" s="43">
        <f>E121*24</f>
        <v>0</v>
      </c>
      <c r="F125" s="43">
        <f t="shared" ref="F125:AI125" si="48">F121*24</f>
        <v>0</v>
      </c>
      <c r="G125" s="43">
        <f t="shared" si="48"/>
        <v>0</v>
      </c>
      <c r="H125" s="44">
        <f t="shared" si="48"/>
        <v>0</v>
      </c>
      <c r="I125" s="43">
        <f t="shared" si="48"/>
        <v>0</v>
      </c>
      <c r="J125" s="43">
        <f t="shared" si="48"/>
        <v>7848</v>
      </c>
      <c r="K125" s="43">
        <f t="shared" si="48"/>
        <v>6000</v>
      </c>
      <c r="L125" s="44">
        <f t="shared" si="48"/>
        <v>6000</v>
      </c>
      <c r="M125" s="44">
        <f t="shared" si="48"/>
        <v>0</v>
      </c>
      <c r="N125" s="43">
        <f t="shared" si="48"/>
        <v>7200</v>
      </c>
      <c r="O125" s="43">
        <f t="shared" si="48"/>
        <v>0</v>
      </c>
      <c r="P125" s="44">
        <f t="shared" si="48"/>
        <v>0</v>
      </c>
      <c r="Q125" s="44">
        <f t="shared" si="48"/>
        <v>0</v>
      </c>
      <c r="R125" s="43">
        <f t="shared" si="48"/>
        <v>0</v>
      </c>
      <c r="S125" s="44">
        <f t="shared" si="48"/>
        <v>0</v>
      </c>
      <c r="T125" s="44">
        <f t="shared" si="48"/>
        <v>0</v>
      </c>
      <c r="U125" s="43">
        <f t="shared" si="48"/>
        <v>0</v>
      </c>
      <c r="V125" s="43">
        <f t="shared" si="48"/>
        <v>0</v>
      </c>
      <c r="W125" s="43">
        <f t="shared" si="48"/>
        <v>13080</v>
      </c>
      <c r="X125" s="43">
        <f t="shared" si="48"/>
        <v>12144</v>
      </c>
      <c r="Y125" s="44">
        <f t="shared" si="48"/>
        <v>12336</v>
      </c>
      <c r="Z125" s="43">
        <f t="shared" si="48"/>
        <v>0</v>
      </c>
      <c r="AA125" s="43">
        <f t="shared" si="48"/>
        <v>0</v>
      </c>
      <c r="AB125" s="43">
        <f t="shared" si="48"/>
        <v>0</v>
      </c>
      <c r="AC125" s="43">
        <f t="shared" si="48"/>
        <v>0</v>
      </c>
      <c r="AD125" s="44">
        <f t="shared" si="48"/>
        <v>0</v>
      </c>
      <c r="AE125" s="44">
        <f t="shared" si="48"/>
        <v>12600</v>
      </c>
      <c r="AF125" s="43">
        <f t="shared" si="48"/>
        <v>12720</v>
      </c>
      <c r="AG125" s="43">
        <f t="shared" si="48"/>
        <v>12696</v>
      </c>
      <c r="AH125" s="43">
        <f t="shared" si="48"/>
        <v>0</v>
      </c>
      <c r="AI125" s="43">
        <f t="shared" si="48"/>
        <v>0</v>
      </c>
    </row>
    <row r="126" spans="1:35" x14ac:dyDescent="0.35">
      <c r="A126" s="58"/>
      <c r="B126" s="16" t="s">
        <v>80</v>
      </c>
      <c r="C126" s="63"/>
      <c r="D126" s="89" t="s">
        <v>66</v>
      </c>
      <c r="E126" s="43">
        <f>E122*12</f>
        <v>0</v>
      </c>
      <c r="F126" s="43">
        <f t="shared" ref="F126:AI127" si="49">F122*12</f>
        <v>0</v>
      </c>
      <c r="G126" s="43">
        <f t="shared" si="49"/>
        <v>5652</v>
      </c>
      <c r="H126" s="44">
        <f t="shared" si="49"/>
        <v>12396</v>
      </c>
      <c r="I126" s="43">
        <f t="shared" si="49"/>
        <v>13152</v>
      </c>
      <c r="J126" s="43">
        <f t="shared" si="49"/>
        <v>0</v>
      </c>
      <c r="K126" s="43">
        <f t="shared" si="49"/>
        <v>0</v>
      </c>
      <c r="L126" s="44">
        <f t="shared" si="49"/>
        <v>0</v>
      </c>
      <c r="M126" s="44">
        <f t="shared" si="49"/>
        <v>0</v>
      </c>
      <c r="N126" s="43">
        <f t="shared" si="49"/>
        <v>0</v>
      </c>
      <c r="O126" s="43">
        <f t="shared" si="49"/>
        <v>18000</v>
      </c>
      <c r="P126" s="44">
        <f t="shared" si="49"/>
        <v>19452</v>
      </c>
      <c r="Q126" s="44">
        <f t="shared" si="49"/>
        <v>18516</v>
      </c>
      <c r="R126" s="43">
        <f t="shared" si="49"/>
        <v>18360</v>
      </c>
      <c r="S126" s="44">
        <f t="shared" si="49"/>
        <v>18384</v>
      </c>
      <c r="T126" s="44">
        <f t="shared" si="49"/>
        <v>0</v>
      </c>
      <c r="U126" s="43">
        <f t="shared" si="49"/>
        <v>18048</v>
      </c>
      <c r="V126" s="43">
        <f t="shared" si="49"/>
        <v>17304</v>
      </c>
      <c r="W126" s="43">
        <f t="shared" si="49"/>
        <v>0</v>
      </c>
      <c r="X126" s="43">
        <f t="shared" si="49"/>
        <v>0</v>
      </c>
      <c r="Y126" s="44">
        <f t="shared" si="49"/>
        <v>0</v>
      </c>
      <c r="Z126" s="43">
        <f t="shared" si="49"/>
        <v>18852</v>
      </c>
      <c r="AA126" s="43">
        <f t="shared" si="49"/>
        <v>0</v>
      </c>
      <c r="AB126" s="43">
        <f t="shared" si="49"/>
        <v>18528</v>
      </c>
      <c r="AC126" s="43">
        <f t="shared" si="49"/>
        <v>18312</v>
      </c>
      <c r="AD126" s="44">
        <f t="shared" si="49"/>
        <v>18564</v>
      </c>
      <c r="AE126" s="44">
        <f t="shared" si="49"/>
        <v>0</v>
      </c>
      <c r="AF126" s="43">
        <f t="shared" si="49"/>
        <v>0</v>
      </c>
      <c r="AG126" s="43">
        <f t="shared" si="49"/>
        <v>0</v>
      </c>
      <c r="AH126" s="43">
        <f t="shared" si="49"/>
        <v>0</v>
      </c>
      <c r="AI126" s="43">
        <f t="shared" si="49"/>
        <v>18000</v>
      </c>
    </row>
    <row r="127" spans="1:35" x14ac:dyDescent="0.35">
      <c r="A127" s="58"/>
      <c r="B127" s="16" t="s">
        <v>81</v>
      </c>
      <c r="C127" s="63"/>
      <c r="D127" s="89" t="s">
        <v>66</v>
      </c>
      <c r="E127" s="43">
        <f>E123*6</f>
        <v>0</v>
      </c>
      <c r="F127" s="43">
        <f t="shared" ref="F127:AB127" si="50">F123*6</f>
        <v>0</v>
      </c>
      <c r="G127" s="43">
        <f t="shared" si="50"/>
        <v>0</v>
      </c>
      <c r="H127" s="44">
        <f t="shared" si="50"/>
        <v>0</v>
      </c>
      <c r="I127" s="43">
        <f t="shared" si="50"/>
        <v>0</v>
      </c>
      <c r="J127" s="43">
        <f t="shared" si="50"/>
        <v>0</v>
      </c>
      <c r="K127" s="43">
        <f t="shared" si="50"/>
        <v>0</v>
      </c>
      <c r="L127" s="44">
        <f t="shared" si="50"/>
        <v>0</v>
      </c>
      <c r="M127" s="44">
        <f t="shared" si="50"/>
        <v>0</v>
      </c>
      <c r="N127" s="43">
        <f t="shared" si="50"/>
        <v>0</v>
      </c>
      <c r="O127" s="43">
        <f t="shared" si="50"/>
        <v>0</v>
      </c>
      <c r="P127" s="44">
        <f t="shared" si="50"/>
        <v>0</v>
      </c>
      <c r="Q127" s="44">
        <f t="shared" si="50"/>
        <v>0</v>
      </c>
      <c r="R127" s="43">
        <f t="shared" si="50"/>
        <v>0</v>
      </c>
      <c r="S127" s="44">
        <f t="shared" si="50"/>
        <v>0</v>
      </c>
      <c r="T127" s="44">
        <f t="shared" si="50"/>
        <v>51636</v>
      </c>
      <c r="U127" s="43">
        <f t="shared" si="50"/>
        <v>0</v>
      </c>
      <c r="V127" s="43">
        <f t="shared" si="50"/>
        <v>0</v>
      </c>
      <c r="W127" s="43">
        <f t="shared" si="50"/>
        <v>0</v>
      </c>
      <c r="X127" s="43">
        <f t="shared" si="50"/>
        <v>0</v>
      </c>
      <c r="Y127" s="44">
        <f t="shared" si="50"/>
        <v>0</v>
      </c>
      <c r="Z127" s="43">
        <f t="shared" si="50"/>
        <v>0</v>
      </c>
      <c r="AA127" s="43">
        <f t="shared" si="50"/>
        <v>0</v>
      </c>
      <c r="AB127" s="43">
        <f t="shared" si="50"/>
        <v>0</v>
      </c>
      <c r="AC127" s="43">
        <f t="shared" si="49"/>
        <v>0</v>
      </c>
      <c r="AD127" s="44">
        <f t="shared" si="49"/>
        <v>0</v>
      </c>
      <c r="AE127" s="44">
        <f t="shared" si="49"/>
        <v>0</v>
      </c>
      <c r="AF127" s="43">
        <f t="shared" si="49"/>
        <v>0</v>
      </c>
      <c r="AG127" s="43">
        <f t="shared" si="49"/>
        <v>0</v>
      </c>
      <c r="AH127" s="43">
        <f t="shared" si="49"/>
        <v>0</v>
      </c>
      <c r="AI127" s="43">
        <f t="shared" si="49"/>
        <v>0</v>
      </c>
    </row>
    <row r="128" spans="1:35" x14ac:dyDescent="0.35">
      <c r="A128" s="58"/>
      <c r="B128" s="134" t="s">
        <v>67</v>
      </c>
      <c r="C128" s="63"/>
      <c r="D128" s="89" t="s">
        <v>68</v>
      </c>
      <c r="E128" s="43">
        <f>E117*45/1700</f>
        <v>0</v>
      </c>
      <c r="F128" s="43">
        <f t="shared" ref="F128:AH128" si="51">F117*45/1700</f>
        <v>0</v>
      </c>
      <c r="G128" s="43">
        <f t="shared" si="51"/>
        <v>121.85878235294118</v>
      </c>
      <c r="H128" s="44">
        <f t="shared" si="51"/>
        <v>267.2614058823529</v>
      </c>
      <c r="I128" s="43">
        <f t="shared" si="51"/>
        <v>283.56098823529419</v>
      </c>
      <c r="J128" s="43">
        <f t="shared" si="51"/>
        <v>84.602594117647058</v>
      </c>
      <c r="K128" s="43">
        <f t="shared" si="51"/>
        <v>64.680882352941182</v>
      </c>
      <c r="L128" s="44">
        <f t="shared" si="51"/>
        <v>64.680882352941182</v>
      </c>
      <c r="M128" s="44">
        <f t="shared" si="51"/>
        <v>0</v>
      </c>
      <c r="N128" s="43">
        <f t="shared" si="51"/>
        <v>77.617058823529405</v>
      </c>
      <c r="O128" s="43">
        <f t="shared" si="51"/>
        <v>388.10686764705883</v>
      </c>
      <c r="P128" s="44">
        <f t="shared" si="51"/>
        <v>419.41241470588238</v>
      </c>
      <c r="Q128" s="44">
        <f t="shared" si="51"/>
        <v>399.23197941176477</v>
      </c>
      <c r="R128" s="43">
        <f t="shared" si="51"/>
        <v>395.86857352941183</v>
      </c>
      <c r="S128" s="44">
        <f t="shared" si="51"/>
        <v>395.55387423529419</v>
      </c>
      <c r="T128" s="44">
        <f t="shared" si="51"/>
        <v>2222.0627791764709</v>
      </c>
      <c r="U128" s="43">
        <f t="shared" si="51"/>
        <v>388.34867700000001</v>
      </c>
      <c r="V128" s="43">
        <f t="shared" si="51"/>
        <v>372.38930100000005</v>
      </c>
      <c r="W128" s="43">
        <f>W117*45/1700</f>
        <v>140.74294500000002</v>
      </c>
      <c r="X128" s="43">
        <f>X117*45/1700</f>
        <v>130.67391123529413</v>
      </c>
      <c r="Y128" s="44">
        <f t="shared" si="51"/>
        <v>132.73935405882352</v>
      </c>
      <c r="Z128" s="43">
        <f t="shared" si="51"/>
        <v>405.69456652941176</v>
      </c>
      <c r="AA128" s="43">
        <f t="shared" si="51"/>
        <v>0</v>
      </c>
      <c r="AB128" s="43">
        <f t="shared" si="51"/>
        <v>398.72369699999996</v>
      </c>
      <c r="AC128" s="43">
        <f t="shared" si="51"/>
        <v>394.05255035294124</v>
      </c>
      <c r="AD128" s="44">
        <f t="shared" si="51"/>
        <v>399.47433776470598</v>
      </c>
      <c r="AE128" s="44">
        <f t="shared" si="51"/>
        <v>135.5793379411765</v>
      </c>
      <c r="AF128" s="43">
        <f t="shared" si="51"/>
        <v>136.87023970588237</v>
      </c>
      <c r="AG128" s="43">
        <f t="shared" si="51"/>
        <v>136.61205935294117</v>
      </c>
      <c r="AH128" s="43">
        <f t="shared" si="51"/>
        <v>0</v>
      </c>
      <c r="AI128" s="43">
        <f>AI117*45/1700</f>
        <v>387.3637614705882</v>
      </c>
    </row>
    <row r="129" spans="1:35" x14ac:dyDescent="0.35">
      <c r="A129" s="58"/>
      <c r="B129" s="134" t="s">
        <v>69</v>
      </c>
      <c r="C129" s="63"/>
      <c r="D129" s="89" t="s">
        <v>70</v>
      </c>
      <c r="E129" s="43">
        <f t="shared" ref="E129:AF129" si="52">SUM(E121:E123)/500</f>
        <v>0</v>
      </c>
      <c r="F129" s="43">
        <f t="shared" si="52"/>
        <v>0</v>
      </c>
      <c r="G129" s="43">
        <f t="shared" si="52"/>
        <v>0.94199999999999995</v>
      </c>
      <c r="H129" s="44">
        <f t="shared" si="52"/>
        <v>2.0659999999999998</v>
      </c>
      <c r="I129" s="43">
        <f t="shared" si="52"/>
        <v>2.1920000000000002</v>
      </c>
      <c r="J129" s="43">
        <f t="shared" si="52"/>
        <v>0.65400000000000003</v>
      </c>
      <c r="K129" s="43">
        <f t="shared" si="52"/>
        <v>0.5</v>
      </c>
      <c r="L129" s="44">
        <f t="shared" si="52"/>
        <v>0.5</v>
      </c>
      <c r="M129" s="44">
        <f t="shared" si="52"/>
        <v>0</v>
      </c>
      <c r="N129" s="43">
        <f t="shared" si="52"/>
        <v>0.6</v>
      </c>
      <c r="O129" s="43">
        <f>SUM(O121:O123)/500</f>
        <v>3</v>
      </c>
      <c r="P129" s="44">
        <f t="shared" si="52"/>
        <v>3.242</v>
      </c>
      <c r="Q129" s="44">
        <f t="shared" si="52"/>
        <v>3.0859999999999999</v>
      </c>
      <c r="R129" s="43">
        <f t="shared" si="52"/>
        <v>3.06</v>
      </c>
      <c r="S129" s="44">
        <f t="shared" si="52"/>
        <v>3.0640000000000001</v>
      </c>
      <c r="T129" s="44">
        <f t="shared" si="52"/>
        <v>17.212</v>
      </c>
      <c r="U129" s="43">
        <f>SUM(U121:U123)/500</f>
        <v>3.008</v>
      </c>
      <c r="V129" s="43">
        <f t="shared" si="52"/>
        <v>2.8839999999999999</v>
      </c>
      <c r="W129" s="43">
        <f>SUM(W121:W123)/500</f>
        <v>1.0900000000000001</v>
      </c>
      <c r="X129" s="43">
        <f t="shared" si="52"/>
        <v>1.012</v>
      </c>
      <c r="Y129" s="44">
        <f t="shared" si="52"/>
        <v>1.028</v>
      </c>
      <c r="Z129" s="43">
        <f t="shared" si="52"/>
        <v>3.1419999999999999</v>
      </c>
      <c r="AA129" s="43">
        <f t="shared" si="52"/>
        <v>0</v>
      </c>
      <c r="AB129" s="43">
        <f t="shared" si="52"/>
        <v>3.0880000000000001</v>
      </c>
      <c r="AC129" s="43">
        <f t="shared" si="52"/>
        <v>3.052</v>
      </c>
      <c r="AD129" s="44">
        <f t="shared" si="52"/>
        <v>3.0939999999999999</v>
      </c>
      <c r="AE129" s="44">
        <f t="shared" si="52"/>
        <v>1.05</v>
      </c>
      <c r="AF129" s="43">
        <f t="shared" si="52"/>
        <v>1.06</v>
      </c>
      <c r="AG129" s="43">
        <f>SUM(AG121:AG123)/500</f>
        <v>1.0580000000000001</v>
      </c>
      <c r="AH129" s="43">
        <f t="shared" ref="AH129" si="53">SUM(AH121:AH123)/500</f>
        <v>0</v>
      </c>
      <c r="AI129" s="43">
        <f>SUM(AI121:AI123)/500</f>
        <v>3</v>
      </c>
    </row>
    <row r="130" spans="1:35" x14ac:dyDescent="0.35">
      <c r="A130" s="37"/>
      <c r="B130" s="11" t="s">
        <v>71</v>
      </c>
      <c r="C130" s="35"/>
      <c r="D130" s="35"/>
      <c r="E130" s="36"/>
      <c r="F130" s="36"/>
      <c r="G130" s="36"/>
      <c r="H130" s="36"/>
      <c r="I130" s="36"/>
      <c r="J130" s="36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6"/>
      <c r="V130" s="36"/>
      <c r="W130" s="36"/>
      <c r="X130" s="36"/>
      <c r="Y130" s="36"/>
      <c r="Z130" s="36"/>
      <c r="AA130" s="36"/>
      <c r="AB130" s="15"/>
      <c r="AC130" s="36"/>
      <c r="AD130" s="36"/>
      <c r="AE130" s="36"/>
      <c r="AF130" s="36"/>
      <c r="AG130" s="36"/>
      <c r="AH130" s="15"/>
      <c r="AI130" s="15"/>
    </row>
    <row r="131" spans="1:35" x14ac:dyDescent="0.35">
      <c r="A131" s="58"/>
      <c r="B131" s="134" t="s">
        <v>62</v>
      </c>
      <c r="C131" s="63"/>
      <c r="D131" s="58"/>
      <c r="E131" s="43"/>
      <c r="F131" s="43"/>
      <c r="G131" s="43"/>
      <c r="H131" s="44"/>
      <c r="I131" s="43"/>
      <c r="J131" s="43"/>
      <c r="K131" s="43"/>
      <c r="L131" s="44"/>
      <c r="M131" s="44"/>
      <c r="N131" s="43"/>
      <c r="O131" s="43"/>
      <c r="P131" s="44"/>
      <c r="Q131" s="44"/>
      <c r="R131" s="43"/>
      <c r="S131" s="44"/>
      <c r="T131" s="44"/>
      <c r="U131" s="43"/>
      <c r="V131" s="43"/>
      <c r="W131" s="43"/>
      <c r="X131" s="43"/>
      <c r="Y131" s="44"/>
      <c r="Z131" s="43"/>
      <c r="AA131" s="43"/>
      <c r="AB131" s="43"/>
      <c r="AC131" s="43"/>
      <c r="AD131" s="44"/>
      <c r="AE131" s="44"/>
      <c r="AF131" s="43"/>
      <c r="AG131" s="43"/>
      <c r="AH131" s="43"/>
      <c r="AI131" s="43"/>
    </row>
    <row r="132" spans="1:35" x14ac:dyDescent="0.35">
      <c r="A132" s="58"/>
      <c r="B132" s="16" t="s">
        <v>79</v>
      </c>
      <c r="C132" s="63"/>
      <c r="D132" s="89" t="s">
        <v>64</v>
      </c>
      <c r="E132" s="43">
        <v>0</v>
      </c>
      <c r="F132" s="43"/>
      <c r="G132" s="43"/>
      <c r="H132" s="44"/>
      <c r="I132" s="43"/>
      <c r="J132" s="43"/>
      <c r="K132" s="43"/>
      <c r="L132" s="44"/>
      <c r="M132" s="44"/>
      <c r="N132" s="43"/>
      <c r="O132" s="43"/>
      <c r="P132" s="44"/>
      <c r="Q132" s="44"/>
      <c r="R132" s="43"/>
      <c r="S132" s="44"/>
      <c r="T132" s="44"/>
      <c r="U132" s="43"/>
      <c r="V132" s="43"/>
      <c r="W132" s="43"/>
      <c r="X132" s="43"/>
      <c r="Y132" s="44"/>
      <c r="Z132" s="43"/>
      <c r="AA132" s="43"/>
      <c r="AB132" s="43"/>
      <c r="AC132" s="43"/>
      <c r="AD132" s="44"/>
      <c r="AE132" s="44"/>
      <c r="AF132" s="43"/>
      <c r="AG132" s="43"/>
      <c r="AH132" s="43"/>
      <c r="AI132" s="43"/>
    </row>
    <row r="133" spans="1:35" x14ac:dyDescent="0.35">
      <c r="A133" s="58"/>
      <c r="B133" s="16" t="s">
        <v>80</v>
      </c>
      <c r="C133" s="63"/>
      <c r="D133" s="89" t="s">
        <v>64</v>
      </c>
      <c r="E133" s="43">
        <v>0</v>
      </c>
      <c r="F133" s="43"/>
      <c r="G133" s="43"/>
      <c r="H133" s="44"/>
      <c r="I133" s="43"/>
      <c r="J133" s="43"/>
      <c r="K133" s="43"/>
      <c r="L133" s="44"/>
      <c r="M133" s="44"/>
      <c r="N133" s="43"/>
      <c r="O133" s="43"/>
      <c r="P133" s="44"/>
      <c r="Q133" s="44"/>
      <c r="R133" s="43"/>
      <c r="S133" s="44"/>
      <c r="T133" s="44"/>
      <c r="U133" s="43"/>
      <c r="V133" s="43"/>
      <c r="W133" s="43"/>
      <c r="X133" s="43"/>
      <c r="Y133" s="44"/>
      <c r="Z133" s="43"/>
      <c r="AA133" s="43"/>
      <c r="AB133" s="43"/>
      <c r="AC133" s="43"/>
      <c r="AD133" s="44"/>
      <c r="AE133" s="44"/>
      <c r="AF133" s="43"/>
      <c r="AG133" s="43"/>
      <c r="AH133" s="43"/>
      <c r="AI133" s="43"/>
    </row>
    <row r="134" spans="1:35" x14ac:dyDescent="0.35">
      <c r="A134" s="58"/>
      <c r="B134" s="134" t="s">
        <v>66</v>
      </c>
      <c r="C134" s="63"/>
      <c r="D134" s="58"/>
      <c r="E134" s="43"/>
      <c r="F134" s="43"/>
      <c r="G134" s="43"/>
      <c r="H134" s="44"/>
      <c r="I134" s="43"/>
      <c r="J134" s="43"/>
      <c r="K134" s="43"/>
      <c r="L134" s="44"/>
      <c r="M134" s="44"/>
      <c r="N134" s="43"/>
      <c r="O134" s="43"/>
      <c r="P134" s="44"/>
      <c r="Q134" s="44"/>
      <c r="R134" s="43"/>
      <c r="S134" s="44"/>
      <c r="T134" s="44"/>
      <c r="U134" s="43"/>
      <c r="V134" s="43"/>
      <c r="W134" s="43"/>
      <c r="X134" s="43"/>
      <c r="Y134" s="44"/>
      <c r="Z134" s="43"/>
      <c r="AA134" s="43"/>
      <c r="AB134" s="43"/>
      <c r="AC134" s="43"/>
      <c r="AD134" s="44"/>
      <c r="AE134" s="44"/>
      <c r="AF134" s="43"/>
      <c r="AG134" s="43"/>
      <c r="AH134" s="43"/>
      <c r="AI134" s="43"/>
    </row>
    <row r="135" spans="1:35" x14ac:dyDescent="0.35">
      <c r="A135" s="58"/>
      <c r="B135" s="16" t="s">
        <v>79</v>
      </c>
      <c r="C135" s="63"/>
      <c r="D135" s="89" t="s">
        <v>66</v>
      </c>
      <c r="E135" s="43">
        <v>0</v>
      </c>
      <c r="F135" s="43"/>
      <c r="G135" s="43"/>
      <c r="H135" s="44"/>
      <c r="I135" s="43"/>
      <c r="J135" s="43"/>
      <c r="K135" s="43"/>
      <c r="L135" s="44"/>
      <c r="M135" s="44"/>
      <c r="N135" s="43"/>
      <c r="O135" s="43"/>
      <c r="P135" s="44"/>
      <c r="Q135" s="44"/>
      <c r="R135" s="43"/>
      <c r="S135" s="44"/>
      <c r="T135" s="44"/>
      <c r="U135" s="43"/>
      <c r="V135" s="43"/>
      <c r="W135" s="43"/>
      <c r="X135" s="43"/>
      <c r="Y135" s="44"/>
      <c r="Z135" s="43"/>
      <c r="AA135" s="43"/>
      <c r="AB135" s="43"/>
      <c r="AC135" s="43"/>
      <c r="AD135" s="44"/>
      <c r="AE135" s="44"/>
      <c r="AF135" s="43"/>
      <c r="AG135" s="43"/>
      <c r="AH135" s="43"/>
      <c r="AI135" s="43"/>
    </row>
    <row r="136" spans="1:35" x14ac:dyDescent="0.35">
      <c r="A136" s="58"/>
      <c r="B136" s="16" t="s">
        <v>80</v>
      </c>
      <c r="C136" s="63"/>
      <c r="D136" s="89" t="s">
        <v>66</v>
      </c>
      <c r="E136" s="43">
        <v>0</v>
      </c>
      <c r="F136" s="43"/>
      <c r="G136" s="43"/>
      <c r="H136" s="44"/>
      <c r="I136" s="43"/>
      <c r="J136" s="43"/>
      <c r="K136" s="43"/>
      <c r="L136" s="44"/>
      <c r="M136" s="44"/>
      <c r="N136" s="43"/>
      <c r="O136" s="43"/>
      <c r="P136" s="44"/>
      <c r="Q136" s="44"/>
      <c r="R136" s="43"/>
      <c r="S136" s="44"/>
      <c r="T136" s="44"/>
      <c r="U136" s="43"/>
      <c r="V136" s="43"/>
      <c r="W136" s="43"/>
      <c r="X136" s="43"/>
      <c r="Y136" s="44"/>
      <c r="Z136" s="43"/>
      <c r="AA136" s="43"/>
      <c r="AB136" s="43"/>
      <c r="AC136" s="43"/>
      <c r="AD136" s="44"/>
      <c r="AE136" s="44"/>
      <c r="AF136" s="43"/>
      <c r="AG136" s="43"/>
      <c r="AH136" s="43"/>
      <c r="AI136" s="43"/>
    </row>
    <row r="137" spans="1:35" x14ac:dyDescent="0.35">
      <c r="A137" s="37"/>
      <c r="B137" s="11" t="s">
        <v>72</v>
      </c>
      <c r="C137" s="35"/>
      <c r="D137" s="35"/>
      <c r="E137" s="36"/>
      <c r="F137" s="36"/>
      <c r="G137" s="36"/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V137" s="36"/>
      <c r="W137" s="36"/>
      <c r="X137" s="36"/>
      <c r="Y137" s="36"/>
      <c r="Z137" s="36"/>
      <c r="AA137" s="36"/>
      <c r="AB137" s="15"/>
      <c r="AC137" s="36"/>
      <c r="AD137" s="36"/>
      <c r="AE137" s="36"/>
      <c r="AF137" s="36"/>
      <c r="AG137" s="15"/>
      <c r="AH137" s="15"/>
      <c r="AI137" s="15"/>
    </row>
    <row r="138" spans="1:35" x14ac:dyDescent="0.35">
      <c r="A138" s="58"/>
      <c r="B138" s="134" t="s">
        <v>62</v>
      </c>
      <c r="C138" s="63"/>
      <c r="D138" s="58"/>
      <c r="E138" s="43"/>
      <c r="F138" s="43"/>
      <c r="G138" s="43"/>
      <c r="H138" s="44"/>
      <c r="I138" s="43"/>
      <c r="J138" s="43"/>
      <c r="K138" s="43"/>
      <c r="L138" s="44"/>
      <c r="M138" s="44"/>
      <c r="N138" s="43"/>
      <c r="O138" s="43"/>
      <c r="P138" s="44"/>
      <c r="Q138" s="44"/>
      <c r="R138" s="43"/>
      <c r="S138" s="44"/>
      <c r="T138" s="44"/>
      <c r="U138" s="43"/>
      <c r="V138" s="43"/>
      <c r="W138" s="43"/>
      <c r="X138" s="43"/>
      <c r="Y138" s="44"/>
      <c r="Z138" s="43"/>
      <c r="AA138" s="43"/>
      <c r="AB138" s="43"/>
      <c r="AC138" s="43"/>
      <c r="AD138" s="44"/>
      <c r="AE138" s="44"/>
      <c r="AF138" s="43"/>
      <c r="AG138" s="43"/>
      <c r="AH138" s="43"/>
      <c r="AI138" s="43"/>
    </row>
    <row r="139" spans="1:35" x14ac:dyDescent="0.35">
      <c r="A139" s="58"/>
      <c r="B139" s="16" t="s">
        <v>79</v>
      </c>
      <c r="C139" s="57">
        <v>0.3</v>
      </c>
      <c r="D139" s="89" t="s">
        <v>10</v>
      </c>
      <c r="E139" s="86" t="e">
        <f t="shared" ref="E139:AI139" si="54">E132/E121*100</f>
        <v>#DIV/0!</v>
      </c>
      <c r="F139" s="86" t="e">
        <f t="shared" si="54"/>
        <v>#DIV/0!</v>
      </c>
      <c r="G139" s="86" t="e">
        <f t="shared" si="54"/>
        <v>#DIV/0!</v>
      </c>
      <c r="H139" s="87" t="e">
        <f t="shared" si="54"/>
        <v>#DIV/0!</v>
      </c>
      <c r="I139" s="86" t="e">
        <f t="shared" si="54"/>
        <v>#DIV/0!</v>
      </c>
      <c r="J139" s="86">
        <f t="shared" si="54"/>
        <v>0</v>
      </c>
      <c r="K139" s="86">
        <f t="shared" si="54"/>
        <v>0</v>
      </c>
      <c r="L139" s="87">
        <f t="shared" si="54"/>
        <v>0</v>
      </c>
      <c r="M139" s="87" t="e">
        <f t="shared" si="54"/>
        <v>#DIV/0!</v>
      </c>
      <c r="N139" s="86">
        <f t="shared" si="54"/>
        <v>0</v>
      </c>
      <c r="O139" s="86" t="e">
        <f t="shared" si="54"/>
        <v>#DIV/0!</v>
      </c>
      <c r="P139" s="87" t="e">
        <f t="shared" si="54"/>
        <v>#DIV/0!</v>
      </c>
      <c r="Q139" s="87" t="e">
        <f t="shared" si="54"/>
        <v>#DIV/0!</v>
      </c>
      <c r="R139" s="86" t="e">
        <f t="shared" si="54"/>
        <v>#DIV/0!</v>
      </c>
      <c r="S139" s="87" t="e">
        <f t="shared" si="54"/>
        <v>#DIV/0!</v>
      </c>
      <c r="T139" s="87" t="e">
        <f t="shared" si="54"/>
        <v>#DIV/0!</v>
      </c>
      <c r="U139" s="86" t="e">
        <f t="shared" si="54"/>
        <v>#DIV/0!</v>
      </c>
      <c r="V139" s="86" t="e">
        <f t="shared" si="54"/>
        <v>#DIV/0!</v>
      </c>
      <c r="W139" s="86">
        <f t="shared" si="54"/>
        <v>0</v>
      </c>
      <c r="X139" s="86">
        <f t="shared" si="54"/>
        <v>0</v>
      </c>
      <c r="Y139" s="87">
        <f t="shared" si="54"/>
        <v>0</v>
      </c>
      <c r="Z139" s="86" t="e">
        <f t="shared" si="54"/>
        <v>#DIV/0!</v>
      </c>
      <c r="AA139" s="86" t="e">
        <f t="shared" si="54"/>
        <v>#DIV/0!</v>
      </c>
      <c r="AB139" s="86" t="e">
        <f t="shared" si="54"/>
        <v>#DIV/0!</v>
      </c>
      <c r="AC139" s="86" t="e">
        <f t="shared" si="54"/>
        <v>#DIV/0!</v>
      </c>
      <c r="AD139" s="87" t="e">
        <f t="shared" si="54"/>
        <v>#DIV/0!</v>
      </c>
      <c r="AE139" s="87">
        <f t="shared" si="54"/>
        <v>0</v>
      </c>
      <c r="AF139" s="86">
        <f t="shared" si="54"/>
        <v>0</v>
      </c>
      <c r="AG139" s="86">
        <f t="shared" si="54"/>
        <v>0</v>
      </c>
      <c r="AH139" s="86" t="e">
        <f t="shared" si="54"/>
        <v>#DIV/0!</v>
      </c>
      <c r="AI139" s="86" t="e">
        <f t="shared" si="54"/>
        <v>#DIV/0!</v>
      </c>
    </row>
    <row r="140" spans="1:35" x14ac:dyDescent="0.35">
      <c r="A140" s="58"/>
      <c r="B140" s="16" t="s">
        <v>80</v>
      </c>
      <c r="C140" s="57">
        <v>0.3</v>
      </c>
      <c r="D140" s="89" t="s">
        <v>10</v>
      </c>
      <c r="E140" s="86" t="e">
        <f t="shared" ref="E140:AI140" si="55">E133/E123*100</f>
        <v>#DIV/0!</v>
      </c>
      <c r="F140" s="86" t="e">
        <f t="shared" si="55"/>
        <v>#DIV/0!</v>
      </c>
      <c r="G140" s="86" t="e">
        <f t="shared" si="55"/>
        <v>#DIV/0!</v>
      </c>
      <c r="H140" s="87" t="e">
        <f t="shared" si="55"/>
        <v>#DIV/0!</v>
      </c>
      <c r="I140" s="86" t="e">
        <f t="shared" si="55"/>
        <v>#DIV/0!</v>
      </c>
      <c r="J140" s="86" t="e">
        <f t="shared" si="55"/>
        <v>#DIV/0!</v>
      </c>
      <c r="K140" s="86" t="e">
        <f t="shared" si="55"/>
        <v>#DIV/0!</v>
      </c>
      <c r="L140" s="87" t="e">
        <f t="shared" si="55"/>
        <v>#DIV/0!</v>
      </c>
      <c r="M140" s="87" t="e">
        <f t="shared" si="55"/>
        <v>#DIV/0!</v>
      </c>
      <c r="N140" s="86" t="e">
        <f t="shared" si="55"/>
        <v>#DIV/0!</v>
      </c>
      <c r="O140" s="86" t="e">
        <f t="shared" si="55"/>
        <v>#DIV/0!</v>
      </c>
      <c r="P140" s="87" t="e">
        <f t="shared" si="55"/>
        <v>#DIV/0!</v>
      </c>
      <c r="Q140" s="87" t="e">
        <f t="shared" si="55"/>
        <v>#DIV/0!</v>
      </c>
      <c r="R140" s="86" t="e">
        <f t="shared" si="55"/>
        <v>#DIV/0!</v>
      </c>
      <c r="S140" s="87" t="e">
        <f t="shared" si="55"/>
        <v>#DIV/0!</v>
      </c>
      <c r="T140" s="87">
        <f t="shared" si="55"/>
        <v>0</v>
      </c>
      <c r="U140" s="86" t="e">
        <f t="shared" si="55"/>
        <v>#DIV/0!</v>
      </c>
      <c r="V140" s="86" t="e">
        <f t="shared" si="55"/>
        <v>#DIV/0!</v>
      </c>
      <c r="W140" s="86" t="e">
        <f t="shared" si="55"/>
        <v>#DIV/0!</v>
      </c>
      <c r="X140" s="86" t="e">
        <f t="shared" si="55"/>
        <v>#DIV/0!</v>
      </c>
      <c r="Y140" s="87" t="e">
        <f t="shared" si="55"/>
        <v>#DIV/0!</v>
      </c>
      <c r="Z140" s="86" t="e">
        <f t="shared" si="55"/>
        <v>#DIV/0!</v>
      </c>
      <c r="AA140" s="86" t="e">
        <f t="shared" si="55"/>
        <v>#DIV/0!</v>
      </c>
      <c r="AB140" s="86" t="e">
        <f t="shared" si="55"/>
        <v>#DIV/0!</v>
      </c>
      <c r="AC140" s="86" t="e">
        <f t="shared" si="55"/>
        <v>#DIV/0!</v>
      </c>
      <c r="AD140" s="87" t="e">
        <f t="shared" si="55"/>
        <v>#DIV/0!</v>
      </c>
      <c r="AE140" s="87" t="e">
        <f t="shared" si="55"/>
        <v>#DIV/0!</v>
      </c>
      <c r="AF140" s="86" t="e">
        <f t="shared" si="55"/>
        <v>#DIV/0!</v>
      </c>
      <c r="AG140" s="86" t="e">
        <f t="shared" si="55"/>
        <v>#DIV/0!</v>
      </c>
      <c r="AH140" s="86" t="e">
        <f t="shared" si="55"/>
        <v>#DIV/0!</v>
      </c>
      <c r="AI140" s="86" t="e">
        <f t="shared" si="55"/>
        <v>#DIV/0!</v>
      </c>
    </row>
    <row r="141" spans="1:35" x14ac:dyDescent="0.35">
      <c r="A141" s="58"/>
      <c r="B141" s="134" t="s">
        <v>66</v>
      </c>
      <c r="C141" s="57"/>
      <c r="D141" s="58"/>
      <c r="E141" s="86"/>
      <c r="F141" s="86"/>
      <c r="G141" s="86"/>
      <c r="H141" s="87"/>
      <c r="I141" s="86"/>
      <c r="J141" s="86"/>
      <c r="K141" s="86"/>
      <c r="L141" s="87"/>
      <c r="M141" s="87"/>
      <c r="N141" s="86"/>
      <c r="O141" s="86"/>
      <c r="P141" s="87"/>
      <c r="Q141" s="87"/>
      <c r="R141" s="86"/>
      <c r="S141" s="87"/>
      <c r="T141" s="87"/>
      <c r="U141" s="86"/>
      <c r="V141" s="86"/>
      <c r="W141" s="86"/>
      <c r="X141" s="86"/>
      <c r="Y141" s="87"/>
      <c r="Z141" s="86"/>
      <c r="AA141" s="86"/>
      <c r="AB141" s="86"/>
      <c r="AC141" s="86"/>
      <c r="AD141" s="87"/>
      <c r="AE141" s="87"/>
      <c r="AF141" s="86"/>
      <c r="AG141" s="86"/>
      <c r="AH141" s="86"/>
      <c r="AI141" s="86"/>
    </row>
    <row r="142" spans="1:35" x14ac:dyDescent="0.35">
      <c r="A142" s="58"/>
      <c r="B142" s="16" t="s">
        <v>79</v>
      </c>
      <c r="C142" s="57">
        <v>0.5</v>
      </c>
      <c r="D142" s="89" t="s">
        <v>10</v>
      </c>
      <c r="E142" s="86" t="e">
        <f t="shared" ref="E142:AI142" si="56">E135/E125*100</f>
        <v>#DIV/0!</v>
      </c>
      <c r="F142" s="86" t="e">
        <f t="shared" si="56"/>
        <v>#DIV/0!</v>
      </c>
      <c r="G142" s="86" t="e">
        <f t="shared" si="56"/>
        <v>#DIV/0!</v>
      </c>
      <c r="H142" s="87" t="e">
        <f t="shared" si="56"/>
        <v>#DIV/0!</v>
      </c>
      <c r="I142" s="86" t="e">
        <f t="shared" si="56"/>
        <v>#DIV/0!</v>
      </c>
      <c r="J142" s="86">
        <f t="shared" si="56"/>
        <v>0</v>
      </c>
      <c r="K142" s="86">
        <f t="shared" si="56"/>
        <v>0</v>
      </c>
      <c r="L142" s="87">
        <f t="shared" si="56"/>
        <v>0</v>
      </c>
      <c r="M142" s="87" t="e">
        <f t="shared" si="56"/>
        <v>#DIV/0!</v>
      </c>
      <c r="N142" s="86">
        <f t="shared" si="56"/>
        <v>0</v>
      </c>
      <c r="O142" s="86" t="e">
        <f t="shared" si="56"/>
        <v>#DIV/0!</v>
      </c>
      <c r="P142" s="87" t="e">
        <f t="shared" si="56"/>
        <v>#DIV/0!</v>
      </c>
      <c r="Q142" s="87" t="e">
        <f t="shared" si="56"/>
        <v>#DIV/0!</v>
      </c>
      <c r="R142" s="86" t="e">
        <f t="shared" si="56"/>
        <v>#DIV/0!</v>
      </c>
      <c r="S142" s="87" t="e">
        <f t="shared" si="56"/>
        <v>#DIV/0!</v>
      </c>
      <c r="T142" s="87" t="e">
        <f t="shared" si="56"/>
        <v>#DIV/0!</v>
      </c>
      <c r="U142" s="86" t="e">
        <f t="shared" si="56"/>
        <v>#DIV/0!</v>
      </c>
      <c r="V142" s="86" t="e">
        <f t="shared" si="56"/>
        <v>#DIV/0!</v>
      </c>
      <c r="W142" s="86">
        <f t="shared" si="56"/>
        <v>0</v>
      </c>
      <c r="X142" s="86">
        <f t="shared" si="56"/>
        <v>0</v>
      </c>
      <c r="Y142" s="87">
        <f t="shared" si="56"/>
        <v>0</v>
      </c>
      <c r="Z142" s="86" t="e">
        <f t="shared" si="56"/>
        <v>#DIV/0!</v>
      </c>
      <c r="AA142" s="86" t="e">
        <f t="shared" si="56"/>
        <v>#DIV/0!</v>
      </c>
      <c r="AB142" s="86" t="e">
        <f t="shared" si="56"/>
        <v>#DIV/0!</v>
      </c>
      <c r="AC142" s="86" t="e">
        <f t="shared" si="56"/>
        <v>#DIV/0!</v>
      </c>
      <c r="AD142" s="87" t="e">
        <f t="shared" si="56"/>
        <v>#DIV/0!</v>
      </c>
      <c r="AE142" s="87">
        <f t="shared" si="56"/>
        <v>0</v>
      </c>
      <c r="AF142" s="86">
        <f t="shared" si="56"/>
        <v>0</v>
      </c>
      <c r="AG142" s="86">
        <f t="shared" si="56"/>
        <v>0</v>
      </c>
      <c r="AH142" s="86" t="e">
        <f t="shared" si="56"/>
        <v>#DIV/0!</v>
      </c>
      <c r="AI142" s="86" t="e">
        <f t="shared" si="56"/>
        <v>#DIV/0!</v>
      </c>
    </row>
    <row r="143" spans="1:35" x14ac:dyDescent="0.35">
      <c r="A143" s="58"/>
      <c r="B143" s="16" t="s">
        <v>80</v>
      </c>
      <c r="C143" s="57">
        <v>0.5</v>
      </c>
      <c r="D143" s="89" t="s">
        <v>10</v>
      </c>
      <c r="E143" s="86" t="e">
        <f t="shared" ref="E143:AI143" si="57">E136/E127*100</f>
        <v>#DIV/0!</v>
      </c>
      <c r="F143" s="86" t="e">
        <f t="shared" si="57"/>
        <v>#DIV/0!</v>
      </c>
      <c r="G143" s="86" t="e">
        <f t="shared" si="57"/>
        <v>#DIV/0!</v>
      </c>
      <c r="H143" s="87" t="e">
        <f t="shared" si="57"/>
        <v>#DIV/0!</v>
      </c>
      <c r="I143" s="86" t="e">
        <f t="shared" si="57"/>
        <v>#DIV/0!</v>
      </c>
      <c r="J143" s="86" t="e">
        <f t="shared" si="57"/>
        <v>#DIV/0!</v>
      </c>
      <c r="K143" s="86" t="e">
        <f t="shared" si="57"/>
        <v>#DIV/0!</v>
      </c>
      <c r="L143" s="87" t="e">
        <f t="shared" si="57"/>
        <v>#DIV/0!</v>
      </c>
      <c r="M143" s="87" t="e">
        <f t="shared" si="57"/>
        <v>#DIV/0!</v>
      </c>
      <c r="N143" s="86" t="e">
        <f t="shared" si="57"/>
        <v>#DIV/0!</v>
      </c>
      <c r="O143" s="86" t="e">
        <f t="shared" si="57"/>
        <v>#DIV/0!</v>
      </c>
      <c r="P143" s="87" t="e">
        <f t="shared" si="57"/>
        <v>#DIV/0!</v>
      </c>
      <c r="Q143" s="87" t="e">
        <f t="shared" si="57"/>
        <v>#DIV/0!</v>
      </c>
      <c r="R143" s="86" t="e">
        <f t="shared" si="57"/>
        <v>#DIV/0!</v>
      </c>
      <c r="S143" s="87" t="e">
        <f t="shared" si="57"/>
        <v>#DIV/0!</v>
      </c>
      <c r="T143" s="87">
        <f t="shared" si="57"/>
        <v>0</v>
      </c>
      <c r="U143" s="86" t="e">
        <f t="shared" si="57"/>
        <v>#DIV/0!</v>
      </c>
      <c r="V143" s="86" t="e">
        <f t="shared" si="57"/>
        <v>#DIV/0!</v>
      </c>
      <c r="W143" s="86" t="e">
        <f t="shared" si="57"/>
        <v>#DIV/0!</v>
      </c>
      <c r="X143" s="86" t="e">
        <f t="shared" si="57"/>
        <v>#DIV/0!</v>
      </c>
      <c r="Y143" s="87" t="e">
        <f t="shared" si="57"/>
        <v>#DIV/0!</v>
      </c>
      <c r="Z143" s="86" t="e">
        <f t="shared" si="57"/>
        <v>#DIV/0!</v>
      </c>
      <c r="AA143" s="86" t="e">
        <f t="shared" si="57"/>
        <v>#DIV/0!</v>
      </c>
      <c r="AB143" s="86" t="e">
        <f t="shared" si="57"/>
        <v>#DIV/0!</v>
      </c>
      <c r="AC143" s="86" t="e">
        <f t="shared" si="57"/>
        <v>#DIV/0!</v>
      </c>
      <c r="AD143" s="87" t="e">
        <f t="shared" si="57"/>
        <v>#DIV/0!</v>
      </c>
      <c r="AE143" s="87" t="e">
        <f t="shared" si="57"/>
        <v>#DIV/0!</v>
      </c>
      <c r="AF143" s="86" t="e">
        <f t="shared" si="57"/>
        <v>#DIV/0!</v>
      </c>
      <c r="AG143" s="86" t="e">
        <f t="shared" si="57"/>
        <v>#DIV/0!</v>
      </c>
      <c r="AH143" s="86" t="e">
        <f t="shared" si="57"/>
        <v>#DIV/0!</v>
      </c>
      <c r="AI143" s="86" t="e">
        <f t="shared" si="57"/>
        <v>#DIV/0!</v>
      </c>
    </row>
    <row r="144" spans="1:35" x14ac:dyDescent="0.35">
      <c r="A144" s="34">
        <v>8</v>
      </c>
      <c r="B144" s="82" t="s">
        <v>82</v>
      </c>
      <c r="C144" s="35"/>
      <c r="D144" s="83"/>
      <c r="E144" s="36"/>
      <c r="F144" s="36"/>
      <c r="G144" s="36"/>
      <c r="H144" s="36"/>
      <c r="I144" s="36"/>
      <c r="J144" s="36"/>
      <c r="K144" s="36"/>
      <c r="L144" s="36"/>
      <c r="M144" s="36"/>
      <c r="N144" s="36"/>
      <c r="O144" s="36"/>
      <c r="P144" s="36"/>
      <c r="Q144" s="36"/>
      <c r="R144" s="36"/>
      <c r="S144" s="36"/>
      <c r="T144" s="36"/>
      <c r="U144" s="36"/>
      <c r="V144" s="36"/>
      <c r="W144" s="36"/>
      <c r="X144" s="36"/>
      <c r="Y144" s="36"/>
      <c r="Z144" s="36"/>
      <c r="AA144" s="36"/>
      <c r="AB144" s="36"/>
      <c r="AC144" s="36"/>
      <c r="AD144" s="36"/>
      <c r="AE144" s="36"/>
      <c r="AF144" s="36"/>
      <c r="AG144" s="36"/>
      <c r="AH144" s="36"/>
      <c r="AI144" s="36"/>
    </row>
    <row r="145" spans="1:35" x14ac:dyDescent="0.35">
      <c r="A145" s="37"/>
      <c r="B145" s="56" t="s">
        <v>83</v>
      </c>
      <c r="C145" s="63"/>
      <c r="D145" s="89" t="s">
        <v>84</v>
      </c>
      <c r="E145" s="86">
        <v>0</v>
      </c>
      <c r="F145" s="148">
        <v>292.36429999999382</v>
      </c>
      <c r="G145" s="149">
        <f>0.3054048*1000</f>
        <v>305.40479999999997</v>
      </c>
      <c r="H145" s="150">
        <v>973.18520000000001</v>
      </c>
      <c r="I145" s="151">
        <v>1562.1184000000001</v>
      </c>
      <c r="J145" s="151">
        <v>1680.9786999999999</v>
      </c>
      <c r="K145" s="151">
        <v>1414.9094</v>
      </c>
      <c r="L145" s="150">
        <v>1452.5306</v>
      </c>
      <c r="M145" s="150">
        <v>1464.2998</v>
      </c>
      <c r="N145" s="151">
        <v>1450.307</v>
      </c>
      <c r="O145" s="151">
        <v>1410.6158</v>
      </c>
      <c r="P145" s="150">
        <v>1406.9285</v>
      </c>
      <c r="Q145" s="150">
        <v>1478.6445000000001</v>
      </c>
      <c r="R145" s="151">
        <v>1452.5979</v>
      </c>
      <c r="S145" s="150">
        <v>1361.7008000000001</v>
      </c>
      <c r="T145" s="152">
        <v>1231.7937999999999</v>
      </c>
      <c r="U145" s="153">
        <v>1204.4146000000001</v>
      </c>
      <c r="V145" s="153">
        <v>1238.9662000000001</v>
      </c>
      <c r="W145" s="153">
        <v>1248.8861999999999</v>
      </c>
      <c r="X145" s="153">
        <v>1237.1469</v>
      </c>
      <c r="Y145" s="152">
        <v>1174.8531</v>
      </c>
      <c r="Z145" s="151">
        <v>1319.1795999999999</v>
      </c>
      <c r="AA145" s="153">
        <v>1381.7617</v>
      </c>
      <c r="AB145" s="151">
        <v>1278.6461999999999</v>
      </c>
      <c r="AC145" s="151">
        <v>1337.3388</v>
      </c>
      <c r="AD145" s="152">
        <v>1324.0198</v>
      </c>
      <c r="AE145" s="152">
        <v>1247.0219999999999</v>
      </c>
      <c r="AF145" s="153">
        <v>1284.7329</v>
      </c>
      <c r="AG145" s="153">
        <v>1215.7421999999999</v>
      </c>
      <c r="AH145" s="153">
        <v>1184.8779</v>
      </c>
      <c r="AI145" s="153">
        <v>1285.7324000000001</v>
      </c>
    </row>
    <row r="146" spans="1:35" x14ac:dyDescent="0.35">
      <c r="A146" s="64"/>
      <c r="B146" s="84" t="s">
        <v>85</v>
      </c>
      <c r="C146" s="154">
        <v>1269.566</v>
      </c>
      <c r="D146" s="85" t="s">
        <v>84</v>
      </c>
      <c r="E146" s="155">
        <v>0</v>
      </c>
      <c r="F146" s="148">
        <v>18.369599999999998</v>
      </c>
      <c r="G146" s="148">
        <v>747.91279999999995</v>
      </c>
      <c r="H146" s="150">
        <v>1400.7539999999999</v>
      </c>
      <c r="I146" s="149">
        <v>1494.0867000000001</v>
      </c>
      <c r="J146" s="156">
        <v>1251.0693000000001</v>
      </c>
      <c r="K146" s="157">
        <v>1279.5748000000001</v>
      </c>
      <c r="L146" s="150">
        <v>1293.2394999999999</v>
      </c>
      <c r="M146" s="150">
        <v>1337.2913000000001</v>
      </c>
      <c r="N146" s="153">
        <v>1266.7521999999999</v>
      </c>
      <c r="O146" s="151">
        <v>1333.3063999999999</v>
      </c>
      <c r="P146" s="150">
        <v>1352.6065000000001</v>
      </c>
      <c r="Q146" s="150">
        <v>1317.0299</v>
      </c>
      <c r="R146" s="153">
        <v>1261.5872999999999</v>
      </c>
      <c r="S146" s="152">
        <v>1138.2207000000001</v>
      </c>
      <c r="T146" s="152">
        <v>1112.3947000000001</v>
      </c>
      <c r="U146" s="153">
        <v>1144.6552999999999</v>
      </c>
      <c r="V146" s="153">
        <v>1174.4693</v>
      </c>
      <c r="W146" s="153">
        <v>1146.2182</v>
      </c>
      <c r="X146" s="153">
        <v>1086.5976000000001</v>
      </c>
      <c r="Y146" s="152">
        <v>1227.1335999999999</v>
      </c>
      <c r="Z146" s="151">
        <v>1281.6559</v>
      </c>
      <c r="AA146" s="153">
        <v>1182.4992</v>
      </c>
      <c r="AB146" s="153">
        <v>1229.9712999999999</v>
      </c>
      <c r="AC146" s="153">
        <v>1226.5518999999999</v>
      </c>
      <c r="AD146" s="152">
        <v>1146.6214</v>
      </c>
      <c r="AE146" s="152">
        <v>1189.1955</v>
      </c>
      <c r="AF146" s="158">
        <v>1126.4177</v>
      </c>
      <c r="AG146" s="153">
        <v>1086.2360000000001</v>
      </c>
      <c r="AH146" s="153">
        <v>1188.4267</v>
      </c>
      <c r="AI146" s="153">
        <v>1222.4603999999999</v>
      </c>
    </row>
    <row r="147" spans="1:35" x14ac:dyDescent="0.35">
      <c r="A147" s="58"/>
      <c r="B147" s="126" t="s">
        <v>86</v>
      </c>
      <c r="C147" s="63"/>
      <c r="D147" s="58"/>
      <c r="E147" s="155"/>
      <c r="F147" s="148"/>
      <c r="G147" s="148"/>
      <c r="H147" s="44"/>
      <c r="I147" s="148"/>
      <c r="J147" s="156"/>
      <c r="K147" s="156"/>
      <c r="L147" s="44"/>
      <c r="M147" s="44"/>
      <c r="N147" s="43"/>
      <c r="O147" s="43"/>
      <c r="P147" s="159"/>
      <c r="Q147" s="159"/>
      <c r="R147" s="43"/>
      <c r="S147" s="44"/>
      <c r="T147" s="44"/>
      <c r="U147" s="43"/>
      <c r="V147" s="43"/>
      <c r="W147" s="43"/>
      <c r="X147" s="43"/>
      <c r="Y147" s="44"/>
      <c r="Z147" s="43"/>
      <c r="AA147" s="43"/>
      <c r="AB147" s="86"/>
      <c r="AC147" s="86"/>
      <c r="AD147" s="87"/>
      <c r="AE147" s="87"/>
      <c r="AF147" s="86"/>
      <c r="AG147" s="86"/>
      <c r="AH147" s="86"/>
      <c r="AI147" s="86"/>
    </row>
    <row r="148" spans="1:35" x14ac:dyDescent="0.35">
      <c r="A148" s="58"/>
      <c r="B148" s="56" t="s">
        <v>87</v>
      </c>
      <c r="C148" s="57">
        <v>253.91319999999999</v>
      </c>
      <c r="D148" s="89" t="s">
        <v>84</v>
      </c>
      <c r="E148" s="155">
        <v>0</v>
      </c>
      <c r="F148" s="160">
        <v>0</v>
      </c>
      <c r="G148" s="148">
        <v>104.1211603920467</v>
      </c>
      <c r="H148" s="152">
        <v>247.83490903908864</v>
      </c>
      <c r="I148" s="148">
        <v>261.61899945133251</v>
      </c>
      <c r="J148" s="156">
        <v>232.55848440962353</v>
      </c>
      <c r="K148" s="156">
        <v>260.79989875047312</v>
      </c>
      <c r="L148" s="152">
        <v>247.28854185499461</v>
      </c>
      <c r="M148" s="152">
        <v>263.35078409928741</v>
      </c>
      <c r="N148" s="153">
        <v>271.6628445155601</v>
      </c>
      <c r="O148" s="153">
        <v>266.8226389912399</v>
      </c>
      <c r="P148" s="152">
        <v>279.10586999625986</v>
      </c>
      <c r="Q148" s="152">
        <v>239.94728983983129</v>
      </c>
      <c r="R148" s="153">
        <v>199.00015074429197</v>
      </c>
      <c r="S148" s="152">
        <v>186.12549535725074</v>
      </c>
      <c r="T148" s="152">
        <v>186.95165785641902</v>
      </c>
      <c r="U148" s="153">
        <v>199.23490975289852</v>
      </c>
      <c r="V148" s="153">
        <v>172.64024221451785</v>
      </c>
      <c r="W148" s="153">
        <v>164.19876151644854</v>
      </c>
      <c r="X148" s="153">
        <v>150.82331111535154</v>
      </c>
      <c r="Y148" s="152">
        <v>168.05826653780039</v>
      </c>
      <c r="Z148" s="153">
        <v>174.3829196422102</v>
      </c>
      <c r="AA148" s="153">
        <v>185.48177930963581</v>
      </c>
      <c r="AB148" s="153">
        <v>175.33653808047205</v>
      </c>
      <c r="AC148" s="153">
        <v>176.27695180849869</v>
      </c>
      <c r="AD148" s="152">
        <v>184.61409440027194</v>
      </c>
      <c r="AE148" s="152">
        <v>172.11539333210305</v>
      </c>
      <c r="AF148" s="153">
        <v>197.54687616990185</v>
      </c>
      <c r="AG148" s="153">
        <v>184.60969933351549</v>
      </c>
      <c r="AH148" s="153">
        <v>190.3054964825107</v>
      </c>
      <c r="AI148" s="153">
        <v>182.63701065691492</v>
      </c>
    </row>
    <row r="149" spans="1:35" x14ac:dyDescent="0.35">
      <c r="A149" s="58"/>
      <c r="B149" s="56" t="s">
        <v>88</v>
      </c>
      <c r="C149" s="57">
        <v>1015.6528</v>
      </c>
      <c r="D149" s="89" t="s">
        <v>84</v>
      </c>
      <c r="E149" s="155">
        <f t="shared" ref="E149:AI149" si="58">E150-E148</f>
        <v>0</v>
      </c>
      <c r="F149" s="148">
        <f t="shared" si="58"/>
        <v>18.369599999999998</v>
      </c>
      <c r="G149" s="148">
        <f t="shared" si="58"/>
        <v>643.79163960795324</v>
      </c>
      <c r="H149" s="152">
        <f t="shared" si="58"/>
        <v>1152.9190909609113</v>
      </c>
      <c r="I149" s="148">
        <f t="shared" si="58"/>
        <v>1232.4677005486676</v>
      </c>
      <c r="J149" s="156">
        <f t="shared" si="58"/>
        <v>1018.5108155903765</v>
      </c>
      <c r="K149" s="156">
        <f t="shared" si="58"/>
        <v>1018.7749012495269</v>
      </c>
      <c r="L149" s="152">
        <f t="shared" si="58"/>
        <v>1045.9509581450052</v>
      </c>
      <c r="M149" s="152">
        <f t="shared" si="58"/>
        <v>1073.9405159007126</v>
      </c>
      <c r="N149" s="153">
        <f t="shared" si="58"/>
        <v>995.08935548443981</v>
      </c>
      <c r="O149" s="153">
        <f t="shared" si="58"/>
        <v>1066.48376100876</v>
      </c>
      <c r="P149" s="152">
        <f t="shared" si="58"/>
        <v>1073.5006300037403</v>
      </c>
      <c r="Q149" s="152">
        <f t="shared" si="58"/>
        <v>1077.0826101601688</v>
      </c>
      <c r="R149" s="153">
        <f t="shared" si="58"/>
        <v>1062.587149255708</v>
      </c>
      <c r="S149" s="152">
        <f t="shared" si="58"/>
        <v>952.09520464274931</v>
      </c>
      <c r="T149" s="152">
        <f t="shared" si="58"/>
        <v>925.44304214358101</v>
      </c>
      <c r="U149" s="153">
        <f t="shared" si="58"/>
        <v>945.42039024710141</v>
      </c>
      <c r="V149" s="153">
        <f t="shared" si="58"/>
        <v>1001.8290577854821</v>
      </c>
      <c r="W149" s="153">
        <f t="shared" si="58"/>
        <v>982.01943848355154</v>
      </c>
      <c r="X149" s="153">
        <f t="shared" si="58"/>
        <v>935.77428888464851</v>
      </c>
      <c r="Y149" s="152">
        <f t="shared" si="58"/>
        <v>1059.0753334621995</v>
      </c>
      <c r="Z149" s="153">
        <f t="shared" si="58"/>
        <v>1107.2729803577897</v>
      </c>
      <c r="AA149" s="153">
        <f t="shared" si="58"/>
        <v>997.01742069036413</v>
      </c>
      <c r="AB149" s="153">
        <f t="shared" si="58"/>
        <v>1054.6347619195278</v>
      </c>
      <c r="AC149" s="153">
        <f t="shared" si="58"/>
        <v>1050.2749481915012</v>
      </c>
      <c r="AD149" s="152">
        <f t="shared" si="58"/>
        <v>962.00730559972806</v>
      </c>
      <c r="AE149" s="152">
        <f t="shared" si="58"/>
        <v>1017.080106667897</v>
      </c>
      <c r="AF149" s="153">
        <f t="shared" si="58"/>
        <v>928.87082383009806</v>
      </c>
      <c r="AG149" s="153">
        <f t="shared" si="58"/>
        <v>901.62630066648467</v>
      </c>
      <c r="AH149" s="153">
        <f t="shared" si="58"/>
        <v>998.12120351748922</v>
      </c>
      <c r="AI149" s="153">
        <f t="shared" si="58"/>
        <v>1039.823389343085</v>
      </c>
    </row>
    <row r="150" spans="1:35" x14ac:dyDescent="0.35">
      <c r="A150" s="161"/>
      <c r="B150" s="162" t="s">
        <v>89</v>
      </c>
      <c r="C150" s="163">
        <f>SUM(C148:C149)</f>
        <v>1269.566</v>
      </c>
      <c r="D150" s="164" t="s">
        <v>84</v>
      </c>
      <c r="E150" s="165">
        <f t="shared" ref="E150:AI150" si="59">E146</f>
        <v>0</v>
      </c>
      <c r="F150" s="166">
        <f t="shared" si="59"/>
        <v>18.369599999999998</v>
      </c>
      <c r="G150" s="166">
        <f t="shared" si="59"/>
        <v>747.91279999999995</v>
      </c>
      <c r="H150" s="167">
        <f t="shared" si="59"/>
        <v>1400.7539999999999</v>
      </c>
      <c r="I150" s="168">
        <f t="shared" si="59"/>
        <v>1494.0867000000001</v>
      </c>
      <c r="J150" s="168">
        <f t="shared" si="59"/>
        <v>1251.0693000000001</v>
      </c>
      <c r="K150" s="168">
        <f t="shared" si="59"/>
        <v>1279.5748000000001</v>
      </c>
      <c r="L150" s="167">
        <f t="shared" si="59"/>
        <v>1293.2394999999999</v>
      </c>
      <c r="M150" s="167">
        <f t="shared" si="59"/>
        <v>1337.2913000000001</v>
      </c>
      <c r="N150" s="168">
        <f t="shared" si="59"/>
        <v>1266.7521999999999</v>
      </c>
      <c r="O150" s="168">
        <f t="shared" si="59"/>
        <v>1333.3063999999999</v>
      </c>
      <c r="P150" s="167">
        <f t="shared" si="59"/>
        <v>1352.6065000000001</v>
      </c>
      <c r="Q150" s="167">
        <f t="shared" si="59"/>
        <v>1317.0299</v>
      </c>
      <c r="R150" s="168">
        <f t="shared" si="59"/>
        <v>1261.5872999999999</v>
      </c>
      <c r="S150" s="167">
        <f t="shared" si="59"/>
        <v>1138.2207000000001</v>
      </c>
      <c r="T150" s="167">
        <f t="shared" si="59"/>
        <v>1112.3947000000001</v>
      </c>
      <c r="U150" s="168">
        <f t="shared" si="59"/>
        <v>1144.6552999999999</v>
      </c>
      <c r="V150" s="168">
        <f t="shared" si="59"/>
        <v>1174.4693</v>
      </c>
      <c r="W150" s="168">
        <f t="shared" si="59"/>
        <v>1146.2182</v>
      </c>
      <c r="X150" s="168">
        <f t="shared" si="59"/>
        <v>1086.5976000000001</v>
      </c>
      <c r="Y150" s="167">
        <f t="shared" si="59"/>
        <v>1227.1335999999999</v>
      </c>
      <c r="Z150" s="168">
        <f t="shared" si="59"/>
        <v>1281.6559</v>
      </c>
      <c r="AA150" s="168">
        <f t="shared" si="59"/>
        <v>1182.4992</v>
      </c>
      <c r="AB150" s="168">
        <f t="shared" si="59"/>
        <v>1229.9712999999999</v>
      </c>
      <c r="AC150" s="168">
        <f t="shared" si="59"/>
        <v>1226.5518999999999</v>
      </c>
      <c r="AD150" s="167">
        <f t="shared" si="59"/>
        <v>1146.6214</v>
      </c>
      <c r="AE150" s="167">
        <f t="shared" si="59"/>
        <v>1189.1955</v>
      </c>
      <c r="AF150" s="168">
        <f t="shared" si="59"/>
        <v>1126.4177</v>
      </c>
      <c r="AG150" s="168">
        <f t="shared" si="59"/>
        <v>1086.2360000000001</v>
      </c>
      <c r="AH150" s="168">
        <f t="shared" si="59"/>
        <v>1188.4267</v>
      </c>
      <c r="AI150" s="168">
        <f t="shared" si="59"/>
        <v>1222.4603999999999</v>
      </c>
    </row>
    <row r="151" spans="1:35" x14ac:dyDescent="0.35">
      <c r="A151" s="37">
        <v>9</v>
      </c>
      <c r="B151" s="169" t="s">
        <v>90</v>
      </c>
      <c r="C151" s="170"/>
      <c r="D151" s="170"/>
      <c r="E151" s="171"/>
      <c r="F151" s="171"/>
      <c r="G151" s="171"/>
      <c r="H151" s="171"/>
      <c r="I151" s="171"/>
      <c r="J151" s="171"/>
      <c r="K151" s="171"/>
      <c r="L151" s="171"/>
      <c r="M151" s="171"/>
      <c r="N151" s="171"/>
      <c r="O151" s="171"/>
      <c r="P151" s="171"/>
      <c r="Q151" s="171"/>
      <c r="R151" s="171"/>
      <c r="S151" s="171"/>
      <c r="T151" s="171"/>
      <c r="U151" s="171"/>
      <c r="V151" s="171"/>
      <c r="W151" s="171"/>
      <c r="X151" s="171"/>
      <c r="Y151" s="171"/>
      <c r="Z151" s="171"/>
      <c r="AA151" s="171"/>
      <c r="AB151" s="171"/>
      <c r="AC151" s="171"/>
      <c r="AD151" s="171"/>
      <c r="AE151" s="171"/>
      <c r="AF151" s="171"/>
      <c r="AG151" s="171"/>
      <c r="AH151" s="171"/>
      <c r="AI151" s="171"/>
    </row>
    <row r="152" spans="1:35" x14ac:dyDescent="0.35">
      <c r="A152" s="37"/>
      <c r="B152" s="56" t="s">
        <v>91</v>
      </c>
      <c r="C152" s="46">
        <f>17000*24</f>
        <v>408000</v>
      </c>
      <c r="D152" s="89" t="s">
        <v>7</v>
      </c>
      <c r="E152" s="124">
        <v>0</v>
      </c>
      <c r="F152" s="124">
        <v>0</v>
      </c>
      <c r="G152" s="124">
        <v>284175</v>
      </c>
      <c r="H152" s="125">
        <v>319680</v>
      </c>
      <c r="I152" s="124">
        <v>342720</v>
      </c>
      <c r="J152" s="124">
        <f>265600+24795</f>
        <v>290395</v>
      </c>
      <c r="K152" s="124">
        <v>307200</v>
      </c>
      <c r="L152" s="125">
        <v>321120</v>
      </c>
      <c r="M152" s="125">
        <v>304800</v>
      </c>
      <c r="N152" s="124">
        <v>313440</v>
      </c>
      <c r="O152" s="124">
        <v>323280</v>
      </c>
      <c r="P152" s="125">
        <v>325200</v>
      </c>
      <c r="Q152" s="125">
        <v>313440</v>
      </c>
      <c r="R152" s="124">
        <v>311520</v>
      </c>
      <c r="S152" s="125">
        <v>277680</v>
      </c>
      <c r="T152" s="125">
        <v>275760</v>
      </c>
      <c r="U152" s="124">
        <v>306720</v>
      </c>
      <c r="V152" s="124">
        <v>300000</v>
      </c>
      <c r="W152" s="124">
        <v>297120</v>
      </c>
      <c r="X152" s="124">
        <v>287333</v>
      </c>
      <c r="Y152" s="125">
        <v>336720</v>
      </c>
      <c r="Z152" s="124">
        <v>326640</v>
      </c>
      <c r="AA152" s="124">
        <v>303840</v>
      </c>
      <c r="AB152" s="124">
        <v>342720</v>
      </c>
      <c r="AC152" s="124">
        <v>309120</v>
      </c>
      <c r="AD152" s="125">
        <v>296400</v>
      </c>
      <c r="AE152" s="125">
        <v>303360</v>
      </c>
      <c r="AF152" s="124">
        <v>285360</v>
      </c>
      <c r="AG152" s="124">
        <v>288960</v>
      </c>
      <c r="AH152" s="124">
        <v>311520</v>
      </c>
      <c r="AI152" s="124">
        <v>328560</v>
      </c>
    </row>
    <row r="153" spans="1:35" x14ac:dyDescent="0.35">
      <c r="A153" s="37"/>
      <c r="B153" s="134" t="s">
        <v>92</v>
      </c>
      <c r="C153" s="127"/>
      <c r="D153" s="37"/>
      <c r="E153" s="124"/>
      <c r="F153" s="124"/>
      <c r="G153" s="124"/>
      <c r="H153" s="125"/>
      <c r="I153" s="124"/>
      <c r="J153" s="124"/>
      <c r="K153" s="124"/>
      <c r="L153" s="125"/>
      <c r="M153" s="125"/>
      <c r="N153" s="124"/>
      <c r="O153" s="124"/>
      <c r="P153" s="125"/>
      <c r="Q153" s="125"/>
      <c r="R153" s="124"/>
      <c r="S153" s="125"/>
      <c r="T153" s="125"/>
      <c r="U153" s="124"/>
      <c r="V153" s="124"/>
      <c r="W153" s="124"/>
      <c r="X153" s="124"/>
      <c r="Y153" s="125"/>
      <c r="Z153" s="124"/>
      <c r="AA153" s="124"/>
      <c r="AB153" s="124"/>
      <c r="AC153" s="124"/>
      <c r="AD153" s="125"/>
      <c r="AE153" s="125"/>
      <c r="AF153" s="124"/>
      <c r="AG153" s="124"/>
      <c r="AH153" s="124"/>
      <c r="AI153" s="124"/>
    </row>
    <row r="154" spans="1:35" x14ac:dyDescent="0.35">
      <c r="A154" s="37"/>
      <c r="B154" s="134"/>
      <c r="C154" s="127"/>
      <c r="D154" s="37"/>
      <c r="E154" s="124"/>
      <c r="F154" s="124"/>
      <c r="G154" s="124"/>
      <c r="H154" s="125">
        <f>H155/H19*1000</f>
        <v>128.13287958050941</v>
      </c>
      <c r="I154" s="124"/>
      <c r="J154" s="124"/>
      <c r="K154" s="124"/>
      <c r="L154" s="125">
        <f>L155/L19*1000</f>
        <v>73.019673154991523</v>
      </c>
      <c r="M154" s="125"/>
      <c r="N154" s="124"/>
      <c r="O154" s="124"/>
      <c r="P154" s="125">
        <f>P155/P19*1000</f>
        <v>73.048234709099944</v>
      </c>
      <c r="Q154" s="125">
        <f>Q155/Q19*1000</f>
        <v>76.342055570542215</v>
      </c>
      <c r="R154" s="125">
        <f t="shared" ref="R154:AE154" si="60">R155/R19*1000</f>
        <v>83.193926135632481</v>
      </c>
      <c r="S154" s="125">
        <f t="shared" si="60"/>
        <v>83.918275256956107</v>
      </c>
      <c r="T154" s="125">
        <f t="shared" si="60"/>
        <v>86.587548896108771</v>
      </c>
      <c r="U154" s="125">
        <f t="shared" si="60"/>
        <v>84.469310979087766</v>
      </c>
      <c r="V154" s="125">
        <f t="shared" si="60"/>
        <v>96.488339370715195</v>
      </c>
      <c r="W154" s="125">
        <f t="shared" si="60"/>
        <v>98.238286885869087</v>
      </c>
      <c r="X154" s="125">
        <f t="shared" si="60"/>
        <v>121.58342993456549</v>
      </c>
      <c r="Y154" s="125">
        <f t="shared" si="60"/>
        <v>106.0679220988259</v>
      </c>
      <c r="Z154" s="125">
        <f t="shared" si="60"/>
        <v>113.76116215131294</v>
      </c>
      <c r="AA154" s="125">
        <f t="shared" si="60"/>
        <v>114.38522735118708</v>
      </c>
      <c r="AB154" s="125">
        <f t="shared" si="60"/>
        <v>109.28463403327179</v>
      </c>
      <c r="AC154" s="125">
        <f t="shared" si="60"/>
        <v>103.36889303501302</v>
      </c>
      <c r="AD154" s="125">
        <f t="shared" si="60"/>
        <v>99.306464367944798</v>
      </c>
      <c r="AE154" s="125">
        <f t="shared" si="60"/>
        <v>103.08730134613631</v>
      </c>
      <c r="AF154" s="124"/>
      <c r="AG154" s="124"/>
      <c r="AH154" s="124"/>
      <c r="AI154" s="124"/>
    </row>
    <row r="155" spans="1:35" x14ac:dyDescent="0.35">
      <c r="A155" s="58"/>
      <c r="B155" s="56" t="s">
        <v>18</v>
      </c>
      <c r="C155" s="46">
        <v>180000</v>
      </c>
      <c r="D155" s="89" t="s">
        <v>7</v>
      </c>
      <c r="E155" s="43">
        <v>0</v>
      </c>
      <c r="F155" s="43">
        <v>0</v>
      </c>
      <c r="G155" s="43">
        <v>0</v>
      </c>
      <c r="H155" s="44">
        <v>146200</v>
      </c>
      <c r="I155" s="43">
        <v>135700</v>
      </c>
      <c r="J155" s="43">
        <v>124600</v>
      </c>
      <c r="K155" s="43">
        <v>133700</v>
      </c>
      <c r="L155" s="44">
        <v>140300</v>
      </c>
      <c r="M155" s="44">
        <v>142500</v>
      </c>
      <c r="N155" s="43">
        <v>148800</v>
      </c>
      <c r="O155" s="43">
        <v>151400</v>
      </c>
      <c r="P155" s="44">
        <v>146900</v>
      </c>
      <c r="Q155" s="44">
        <v>141500</v>
      </c>
      <c r="R155" s="43">
        <v>129300</v>
      </c>
      <c r="S155" s="44">
        <v>133900</v>
      </c>
      <c r="T155" s="44">
        <v>130600</v>
      </c>
      <c r="U155" s="43">
        <v>131800</v>
      </c>
      <c r="V155" s="43">
        <v>128920</v>
      </c>
      <c r="W155" s="43">
        <v>129370</v>
      </c>
      <c r="X155" s="43">
        <v>126910</v>
      </c>
      <c r="Y155" s="44">
        <v>131800</v>
      </c>
      <c r="Z155" s="43">
        <v>150200</v>
      </c>
      <c r="AA155" s="43">
        <v>149100</v>
      </c>
      <c r="AB155" s="43">
        <v>143800</v>
      </c>
      <c r="AC155" s="43">
        <v>137400</v>
      </c>
      <c r="AD155" s="44">
        <v>141900</v>
      </c>
      <c r="AE155" s="44">
        <v>135700</v>
      </c>
      <c r="AF155" s="43">
        <v>135400</v>
      </c>
      <c r="AG155" s="43">
        <v>134700</v>
      </c>
      <c r="AH155" s="43">
        <v>139300</v>
      </c>
      <c r="AI155" s="43">
        <v>139700</v>
      </c>
    </row>
    <row r="156" spans="1:35" x14ac:dyDescent="0.35">
      <c r="A156" s="58"/>
      <c r="B156" s="56"/>
      <c r="C156" s="46"/>
      <c r="D156" s="89"/>
      <c r="E156" s="43"/>
      <c r="F156" s="43"/>
      <c r="G156" s="43"/>
      <c r="H156" s="44">
        <f>H157/H28*1000</f>
        <v>65.3508044451807</v>
      </c>
      <c r="I156" s="43"/>
      <c r="J156" s="43"/>
      <c r="K156" s="43"/>
      <c r="L156" s="44">
        <f>L157/L28*1000</f>
        <v>50.603198864568611</v>
      </c>
      <c r="M156" s="44">
        <f>M157/M28*1000</f>
        <v>59.556144418681804</v>
      </c>
      <c r="N156" s="43"/>
      <c r="O156" s="43"/>
      <c r="P156" s="44">
        <f>P157/P28*1000</f>
        <v>47.571189279731996</v>
      </c>
      <c r="Q156" s="44">
        <f>Q157/Q28*1000</f>
        <v>48.567870485679549</v>
      </c>
      <c r="R156" s="44">
        <f>R157/R28*1000</f>
        <v>44.69979545181053</v>
      </c>
      <c r="S156" s="44">
        <f t="shared" ref="S156:AE156" si="61">S157/S28*1000</f>
        <v>46.836425195737263</v>
      </c>
      <c r="T156" s="44">
        <f t="shared" si="61"/>
        <v>56.001351465497059</v>
      </c>
      <c r="U156" s="44" t="e">
        <f t="shared" si="61"/>
        <v>#DIV/0!</v>
      </c>
      <c r="V156" s="44" t="e">
        <f t="shared" si="61"/>
        <v>#DIV/0!</v>
      </c>
      <c r="W156" s="44">
        <f t="shared" si="61"/>
        <v>174.88789237666839</v>
      </c>
      <c r="X156" s="44">
        <f t="shared" si="61"/>
        <v>57.90226150247085</v>
      </c>
      <c r="Y156" s="44">
        <f t="shared" si="61"/>
        <v>59.136771300450356</v>
      </c>
      <c r="Z156" s="44">
        <f t="shared" si="61"/>
        <v>52.027412906910335</v>
      </c>
      <c r="AA156" s="44">
        <f t="shared" si="61"/>
        <v>70.080091533175704</v>
      </c>
      <c r="AB156" s="44">
        <f t="shared" si="61"/>
        <v>69.712092130516837</v>
      </c>
      <c r="AC156" s="44">
        <f t="shared" si="61"/>
        <v>58.595825426950441</v>
      </c>
      <c r="AD156" s="44">
        <f t="shared" si="61"/>
        <v>63.920352066946144</v>
      </c>
      <c r="AE156" s="44">
        <f t="shared" si="61"/>
        <v>55.495495495496542</v>
      </c>
      <c r="AF156" s="43"/>
      <c r="AG156" s="43"/>
      <c r="AH156" s="43"/>
      <c r="AI156" s="43"/>
    </row>
    <row r="157" spans="1:35" x14ac:dyDescent="0.35">
      <c r="A157" s="58"/>
      <c r="B157" s="56" t="s">
        <v>93</v>
      </c>
      <c r="C157" s="46">
        <v>122000</v>
      </c>
      <c r="D157" s="89" t="s">
        <v>7</v>
      </c>
      <c r="E157" s="43">
        <v>0</v>
      </c>
      <c r="F157" s="43">
        <v>0</v>
      </c>
      <c r="G157" s="43">
        <v>0</v>
      </c>
      <c r="H157" s="44">
        <v>78800</v>
      </c>
      <c r="I157" s="43">
        <v>110500</v>
      </c>
      <c r="J157" s="43">
        <v>93700</v>
      </c>
      <c r="K157" s="43">
        <v>98600</v>
      </c>
      <c r="L157" s="44">
        <v>92700</v>
      </c>
      <c r="M157" s="44">
        <v>89900</v>
      </c>
      <c r="N157" s="43">
        <v>82200</v>
      </c>
      <c r="O157" s="43">
        <v>96900</v>
      </c>
      <c r="P157" s="44">
        <v>99400</v>
      </c>
      <c r="Q157" s="44">
        <v>89700</v>
      </c>
      <c r="R157" s="43">
        <v>74300</v>
      </c>
      <c r="S157" s="44">
        <v>66400</v>
      </c>
      <c r="T157" s="44">
        <v>66300</v>
      </c>
      <c r="U157" s="43">
        <v>88100</v>
      </c>
      <c r="V157" s="43">
        <v>91000</v>
      </c>
      <c r="W157" s="43">
        <v>93600</v>
      </c>
      <c r="X157" s="43">
        <v>89100</v>
      </c>
      <c r="Y157" s="44">
        <v>105500</v>
      </c>
      <c r="Z157" s="43">
        <v>91100</v>
      </c>
      <c r="AA157" s="43">
        <v>73500</v>
      </c>
      <c r="AB157" s="43">
        <v>90800</v>
      </c>
      <c r="AC157" s="43">
        <v>77200</v>
      </c>
      <c r="AD157" s="44">
        <v>88600</v>
      </c>
      <c r="AE157" s="44">
        <v>77000</v>
      </c>
      <c r="AF157" s="43">
        <v>62000</v>
      </c>
      <c r="AG157" s="43">
        <v>75000</v>
      </c>
      <c r="AH157" s="43">
        <v>91300</v>
      </c>
      <c r="AI157" s="43">
        <v>91700</v>
      </c>
    </row>
    <row r="158" spans="1:35" x14ac:dyDescent="0.35">
      <c r="A158" s="58"/>
      <c r="B158" s="56" t="s">
        <v>94</v>
      </c>
      <c r="C158" s="46">
        <f>C152-C155-C157</f>
        <v>106000</v>
      </c>
      <c r="D158" s="89" t="s">
        <v>7</v>
      </c>
      <c r="E158" s="43">
        <f t="shared" ref="E158:AI158" si="62">E152-E155-E157</f>
        <v>0</v>
      </c>
      <c r="F158" s="43">
        <f t="shared" si="62"/>
        <v>0</v>
      </c>
      <c r="G158" s="43">
        <f t="shared" si="62"/>
        <v>284175</v>
      </c>
      <c r="H158" s="44">
        <f t="shared" si="62"/>
        <v>94680</v>
      </c>
      <c r="I158" s="43">
        <f t="shared" si="62"/>
        <v>96520</v>
      </c>
      <c r="J158" s="43">
        <f t="shared" si="62"/>
        <v>72095</v>
      </c>
      <c r="K158" s="43">
        <f t="shared" si="62"/>
        <v>74900</v>
      </c>
      <c r="L158" s="44">
        <f t="shared" si="62"/>
        <v>88120</v>
      </c>
      <c r="M158" s="44">
        <f t="shared" si="62"/>
        <v>72400</v>
      </c>
      <c r="N158" s="43">
        <f t="shared" si="62"/>
        <v>82440</v>
      </c>
      <c r="O158" s="43">
        <f t="shared" si="62"/>
        <v>74980</v>
      </c>
      <c r="P158" s="44">
        <f t="shared" si="62"/>
        <v>78900</v>
      </c>
      <c r="Q158" s="44">
        <f t="shared" si="62"/>
        <v>82240</v>
      </c>
      <c r="R158" s="43">
        <f t="shared" si="62"/>
        <v>107920</v>
      </c>
      <c r="S158" s="44">
        <f t="shared" si="62"/>
        <v>77380</v>
      </c>
      <c r="T158" s="44">
        <f t="shared" si="62"/>
        <v>78860</v>
      </c>
      <c r="U158" s="43">
        <f t="shared" si="62"/>
        <v>86820</v>
      </c>
      <c r="V158" s="43">
        <f t="shared" si="62"/>
        <v>80080</v>
      </c>
      <c r="W158" s="43">
        <f t="shared" si="62"/>
        <v>74150</v>
      </c>
      <c r="X158" s="43">
        <f t="shared" si="62"/>
        <v>71323</v>
      </c>
      <c r="Y158" s="44">
        <f t="shared" si="62"/>
        <v>99420</v>
      </c>
      <c r="Z158" s="43">
        <f t="shared" si="62"/>
        <v>85340</v>
      </c>
      <c r="AA158" s="43">
        <f t="shared" si="62"/>
        <v>81240</v>
      </c>
      <c r="AB158" s="43">
        <f t="shared" si="62"/>
        <v>108120</v>
      </c>
      <c r="AC158" s="43">
        <f t="shared" si="62"/>
        <v>94520</v>
      </c>
      <c r="AD158" s="44">
        <f t="shared" si="62"/>
        <v>65900</v>
      </c>
      <c r="AE158" s="44">
        <f t="shared" si="62"/>
        <v>90660</v>
      </c>
      <c r="AF158" s="43">
        <f t="shared" si="62"/>
        <v>87960</v>
      </c>
      <c r="AG158" s="43">
        <f t="shared" si="62"/>
        <v>79260</v>
      </c>
      <c r="AH158" s="43">
        <f t="shared" si="62"/>
        <v>80920</v>
      </c>
      <c r="AI158" s="43">
        <f t="shared" si="62"/>
        <v>97160</v>
      </c>
    </row>
    <row r="159" spans="1:35" x14ac:dyDescent="0.35">
      <c r="A159" s="37"/>
      <c r="B159" s="126" t="s">
        <v>89</v>
      </c>
      <c r="C159" s="172">
        <f>SUM(C155:C158)</f>
        <v>408000</v>
      </c>
      <c r="D159" s="89" t="s">
        <v>7</v>
      </c>
      <c r="E159" s="124">
        <f t="shared" ref="E159:AI159" si="63">SUM(E155:E158)</f>
        <v>0</v>
      </c>
      <c r="F159" s="124">
        <f t="shared" si="63"/>
        <v>0</v>
      </c>
      <c r="G159" s="124">
        <f t="shared" si="63"/>
        <v>284175</v>
      </c>
      <c r="H159" s="125">
        <f t="shared" si="63"/>
        <v>319745.35080444522</v>
      </c>
      <c r="I159" s="124">
        <f t="shared" si="63"/>
        <v>342720</v>
      </c>
      <c r="J159" s="124">
        <f t="shared" si="63"/>
        <v>290395</v>
      </c>
      <c r="K159" s="124">
        <f t="shared" si="63"/>
        <v>307200</v>
      </c>
      <c r="L159" s="125">
        <f t="shared" si="63"/>
        <v>321170.60319886456</v>
      </c>
      <c r="M159" s="125">
        <f t="shared" si="63"/>
        <v>304859.55614441866</v>
      </c>
      <c r="N159" s="124">
        <f t="shared" si="63"/>
        <v>313440</v>
      </c>
      <c r="O159" s="124">
        <f t="shared" si="63"/>
        <v>323280</v>
      </c>
      <c r="P159" s="125">
        <f t="shared" si="63"/>
        <v>325247.57118927973</v>
      </c>
      <c r="Q159" s="125">
        <f t="shared" si="63"/>
        <v>313488.56787048571</v>
      </c>
      <c r="R159" s="124">
        <f t="shared" si="63"/>
        <v>311564.69979545183</v>
      </c>
      <c r="S159" s="125">
        <f t="shared" si="63"/>
        <v>277726.83642519574</v>
      </c>
      <c r="T159" s="125">
        <f t="shared" si="63"/>
        <v>275816.00135146547</v>
      </c>
      <c r="U159" s="124" t="e">
        <f t="shared" si="63"/>
        <v>#DIV/0!</v>
      </c>
      <c r="V159" s="124" t="e">
        <f t="shared" si="63"/>
        <v>#DIV/0!</v>
      </c>
      <c r="W159" s="124">
        <f t="shared" si="63"/>
        <v>297294.88789237669</v>
      </c>
      <c r="X159" s="124">
        <f t="shared" si="63"/>
        <v>287390.90226150246</v>
      </c>
      <c r="Y159" s="125">
        <f t="shared" si="63"/>
        <v>336779.13677130046</v>
      </c>
      <c r="Z159" s="124">
        <f t="shared" si="63"/>
        <v>326692.02741290687</v>
      </c>
      <c r="AA159" s="124">
        <f t="shared" si="63"/>
        <v>303910.08009153313</v>
      </c>
      <c r="AB159" s="124">
        <f t="shared" si="63"/>
        <v>342789.7120921305</v>
      </c>
      <c r="AC159" s="124">
        <f t="shared" si="63"/>
        <v>309178.59582542698</v>
      </c>
      <c r="AD159" s="125">
        <f t="shared" si="63"/>
        <v>296463.92035206698</v>
      </c>
      <c r="AE159" s="125">
        <f t="shared" si="63"/>
        <v>303415.4954954955</v>
      </c>
      <c r="AF159" s="124">
        <f t="shared" si="63"/>
        <v>285360</v>
      </c>
      <c r="AG159" s="124">
        <f t="shared" si="63"/>
        <v>288960</v>
      </c>
      <c r="AH159" s="124">
        <f t="shared" si="63"/>
        <v>311520</v>
      </c>
      <c r="AI159" s="124">
        <f t="shared" si="63"/>
        <v>328560</v>
      </c>
    </row>
    <row r="160" spans="1:35" x14ac:dyDescent="0.35">
      <c r="A160" s="34">
        <v>10</v>
      </c>
      <c r="B160" s="82" t="s">
        <v>95</v>
      </c>
      <c r="C160" s="83"/>
      <c r="D160" s="83"/>
      <c r="E160" s="36"/>
      <c r="F160" s="36"/>
      <c r="G160" s="36"/>
      <c r="H160" s="36"/>
      <c r="I160" s="36"/>
      <c r="J160" s="36"/>
      <c r="K160" s="36"/>
      <c r="L160" s="36"/>
      <c r="M160" s="36"/>
      <c r="N160" s="36"/>
      <c r="O160" s="36"/>
      <c r="P160" s="36"/>
      <c r="Q160" s="36"/>
      <c r="R160" s="36"/>
      <c r="S160" s="36"/>
      <c r="T160" s="36"/>
      <c r="U160" s="36"/>
      <c r="V160" s="36"/>
      <c r="W160" s="36"/>
      <c r="X160" s="36"/>
      <c r="Y160" s="36"/>
      <c r="Z160" s="36"/>
      <c r="AA160" s="36"/>
      <c r="AB160" s="173"/>
      <c r="AC160" s="173"/>
      <c r="AD160" s="173"/>
      <c r="AE160" s="173"/>
      <c r="AF160" s="173"/>
      <c r="AG160" s="173"/>
      <c r="AH160" s="173"/>
      <c r="AI160" s="173"/>
    </row>
    <row r="161" spans="1:35" ht="16.5" x14ac:dyDescent="0.35">
      <c r="A161" s="18"/>
      <c r="B161" s="136" t="s">
        <v>96</v>
      </c>
      <c r="C161" s="174">
        <v>670</v>
      </c>
      <c r="D161" s="137" t="s">
        <v>97</v>
      </c>
      <c r="E161" s="175">
        <v>0</v>
      </c>
      <c r="F161" s="175">
        <v>116</v>
      </c>
      <c r="G161" s="175">
        <v>661</v>
      </c>
      <c r="H161" s="176">
        <v>657</v>
      </c>
      <c r="I161" s="175">
        <v>800</v>
      </c>
      <c r="J161" s="175">
        <v>706</v>
      </c>
      <c r="K161" s="175">
        <v>639</v>
      </c>
      <c r="L161" s="176">
        <v>705</v>
      </c>
      <c r="M161" s="176">
        <v>583</v>
      </c>
      <c r="N161" s="175">
        <v>544</v>
      </c>
      <c r="O161" s="175">
        <v>766</v>
      </c>
      <c r="P161" s="176">
        <v>777</v>
      </c>
      <c r="Q161" s="176">
        <v>654</v>
      </c>
      <c r="R161" s="175">
        <v>771</v>
      </c>
      <c r="S161" s="176">
        <v>483</v>
      </c>
      <c r="T161" s="176">
        <v>676</v>
      </c>
      <c r="U161" s="175">
        <v>697</v>
      </c>
      <c r="V161" s="175">
        <v>551</v>
      </c>
      <c r="W161" s="175">
        <v>517</v>
      </c>
      <c r="X161" s="175">
        <v>682</v>
      </c>
      <c r="Y161" s="176">
        <v>509</v>
      </c>
      <c r="Z161" s="175">
        <v>670</v>
      </c>
      <c r="AA161" s="175">
        <v>580</v>
      </c>
      <c r="AB161" s="175">
        <v>611</v>
      </c>
      <c r="AC161" s="175">
        <v>648</v>
      </c>
      <c r="AD161" s="176">
        <v>461</v>
      </c>
      <c r="AE161" s="176">
        <v>635</v>
      </c>
      <c r="AF161" s="175">
        <v>616</v>
      </c>
      <c r="AG161" s="175">
        <v>482</v>
      </c>
      <c r="AH161" s="175">
        <v>617</v>
      </c>
      <c r="AI161" s="175">
        <v>760</v>
      </c>
    </row>
    <row r="162" spans="1:35" x14ac:dyDescent="0.35">
      <c r="A162" s="18"/>
      <c r="B162" s="177" t="s">
        <v>86</v>
      </c>
      <c r="C162" s="17"/>
      <c r="D162" s="18"/>
      <c r="E162" s="175"/>
      <c r="F162" s="175"/>
      <c r="G162" s="175"/>
      <c r="H162" s="176"/>
      <c r="I162" s="175"/>
      <c r="J162" s="175"/>
      <c r="K162" s="175"/>
      <c r="L162" s="176"/>
      <c r="M162" s="176"/>
      <c r="N162" s="175"/>
      <c r="O162" s="175"/>
      <c r="P162" s="176"/>
      <c r="Q162" s="176"/>
      <c r="R162" s="175"/>
      <c r="S162" s="176"/>
      <c r="T162" s="176"/>
      <c r="U162" s="175"/>
      <c r="V162" s="175"/>
      <c r="W162" s="175"/>
      <c r="X162" s="175"/>
      <c r="Y162" s="176"/>
      <c r="Z162" s="175"/>
      <c r="AA162" s="175"/>
      <c r="AB162" s="175"/>
      <c r="AC162" s="175"/>
      <c r="AD162" s="176"/>
      <c r="AE162" s="176"/>
      <c r="AF162" s="175"/>
      <c r="AG162" s="175"/>
      <c r="AH162" s="175"/>
      <c r="AI162" s="175"/>
    </row>
    <row r="163" spans="1:35" ht="16.5" x14ac:dyDescent="0.35">
      <c r="A163" s="18"/>
      <c r="B163" s="136" t="s">
        <v>98</v>
      </c>
      <c r="C163" s="178">
        <v>78.959999999999994</v>
      </c>
      <c r="D163" s="137" t="s">
        <v>97</v>
      </c>
      <c r="E163" s="175">
        <v>0</v>
      </c>
      <c r="F163" s="175">
        <v>6</v>
      </c>
      <c r="G163" s="175">
        <v>65</v>
      </c>
      <c r="H163" s="176">
        <v>88</v>
      </c>
      <c r="I163" s="175">
        <v>81</v>
      </c>
      <c r="J163" s="175">
        <v>92</v>
      </c>
      <c r="K163" s="175">
        <v>69</v>
      </c>
      <c r="L163" s="176">
        <v>69</v>
      </c>
      <c r="M163" s="176">
        <v>73</v>
      </c>
      <c r="N163" s="175">
        <v>58</v>
      </c>
      <c r="O163" s="175">
        <v>72</v>
      </c>
      <c r="P163" s="176">
        <v>73</v>
      </c>
      <c r="Q163" s="176">
        <v>54</v>
      </c>
      <c r="R163" s="175">
        <v>70</v>
      </c>
      <c r="S163" s="176">
        <v>72</v>
      </c>
      <c r="T163" s="176">
        <v>97</v>
      </c>
      <c r="U163" s="175">
        <v>92</v>
      </c>
      <c r="V163" s="175">
        <v>79</v>
      </c>
      <c r="W163" s="175">
        <v>58</v>
      </c>
      <c r="X163" s="175">
        <v>89</v>
      </c>
      <c r="Y163" s="176">
        <v>39</v>
      </c>
      <c r="Z163" s="175">
        <v>95</v>
      </c>
      <c r="AA163" s="175">
        <v>44</v>
      </c>
      <c r="AB163" s="175">
        <v>39</v>
      </c>
      <c r="AC163" s="175">
        <v>39</v>
      </c>
      <c r="AD163" s="176">
        <v>76</v>
      </c>
      <c r="AE163" s="176">
        <v>60</v>
      </c>
      <c r="AF163" s="175">
        <v>66</v>
      </c>
      <c r="AG163" s="175">
        <v>45</v>
      </c>
      <c r="AH163" s="175">
        <v>87</v>
      </c>
      <c r="AI163" s="175">
        <v>95</v>
      </c>
    </row>
    <row r="164" spans="1:35" ht="16.5" x14ac:dyDescent="0.35">
      <c r="A164" s="18"/>
      <c r="B164" s="136" t="s">
        <v>99</v>
      </c>
      <c r="C164" s="178">
        <v>118.4</v>
      </c>
      <c r="D164" s="137" t="s">
        <v>97</v>
      </c>
      <c r="E164" s="175">
        <v>0</v>
      </c>
      <c r="F164" s="175">
        <v>0</v>
      </c>
      <c r="G164" s="175">
        <v>35</v>
      </c>
      <c r="H164" s="176">
        <v>102</v>
      </c>
      <c r="I164" s="175">
        <v>107</v>
      </c>
      <c r="J164" s="175">
        <v>122</v>
      </c>
      <c r="K164" s="175">
        <v>128</v>
      </c>
      <c r="L164" s="176">
        <v>111</v>
      </c>
      <c r="M164" s="176">
        <v>110</v>
      </c>
      <c r="N164" s="175">
        <v>66</v>
      </c>
      <c r="O164" s="175">
        <v>124</v>
      </c>
      <c r="P164" s="176">
        <v>137</v>
      </c>
      <c r="Q164" s="176">
        <v>123</v>
      </c>
      <c r="R164" s="175">
        <v>110</v>
      </c>
      <c r="S164" s="176">
        <v>102</v>
      </c>
      <c r="T164" s="176">
        <v>106</v>
      </c>
      <c r="U164" s="175">
        <v>105</v>
      </c>
      <c r="V164" s="175">
        <v>96</v>
      </c>
      <c r="W164" s="175">
        <v>100</v>
      </c>
      <c r="X164" s="175">
        <v>105</v>
      </c>
      <c r="Y164" s="176">
        <v>119</v>
      </c>
      <c r="Z164" s="175">
        <v>111</v>
      </c>
      <c r="AA164" s="175">
        <v>96</v>
      </c>
      <c r="AB164" s="175">
        <v>115</v>
      </c>
      <c r="AC164" s="175">
        <v>102</v>
      </c>
      <c r="AD164" s="176">
        <v>92</v>
      </c>
      <c r="AE164" s="176">
        <v>97</v>
      </c>
      <c r="AF164" s="175">
        <v>105</v>
      </c>
      <c r="AG164" s="175">
        <v>84</v>
      </c>
      <c r="AH164" s="175">
        <v>98</v>
      </c>
      <c r="AI164" s="175">
        <v>93</v>
      </c>
    </row>
    <row r="165" spans="1:35" ht="16.5" x14ac:dyDescent="0.35">
      <c r="A165" s="18"/>
      <c r="B165" s="136" t="s">
        <v>100</v>
      </c>
      <c r="C165" s="174">
        <f>44.69%*C161</f>
        <v>299.423</v>
      </c>
      <c r="D165" s="137" t="s">
        <v>97</v>
      </c>
      <c r="E165" s="175">
        <v>0</v>
      </c>
      <c r="F165" s="175">
        <v>0</v>
      </c>
      <c r="G165" s="175">
        <v>379.8</v>
      </c>
      <c r="H165" s="176">
        <v>363.6</v>
      </c>
      <c r="I165" s="175">
        <v>408.3</v>
      </c>
      <c r="J165" s="175">
        <v>310.60000000000002</v>
      </c>
      <c r="K165" s="175">
        <v>276.7</v>
      </c>
      <c r="L165" s="176">
        <v>296</v>
      </c>
      <c r="M165" s="176">
        <v>315.60000000000002</v>
      </c>
      <c r="N165" s="175">
        <v>290.5</v>
      </c>
      <c r="O165" s="175">
        <v>316.5</v>
      </c>
      <c r="P165" s="176">
        <v>300.10000000000002</v>
      </c>
      <c r="Q165" s="176">
        <v>291.39999999999998</v>
      </c>
      <c r="R165" s="175">
        <v>357.2</v>
      </c>
      <c r="S165" s="176">
        <v>254.7</v>
      </c>
      <c r="T165" s="176">
        <v>280.10000000000002</v>
      </c>
      <c r="U165" s="175">
        <v>294.2</v>
      </c>
      <c r="V165" s="175">
        <v>296.3</v>
      </c>
      <c r="W165" s="175">
        <v>279.5</v>
      </c>
      <c r="X165" s="175">
        <v>307.7</v>
      </c>
      <c r="Y165" s="176">
        <v>324.7</v>
      </c>
      <c r="Z165" s="175">
        <v>326.5</v>
      </c>
      <c r="AA165" s="175">
        <v>282</v>
      </c>
      <c r="AB165" s="175">
        <v>344.6</v>
      </c>
      <c r="AC165" s="175">
        <v>307.39999999999998</v>
      </c>
      <c r="AD165" s="176">
        <v>253.7</v>
      </c>
      <c r="AE165" s="176">
        <v>330.5</v>
      </c>
      <c r="AF165" s="175">
        <v>302.89999999999998</v>
      </c>
      <c r="AG165" s="175">
        <v>276.10000000000002</v>
      </c>
      <c r="AH165" s="175">
        <v>258.3</v>
      </c>
      <c r="AI165" s="175">
        <v>325.89999999999998</v>
      </c>
    </row>
    <row r="166" spans="1:35" ht="16.5" x14ac:dyDescent="0.35">
      <c r="A166" s="18"/>
      <c r="B166" s="136" t="s">
        <v>94</v>
      </c>
      <c r="C166" s="174">
        <f>C161-SUM(C163:C165)</f>
        <v>173.21699999999998</v>
      </c>
      <c r="D166" s="137" t="s">
        <v>97</v>
      </c>
      <c r="E166" s="175">
        <f>E161-(SUM(E163:E165))</f>
        <v>0</v>
      </c>
      <c r="F166" s="175">
        <f t="shared" ref="F166:J166" si="64">F161-(SUM(F163:F165))</f>
        <v>110</v>
      </c>
      <c r="G166" s="175">
        <f t="shared" si="64"/>
        <v>181.2</v>
      </c>
      <c r="H166" s="176">
        <f t="shared" si="64"/>
        <v>103.39999999999998</v>
      </c>
      <c r="I166" s="175">
        <f t="shared" si="64"/>
        <v>203.70000000000005</v>
      </c>
      <c r="J166" s="175">
        <f t="shared" si="64"/>
        <v>181.39999999999998</v>
      </c>
      <c r="K166" s="175">
        <f t="shared" ref="K166:AI166" si="65">K161-(SUM(K163:K165))</f>
        <v>165.3</v>
      </c>
      <c r="L166" s="176">
        <f t="shared" si="65"/>
        <v>229</v>
      </c>
      <c r="M166" s="176">
        <f t="shared" si="65"/>
        <v>84.399999999999977</v>
      </c>
      <c r="N166" s="175">
        <f t="shared" si="65"/>
        <v>129.5</v>
      </c>
      <c r="O166" s="175">
        <f t="shared" si="65"/>
        <v>253.5</v>
      </c>
      <c r="P166" s="176">
        <f t="shared" si="65"/>
        <v>266.89999999999998</v>
      </c>
      <c r="Q166" s="176">
        <f t="shared" si="65"/>
        <v>185.60000000000002</v>
      </c>
      <c r="R166" s="175">
        <f t="shared" si="65"/>
        <v>233.79999999999995</v>
      </c>
      <c r="S166" s="176">
        <f t="shared" si="65"/>
        <v>54.300000000000011</v>
      </c>
      <c r="T166" s="176">
        <f t="shared" si="65"/>
        <v>192.89999999999998</v>
      </c>
      <c r="U166" s="175">
        <f t="shared" si="65"/>
        <v>205.8</v>
      </c>
      <c r="V166" s="175">
        <f t="shared" si="65"/>
        <v>79.699999999999989</v>
      </c>
      <c r="W166" s="175">
        <f t="shared" si="65"/>
        <v>79.5</v>
      </c>
      <c r="X166" s="175">
        <f t="shared" si="65"/>
        <v>180.3</v>
      </c>
      <c r="Y166" s="176">
        <f t="shared" si="65"/>
        <v>26.300000000000011</v>
      </c>
      <c r="Z166" s="175">
        <f t="shared" si="65"/>
        <v>137.5</v>
      </c>
      <c r="AA166" s="175">
        <f t="shared" si="65"/>
        <v>158</v>
      </c>
      <c r="AB166" s="175">
        <f t="shared" si="65"/>
        <v>112.39999999999998</v>
      </c>
      <c r="AC166" s="175">
        <f t="shared" si="65"/>
        <v>199.60000000000002</v>
      </c>
      <c r="AD166" s="176">
        <f t="shared" si="65"/>
        <v>39.300000000000011</v>
      </c>
      <c r="AE166" s="176">
        <f t="shared" si="65"/>
        <v>147.5</v>
      </c>
      <c r="AF166" s="175">
        <f t="shared" si="65"/>
        <v>142.10000000000002</v>
      </c>
      <c r="AG166" s="175">
        <f t="shared" si="65"/>
        <v>76.899999999999977</v>
      </c>
      <c r="AH166" s="175">
        <f t="shared" si="65"/>
        <v>173.7</v>
      </c>
      <c r="AI166" s="175">
        <f t="shared" si="65"/>
        <v>246.10000000000002</v>
      </c>
    </row>
    <row r="167" spans="1:35" ht="16.5" x14ac:dyDescent="0.35">
      <c r="A167" s="18"/>
      <c r="B167" s="136" t="s">
        <v>101</v>
      </c>
      <c r="C167" s="174">
        <v>287.83999999999997</v>
      </c>
      <c r="D167" s="137" t="s">
        <v>97</v>
      </c>
      <c r="E167" s="175">
        <v>0</v>
      </c>
      <c r="F167" s="175">
        <v>0</v>
      </c>
      <c r="G167" s="175">
        <v>0</v>
      </c>
      <c r="H167" s="176">
        <v>0</v>
      </c>
      <c r="I167" s="175">
        <v>0</v>
      </c>
      <c r="J167" s="175">
        <v>0</v>
      </c>
      <c r="K167" s="175">
        <v>0</v>
      </c>
      <c r="L167" s="176">
        <v>160</v>
      </c>
      <c r="M167" s="176">
        <v>139</v>
      </c>
      <c r="N167" s="175">
        <v>185</v>
      </c>
      <c r="O167" s="175">
        <v>163</v>
      </c>
      <c r="P167" s="176">
        <v>237</v>
      </c>
      <c r="Q167" s="176">
        <v>191</v>
      </c>
      <c r="R167" s="175">
        <v>155</v>
      </c>
      <c r="S167" s="176">
        <v>123</v>
      </c>
      <c r="T167" s="176">
        <v>165</v>
      </c>
      <c r="U167" s="175">
        <v>110</v>
      </c>
      <c r="V167" s="175">
        <v>126</v>
      </c>
      <c r="W167" s="175">
        <v>104</v>
      </c>
      <c r="X167" s="175">
        <v>121</v>
      </c>
      <c r="Y167" s="176">
        <v>133</v>
      </c>
      <c r="Z167" s="175">
        <v>165</v>
      </c>
      <c r="AA167" s="175">
        <v>61</v>
      </c>
      <c r="AB167" s="175">
        <v>135</v>
      </c>
      <c r="AC167" s="175">
        <v>99</v>
      </c>
      <c r="AD167" s="176">
        <v>147</v>
      </c>
      <c r="AE167" s="176">
        <v>140</v>
      </c>
      <c r="AF167" s="175">
        <v>111</v>
      </c>
      <c r="AG167" s="175">
        <v>159</v>
      </c>
      <c r="AH167" s="175">
        <v>122</v>
      </c>
      <c r="AI167" s="175">
        <v>98</v>
      </c>
    </row>
    <row r="168" spans="1:35" x14ac:dyDescent="0.35">
      <c r="A168" s="111">
        <v>11</v>
      </c>
      <c r="B168" s="82" t="s">
        <v>102</v>
      </c>
      <c r="C168" s="83"/>
      <c r="D168" s="83"/>
      <c r="E168" s="36"/>
      <c r="F168" s="36"/>
      <c r="G168" s="36"/>
      <c r="H168" s="36"/>
      <c r="I168" s="36"/>
      <c r="J168" s="36"/>
      <c r="K168" s="36"/>
      <c r="L168" s="36"/>
      <c r="M168" s="36"/>
      <c r="N168" s="36"/>
      <c r="O168" s="36"/>
      <c r="P168" s="36"/>
      <c r="Q168" s="36"/>
      <c r="R168" s="36"/>
      <c r="S168" s="36"/>
      <c r="T168" s="36"/>
      <c r="U168" s="36"/>
      <c r="V168" s="36"/>
      <c r="W168" s="36"/>
      <c r="X168" s="36"/>
      <c r="Y168" s="36"/>
      <c r="Z168" s="36"/>
      <c r="AA168" s="36"/>
      <c r="AB168" s="36"/>
      <c r="AC168" s="36"/>
      <c r="AD168" s="36"/>
      <c r="AE168" s="36"/>
      <c r="AF168" s="36"/>
      <c r="AG168" s="36"/>
      <c r="AH168" s="36"/>
      <c r="AI168" s="36"/>
    </row>
    <row r="169" spans="1:35" x14ac:dyDescent="0.35">
      <c r="A169" s="179"/>
      <c r="B169" s="180" t="s">
        <v>91</v>
      </c>
      <c r="C169" s="181"/>
      <c r="D169" s="182"/>
      <c r="E169" s="43"/>
      <c r="F169" s="43"/>
      <c r="G169" s="43"/>
      <c r="H169" s="44"/>
      <c r="I169" s="43"/>
      <c r="J169" s="43"/>
      <c r="K169" s="43"/>
      <c r="L169" s="44"/>
      <c r="M169" s="44"/>
      <c r="N169" s="43"/>
      <c r="O169" s="43"/>
      <c r="P169" s="44"/>
      <c r="Q169" s="44"/>
      <c r="R169" s="43"/>
      <c r="S169" s="44"/>
      <c r="T169" s="44"/>
      <c r="U169" s="43"/>
      <c r="V169" s="43"/>
      <c r="W169" s="43"/>
      <c r="X169" s="43"/>
      <c r="Y169" s="44"/>
      <c r="Z169" s="43"/>
      <c r="AA169" s="43"/>
      <c r="AB169" s="43"/>
      <c r="AC169" s="43"/>
      <c r="AD169" s="44"/>
      <c r="AE169" s="44"/>
      <c r="AF169" s="43"/>
      <c r="AG169" s="43"/>
      <c r="AH169" s="43"/>
      <c r="AI169" s="43"/>
    </row>
    <row r="170" spans="1:35" x14ac:dyDescent="0.35">
      <c r="A170" s="179"/>
      <c r="B170" s="84" t="s">
        <v>103</v>
      </c>
      <c r="C170" s="46">
        <v>28700</v>
      </c>
      <c r="D170" s="64" t="s">
        <v>104</v>
      </c>
      <c r="E170" s="43">
        <v>2000</v>
      </c>
      <c r="F170" s="43">
        <v>5500</v>
      </c>
      <c r="G170" s="160">
        <v>17700</v>
      </c>
      <c r="H170" s="183">
        <v>25100</v>
      </c>
      <c r="I170" s="43">
        <v>28100</v>
      </c>
      <c r="J170" s="160">
        <v>27500</v>
      </c>
      <c r="K170" s="43">
        <v>28000</v>
      </c>
      <c r="L170" s="183">
        <v>27100</v>
      </c>
      <c r="M170" s="44">
        <v>26600</v>
      </c>
      <c r="N170" s="43">
        <v>27600</v>
      </c>
      <c r="O170" s="43">
        <v>29200</v>
      </c>
      <c r="P170" s="44">
        <v>29700</v>
      </c>
      <c r="Q170" s="44">
        <v>26700</v>
      </c>
      <c r="R170" s="43">
        <v>25800</v>
      </c>
      <c r="S170" s="44">
        <v>25100</v>
      </c>
      <c r="T170" s="183">
        <v>23900</v>
      </c>
      <c r="U170" s="43">
        <v>25800</v>
      </c>
      <c r="V170" s="43">
        <v>25400</v>
      </c>
      <c r="W170" s="43">
        <v>25500</v>
      </c>
      <c r="X170" s="160">
        <v>24500</v>
      </c>
      <c r="Y170" s="44">
        <v>26200</v>
      </c>
      <c r="Z170" s="43">
        <v>26000</v>
      </c>
      <c r="AA170" s="43">
        <v>22100</v>
      </c>
      <c r="AB170" s="43">
        <v>25200</v>
      </c>
      <c r="AC170" s="43">
        <v>24900</v>
      </c>
      <c r="AD170" s="44">
        <v>26100</v>
      </c>
      <c r="AE170" s="44">
        <v>25000</v>
      </c>
      <c r="AF170" s="43">
        <v>24400</v>
      </c>
      <c r="AG170" s="43">
        <v>24100</v>
      </c>
      <c r="AH170" s="43">
        <v>24300</v>
      </c>
      <c r="AI170" s="43">
        <v>26100</v>
      </c>
    </row>
    <row r="171" spans="1:35" x14ac:dyDescent="0.35">
      <c r="A171" s="179"/>
      <c r="B171" s="180" t="s">
        <v>89</v>
      </c>
      <c r="C171" s="127"/>
      <c r="D171" s="184" t="s">
        <v>105</v>
      </c>
      <c r="E171" s="124">
        <f t="shared" ref="E171:AI171" si="66">SUM(E170:E170)</f>
        <v>2000</v>
      </c>
      <c r="F171" s="124">
        <f t="shared" si="66"/>
        <v>5500</v>
      </c>
      <c r="G171" s="124">
        <f t="shared" si="66"/>
        <v>17700</v>
      </c>
      <c r="H171" s="125">
        <f t="shared" si="66"/>
        <v>25100</v>
      </c>
      <c r="I171" s="124">
        <f t="shared" si="66"/>
        <v>28100</v>
      </c>
      <c r="J171" s="124">
        <f t="shared" si="66"/>
        <v>27500</v>
      </c>
      <c r="K171" s="124">
        <f t="shared" si="66"/>
        <v>28000</v>
      </c>
      <c r="L171" s="125">
        <f t="shared" si="66"/>
        <v>27100</v>
      </c>
      <c r="M171" s="125">
        <f t="shared" si="66"/>
        <v>26600</v>
      </c>
      <c r="N171" s="124">
        <f t="shared" si="66"/>
        <v>27600</v>
      </c>
      <c r="O171" s="124">
        <f t="shared" si="66"/>
        <v>29200</v>
      </c>
      <c r="P171" s="125">
        <f t="shared" si="66"/>
        <v>29700</v>
      </c>
      <c r="Q171" s="125">
        <f t="shared" si="66"/>
        <v>26700</v>
      </c>
      <c r="R171" s="124">
        <f t="shared" si="66"/>
        <v>25800</v>
      </c>
      <c r="S171" s="125">
        <f t="shared" si="66"/>
        <v>25100</v>
      </c>
      <c r="T171" s="125">
        <f t="shared" si="66"/>
        <v>23900</v>
      </c>
      <c r="U171" s="124">
        <f t="shared" si="66"/>
        <v>25800</v>
      </c>
      <c r="V171" s="124">
        <f t="shared" si="66"/>
        <v>25400</v>
      </c>
      <c r="W171" s="124">
        <f t="shared" si="66"/>
        <v>25500</v>
      </c>
      <c r="X171" s="124">
        <f t="shared" si="66"/>
        <v>24500</v>
      </c>
      <c r="Y171" s="125">
        <f t="shared" si="66"/>
        <v>26200</v>
      </c>
      <c r="Z171" s="124">
        <f t="shared" si="66"/>
        <v>26000</v>
      </c>
      <c r="AA171" s="124">
        <f t="shared" si="66"/>
        <v>22100</v>
      </c>
      <c r="AB171" s="124">
        <f t="shared" si="66"/>
        <v>25200</v>
      </c>
      <c r="AC171" s="124">
        <f t="shared" si="66"/>
        <v>24900</v>
      </c>
      <c r="AD171" s="125">
        <f t="shared" si="66"/>
        <v>26100</v>
      </c>
      <c r="AE171" s="125">
        <f t="shared" si="66"/>
        <v>25000</v>
      </c>
      <c r="AF171" s="124">
        <f t="shared" si="66"/>
        <v>24400</v>
      </c>
      <c r="AG171" s="124">
        <f t="shared" si="66"/>
        <v>24100</v>
      </c>
      <c r="AH171" s="124">
        <f t="shared" si="66"/>
        <v>24300</v>
      </c>
      <c r="AI171" s="124">
        <f t="shared" si="66"/>
        <v>26100</v>
      </c>
    </row>
    <row r="172" spans="1:35" x14ac:dyDescent="0.35">
      <c r="A172" s="34">
        <v>12</v>
      </c>
      <c r="B172" s="88" t="s">
        <v>106</v>
      </c>
      <c r="C172" s="185"/>
      <c r="D172" s="185"/>
      <c r="E172" s="185"/>
      <c r="F172" s="185"/>
      <c r="G172" s="185"/>
      <c r="H172" s="185"/>
      <c r="I172" s="185"/>
      <c r="J172" s="185"/>
      <c r="K172" s="185"/>
      <c r="L172" s="185"/>
      <c r="M172" s="185"/>
      <c r="N172" s="185"/>
      <c r="O172" s="185"/>
      <c r="P172" s="185"/>
      <c r="Q172" s="185"/>
      <c r="R172" s="185"/>
      <c r="S172" s="185"/>
      <c r="T172" s="185"/>
      <c r="U172" s="185"/>
      <c r="V172" s="185"/>
      <c r="W172" s="185"/>
      <c r="X172" s="185"/>
      <c r="Y172" s="185"/>
      <c r="Z172" s="185"/>
      <c r="AA172" s="185"/>
      <c r="AB172" s="185"/>
      <c r="AC172" s="185"/>
      <c r="AD172" s="185"/>
      <c r="AE172" s="185"/>
      <c r="AF172" s="185"/>
      <c r="AG172" s="185"/>
      <c r="AH172" s="185"/>
      <c r="AI172" s="185"/>
    </row>
    <row r="173" spans="1:35" x14ac:dyDescent="0.35">
      <c r="A173" s="58"/>
      <c r="B173" s="186" t="s">
        <v>107</v>
      </c>
      <c r="C173" s="63"/>
      <c r="D173" s="64" t="s">
        <v>7</v>
      </c>
      <c r="E173" s="142">
        <v>0</v>
      </c>
      <c r="F173" s="142">
        <v>0</v>
      </c>
      <c r="G173" s="142">
        <v>0</v>
      </c>
      <c r="H173" s="44">
        <v>0</v>
      </c>
      <c r="I173" s="142">
        <v>0</v>
      </c>
      <c r="J173" s="142">
        <v>0</v>
      </c>
      <c r="K173" s="142">
        <v>277000</v>
      </c>
      <c r="L173" s="44">
        <v>226930</v>
      </c>
      <c r="M173" s="44">
        <v>0</v>
      </c>
      <c r="N173" s="142">
        <v>0</v>
      </c>
      <c r="O173" s="142">
        <v>212560</v>
      </c>
      <c r="P173" s="44">
        <v>59510</v>
      </c>
      <c r="Q173" s="44">
        <v>212660</v>
      </c>
      <c r="R173" s="142">
        <v>121070</v>
      </c>
      <c r="S173" s="44">
        <v>0</v>
      </c>
      <c r="T173" s="44">
        <v>0</v>
      </c>
      <c r="U173" s="142">
        <v>137770</v>
      </c>
      <c r="V173" s="142">
        <v>0</v>
      </c>
      <c r="W173" s="142">
        <v>92610</v>
      </c>
      <c r="X173" s="142">
        <v>144810</v>
      </c>
      <c r="Y173" s="44">
        <v>178730</v>
      </c>
      <c r="Z173" s="142">
        <v>0</v>
      </c>
      <c r="AA173" s="142">
        <v>0</v>
      </c>
      <c r="AB173" s="142">
        <v>40320</v>
      </c>
      <c r="AC173" s="142">
        <v>0</v>
      </c>
      <c r="AD173" s="44">
        <v>0</v>
      </c>
      <c r="AE173" s="44">
        <v>0</v>
      </c>
      <c r="AF173" s="142">
        <v>0</v>
      </c>
      <c r="AG173" s="142">
        <v>0</v>
      </c>
      <c r="AH173" s="142">
        <v>0</v>
      </c>
      <c r="AI173" s="142">
        <v>0</v>
      </c>
    </row>
    <row r="174" spans="1:35" x14ac:dyDescent="0.35">
      <c r="A174" s="58"/>
      <c r="B174" s="186" t="s">
        <v>29</v>
      </c>
      <c r="C174" s="63"/>
      <c r="D174" s="64" t="s">
        <v>7</v>
      </c>
      <c r="E174" s="142">
        <v>0</v>
      </c>
      <c r="F174" s="142">
        <v>0</v>
      </c>
      <c r="G174" s="142">
        <v>0</v>
      </c>
      <c r="H174" s="44">
        <v>0</v>
      </c>
      <c r="I174" s="142">
        <v>0</v>
      </c>
      <c r="J174" s="142">
        <v>0</v>
      </c>
      <c r="K174" s="142">
        <v>0</v>
      </c>
      <c r="L174" s="44">
        <v>0</v>
      </c>
      <c r="M174" s="44">
        <v>0</v>
      </c>
      <c r="N174" s="142">
        <v>0</v>
      </c>
      <c r="O174" s="142">
        <v>0</v>
      </c>
      <c r="P174" s="44">
        <v>0</v>
      </c>
      <c r="Q174" s="44">
        <v>0</v>
      </c>
      <c r="R174" s="142">
        <v>0</v>
      </c>
      <c r="S174" s="44">
        <v>0</v>
      </c>
      <c r="T174" s="44">
        <v>0</v>
      </c>
      <c r="U174" s="142">
        <v>0</v>
      </c>
      <c r="V174" s="142">
        <v>0</v>
      </c>
      <c r="W174" s="142">
        <v>0</v>
      </c>
      <c r="X174" s="142">
        <v>0</v>
      </c>
      <c r="Y174" s="44">
        <v>0</v>
      </c>
      <c r="Z174" s="142">
        <v>0</v>
      </c>
      <c r="AA174" s="142">
        <v>0</v>
      </c>
      <c r="AB174" s="142">
        <v>0</v>
      </c>
      <c r="AC174" s="142">
        <v>0</v>
      </c>
      <c r="AD174" s="44">
        <v>0</v>
      </c>
      <c r="AE174" s="44">
        <v>0</v>
      </c>
      <c r="AF174" s="142">
        <v>0</v>
      </c>
      <c r="AG174" s="142">
        <v>0</v>
      </c>
      <c r="AH174" s="142">
        <v>0</v>
      </c>
      <c r="AI174" s="142">
        <v>0</v>
      </c>
    </row>
    <row r="175" spans="1:35" x14ac:dyDescent="0.35">
      <c r="A175" s="58"/>
      <c r="B175" s="186" t="s">
        <v>43</v>
      </c>
      <c r="C175" s="63"/>
      <c r="D175" s="64" t="s">
        <v>7</v>
      </c>
      <c r="E175" s="142">
        <v>0</v>
      </c>
      <c r="F175" s="142">
        <v>0</v>
      </c>
      <c r="G175" s="142">
        <v>24920</v>
      </c>
      <c r="H175" s="44">
        <v>75460</v>
      </c>
      <c r="I175" s="142">
        <v>76080</v>
      </c>
      <c r="J175" s="142">
        <v>50080</v>
      </c>
      <c r="K175" s="142">
        <v>0</v>
      </c>
      <c r="L175" s="44">
        <v>0</v>
      </c>
      <c r="M175" s="44">
        <v>0</v>
      </c>
      <c r="N175" s="142">
        <v>80430</v>
      </c>
      <c r="O175" s="142">
        <v>37930</v>
      </c>
      <c r="P175" s="44">
        <v>24960</v>
      </c>
      <c r="Q175" s="44">
        <v>27760</v>
      </c>
      <c r="R175" s="142">
        <v>0</v>
      </c>
      <c r="S175" s="44">
        <v>0</v>
      </c>
      <c r="T175" s="44">
        <v>0</v>
      </c>
      <c r="U175" s="142">
        <v>27190</v>
      </c>
      <c r="V175" s="142">
        <v>0</v>
      </c>
      <c r="W175" s="142">
        <v>0</v>
      </c>
      <c r="X175" s="142">
        <v>0</v>
      </c>
      <c r="Y175" s="44">
        <v>0</v>
      </c>
      <c r="Z175" s="142">
        <v>0</v>
      </c>
      <c r="AA175" s="142">
        <v>0</v>
      </c>
      <c r="AB175" s="142">
        <v>0</v>
      </c>
      <c r="AC175" s="142">
        <v>0</v>
      </c>
      <c r="AD175" s="44">
        <v>0</v>
      </c>
      <c r="AE175" s="44">
        <v>28080</v>
      </c>
      <c r="AF175" s="142">
        <v>52790</v>
      </c>
      <c r="AG175" s="43">
        <v>20510</v>
      </c>
      <c r="AH175" s="142">
        <v>0</v>
      </c>
      <c r="AI175" s="142">
        <v>0</v>
      </c>
    </row>
    <row r="176" spans="1:35" x14ac:dyDescent="0.35">
      <c r="A176" s="58"/>
      <c r="B176" s="186" t="s">
        <v>45</v>
      </c>
      <c r="C176" s="63"/>
      <c r="D176" s="64" t="s">
        <v>7</v>
      </c>
      <c r="E176" s="142">
        <v>0</v>
      </c>
      <c r="F176" s="142">
        <v>0</v>
      </c>
      <c r="G176" s="142"/>
      <c r="H176" s="44"/>
      <c r="I176" s="142"/>
      <c r="J176" s="142"/>
      <c r="K176" s="142">
        <v>0</v>
      </c>
      <c r="L176" s="44">
        <v>0</v>
      </c>
      <c r="M176" s="44">
        <v>0</v>
      </c>
      <c r="N176" s="142"/>
      <c r="O176" s="142"/>
      <c r="P176" s="44"/>
      <c r="Q176" s="44"/>
      <c r="R176" s="142"/>
      <c r="S176" s="44">
        <v>0</v>
      </c>
      <c r="T176" s="44"/>
      <c r="U176" s="142"/>
      <c r="V176" s="142"/>
      <c r="W176" s="142"/>
      <c r="X176" s="142"/>
      <c r="Y176" s="44"/>
      <c r="Z176" s="142">
        <v>0</v>
      </c>
      <c r="AA176" s="142">
        <v>0</v>
      </c>
      <c r="AB176" s="142">
        <v>0</v>
      </c>
      <c r="AC176" s="142"/>
      <c r="AD176" s="44"/>
      <c r="AE176" s="44"/>
      <c r="AF176" s="142"/>
      <c r="AG176" s="43"/>
      <c r="AH176" s="43"/>
      <c r="AI176" s="142"/>
    </row>
    <row r="177" spans="1:35" x14ac:dyDescent="0.35">
      <c r="A177" s="58"/>
      <c r="B177" s="186" t="s">
        <v>44</v>
      </c>
      <c r="C177" s="63"/>
      <c r="D177" s="64" t="s">
        <v>7</v>
      </c>
      <c r="E177" s="142">
        <v>0</v>
      </c>
      <c r="F177" s="142">
        <v>0</v>
      </c>
      <c r="G177" s="142">
        <v>128840</v>
      </c>
      <c r="H177" s="44">
        <v>172930</v>
      </c>
      <c r="I177" s="142">
        <v>150820</v>
      </c>
      <c r="J177" s="142">
        <v>128820</v>
      </c>
      <c r="K177" s="142">
        <v>0</v>
      </c>
      <c r="L177" s="44">
        <v>0</v>
      </c>
      <c r="M177" s="44">
        <v>0</v>
      </c>
      <c r="N177" s="142">
        <v>140290</v>
      </c>
      <c r="O177" s="142">
        <v>615210</v>
      </c>
      <c r="P177" s="44">
        <v>339030</v>
      </c>
      <c r="Q177" s="44">
        <v>208650</v>
      </c>
      <c r="R177" s="142">
        <v>146940</v>
      </c>
      <c r="S177" s="44">
        <v>0</v>
      </c>
      <c r="T177" s="44">
        <v>42590</v>
      </c>
      <c r="U177" s="142">
        <v>107990</v>
      </c>
      <c r="V177" s="142">
        <v>484890</v>
      </c>
      <c r="W177" s="142">
        <v>273010</v>
      </c>
      <c r="X177" s="142">
        <v>178640</v>
      </c>
      <c r="Y177" s="44">
        <v>57090</v>
      </c>
      <c r="Z177" s="142">
        <v>0</v>
      </c>
      <c r="AA177" s="142">
        <v>0</v>
      </c>
      <c r="AB177" s="142">
        <v>82920</v>
      </c>
      <c r="AC177" s="142">
        <v>83470</v>
      </c>
      <c r="AD177" s="44">
        <v>138570</v>
      </c>
      <c r="AE177" s="44">
        <v>279220</v>
      </c>
      <c r="AF177" s="142">
        <v>306780</v>
      </c>
      <c r="AG177" s="43">
        <v>277960</v>
      </c>
      <c r="AH177" s="142">
        <v>279400</v>
      </c>
      <c r="AI177" s="142">
        <v>278640</v>
      </c>
    </row>
    <row r="178" spans="1:35" x14ac:dyDescent="0.35">
      <c r="A178" s="161"/>
      <c r="B178" s="187" t="s">
        <v>89</v>
      </c>
      <c r="C178" s="188"/>
      <c r="D178" s="189" t="s">
        <v>7</v>
      </c>
      <c r="E178" s="190">
        <f t="shared" ref="E178:AI178" si="67">SUM(E173:E177)</f>
        <v>0</v>
      </c>
      <c r="F178" s="190">
        <f t="shared" si="67"/>
        <v>0</v>
      </c>
      <c r="G178" s="190">
        <f t="shared" si="67"/>
        <v>153760</v>
      </c>
      <c r="H178" s="191">
        <f t="shared" si="67"/>
        <v>248390</v>
      </c>
      <c r="I178" s="190">
        <f t="shared" si="67"/>
        <v>226900</v>
      </c>
      <c r="J178" s="190">
        <f t="shared" si="67"/>
        <v>178900</v>
      </c>
      <c r="K178" s="190">
        <f t="shared" si="67"/>
        <v>277000</v>
      </c>
      <c r="L178" s="191">
        <f t="shared" si="67"/>
        <v>226930</v>
      </c>
      <c r="M178" s="191">
        <f t="shared" si="67"/>
        <v>0</v>
      </c>
      <c r="N178" s="190">
        <f t="shared" si="67"/>
        <v>220720</v>
      </c>
      <c r="O178" s="190">
        <f t="shared" si="67"/>
        <v>865700</v>
      </c>
      <c r="P178" s="191">
        <f t="shared" si="67"/>
        <v>423500</v>
      </c>
      <c r="Q178" s="191">
        <f t="shared" si="67"/>
        <v>449070</v>
      </c>
      <c r="R178" s="190">
        <f t="shared" si="67"/>
        <v>268010</v>
      </c>
      <c r="S178" s="191">
        <f t="shared" si="67"/>
        <v>0</v>
      </c>
      <c r="T178" s="191">
        <f t="shared" si="67"/>
        <v>42590</v>
      </c>
      <c r="U178" s="190">
        <f t="shared" si="67"/>
        <v>272950</v>
      </c>
      <c r="V178" s="190">
        <f t="shared" si="67"/>
        <v>484890</v>
      </c>
      <c r="W178" s="190">
        <f t="shared" si="67"/>
        <v>365620</v>
      </c>
      <c r="X178" s="190">
        <f t="shared" si="67"/>
        <v>323450</v>
      </c>
      <c r="Y178" s="191">
        <f t="shared" si="67"/>
        <v>235820</v>
      </c>
      <c r="Z178" s="190">
        <f t="shared" si="67"/>
        <v>0</v>
      </c>
      <c r="AA178" s="190">
        <f t="shared" si="67"/>
        <v>0</v>
      </c>
      <c r="AB178" s="190">
        <f t="shared" si="67"/>
        <v>123240</v>
      </c>
      <c r="AC178" s="190">
        <f>SUM(AC173:AC177)</f>
        <v>83470</v>
      </c>
      <c r="AD178" s="191">
        <f t="shared" si="67"/>
        <v>138570</v>
      </c>
      <c r="AE178" s="191">
        <f t="shared" si="67"/>
        <v>307300</v>
      </c>
      <c r="AF178" s="190">
        <f t="shared" si="67"/>
        <v>359570</v>
      </c>
      <c r="AG178" s="190">
        <f t="shared" si="67"/>
        <v>298470</v>
      </c>
      <c r="AH178" s="190">
        <f t="shared" si="67"/>
        <v>279400</v>
      </c>
      <c r="AI178" s="190">
        <f t="shared" si="67"/>
        <v>278640</v>
      </c>
    </row>
    <row r="179" spans="1:35" x14ac:dyDescent="0.35">
      <c r="A179" s="34">
        <v>13</v>
      </c>
      <c r="B179" s="88" t="s">
        <v>108</v>
      </c>
      <c r="C179" s="185"/>
      <c r="D179" s="185"/>
      <c r="E179" s="36"/>
      <c r="F179" s="36"/>
      <c r="G179" s="36"/>
      <c r="H179" s="36"/>
      <c r="I179" s="36"/>
      <c r="J179" s="36"/>
      <c r="K179" s="36"/>
      <c r="L179" s="36"/>
      <c r="M179" s="36"/>
      <c r="N179" s="36"/>
      <c r="O179" s="36"/>
      <c r="P179" s="36"/>
      <c r="Q179" s="36"/>
      <c r="R179" s="36"/>
      <c r="S179" s="36"/>
      <c r="T179" s="36"/>
      <c r="U179" s="36"/>
      <c r="V179" s="36"/>
      <c r="W179" s="36"/>
      <c r="X179" s="36"/>
      <c r="Y179" s="36"/>
      <c r="Z179" s="36"/>
      <c r="AA179" s="36"/>
      <c r="AB179" s="36"/>
      <c r="AC179" s="36"/>
      <c r="AD179" s="36"/>
      <c r="AE179" s="36"/>
      <c r="AF179" s="36"/>
      <c r="AG179" s="36"/>
      <c r="AH179" s="36"/>
      <c r="AI179" s="36"/>
    </row>
    <row r="180" spans="1:35" x14ac:dyDescent="0.35">
      <c r="A180" s="58"/>
      <c r="B180" s="186" t="s">
        <v>107</v>
      </c>
      <c r="C180" s="63"/>
      <c r="D180" s="64" t="s">
        <v>7</v>
      </c>
      <c r="E180" s="142">
        <v>0</v>
      </c>
      <c r="F180" s="142">
        <v>0</v>
      </c>
      <c r="G180" s="142">
        <v>0</v>
      </c>
      <c r="H180" s="44">
        <v>0</v>
      </c>
      <c r="I180" s="142">
        <v>0</v>
      </c>
      <c r="J180" s="142">
        <v>0</v>
      </c>
      <c r="K180" s="142">
        <v>0</v>
      </c>
      <c r="L180" s="44">
        <v>0</v>
      </c>
      <c r="M180" s="44">
        <v>0</v>
      </c>
      <c r="N180" s="142">
        <v>0</v>
      </c>
      <c r="O180" s="142">
        <v>0</v>
      </c>
      <c r="P180" s="44">
        <v>0</v>
      </c>
      <c r="Q180" s="44">
        <v>0</v>
      </c>
      <c r="R180" s="142">
        <v>0</v>
      </c>
      <c r="S180" s="44">
        <v>0</v>
      </c>
      <c r="T180" s="44">
        <v>0</v>
      </c>
      <c r="U180" s="142">
        <v>0</v>
      </c>
      <c r="V180" s="142">
        <v>0</v>
      </c>
      <c r="W180" s="142">
        <v>0</v>
      </c>
      <c r="X180" s="142">
        <v>0</v>
      </c>
      <c r="Y180" s="44">
        <v>0</v>
      </c>
      <c r="Z180" s="142">
        <v>0</v>
      </c>
      <c r="AA180" s="142">
        <v>0</v>
      </c>
      <c r="AB180" s="142">
        <v>0</v>
      </c>
      <c r="AC180" s="142">
        <v>0</v>
      </c>
      <c r="AD180" s="44">
        <v>0</v>
      </c>
      <c r="AE180" s="44">
        <v>0</v>
      </c>
      <c r="AF180" s="142">
        <v>0</v>
      </c>
      <c r="AG180" s="142">
        <v>0</v>
      </c>
      <c r="AH180" s="142">
        <v>0</v>
      </c>
      <c r="AI180" s="142">
        <v>0</v>
      </c>
    </row>
    <row r="181" spans="1:35" x14ac:dyDescent="0.35">
      <c r="A181" s="58"/>
      <c r="B181" s="186" t="s">
        <v>29</v>
      </c>
      <c r="C181" s="63"/>
      <c r="D181" s="64" t="s">
        <v>7</v>
      </c>
      <c r="E181" s="142">
        <v>0</v>
      </c>
      <c r="F181" s="142">
        <v>0</v>
      </c>
      <c r="G181" s="142">
        <v>0</v>
      </c>
      <c r="H181" s="44">
        <v>0</v>
      </c>
      <c r="I181" s="142">
        <v>0</v>
      </c>
      <c r="J181" s="142">
        <v>287160</v>
      </c>
      <c r="K181" s="142">
        <v>258860</v>
      </c>
      <c r="L181" s="44">
        <v>0</v>
      </c>
      <c r="M181" s="44">
        <v>0</v>
      </c>
      <c r="N181" s="142">
        <v>0</v>
      </c>
      <c r="O181" s="142">
        <v>0</v>
      </c>
      <c r="P181" s="44">
        <v>0</v>
      </c>
      <c r="Q181" s="44">
        <v>87690</v>
      </c>
      <c r="R181" s="142">
        <v>405010</v>
      </c>
      <c r="S181" s="44">
        <v>115190</v>
      </c>
      <c r="T181" s="44">
        <v>0</v>
      </c>
      <c r="U181" s="142">
        <v>0</v>
      </c>
      <c r="V181" s="142">
        <v>0</v>
      </c>
      <c r="W181" s="142">
        <v>0</v>
      </c>
      <c r="X181" s="142">
        <v>0</v>
      </c>
      <c r="Y181" s="44">
        <v>0</v>
      </c>
      <c r="Z181" s="142">
        <v>0</v>
      </c>
      <c r="AA181" s="142">
        <v>0</v>
      </c>
      <c r="AB181" s="142">
        <v>0</v>
      </c>
      <c r="AC181" s="142">
        <v>0</v>
      </c>
      <c r="AD181" s="44">
        <v>0</v>
      </c>
      <c r="AE181" s="44">
        <v>0</v>
      </c>
      <c r="AF181" s="142">
        <v>0</v>
      </c>
      <c r="AG181" s="142">
        <v>0</v>
      </c>
      <c r="AH181" s="142">
        <v>0</v>
      </c>
      <c r="AI181" s="142">
        <v>0</v>
      </c>
    </row>
    <row r="182" spans="1:35" x14ac:dyDescent="0.35">
      <c r="A182" s="58"/>
      <c r="B182" s="186" t="s">
        <v>43</v>
      </c>
      <c r="C182" s="63"/>
      <c r="D182" s="64" t="s">
        <v>7</v>
      </c>
      <c r="E182" s="142">
        <v>0</v>
      </c>
      <c r="F182" s="142">
        <v>0</v>
      </c>
      <c r="G182" s="142">
        <v>341770</v>
      </c>
      <c r="H182" s="44">
        <v>1256970</v>
      </c>
      <c r="I182" s="142">
        <v>1031940</v>
      </c>
      <c r="J182" s="142">
        <v>1156630</v>
      </c>
      <c r="K182" s="142">
        <v>1547370</v>
      </c>
      <c r="L182" s="44">
        <v>1073590</v>
      </c>
      <c r="M182" s="44">
        <v>0</v>
      </c>
      <c r="N182" s="142">
        <v>2070690</v>
      </c>
      <c r="O182" s="142">
        <v>1321360</v>
      </c>
      <c r="P182" s="44">
        <v>1694930</v>
      </c>
      <c r="Q182" s="44">
        <v>1267850</v>
      </c>
      <c r="R182" s="142">
        <v>1995610</v>
      </c>
      <c r="S182" s="44">
        <v>1831000</v>
      </c>
      <c r="T182" s="44">
        <v>343440</v>
      </c>
      <c r="U182" s="142">
        <v>1637880</v>
      </c>
      <c r="V182" s="142">
        <v>1946780</v>
      </c>
      <c r="W182" s="142">
        <v>617510</v>
      </c>
      <c r="X182" s="142">
        <v>563510</v>
      </c>
      <c r="Y182" s="44">
        <v>1001690</v>
      </c>
      <c r="Z182" s="142">
        <v>498250</v>
      </c>
      <c r="AA182" s="142">
        <v>0</v>
      </c>
      <c r="AB182" s="142">
        <v>1190690</v>
      </c>
      <c r="AC182" s="142">
        <v>820530</v>
      </c>
      <c r="AD182" s="44">
        <v>1134820</v>
      </c>
      <c r="AE182" s="44">
        <v>1015710</v>
      </c>
      <c r="AF182" s="142">
        <v>1264050</v>
      </c>
      <c r="AG182" s="142">
        <v>729340</v>
      </c>
      <c r="AH182" s="142">
        <v>0</v>
      </c>
      <c r="AI182" s="142">
        <v>1405040</v>
      </c>
    </row>
    <row r="183" spans="1:35" x14ac:dyDescent="0.35">
      <c r="A183" s="58"/>
      <c r="B183" s="186" t="s">
        <v>46</v>
      </c>
      <c r="C183" s="63"/>
      <c r="D183" s="64" t="s">
        <v>7</v>
      </c>
      <c r="E183" s="142">
        <v>0</v>
      </c>
      <c r="F183" s="142">
        <v>0</v>
      </c>
      <c r="G183" s="142"/>
      <c r="H183" s="44"/>
      <c r="I183" s="142"/>
      <c r="J183" s="142"/>
      <c r="K183" s="142"/>
      <c r="L183" s="44"/>
      <c r="M183" s="44">
        <v>0</v>
      </c>
      <c r="N183" s="142"/>
      <c r="O183" s="142"/>
      <c r="P183" s="44"/>
      <c r="Q183" s="44"/>
      <c r="R183" s="142"/>
      <c r="S183" s="44"/>
      <c r="T183" s="44"/>
      <c r="U183" s="142"/>
      <c r="V183" s="142"/>
      <c r="W183" s="142"/>
      <c r="X183" s="142"/>
      <c r="Y183" s="44"/>
      <c r="Z183" s="142"/>
      <c r="AA183" s="142"/>
      <c r="AB183" s="142">
        <v>0</v>
      </c>
      <c r="AC183" s="142"/>
      <c r="AD183" s="44"/>
      <c r="AE183" s="44"/>
      <c r="AF183" s="142"/>
      <c r="AG183" s="142"/>
      <c r="AH183" s="142">
        <v>0</v>
      </c>
      <c r="AI183" s="142"/>
    </row>
    <row r="184" spans="1:35" x14ac:dyDescent="0.35">
      <c r="A184" s="58"/>
      <c r="B184" s="186" t="s">
        <v>44</v>
      </c>
      <c r="C184" s="63"/>
      <c r="D184" s="64" t="s">
        <v>7</v>
      </c>
      <c r="E184" s="142">
        <v>0</v>
      </c>
      <c r="F184" s="142">
        <v>0</v>
      </c>
      <c r="G184" s="142">
        <v>0</v>
      </c>
      <c r="H184" s="44">
        <v>0</v>
      </c>
      <c r="I184" s="142">
        <v>0</v>
      </c>
      <c r="J184" s="142">
        <v>0</v>
      </c>
      <c r="K184" s="142">
        <v>0</v>
      </c>
      <c r="L184" s="44">
        <v>0</v>
      </c>
      <c r="M184" s="44">
        <v>0</v>
      </c>
      <c r="N184" s="142">
        <v>0</v>
      </c>
      <c r="O184" s="142">
        <v>0</v>
      </c>
      <c r="P184" s="44">
        <v>0</v>
      </c>
      <c r="Q184" s="44">
        <v>62980</v>
      </c>
      <c r="R184" s="142">
        <v>129720</v>
      </c>
      <c r="S184" s="44">
        <v>65080</v>
      </c>
      <c r="T184" s="44">
        <v>107280</v>
      </c>
      <c r="U184" s="142">
        <v>215250</v>
      </c>
      <c r="V184" s="142">
        <v>258540</v>
      </c>
      <c r="W184" s="142">
        <v>258860</v>
      </c>
      <c r="X184" s="142">
        <v>397280</v>
      </c>
      <c r="Y184" s="44">
        <v>401170</v>
      </c>
      <c r="Z184" s="142">
        <v>149520</v>
      </c>
      <c r="AA184" s="142">
        <v>529400</v>
      </c>
      <c r="AB184" s="142">
        <v>340600</v>
      </c>
      <c r="AC184" s="142">
        <v>588440</v>
      </c>
      <c r="AD184" s="44">
        <v>345470</v>
      </c>
      <c r="AE184" s="44">
        <v>504830</v>
      </c>
      <c r="AF184" s="142">
        <v>274140</v>
      </c>
      <c r="AG184" s="142">
        <v>195430</v>
      </c>
      <c r="AH184" s="142">
        <v>0</v>
      </c>
      <c r="AI184" s="142">
        <v>0</v>
      </c>
    </row>
    <row r="185" spans="1:35" x14ac:dyDescent="0.35">
      <c r="A185" s="161"/>
      <c r="B185" s="187" t="s">
        <v>89</v>
      </c>
      <c r="C185" s="188"/>
      <c r="D185" s="189" t="s">
        <v>7</v>
      </c>
      <c r="E185" s="190">
        <f t="shared" ref="E185:AI185" si="68">SUM(E180:E184)</f>
        <v>0</v>
      </c>
      <c r="F185" s="190">
        <f t="shared" si="68"/>
        <v>0</v>
      </c>
      <c r="G185" s="190">
        <f t="shared" si="68"/>
        <v>341770</v>
      </c>
      <c r="H185" s="191">
        <f t="shared" si="68"/>
        <v>1256970</v>
      </c>
      <c r="I185" s="190">
        <f t="shared" si="68"/>
        <v>1031940</v>
      </c>
      <c r="J185" s="190">
        <f t="shared" si="68"/>
        <v>1443790</v>
      </c>
      <c r="K185" s="190">
        <f t="shared" si="68"/>
        <v>1806230</v>
      </c>
      <c r="L185" s="191">
        <f t="shared" si="68"/>
        <v>1073590</v>
      </c>
      <c r="M185" s="191">
        <f t="shared" si="68"/>
        <v>0</v>
      </c>
      <c r="N185" s="190">
        <f t="shared" si="68"/>
        <v>2070690</v>
      </c>
      <c r="O185" s="190">
        <f t="shared" si="68"/>
        <v>1321360</v>
      </c>
      <c r="P185" s="191">
        <f t="shared" si="68"/>
        <v>1694930</v>
      </c>
      <c r="Q185" s="191">
        <f t="shared" si="68"/>
        <v>1418520</v>
      </c>
      <c r="R185" s="190">
        <f t="shared" si="68"/>
        <v>2530340</v>
      </c>
      <c r="S185" s="191">
        <f t="shared" si="68"/>
        <v>2011270</v>
      </c>
      <c r="T185" s="191">
        <f t="shared" si="68"/>
        <v>450720</v>
      </c>
      <c r="U185" s="190">
        <f t="shared" si="68"/>
        <v>1853130</v>
      </c>
      <c r="V185" s="190">
        <f t="shared" si="68"/>
        <v>2205320</v>
      </c>
      <c r="W185" s="190">
        <f t="shared" si="68"/>
        <v>876370</v>
      </c>
      <c r="X185" s="190">
        <f t="shared" si="68"/>
        <v>960790</v>
      </c>
      <c r="Y185" s="191">
        <f t="shared" si="68"/>
        <v>1402860</v>
      </c>
      <c r="Z185" s="190">
        <f t="shared" si="68"/>
        <v>647770</v>
      </c>
      <c r="AA185" s="190">
        <f t="shared" si="68"/>
        <v>529400</v>
      </c>
      <c r="AB185" s="190">
        <f t="shared" si="68"/>
        <v>1531290</v>
      </c>
      <c r="AC185" s="190">
        <f t="shared" si="68"/>
        <v>1408970</v>
      </c>
      <c r="AD185" s="191">
        <f t="shared" si="68"/>
        <v>1480290</v>
      </c>
      <c r="AE185" s="191">
        <f t="shared" si="68"/>
        <v>1520540</v>
      </c>
      <c r="AF185" s="190">
        <f t="shared" si="68"/>
        <v>1538190</v>
      </c>
      <c r="AG185" s="190">
        <f t="shared" si="68"/>
        <v>924770</v>
      </c>
      <c r="AH185" s="190">
        <f t="shared" si="68"/>
        <v>0</v>
      </c>
      <c r="AI185" s="190">
        <f t="shared" si="68"/>
        <v>1405040</v>
      </c>
    </row>
  </sheetData>
  <mergeCells count="5">
    <mergeCell ref="A1:A2"/>
    <mergeCell ref="B1:B2"/>
    <mergeCell ref="C1:C2"/>
    <mergeCell ref="D1:D2"/>
    <mergeCell ref="E1:A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ZUPIII GANTENG</dc:creator>
  <cp:lastModifiedBy>ZUPIII GANTENG</cp:lastModifiedBy>
  <dcterms:created xsi:type="dcterms:W3CDTF">2025-12-13T17:26:35Z</dcterms:created>
  <dcterms:modified xsi:type="dcterms:W3CDTF">2025-12-13T17:31:43Z</dcterms:modified>
</cp:coreProperties>
</file>