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13_ncr:1_{D5077419-2782-478C-9544-76B55045B57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Juni" sheetId="43" state="hidden" r:id="rId1"/>
    <sheet name="Juni v.1" sheetId="46" r:id="rId2"/>
    <sheet name="Sheet2" sheetId="45" state="hidden" r:id="rId3"/>
    <sheet name="Sheet1" sheetId="44" state="hidden" r:id="rId4"/>
  </sheets>
  <definedNames>
    <definedName name="_xlnm.Print_Area" localSheetId="2">Sheet2!$C$2:$G$37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6" i="46" l="1"/>
  <c r="Q184" i="46"/>
  <c r="R184" i="46"/>
  <c r="J186" i="46" l="1"/>
  <c r="K186" i="46"/>
  <c r="Q186" i="46"/>
  <c r="I186" i="46"/>
  <c r="AI129" i="46" l="1"/>
  <c r="AH129" i="46"/>
  <c r="AG129" i="46"/>
  <c r="AF129" i="46"/>
  <c r="AE129" i="46"/>
  <c r="AD129" i="46"/>
  <c r="AC129" i="46"/>
  <c r="AB129" i="46"/>
  <c r="AA129" i="46"/>
  <c r="Z129" i="46"/>
  <c r="Y129" i="46"/>
  <c r="X129" i="46"/>
  <c r="W129" i="46"/>
  <c r="S38" i="46"/>
  <c r="S37" i="46"/>
  <c r="R38" i="46"/>
  <c r="R37" i="46"/>
  <c r="R31" i="46"/>
  <c r="AK64" i="46" l="1"/>
  <c r="AHQ41" i="46"/>
  <c r="AHQ40" i="46"/>
  <c r="AHQ37" i="46"/>
  <c r="AI215" i="46"/>
  <c r="AH215" i="46"/>
  <c r="AG215" i="46"/>
  <c r="AF215" i="46"/>
  <c r="AE215" i="46"/>
  <c r="AD215" i="46"/>
  <c r="AC215" i="46"/>
  <c r="AB215" i="46"/>
  <c r="AA215" i="46"/>
  <c r="Z215" i="46"/>
  <c r="Y215" i="46"/>
  <c r="X215" i="46"/>
  <c r="W215" i="46"/>
  <c r="V215" i="46"/>
  <c r="U215" i="46"/>
  <c r="T215" i="46"/>
  <c r="S215" i="46"/>
  <c r="R215" i="46"/>
  <c r="Q215" i="46"/>
  <c r="P215" i="46"/>
  <c r="O215" i="46"/>
  <c r="N215" i="46"/>
  <c r="M215" i="46"/>
  <c r="L215" i="46"/>
  <c r="K215" i="46"/>
  <c r="J215" i="46"/>
  <c r="I215" i="46"/>
  <c r="H215" i="46"/>
  <c r="G215" i="46"/>
  <c r="F215" i="46"/>
  <c r="AK214" i="46"/>
  <c r="AK213" i="46"/>
  <c r="AK212" i="46"/>
  <c r="AK211" i="46"/>
  <c r="AK210" i="46"/>
  <c r="AI208" i="46"/>
  <c r="AH208" i="46"/>
  <c r="AG208" i="46"/>
  <c r="AF208" i="46"/>
  <c r="AE208" i="46"/>
  <c r="AD208" i="46"/>
  <c r="AC208" i="46"/>
  <c r="AB208" i="46"/>
  <c r="AA208" i="46"/>
  <c r="Z208" i="46"/>
  <c r="Y208" i="46"/>
  <c r="X208" i="46"/>
  <c r="W208" i="46"/>
  <c r="V208" i="46"/>
  <c r="U208" i="46"/>
  <c r="T208" i="46"/>
  <c r="S208" i="46"/>
  <c r="R208" i="46"/>
  <c r="Q208" i="46"/>
  <c r="P208" i="46"/>
  <c r="O208" i="46"/>
  <c r="N208" i="46"/>
  <c r="M208" i="46"/>
  <c r="L208" i="46"/>
  <c r="K208" i="46"/>
  <c r="J208" i="46"/>
  <c r="I208" i="46"/>
  <c r="H208" i="46"/>
  <c r="G208" i="46"/>
  <c r="F208" i="46"/>
  <c r="AK207" i="46"/>
  <c r="AK206" i="46"/>
  <c r="AK205" i="46"/>
  <c r="AK204" i="46"/>
  <c r="AK203" i="46"/>
  <c r="AI201" i="46"/>
  <c r="AH201" i="46"/>
  <c r="AG201" i="46"/>
  <c r="AF201" i="46"/>
  <c r="AE201" i="46"/>
  <c r="AD201" i="46"/>
  <c r="AC201" i="46"/>
  <c r="AB201" i="46"/>
  <c r="AA201" i="46"/>
  <c r="Z201" i="46"/>
  <c r="Y201" i="46"/>
  <c r="X201" i="46"/>
  <c r="W201" i="46"/>
  <c r="V201" i="46"/>
  <c r="U201" i="46"/>
  <c r="T201" i="46"/>
  <c r="S201" i="46"/>
  <c r="R201" i="46"/>
  <c r="Q201" i="46"/>
  <c r="P201" i="46"/>
  <c r="O201" i="46"/>
  <c r="N201" i="46"/>
  <c r="M201" i="46"/>
  <c r="L201" i="46"/>
  <c r="K201" i="46"/>
  <c r="J201" i="46"/>
  <c r="I201" i="46"/>
  <c r="H201" i="46"/>
  <c r="G201" i="46"/>
  <c r="F201" i="46"/>
  <c r="AK200" i="46"/>
  <c r="AK197" i="46"/>
  <c r="AI196" i="46"/>
  <c r="AH196" i="46"/>
  <c r="AG196" i="46"/>
  <c r="AF196" i="46"/>
  <c r="AE196" i="46"/>
  <c r="AD196" i="46"/>
  <c r="AC196" i="46"/>
  <c r="AB196" i="46"/>
  <c r="AA196" i="46"/>
  <c r="Z196" i="46"/>
  <c r="Y196" i="46"/>
  <c r="X196" i="46"/>
  <c r="W196" i="46"/>
  <c r="V196" i="46"/>
  <c r="U196" i="46"/>
  <c r="T196" i="46"/>
  <c r="S196" i="46"/>
  <c r="R196" i="46"/>
  <c r="Q196" i="46"/>
  <c r="P196" i="46"/>
  <c r="O196" i="46"/>
  <c r="N196" i="46"/>
  <c r="M196" i="46"/>
  <c r="L196" i="46"/>
  <c r="K196" i="46"/>
  <c r="J196" i="46"/>
  <c r="I196" i="46"/>
  <c r="H196" i="46"/>
  <c r="G196" i="46"/>
  <c r="F196" i="46"/>
  <c r="AK195" i="46"/>
  <c r="D195" i="46"/>
  <c r="D196" i="46" s="1"/>
  <c r="AK194" i="46"/>
  <c r="AIR194" i="46" s="1"/>
  <c r="AK193" i="46"/>
  <c r="AIR193" i="46" s="1"/>
  <c r="AK191" i="46"/>
  <c r="O189" i="46"/>
  <c r="AI188" i="46"/>
  <c r="AI189" i="46" s="1"/>
  <c r="AH188" i="46"/>
  <c r="AH189" i="46" s="1"/>
  <c r="AG188" i="46"/>
  <c r="AG189" i="46" s="1"/>
  <c r="AF188" i="46"/>
  <c r="AF189" i="46" s="1"/>
  <c r="AE188" i="46"/>
  <c r="AE189" i="46" s="1"/>
  <c r="AD188" i="46"/>
  <c r="AD189" i="46" s="1"/>
  <c r="AC188" i="46"/>
  <c r="AC189" i="46" s="1"/>
  <c r="AB188" i="46"/>
  <c r="AB189" i="46" s="1"/>
  <c r="AA188" i="46"/>
  <c r="AA189" i="46" s="1"/>
  <c r="Z188" i="46"/>
  <c r="Z189" i="46" s="1"/>
  <c r="X188" i="46"/>
  <c r="X189" i="46" s="1"/>
  <c r="W188" i="46"/>
  <c r="W189" i="46" s="1"/>
  <c r="V188" i="46"/>
  <c r="V189" i="46" s="1"/>
  <c r="U188" i="46"/>
  <c r="U189" i="46" s="1"/>
  <c r="T188" i="46"/>
  <c r="T189" i="46" s="1"/>
  <c r="S188" i="46"/>
  <c r="S189" i="46" s="1"/>
  <c r="R188" i="46"/>
  <c r="R189" i="46" s="1"/>
  <c r="Q188" i="46"/>
  <c r="Q189" i="46" s="1"/>
  <c r="P188" i="46"/>
  <c r="P189" i="46" s="1"/>
  <c r="O188" i="46"/>
  <c r="N188" i="46"/>
  <c r="N189" i="46" s="1"/>
  <c r="M188" i="46"/>
  <c r="M189" i="46" s="1"/>
  <c r="L188" i="46"/>
  <c r="L189" i="46" s="1"/>
  <c r="K188" i="46"/>
  <c r="K189" i="46" s="1"/>
  <c r="J188" i="46"/>
  <c r="J189" i="46" s="1"/>
  <c r="I188" i="46"/>
  <c r="I189" i="46" s="1"/>
  <c r="H188" i="46"/>
  <c r="H189" i="46" s="1"/>
  <c r="G188" i="46"/>
  <c r="G189" i="46" s="1"/>
  <c r="F188" i="46"/>
  <c r="F189" i="46" s="1"/>
  <c r="AK187" i="46"/>
  <c r="AK185" i="46"/>
  <c r="Y183" i="46"/>
  <c r="Y188" i="46" s="1"/>
  <c r="Y189" i="46" s="1"/>
  <c r="D183" i="46"/>
  <c r="D188" i="46" s="1"/>
  <c r="D189" i="46" s="1"/>
  <c r="AI181" i="46"/>
  <c r="AH181" i="46"/>
  <c r="AG181" i="46"/>
  <c r="AF181" i="46"/>
  <c r="AE181" i="46"/>
  <c r="AD181" i="46"/>
  <c r="AC181" i="46"/>
  <c r="AB181" i="46"/>
  <c r="AA181" i="46"/>
  <c r="Z181" i="46"/>
  <c r="Y181" i="46"/>
  <c r="X181" i="46"/>
  <c r="W181" i="46"/>
  <c r="V181" i="46"/>
  <c r="U181" i="46"/>
  <c r="T181" i="46"/>
  <c r="S181" i="46"/>
  <c r="R181" i="46"/>
  <c r="Q181" i="46"/>
  <c r="P181" i="46"/>
  <c r="O181" i="46"/>
  <c r="N181" i="46"/>
  <c r="M181" i="46"/>
  <c r="L181" i="46"/>
  <c r="K181" i="46"/>
  <c r="J181" i="46"/>
  <c r="I181" i="46"/>
  <c r="H181" i="46"/>
  <c r="G181" i="46"/>
  <c r="F181" i="46"/>
  <c r="D181" i="46"/>
  <c r="AI180" i="46"/>
  <c r="AH180" i="46"/>
  <c r="AG180" i="46"/>
  <c r="AF180" i="46"/>
  <c r="AE180" i="46"/>
  <c r="AD180" i="46"/>
  <c r="AC180" i="46"/>
  <c r="AB180" i="46"/>
  <c r="AA180" i="46"/>
  <c r="Z180" i="46"/>
  <c r="Y180" i="46"/>
  <c r="X180" i="46"/>
  <c r="W180" i="46"/>
  <c r="V180" i="46"/>
  <c r="U180" i="46"/>
  <c r="T180" i="46"/>
  <c r="S180" i="46"/>
  <c r="R180" i="46"/>
  <c r="Q180" i="46"/>
  <c r="P180" i="46"/>
  <c r="O180" i="46"/>
  <c r="N180" i="46"/>
  <c r="M180" i="46"/>
  <c r="L180" i="46"/>
  <c r="K180" i="46"/>
  <c r="J180" i="46"/>
  <c r="I180" i="46"/>
  <c r="H180" i="46"/>
  <c r="G180" i="46"/>
  <c r="F180" i="46"/>
  <c r="AK179" i="46"/>
  <c r="AK177" i="46"/>
  <c r="AG176" i="46"/>
  <c r="AK176" i="46" s="1"/>
  <c r="H173" i="46"/>
  <c r="AI171" i="46"/>
  <c r="AH171" i="46"/>
  <c r="AG171" i="46"/>
  <c r="AF171" i="46"/>
  <c r="AE171" i="46"/>
  <c r="AD171" i="46"/>
  <c r="AC171" i="46"/>
  <c r="AB171" i="46"/>
  <c r="AA171" i="46"/>
  <c r="Z171" i="46"/>
  <c r="Y171" i="46"/>
  <c r="X171" i="46"/>
  <c r="W171" i="46"/>
  <c r="V171" i="46"/>
  <c r="U171" i="46"/>
  <c r="T171" i="46"/>
  <c r="S171" i="46"/>
  <c r="R171" i="46"/>
  <c r="Q171" i="46"/>
  <c r="P171" i="46"/>
  <c r="O171" i="46"/>
  <c r="N171" i="46"/>
  <c r="M171" i="46"/>
  <c r="L171" i="46"/>
  <c r="K171" i="46"/>
  <c r="J171" i="46"/>
  <c r="I171" i="46"/>
  <c r="H171" i="46"/>
  <c r="G171" i="46"/>
  <c r="F171" i="46"/>
  <c r="AI170" i="46"/>
  <c r="AH170" i="46"/>
  <c r="AG170" i="46"/>
  <c r="AF170" i="46"/>
  <c r="AE170" i="46"/>
  <c r="AD170" i="46"/>
  <c r="AC170" i="46"/>
  <c r="AB170" i="46"/>
  <c r="AA170" i="46"/>
  <c r="Z170" i="46"/>
  <c r="Y170" i="46"/>
  <c r="X170" i="46"/>
  <c r="W170" i="46"/>
  <c r="V170" i="46"/>
  <c r="U170" i="46"/>
  <c r="T170" i="46"/>
  <c r="S170" i="46"/>
  <c r="R170" i="46"/>
  <c r="Q170" i="46"/>
  <c r="P170" i="46"/>
  <c r="O170" i="46"/>
  <c r="N170" i="46"/>
  <c r="M170" i="46"/>
  <c r="L170" i="46"/>
  <c r="K170" i="46"/>
  <c r="J170" i="46"/>
  <c r="I170" i="46"/>
  <c r="H170" i="46"/>
  <c r="G170" i="46"/>
  <c r="F170" i="46"/>
  <c r="AK167" i="46"/>
  <c r="AK166" i="46"/>
  <c r="AK164" i="46"/>
  <c r="AK163" i="46"/>
  <c r="AI160" i="46"/>
  <c r="AH160" i="46"/>
  <c r="AG160" i="46"/>
  <c r="AF160" i="46"/>
  <c r="AE160" i="46"/>
  <c r="AD160" i="46"/>
  <c r="AC160" i="46"/>
  <c r="AB160" i="46"/>
  <c r="AA160" i="46"/>
  <c r="Z160" i="46"/>
  <c r="Y160" i="46"/>
  <c r="X160" i="46"/>
  <c r="W160" i="46"/>
  <c r="V160" i="46"/>
  <c r="U160" i="46"/>
  <c r="T160" i="46"/>
  <c r="S160" i="46"/>
  <c r="R160" i="46"/>
  <c r="Q160" i="46"/>
  <c r="P160" i="46"/>
  <c r="O160" i="46"/>
  <c r="N160" i="46"/>
  <c r="M160" i="46"/>
  <c r="L160" i="46"/>
  <c r="K160" i="46"/>
  <c r="J160" i="46"/>
  <c r="I160" i="46"/>
  <c r="H160" i="46"/>
  <c r="G160" i="46"/>
  <c r="F160" i="46"/>
  <c r="AI159" i="46"/>
  <c r="AH159" i="46"/>
  <c r="AG159" i="46"/>
  <c r="AF159" i="46"/>
  <c r="AE159" i="46"/>
  <c r="AD159" i="46"/>
  <c r="AC159" i="46"/>
  <c r="AB159" i="46"/>
  <c r="AA159" i="46"/>
  <c r="Z159" i="46"/>
  <c r="Y159" i="46"/>
  <c r="X159" i="46"/>
  <c r="W159" i="46"/>
  <c r="V159" i="46"/>
  <c r="U159" i="46"/>
  <c r="T159" i="46"/>
  <c r="S159" i="46"/>
  <c r="R159" i="46"/>
  <c r="Q159" i="46"/>
  <c r="P159" i="46"/>
  <c r="O159" i="46"/>
  <c r="N159" i="46"/>
  <c r="M159" i="46"/>
  <c r="L159" i="46"/>
  <c r="K159" i="46"/>
  <c r="J159" i="46"/>
  <c r="I159" i="46"/>
  <c r="H159" i="46"/>
  <c r="G159" i="46"/>
  <c r="F159" i="46"/>
  <c r="AI158" i="46"/>
  <c r="AI174" i="46" s="1"/>
  <c r="AH158" i="46"/>
  <c r="AH174" i="46" s="1"/>
  <c r="AG158" i="46"/>
  <c r="AG174" i="46" s="1"/>
  <c r="AF158" i="46"/>
  <c r="AF174" i="46" s="1"/>
  <c r="AE158" i="46"/>
  <c r="AE174" i="46" s="1"/>
  <c r="AD158" i="46"/>
  <c r="AD174" i="46" s="1"/>
  <c r="AC158" i="46"/>
  <c r="AC174" i="46" s="1"/>
  <c r="AB158" i="46"/>
  <c r="AB174" i="46" s="1"/>
  <c r="AA158" i="46"/>
  <c r="AA174" i="46" s="1"/>
  <c r="Z158" i="46"/>
  <c r="Z174" i="46" s="1"/>
  <c r="Y158" i="46"/>
  <c r="Y174" i="46" s="1"/>
  <c r="X158" i="46"/>
  <c r="X174" i="46" s="1"/>
  <c r="W158" i="46"/>
  <c r="W174" i="46" s="1"/>
  <c r="V158" i="46"/>
  <c r="V174" i="46" s="1"/>
  <c r="U158" i="46"/>
  <c r="U174" i="46" s="1"/>
  <c r="T158" i="46"/>
  <c r="T174" i="46" s="1"/>
  <c r="S158" i="46"/>
  <c r="S174" i="46" s="1"/>
  <c r="R158" i="46"/>
  <c r="R174" i="46" s="1"/>
  <c r="Q158" i="46"/>
  <c r="Q174" i="46" s="1"/>
  <c r="P158" i="46"/>
  <c r="P174" i="46" s="1"/>
  <c r="O158" i="46"/>
  <c r="O174" i="46" s="1"/>
  <c r="N158" i="46"/>
  <c r="N174" i="46" s="1"/>
  <c r="M158" i="46"/>
  <c r="M174" i="46" s="1"/>
  <c r="L158" i="46"/>
  <c r="L174" i="46" s="1"/>
  <c r="K158" i="46"/>
  <c r="K174" i="46" s="1"/>
  <c r="J158" i="46"/>
  <c r="J174" i="46" s="1"/>
  <c r="I158" i="46"/>
  <c r="I174" i="46" s="1"/>
  <c r="H158" i="46"/>
  <c r="H174" i="46" s="1"/>
  <c r="G158" i="46"/>
  <c r="G174" i="46" s="1"/>
  <c r="F158" i="46"/>
  <c r="F174" i="46" s="1"/>
  <c r="AI157" i="46"/>
  <c r="AH157" i="46"/>
  <c r="AG157" i="46"/>
  <c r="AF157" i="46"/>
  <c r="AE157" i="46"/>
  <c r="AD157" i="46"/>
  <c r="AC157" i="46"/>
  <c r="AB157" i="46"/>
  <c r="AA157" i="46"/>
  <c r="Z157" i="46"/>
  <c r="Y157" i="46"/>
  <c r="X157" i="46"/>
  <c r="W157" i="46"/>
  <c r="V157" i="46"/>
  <c r="U157" i="46"/>
  <c r="T157" i="46"/>
  <c r="S157" i="46"/>
  <c r="R157" i="46"/>
  <c r="Q157" i="46"/>
  <c r="P157" i="46"/>
  <c r="O157" i="46"/>
  <c r="N157" i="46"/>
  <c r="M157" i="46"/>
  <c r="L157" i="46"/>
  <c r="K157" i="46"/>
  <c r="J157" i="46"/>
  <c r="I157" i="46"/>
  <c r="H157" i="46"/>
  <c r="G157" i="46"/>
  <c r="F157" i="46"/>
  <c r="AI156" i="46"/>
  <c r="AI173" i="46" s="1"/>
  <c r="AH156" i="46"/>
  <c r="AH173" i="46" s="1"/>
  <c r="AG156" i="46"/>
  <c r="AG173" i="46" s="1"/>
  <c r="AF156" i="46"/>
  <c r="AF173" i="46" s="1"/>
  <c r="AE156" i="46"/>
  <c r="AE173" i="46" s="1"/>
  <c r="AD156" i="46"/>
  <c r="AD173" i="46" s="1"/>
  <c r="AC156" i="46"/>
  <c r="AC173" i="46" s="1"/>
  <c r="AB156" i="46"/>
  <c r="AB173" i="46" s="1"/>
  <c r="AA156" i="46"/>
  <c r="AA173" i="46" s="1"/>
  <c r="Z156" i="46"/>
  <c r="Z173" i="46" s="1"/>
  <c r="Y156" i="46"/>
  <c r="Y173" i="46" s="1"/>
  <c r="X156" i="46"/>
  <c r="X173" i="46" s="1"/>
  <c r="W156" i="46"/>
  <c r="W173" i="46" s="1"/>
  <c r="V156" i="46"/>
  <c r="V173" i="46" s="1"/>
  <c r="U156" i="46"/>
  <c r="U173" i="46" s="1"/>
  <c r="T156" i="46"/>
  <c r="T173" i="46" s="1"/>
  <c r="S156" i="46"/>
  <c r="S173" i="46" s="1"/>
  <c r="R156" i="46"/>
  <c r="R173" i="46" s="1"/>
  <c r="Q156" i="46"/>
  <c r="Q173" i="46" s="1"/>
  <c r="P156" i="46"/>
  <c r="P173" i="46" s="1"/>
  <c r="O156" i="46"/>
  <c r="O173" i="46" s="1"/>
  <c r="N156" i="46"/>
  <c r="N173" i="46" s="1"/>
  <c r="M156" i="46"/>
  <c r="M173" i="46" s="1"/>
  <c r="L156" i="46"/>
  <c r="L173" i="46" s="1"/>
  <c r="K156" i="46"/>
  <c r="K173" i="46" s="1"/>
  <c r="J156" i="46"/>
  <c r="J173" i="46" s="1"/>
  <c r="I156" i="46"/>
  <c r="I173" i="46" s="1"/>
  <c r="H156" i="46"/>
  <c r="G156" i="46"/>
  <c r="G173" i="46" s="1"/>
  <c r="F156" i="46"/>
  <c r="F173" i="46" s="1"/>
  <c r="AK154" i="46"/>
  <c r="AK158" i="46" s="1"/>
  <c r="AK153" i="46"/>
  <c r="AK157" i="46" s="1"/>
  <c r="AK152" i="46"/>
  <c r="AK156" i="46" s="1"/>
  <c r="AK173" i="46" s="1"/>
  <c r="AE150" i="46"/>
  <c r="AI149" i="46"/>
  <c r="AI150" i="46" s="1"/>
  <c r="AH149" i="46"/>
  <c r="AH150" i="46" s="1"/>
  <c r="AG149" i="46"/>
  <c r="AG150" i="46" s="1"/>
  <c r="AF149" i="46"/>
  <c r="AF150" i="46" s="1"/>
  <c r="AE149" i="46"/>
  <c r="AD149" i="46"/>
  <c r="AD150" i="46" s="1"/>
  <c r="AC149" i="46"/>
  <c r="AC150" i="46" s="1"/>
  <c r="AB149" i="46"/>
  <c r="AB150" i="46" s="1"/>
  <c r="AA149" i="46"/>
  <c r="AA150" i="46" s="1"/>
  <c r="Z149" i="46"/>
  <c r="Z150" i="46" s="1"/>
  <c r="Y149" i="46"/>
  <c r="Y150" i="46" s="1"/>
  <c r="X149" i="46"/>
  <c r="X150" i="46" s="1"/>
  <c r="W149" i="46"/>
  <c r="W150" i="46" s="1"/>
  <c r="V149" i="46"/>
  <c r="V150" i="46" s="1"/>
  <c r="U149" i="46"/>
  <c r="U150" i="46" s="1"/>
  <c r="T149" i="46"/>
  <c r="T150" i="46" s="1"/>
  <c r="S149" i="46"/>
  <c r="S150" i="46" s="1"/>
  <c r="R149" i="46"/>
  <c r="R150" i="46" s="1"/>
  <c r="Q149" i="46"/>
  <c r="Q150" i="46" s="1"/>
  <c r="P149" i="46"/>
  <c r="P150" i="46" s="1"/>
  <c r="O149" i="46"/>
  <c r="O150" i="46" s="1"/>
  <c r="N149" i="46"/>
  <c r="N150" i="46" s="1"/>
  <c r="M149" i="46"/>
  <c r="M150" i="46" s="1"/>
  <c r="L149" i="46"/>
  <c r="L150" i="46" s="1"/>
  <c r="K149" i="46"/>
  <c r="K150" i="46" s="1"/>
  <c r="J149" i="46"/>
  <c r="J150" i="46" s="1"/>
  <c r="I149" i="46"/>
  <c r="I150" i="46" s="1"/>
  <c r="H149" i="46"/>
  <c r="H150" i="46" s="1"/>
  <c r="G149" i="46"/>
  <c r="G150" i="46" s="1"/>
  <c r="F149" i="46"/>
  <c r="F150" i="46" s="1"/>
  <c r="AK147" i="46"/>
  <c r="AK145" i="46"/>
  <c r="C145" i="46"/>
  <c r="AK144" i="46"/>
  <c r="C144" i="46"/>
  <c r="AK142" i="46"/>
  <c r="AK141" i="46"/>
  <c r="AI138" i="46"/>
  <c r="AH138" i="46"/>
  <c r="AG138" i="46"/>
  <c r="AF138" i="46"/>
  <c r="AE138" i="46"/>
  <c r="AD138" i="46"/>
  <c r="AC138" i="46"/>
  <c r="AB138" i="46"/>
  <c r="AA138" i="46"/>
  <c r="Z138" i="46"/>
  <c r="Y138" i="46"/>
  <c r="X138" i="46"/>
  <c r="W138" i="46"/>
  <c r="V138" i="46"/>
  <c r="U138" i="46"/>
  <c r="T138" i="46"/>
  <c r="S138" i="46"/>
  <c r="R138" i="46"/>
  <c r="Q138" i="46"/>
  <c r="P138" i="46"/>
  <c r="O138" i="46"/>
  <c r="N138" i="46"/>
  <c r="M138" i="46"/>
  <c r="L138" i="46"/>
  <c r="K138" i="46"/>
  <c r="J138" i="46"/>
  <c r="I138" i="46"/>
  <c r="H138" i="46"/>
  <c r="G138" i="46"/>
  <c r="F138" i="46"/>
  <c r="AI137" i="46"/>
  <c r="AH137" i="46"/>
  <c r="AG137" i="46"/>
  <c r="AF137" i="46"/>
  <c r="AE137" i="46"/>
  <c r="AD137" i="46"/>
  <c r="AC137" i="46"/>
  <c r="AB137" i="46"/>
  <c r="AA137" i="46"/>
  <c r="Z137" i="46"/>
  <c r="Y137" i="46"/>
  <c r="X137" i="46"/>
  <c r="W137" i="46"/>
  <c r="V137" i="46"/>
  <c r="U137" i="46"/>
  <c r="T137" i="46"/>
  <c r="S137" i="46"/>
  <c r="R137" i="46"/>
  <c r="Q137" i="46"/>
  <c r="P137" i="46"/>
  <c r="O137" i="46"/>
  <c r="N137" i="46"/>
  <c r="M137" i="46"/>
  <c r="L137" i="46"/>
  <c r="K137" i="46"/>
  <c r="J137" i="46"/>
  <c r="I137" i="46"/>
  <c r="H137" i="46"/>
  <c r="G137" i="46"/>
  <c r="AI136" i="46"/>
  <c r="AH136" i="46"/>
  <c r="AG136" i="46"/>
  <c r="AF136" i="46"/>
  <c r="AE136" i="46"/>
  <c r="AD136" i="46"/>
  <c r="AC136" i="46"/>
  <c r="AB136" i="46"/>
  <c r="AA136" i="46"/>
  <c r="Z136" i="46"/>
  <c r="Y136" i="46"/>
  <c r="X136" i="46"/>
  <c r="W136" i="46"/>
  <c r="V136" i="46"/>
  <c r="U136" i="46"/>
  <c r="T136" i="46"/>
  <c r="S136" i="46"/>
  <c r="R136" i="46"/>
  <c r="Q136" i="46"/>
  <c r="P136" i="46"/>
  <c r="O136" i="46"/>
  <c r="N136" i="46"/>
  <c r="M136" i="46"/>
  <c r="L136" i="46"/>
  <c r="K136" i="46"/>
  <c r="J136" i="46"/>
  <c r="I136" i="46"/>
  <c r="H136" i="46"/>
  <c r="G136" i="46"/>
  <c r="F136" i="46"/>
  <c r="AI135" i="46"/>
  <c r="AH135" i="46"/>
  <c r="AG135" i="46"/>
  <c r="AF135" i="46"/>
  <c r="AE135" i="46"/>
  <c r="AD135" i="46"/>
  <c r="AC135" i="46"/>
  <c r="AB135" i="46"/>
  <c r="AA135" i="46"/>
  <c r="Z135" i="46"/>
  <c r="Y135" i="46"/>
  <c r="X135" i="46"/>
  <c r="W135" i="46"/>
  <c r="V135" i="46"/>
  <c r="U135" i="46"/>
  <c r="T135" i="46"/>
  <c r="S135" i="46"/>
  <c r="R135" i="46"/>
  <c r="Q135" i="46"/>
  <c r="P135" i="46"/>
  <c r="O135" i="46"/>
  <c r="N135" i="46"/>
  <c r="M135" i="46"/>
  <c r="L135" i="46"/>
  <c r="K135" i="46"/>
  <c r="J135" i="46"/>
  <c r="I135" i="46"/>
  <c r="H135" i="46"/>
  <c r="G135" i="46"/>
  <c r="F135" i="46"/>
  <c r="AN133" i="46"/>
  <c r="AO133" i="46" s="1"/>
  <c r="AK133" i="46"/>
  <c r="AK136" i="46" s="1"/>
  <c r="AN132" i="46"/>
  <c r="AO132" i="46" s="1"/>
  <c r="AK132" i="46"/>
  <c r="AK135" i="46" s="1"/>
  <c r="IX130" i="46"/>
  <c r="AI130" i="46"/>
  <c r="AH130" i="46"/>
  <c r="AG130" i="46"/>
  <c r="AF130" i="46"/>
  <c r="AE130" i="46"/>
  <c r="AD130" i="46"/>
  <c r="AC130" i="46"/>
  <c r="AB130" i="46"/>
  <c r="AA130" i="46"/>
  <c r="Z130" i="46"/>
  <c r="Y130" i="46"/>
  <c r="X130" i="46"/>
  <c r="W130" i="46"/>
  <c r="V129" i="46"/>
  <c r="V130" i="46" s="1"/>
  <c r="U129" i="46"/>
  <c r="U130" i="46" s="1"/>
  <c r="T129" i="46"/>
  <c r="T130" i="46" s="1"/>
  <c r="S129" i="46"/>
  <c r="S130" i="46" s="1"/>
  <c r="R129" i="46"/>
  <c r="R130" i="46" s="1"/>
  <c r="Q129" i="46"/>
  <c r="Q130" i="46" s="1"/>
  <c r="P129" i="46"/>
  <c r="P130" i="46" s="1"/>
  <c r="O129" i="46"/>
  <c r="O130" i="46" s="1"/>
  <c r="N129" i="46"/>
  <c r="N130" i="46" s="1"/>
  <c r="M129" i="46"/>
  <c r="M130" i="46" s="1"/>
  <c r="L129" i="46"/>
  <c r="L130" i="46" s="1"/>
  <c r="K129" i="46"/>
  <c r="K130" i="46" s="1"/>
  <c r="J129" i="46"/>
  <c r="J130" i="46" s="1"/>
  <c r="I129" i="46"/>
  <c r="I130" i="46" s="1"/>
  <c r="H129" i="46"/>
  <c r="H130" i="46" s="1"/>
  <c r="G129" i="46"/>
  <c r="G130" i="46" s="1"/>
  <c r="F129" i="46"/>
  <c r="F130" i="46" s="1"/>
  <c r="AG125" i="46"/>
  <c r="Q125" i="46"/>
  <c r="I125" i="46"/>
  <c r="AI123" i="46"/>
  <c r="AH123" i="46"/>
  <c r="AG123" i="46"/>
  <c r="AF123" i="46"/>
  <c r="AE123" i="46"/>
  <c r="AD123" i="46"/>
  <c r="AC123" i="46"/>
  <c r="AB123" i="46"/>
  <c r="AA123" i="46"/>
  <c r="Z123" i="46"/>
  <c r="Y123" i="46"/>
  <c r="X123" i="46"/>
  <c r="W123" i="46"/>
  <c r="V123" i="46"/>
  <c r="U123" i="46"/>
  <c r="T123" i="46"/>
  <c r="S123" i="46"/>
  <c r="R123" i="46"/>
  <c r="Q123" i="46"/>
  <c r="P123" i="46"/>
  <c r="O123" i="46"/>
  <c r="N123" i="46"/>
  <c r="M123" i="46"/>
  <c r="L123" i="46"/>
  <c r="K123" i="46"/>
  <c r="J123" i="46"/>
  <c r="I123" i="46"/>
  <c r="H123" i="46"/>
  <c r="G123" i="46"/>
  <c r="F123" i="46"/>
  <c r="AI122" i="46"/>
  <c r="AH122" i="46"/>
  <c r="AG122" i="46"/>
  <c r="AF122" i="46"/>
  <c r="AE122" i="46"/>
  <c r="AD122" i="46"/>
  <c r="AC122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O122" i="46"/>
  <c r="N122" i="46"/>
  <c r="M122" i="46"/>
  <c r="L122" i="46"/>
  <c r="K122" i="46"/>
  <c r="J122" i="46"/>
  <c r="I122" i="46"/>
  <c r="H122" i="46"/>
  <c r="G122" i="46"/>
  <c r="F122" i="46"/>
  <c r="AK119" i="46"/>
  <c r="AK118" i="46"/>
  <c r="AK116" i="46"/>
  <c r="AK123" i="46" s="1"/>
  <c r="AK115" i="46"/>
  <c r="AK122" i="46" s="1"/>
  <c r="AI112" i="46"/>
  <c r="AH112" i="46"/>
  <c r="AG112" i="46"/>
  <c r="AF112" i="46"/>
  <c r="AE112" i="46"/>
  <c r="AD112" i="46"/>
  <c r="AC112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F112" i="46"/>
  <c r="AI111" i="46"/>
  <c r="AH111" i="46"/>
  <c r="AG111" i="46"/>
  <c r="AF111" i="46"/>
  <c r="AE111" i="46"/>
  <c r="AD111" i="46"/>
  <c r="AC111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G111" i="46"/>
  <c r="AI110" i="46"/>
  <c r="AI126" i="46" s="1"/>
  <c r="AH110" i="46"/>
  <c r="AH126" i="46" s="1"/>
  <c r="AG110" i="46"/>
  <c r="AG126" i="46" s="1"/>
  <c r="AF110" i="46"/>
  <c r="AF126" i="46" s="1"/>
  <c r="AE110" i="46"/>
  <c r="AE126" i="46" s="1"/>
  <c r="AD110" i="46"/>
  <c r="AD126" i="46" s="1"/>
  <c r="AC110" i="46"/>
  <c r="AC126" i="46" s="1"/>
  <c r="AB110" i="46"/>
  <c r="AB126" i="46" s="1"/>
  <c r="AA110" i="46"/>
  <c r="AA126" i="46" s="1"/>
  <c r="Z110" i="46"/>
  <c r="Z126" i="46" s="1"/>
  <c r="Y110" i="46"/>
  <c r="Y126" i="46" s="1"/>
  <c r="X110" i="46"/>
  <c r="X126" i="46" s="1"/>
  <c r="W110" i="46"/>
  <c r="W126" i="46" s="1"/>
  <c r="V110" i="46"/>
  <c r="V126" i="46" s="1"/>
  <c r="U110" i="46"/>
  <c r="U126" i="46" s="1"/>
  <c r="T110" i="46"/>
  <c r="T126" i="46" s="1"/>
  <c r="S110" i="46"/>
  <c r="S126" i="46" s="1"/>
  <c r="R110" i="46"/>
  <c r="R126" i="46" s="1"/>
  <c r="Q110" i="46"/>
  <c r="Q126" i="46" s="1"/>
  <c r="P110" i="46"/>
  <c r="P126" i="46" s="1"/>
  <c r="O110" i="46"/>
  <c r="O126" i="46" s="1"/>
  <c r="N110" i="46"/>
  <c r="N126" i="46" s="1"/>
  <c r="M110" i="46"/>
  <c r="M126" i="46" s="1"/>
  <c r="L110" i="46"/>
  <c r="L126" i="46" s="1"/>
  <c r="K110" i="46"/>
  <c r="K126" i="46" s="1"/>
  <c r="J110" i="46"/>
  <c r="J126" i="46" s="1"/>
  <c r="I110" i="46"/>
  <c r="I126" i="46" s="1"/>
  <c r="H110" i="46"/>
  <c r="H126" i="46" s="1"/>
  <c r="G110" i="46"/>
  <c r="G126" i="46" s="1"/>
  <c r="F110" i="46"/>
  <c r="F126" i="46" s="1"/>
  <c r="AI109" i="46"/>
  <c r="AI125" i="46" s="1"/>
  <c r="AH109" i="46"/>
  <c r="AH125" i="46" s="1"/>
  <c r="AG109" i="46"/>
  <c r="AF109" i="46"/>
  <c r="AF125" i="46" s="1"/>
  <c r="AE109" i="46"/>
  <c r="AE125" i="46" s="1"/>
  <c r="AD109" i="46"/>
  <c r="AD125" i="46" s="1"/>
  <c r="AC109" i="46"/>
  <c r="AC125" i="46" s="1"/>
  <c r="AB109" i="46"/>
  <c r="AB125" i="46" s="1"/>
  <c r="AA109" i="46"/>
  <c r="AA125" i="46" s="1"/>
  <c r="Z109" i="46"/>
  <c r="Z125" i="46" s="1"/>
  <c r="Y109" i="46"/>
  <c r="Y125" i="46" s="1"/>
  <c r="X109" i="46"/>
  <c r="X125" i="46" s="1"/>
  <c r="W109" i="46"/>
  <c r="W125" i="46" s="1"/>
  <c r="V109" i="46"/>
  <c r="V125" i="46" s="1"/>
  <c r="U109" i="46"/>
  <c r="U125" i="46" s="1"/>
  <c r="T109" i="46"/>
  <c r="T125" i="46" s="1"/>
  <c r="S109" i="46"/>
  <c r="S125" i="46" s="1"/>
  <c r="R109" i="46"/>
  <c r="R125" i="46" s="1"/>
  <c r="Q109" i="46"/>
  <c r="P109" i="46"/>
  <c r="P125" i="46" s="1"/>
  <c r="O109" i="46"/>
  <c r="O125" i="46" s="1"/>
  <c r="N109" i="46"/>
  <c r="N125" i="46" s="1"/>
  <c r="M109" i="46"/>
  <c r="M125" i="46" s="1"/>
  <c r="L109" i="46"/>
  <c r="L125" i="46" s="1"/>
  <c r="K109" i="46"/>
  <c r="K125" i="46" s="1"/>
  <c r="J109" i="46"/>
  <c r="J125" i="46" s="1"/>
  <c r="I109" i="46"/>
  <c r="H109" i="46"/>
  <c r="H125" i="46" s="1"/>
  <c r="G109" i="46"/>
  <c r="G125" i="46" s="1"/>
  <c r="F109" i="46"/>
  <c r="F125" i="46" s="1"/>
  <c r="AN107" i="46"/>
  <c r="AO107" i="46" s="1"/>
  <c r="AK107" i="46"/>
  <c r="AK110" i="46" s="1"/>
  <c r="AN106" i="46"/>
  <c r="AO106" i="46" s="1"/>
  <c r="AK106" i="46"/>
  <c r="AK109" i="46" s="1"/>
  <c r="S104" i="46"/>
  <c r="R104" i="46"/>
  <c r="P104" i="46"/>
  <c r="K104" i="46"/>
  <c r="AI103" i="46"/>
  <c r="AI104" i="46" s="1"/>
  <c r="AH103" i="46"/>
  <c r="AH104" i="46" s="1"/>
  <c r="AG103" i="46"/>
  <c r="AG104" i="46" s="1"/>
  <c r="AF103" i="46"/>
  <c r="AF104" i="46" s="1"/>
  <c r="AE103" i="46"/>
  <c r="AE104" i="46" s="1"/>
  <c r="AD103" i="46"/>
  <c r="AD104" i="46" s="1"/>
  <c r="AC103" i="46"/>
  <c r="AC104" i="46" s="1"/>
  <c r="AB103" i="46"/>
  <c r="AB104" i="46" s="1"/>
  <c r="AA103" i="46"/>
  <c r="AA104" i="46" s="1"/>
  <c r="Z103" i="46"/>
  <c r="Z104" i="46" s="1"/>
  <c r="Y103" i="46"/>
  <c r="Y104" i="46" s="1"/>
  <c r="X103" i="46"/>
  <c r="X104" i="46" s="1"/>
  <c r="W103" i="46"/>
  <c r="W104" i="46" s="1"/>
  <c r="V103" i="46"/>
  <c r="V104" i="46" s="1"/>
  <c r="U103" i="46"/>
  <c r="U104" i="46" s="1"/>
  <c r="T103" i="46"/>
  <c r="T104" i="46" s="1"/>
  <c r="Q103" i="46"/>
  <c r="P103" i="46"/>
  <c r="O103" i="46"/>
  <c r="O104" i="46" s="1"/>
  <c r="N103" i="46"/>
  <c r="N104" i="46" s="1"/>
  <c r="M103" i="46"/>
  <c r="M104" i="46" s="1"/>
  <c r="L103" i="46"/>
  <c r="L104" i="46" s="1"/>
  <c r="K103" i="46"/>
  <c r="J103" i="46"/>
  <c r="J104" i="46" s="1"/>
  <c r="I103" i="46"/>
  <c r="I104" i="46" s="1"/>
  <c r="H103" i="46"/>
  <c r="H104" i="46" s="1"/>
  <c r="G103" i="46"/>
  <c r="G104" i="46" s="1"/>
  <c r="F103" i="46"/>
  <c r="F104" i="46" s="1"/>
  <c r="X100" i="46"/>
  <c r="V100" i="46"/>
  <c r="N100" i="46"/>
  <c r="H100" i="46"/>
  <c r="AI97" i="46"/>
  <c r="AH97" i="46"/>
  <c r="AG97" i="46"/>
  <c r="AF97" i="46"/>
  <c r="AE97" i="46"/>
  <c r="AD97" i="46"/>
  <c r="AC97" i="46"/>
  <c r="AB97" i="46"/>
  <c r="AA97" i="46"/>
  <c r="Z97" i="46"/>
  <c r="Y97" i="46"/>
  <c r="X97" i="46"/>
  <c r="W97" i="46"/>
  <c r="V97" i="46"/>
  <c r="U97" i="46"/>
  <c r="T97" i="46"/>
  <c r="S97" i="46"/>
  <c r="R97" i="46"/>
  <c r="Q97" i="46"/>
  <c r="P97" i="46"/>
  <c r="O97" i="46"/>
  <c r="N97" i="46"/>
  <c r="M97" i="46"/>
  <c r="L97" i="46"/>
  <c r="K97" i="46"/>
  <c r="J97" i="46"/>
  <c r="I97" i="46"/>
  <c r="H97" i="46"/>
  <c r="G97" i="46"/>
  <c r="F97" i="46"/>
  <c r="AI96" i="46"/>
  <c r="AH96" i="46"/>
  <c r="AG96" i="46"/>
  <c r="AF96" i="46"/>
  <c r="AE96" i="46"/>
  <c r="AD96" i="46"/>
  <c r="AC96" i="46"/>
  <c r="AB96" i="46"/>
  <c r="AA96" i="46"/>
  <c r="Z96" i="46"/>
  <c r="Y96" i="46"/>
  <c r="X96" i="46"/>
  <c r="W96" i="46"/>
  <c r="V96" i="46"/>
  <c r="U96" i="46"/>
  <c r="T96" i="46"/>
  <c r="S96" i="46"/>
  <c r="R96" i="46"/>
  <c r="Q96" i="46"/>
  <c r="P96" i="46"/>
  <c r="O96" i="46"/>
  <c r="N96" i="46"/>
  <c r="M96" i="46"/>
  <c r="L96" i="46"/>
  <c r="K96" i="46"/>
  <c r="J96" i="46"/>
  <c r="I96" i="46"/>
  <c r="H96" i="46"/>
  <c r="G96" i="46"/>
  <c r="F96" i="46"/>
  <c r="AK93" i="46"/>
  <c r="AK100" i="46" s="1"/>
  <c r="AK92" i="46"/>
  <c r="AK90" i="46"/>
  <c r="AK89" i="46"/>
  <c r="AK96" i="46" s="1"/>
  <c r="AI86" i="46"/>
  <c r="AH86" i="46"/>
  <c r="AG86" i="46"/>
  <c r="AF86" i="46"/>
  <c r="AE86" i="46"/>
  <c r="AD86" i="46"/>
  <c r="AC86" i="46"/>
  <c r="AB86" i="46"/>
  <c r="AA86" i="46"/>
  <c r="Z86" i="46"/>
  <c r="Y86" i="46"/>
  <c r="X86" i="46"/>
  <c r="W86" i="46"/>
  <c r="V86" i="46"/>
  <c r="U86" i="46"/>
  <c r="T86" i="46"/>
  <c r="S86" i="46"/>
  <c r="R86" i="46"/>
  <c r="Q86" i="46"/>
  <c r="P86" i="46"/>
  <c r="O86" i="46"/>
  <c r="N86" i="46"/>
  <c r="M86" i="46"/>
  <c r="L86" i="46"/>
  <c r="K86" i="46"/>
  <c r="J86" i="46"/>
  <c r="I86" i="46"/>
  <c r="H86" i="46"/>
  <c r="G86" i="46"/>
  <c r="F86" i="46"/>
  <c r="AI85" i="46"/>
  <c r="AH85" i="46"/>
  <c r="AG85" i="46"/>
  <c r="AF85" i="46"/>
  <c r="AE85" i="46"/>
  <c r="AD85" i="46"/>
  <c r="AC85" i="46"/>
  <c r="AB85" i="46"/>
  <c r="AA85" i="46"/>
  <c r="Z85" i="46"/>
  <c r="Y85" i="46"/>
  <c r="X85" i="46"/>
  <c r="W85" i="46"/>
  <c r="V85" i="46"/>
  <c r="U85" i="46"/>
  <c r="T85" i="46"/>
  <c r="S85" i="46"/>
  <c r="R85" i="46"/>
  <c r="Q85" i="46"/>
  <c r="P85" i="46"/>
  <c r="O85" i="46"/>
  <c r="N85" i="46"/>
  <c r="M85" i="46"/>
  <c r="L85" i="46"/>
  <c r="K85" i="46"/>
  <c r="J85" i="46"/>
  <c r="I85" i="46"/>
  <c r="H85" i="46"/>
  <c r="G85" i="46"/>
  <c r="F85" i="46"/>
  <c r="AI84" i="46"/>
  <c r="AI100" i="46" s="1"/>
  <c r="AH84" i="46"/>
  <c r="AH100" i="46" s="1"/>
  <c r="AG84" i="46"/>
  <c r="AG100" i="46" s="1"/>
  <c r="AF84" i="46"/>
  <c r="AF100" i="46" s="1"/>
  <c r="AE84" i="46"/>
  <c r="AE100" i="46" s="1"/>
  <c r="AD84" i="46"/>
  <c r="AD100" i="46" s="1"/>
  <c r="AC84" i="46"/>
  <c r="AC100" i="46" s="1"/>
  <c r="AB84" i="46"/>
  <c r="AB100" i="46" s="1"/>
  <c r="AA84" i="46"/>
  <c r="AA100" i="46" s="1"/>
  <c r="Z84" i="46"/>
  <c r="Z100" i="46" s="1"/>
  <c r="Y84" i="46"/>
  <c r="Y100" i="46" s="1"/>
  <c r="X84" i="46"/>
  <c r="W84" i="46"/>
  <c r="W100" i="46" s="1"/>
  <c r="V84" i="46"/>
  <c r="U84" i="46"/>
  <c r="U100" i="46" s="1"/>
  <c r="T84" i="46"/>
  <c r="T100" i="46" s="1"/>
  <c r="S84" i="46"/>
  <c r="S100" i="46" s="1"/>
  <c r="R84" i="46"/>
  <c r="R100" i="46" s="1"/>
  <c r="Q84" i="46"/>
  <c r="Q100" i="46" s="1"/>
  <c r="P84" i="46"/>
  <c r="P100" i="46" s="1"/>
  <c r="O84" i="46"/>
  <c r="O100" i="46" s="1"/>
  <c r="N84" i="46"/>
  <c r="M84" i="46"/>
  <c r="M100" i="46" s="1"/>
  <c r="L84" i="46"/>
  <c r="L100" i="46" s="1"/>
  <c r="K84" i="46"/>
  <c r="K100" i="46" s="1"/>
  <c r="J84" i="46"/>
  <c r="J100" i="46" s="1"/>
  <c r="I84" i="46"/>
  <c r="I100" i="46" s="1"/>
  <c r="G84" i="46"/>
  <c r="G100" i="46" s="1"/>
  <c r="F84" i="46"/>
  <c r="F100" i="46" s="1"/>
  <c r="AI83" i="46"/>
  <c r="AI99" i="46" s="1"/>
  <c r="AH83" i="46"/>
  <c r="AH99" i="46" s="1"/>
  <c r="AG83" i="46"/>
  <c r="AG99" i="46" s="1"/>
  <c r="AF83" i="46"/>
  <c r="AF99" i="46" s="1"/>
  <c r="AE83" i="46"/>
  <c r="AE99" i="46" s="1"/>
  <c r="AD83" i="46"/>
  <c r="AD99" i="46" s="1"/>
  <c r="AC83" i="46"/>
  <c r="AC99" i="46" s="1"/>
  <c r="AB83" i="46"/>
  <c r="AB99" i="46" s="1"/>
  <c r="AA83" i="46"/>
  <c r="AA99" i="46" s="1"/>
  <c r="Z83" i="46"/>
  <c r="Z99" i="46" s="1"/>
  <c r="Y83" i="46"/>
  <c r="Y99" i="46" s="1"/>
  <c r="X83" i="46"/>
  <c r="X99" i="46" s="1"/>
  <c r="W83" i="46"/>
  <c r="W99" i="46" s="1"/>
  <c r="V83" i="46"/>
  <c r="V99" i="46" s="1"/>
  <c r="U83" i="46"/>
  <c r="U99" i="46" s="1"/>
  <c r="T83" i="46"/>
  <c r="T99" i="46" s="1"/>
  <c r="S83" i="46"/>
  <c r="S99" i="46" s="1"/>
  <c r="R83" i="46"/>
  <c r="R99" i="46" s="1"/>
  <c r="Q83" i="46"/>
  <c r="Q99" i="46" s="1"/>
  <c r="P83" i="46"/>
  <c r="P99" i="46" s="1"/>
  <c r="O83" i="46"/>
  <c r="O99" i="46" s="1"/>
  <c r="N83" i="46"/>
  <c r="N99" i="46" s="1"/>
  <c r="M83" i="46"/>
  <c r="M99" i="46" s="1"/>
  <c r="L83" i="46"/>
  <c r="L99" i="46" s="1"/>
  <c r="K83" i="46"/>
  <c r="K99" i="46" s="1"/>
  <c r="J83" i="46"/>
  <c r="J99" i="46" s="1"/>
  <c r="I83" i="46"/>
  <c r="I99" i="46" s="1"/>
  <c r="H83" i="46"/>
  <c r="H99" i="46" s="1"/>
  <c r="G83" i="46"/>
  <c r="G99" i="46" s="1"/>
  <c r="F83" i="46"/>
  <c r="F99" i="46" s="1"/>
  <c r="AK81" i="46"/>
  <c r="AK84" i="46" s="1"/>
  <c r="AK80" i="46"/>
  <c r="AK83" i="46" s="1"/>
  <c r="AK78" i="46"/>
  <c r="Y77" i="46"/>
  <c r="AI76" i="46"/>
  <c r="AI77" i="46" s="1"/>
  <c r="AH76" i="46"/>
  <c r="AH77" i="46" s="1"/>
  <c r="AG76" i="46"/>
  <c r="AG77" i="46" s="1"/>
  <c r="AF76" i="46"/>
  <c r="AF77" i="46" s="1"/>
  <c r="AE76" i="46"/>
  <c r="AE77" i="46" s="1"/>
  <c r="AD76" i="46"/>
  <c r="AD77" i="46" s="1"/>
  <c r="AC76" i="46"/>
  <c r="AC77" i="46" s="1"/>
  <c r="AB76" i="46"/>
  <c r="AB77" i="46" s="1"/>
  <c r="AA76" i="46"/>
  <c r="AA77" i="46" s="1"/>
  <c r="Z76" i="46"/>
  <c r="Z77" i="46" s="1"/>
  <c r="Y76" i="46"/>
  <c r="X76" i="46"/>
  <c r="X77" i="46" s="1"/>
  <c r="W76" i="46"/>
  <c r="W77" i="46" s="1"/>
  <c r="V76" i="46"/>
  <c r="V77" i="46" s="1"/>
  <c r="U76" i="46"/>
  <c r="U77" i="46" s="1"/>
  <c r="T76" i="46"/>
  <c r="T77" i="46" s="1"/>
  <c r="S76" i="46"/>
  <c r="S77" i="46" s="1"/>
  <c r="R76" i="46"/>
  <c r="R77" i="46" s="1"/>
  <c r="Q76" i="46"/>
  <c r="Q77" i="46" s="1"/>
  <c r="P76" i="46"/>
  <c r="P77" i="46" s="1"/>
  <c r="O76" i="46"/>
  <c r="O77" i="46" s="1"/>
  <c r="N76" i="46"/>
  <c r="N77" i="46" s="1"/>
  <c r="M76" i="46"/>
  <c r="M77" i="46" s="1"/>
  <c r="L76" i="46"/>
  <c r="L77" i="46" s="1"/>
  <c r="K76" i="46"/>
  <c r="K77" i="46" s="1"/>
  <c r="J76" i="46"/>
  <c r="J77" i="46" s="1"/>
  <c r="I76" i="46"/>
  <c r="I77" i="46" s="1"/>
  <c r="H76" i="46"/>
  <c r="H77" i="46" s="1"/>
  <c r="G76" i="46"/>
  <c r="G77" i="46" s="1"/>
  <c r="F76" i="46"/>
  <c r="AK75" i="46"/>
  <c r="AK74" i="46"/>
  <c r="RY73" i="46"/>
  <c r="IX72" i="46"/>
  <c r="AK72" i="46"/>
  <c r="AI72" i="46"/>
  <c r="AH72" i="46"/>
  <c r="AG72" i="46"/>
  <c r="AF72" i="46"/>
  <c r="AE72" i="46"/>
  <c r="AD72" i="46"/>
  <c r="AC72" i="46"/>
  <c r="AB72" i="46"/>
  <c r="AA72" i="46"/>
  <c r="Z72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AK71" i="46"/>
  <c r="AI70" i="46"/>
  <c r="AH70" i="46"/>
  <c r="AG70" i="46"/>
  <c r="AF70" i="46"/>
  <c r="AE70" i="46"/>
  <c r="AD70" i="46"/>
  <c r="AC70" i="46"/>
  <c r="AB70" i="46"/>
  <c r="AA70" i="46"/>
  <c r="Z70" i="46"/>
  <c r="Y70" i="46"/>
  <c r="X70" i="46"/>
  <c r="W70" i="46"/>
  <c r="V70" i="46"/>
  <c r="U70" i="46"/>
  <c r="T70" i="46"/>
  <c r="S70" i="46"/>
  <c r="R70" i="46"/>
  <c r="N70" i="46"/>
  <c r="AI69" i="46"/>
  <c r="AH69" i="46"/>
  <c r="AG69" i="46"/>
  <c r="AF69" i="46"/>
  <c r="AE69" i="46"/>
  <c r="AD69" i="46"/>
  <c r="AC69" i="46"/>
  <c r="AB69" i="46"/>
  <c r="AA69" i="46"/>
  <c r="Z69" i="46"/>
  <c r="Y69" i="46"/>
  <c r="X69" i="46"/>
  <c r="W69" i="46"/>
  <c r="V69" i="46"/>
  <c r="U69" i="46"/>
  <c r="T69" i="46"/>
  <c r="S69" i="46"/>
  <c r="R69" i="46"/>
  <c r="IX69" i="46" s="1"/>
  <c r="Q69" i="46"/>
  <c r="O69" i="46"/>
  <c r="N69" i="46"/>
  <c r="L69" i="46"/>
  <c r="K69" i="46"/>
  <c r="J69" i="46"/>
  <c r="I69" i="46"/>
  <c r="H69" i="46"/>
  <c r="G69" i="46"/>
  <c r="F69" i="46"/>
  <c r="AK68" i="46"/>
  <c r="AI67" i="46"/>
  <c r="AH67" i="46"/>
  <c r="AG67" i="46"/>
  <c r="AF67" i="46"/>
  <c r="AE67" i="46"/>
  <c r="AD67" i="46"/>
  <c r="AC67" i="46"/>
  <c r="AB67" i="46"/>
  <c r="AA67" i="46"/>
  <c r="Z67" i="46"/>
  <c r="Y67" i="46"/>
  <c r="X67" i="46"/>
  <c r="W67" i="46"/>
  <c r="V67" i="46"/>
  <c r="U67" i="46"/>
  <c r="T67" i="46"/>
  <c r="S67" i="46"/>
  <c r="R67" i="46"/>
  <c r="Q67" i="46"/>
  <c r="P67" i="46"/>
  <c r="O67" i="46"/>
  <c r="N67" i="46"/>
  <c r="M67" i="46"/>
  <c r="L67" i="46"/>
  <c r="K67" i="46"/>
  <c r="J67" i="46"/>
  <c r="I67" i="46"/>
  <c r="H67" i="46"/>
  <c r="G67" i="46"/>
  <c r="F67" i="46"/>
  <c r="AK66" i="46"/>
  <c r="AI65" i="46"/>
  <c r="AH65" i="46"/>
  <c r="AG65" i="46"/>
  <c r="AF65" i="46"/>
  <c r="AE65" i="46"/>
  <c r="AD65" i="46"/>
  <c r="AC65" i="46"/>
  <c r="AB65" i="46"/>
  <c r="AA65" i="46"/>
  <c r="Z65" i="46"/>
  <c r="Y65" i="46"/>
  <c r="X65" i="46"/>
  <c r="W65" i="46"/>
  <c r="V65" i="46"/>
  <c r="U65" i="46"/>
  <c r="T65" i="46"/>
  <c r="S65" i="46"/>
  <c r="R65" i="46"/>
  <c r="IX65" i="46" s="1"/>
  <c r="Q65" i="46"/>
  <c r="O65" i="46"/>
  <c r="N65" i="46"/>
  <c r="L65" i="46"/>
  <c r="K65" i="46"/>
  <c r="J65" i="46"/>
  <c r="I65" i="46"/>
  <c r="H65" i="46"/>
  <c r="G65" i="46"/>
  <c r="F65" i="46"/>
  <c r="SB62" i="46"/>
  <c r="SB61" i="46" s="1"/>
  <c r="IX62" i="46"/>
  <c r="AG61" i="46"/>
  <c r="U60" i="46"/>
  <c r="H60" i="46"/>
  <c r="AI59" i="46"/>
  <c r="AH59" i="46"/>
  <c r="AG59" i="46"/>
  <c r="AF59" i="46"/>
  <c r="AE59" i="46"/>
  <c r="AD59" i="46"/>
  <c r="AB59" i="46"/>
  <c r="U59" i="46"/>
  <c r="T59" i="46"/>
  <c r="L59" i="46"/>
  <c r="RZ56" i="46"/>
  <c r="SB56" i="46" s="1"/>
  <c r="AI56" i="46"/>
  <c r="AH56" i="46"/>
  <c r="AG56" i="46"/>
  <c r="AF56" i="46"/>
  <c r="AE56" i="46"/>
  <c r="AD56" i="46"/>
  <c r="AC56" i="46"/>
  <c r="AB56" i="46"/>
  <c r="AA56" i="46"/>
  <c r="Z56" i="46"/>
  <c r="Y56" i="46"/>
  <c r="X56" i="46"/>
  <c r="W56" i="46"/>
  <c r="V56" i="46"/>
  <c r="U56" i="46"/>
  <c r="T56" i="46"/>
  <c r="S56" i="46"/>
  <c r="R56" i="46"/>
  <c r="SB55" i="46"/>
  <c r="AO55" i="46"/>
  <c r="AI55" i="46"/>
  <c r="AH55" i="46"/>
  <c r="AG55" i="46"/>
  <c r="AF55" i="46"/>
  <c r="AE55" i="46"/>
  <c r="AD55" i="46"/>
  <c r="AC55" i="46"/>
  <c r="AB55" i="46"/>
  <c r="AA55" i="46"/>
  <c r="Z55" i="46"/>
  <c r="Y55" i="46"/>
  <c r="X55" i="46"/>
  <c r="W55" i="46"/>
  <c r="V55" i="46"/>
  <c r="U55" i="46"/>
  <c r="T55" i="46"/>
  <c r="S55" i="46"/>
  <c r="R55" i="46"/>
  <c r="Q55" i="46"/>
  <c r="N55" i="46"/>
  <c r="L55" i="46"/>
  <c r="G55" i="46"/>
  <c r="F55" i="46"/>
  <c r="GQ53" i="46"/>
  <c r="EC53" i="46"/>
  <c r="AK53" i="46"/>
  <c r="EC52" i="46"/>
  <c r="AK52" i="46"/>
  <c r="AK51" i="46"/>
  <c r="AI50" i="46"/>
  <c r="AH50" i="46"/>
  <c r="AG50" i="46"/>
  <c r="AG60" i="46" s="1"/>
  <c r="AF50" i="46"/>
  <c r="AF62" i="46" s="1"/>
  <c r="AE50" i="46"/>
  <c r="AE61" i="46" s="1"/>
  <c r="AD50" i="46"/>
  <c r="AD62" i="46" s="1"/>
  <c r="AC50" i="46"/>
  <c r="AC62" i="46" s="1"/>
  <c r="AB50" i="46"/>
  <c r="AA50" i="46"/>
  <c r="Z50" i="46"/>
  <c r="Y50" i="46"/>
  <c r="Y62" i="46" s="1"/>
  <c r="X50" i="46"/>
  <c r="X62" i="46" s="1"/>
  <c r="W50" i="46"/>
  <c r="W62" i="46" s="1"/>
  <c r="V50" i="46"/>
  <c r="V61" i="46" s="1"/>
  <c r="U50" i="46"/>
  <c r="U62" i="46" s="1"/>
  <c r="T50" i="46"/>
  <c r="S50" i="46"/>
  <c r="R50" i="46"/>
  <c r="Q50" i="46"/>
  <c r="Q62" i="46" s="1"/>
  <c r="P50" i="46"/>
  <c r="P62" i="46" s="1"/>
  <c r="O50" i="46"/>
  <c r="O62" i="46" s="1"/>
  <c r="N50" i="46"/>
  <c r="N61" i="46" s="1"/>
  <c r="M50" i="46"/>
  <c r="M62" i="46" s="1"/>
  <c r="L50" i="46"/>
  <c r="K50" i="46"/>
  <c r="J50" i="46"/>
  <c r="I50" i="46"/>
  <c r="I61" i="46" s="1"/>
  <c r="H50" i="46"/>
  <c r="H62" i="46" s="1"/>
  <c r="G50" i="46"/>
  <c r="G61" i="46" s="1"/>
  <c r="F50" i="46"/>
  <c r="F62" i="46" s="1"/>
  <c r="D50" i="46"/>
  <c r="AK49" i="46"/>
  <c r="J47" i="46"/>
  <c r="F47" i="46"/>
  <c r="AK47" i="46" s="1"/>
  <c r="K46" i="46"/>
  <c r="J46" i="46"/>
  <c r="J45" i="46" s="1"/>
  <c r="J60" i="46" s="1"/>
  <c r="F46" i="46"/>
  <c r="AI45" i="46"/>
  <c r="AH45" i="46"/>
  <c r="AG45" i="46"/>
  <c r="AF45" i="46"/>
  <c r="AE45" i="46"/>
  <c r="AD45" i="46"/>
  <c r="AC45" i="46"/>
  <c r="AC60" i="46" s="1"/>
  <c r="AB45" i="46"/>
  <c r="AB60" i="46" s="1"/>
  <c r="AA45" i="46"/>
  <c r="AA59" i="46" s="1"/>
  <c r="Z45" i="46"/>
  <c r="Y45" i="46"/>
  <c r="Y59" i="46" s="1"/>
  <c r="X45" i="46"/>
  <c r="X59" i="46" s="1"/>
  <c r="W45" i="46"/>
  <c r="W60" i="46" s="1"/>
  <c r="V45" i="46"/>
  <c r="V59" i="46" s="1"/>
  <c r="U45" i="46"/>
  <c r="T45" i="46"/>
  <c r="T60" i="46" s="1"/>
  <c r="S45" i="46"/>
  <c r="S59" i="46" s="1"/>
  <c r="R45" i="46"/>
  <c r="Q45" i="46"/>
  <c r="Q59" i="46" s="1"/>
  <c r="P45" i="46"/>
  <c r="P59" i="46" s="1"/>
  <c r="O45" i="46"/>
  <c r="O60" i="46" s="1"/>
  <c r="N45" i="46"/>
  <c r="N59" i="46" s="1"/>
  <c r="M45" i="46"/>
  <c r="M60" i="46" s="1"/>
  <c r="L45" i="46"/>
  <c r="L60" i="46" s="1"/>
  <c r="I45" i="46"/>
  <c r="I59" i="46" s="1"/>
  <c r="H45" i="46"/>
  <c r="H59" i="46" s="1"/>
  <c r="G45" i="46"/>
  <c r="G60" i="46" s="1"/>
  <c r="D45" i="46"/>
  <c r="GS44" i="46"/>
  <c r="GR44" i="46"/>
  <c r="GQ44" i="46"/>
  <c r="AK44" i="46"/>
  <c r="SP43" i="46"/>
  <c r="GS43" i="46"/>
  <c r="GR43" i="46"/>
  <c r="GQ43" i="46"/>
  <c r="SP42" i="46"/>
  <c r="SP45" i="46" s="1"/>
  <c r="SC39" i="46" s="1"/>
  <c r="SP39" i="46" s="1"/>
  <c r="EC42" i="46"/>
  <c r="R42" i="46"/>
  <c r="P42" i="46"/>
  <c r="O42" i="46"/>
  <c r="N42" i="46"/>
  <c r="M42" i="46"/>
  <c r="L42" i="46"/>
  <c r="K42" i="46"/>
  <c r="K40" i="46" s="1"/>
  <c r="K57" i="46" s="1"/>
  <c r="J42" i="46"/>
  <c r="H42" i="46"/>
  <c r="H40" i="46" s="1"/>
  <c r="H57" i="46" s="1"/>
  <c r="G42" i="46"/>
  <c r="F42" i="46"/>
  <c r="F40" i="46" s="1"/>
  <c r="F57" i="46" s="1"/>
  <c r="SP41" i="46"/>
  <c r="RY41" i="46"/>
  <c r="RY43" i="46" s="1"/>
  <c r="EC41" i="46"/>
  <c r="R41" i="46"/>
  <c r="SB34" i="46" s="1"/>
  <c r="Q41" i="46"/>
  <c r="Q40" i="46" s="1"/>
  <c r="Q58" i="46" s="1"/>
  <c r="P41" i="46"/>
  <c r="O41" i="46"/>
  <c r="N41" i="46"/>
  <c r="M41" i="46"/>
  <c r="K41" i="46"/>
  <c r="J41" i="46"/>
  <c r="AI40" i="46"/>
  <c r="AI58" i="46" s="1"/>
  <c r="AH40" i="46"/>
  <c r="AH58" i="46" s="1"/>
  <c r="AG40" i="46"/>
  <c r="AF40" i="46"/>
  <c r="AE40" i="46"/>
  <c r="AD40" i="46"/>
  <c r="AD57" i="46" s="1"/>
  <c r="AC40" i="46"/>
  <c r="AC58" i="46" s="1"/>
  <c r="AB40" i="46"/>
  <c r="AB57" i="46" s="1"/>
  <c r="AA40" i="46"/>
  <c r="AA57" i="46" s="1"/>
  <c r="Z40" i="46"/>
  <c r="Z58" i="46" s="1"/>
  <c r="Y40" i="46"/>
  <c r="X40" i="46"/>
  <c r="W40" i="46"/>
  <c r="V40" i="46"/>
  <c r="V57" i="46" s="1"/>
  <c r="U40" i="46"/>
  <c r="U58" i="46" s="1"/>
  <c r="T40" i="46"/>
  <c r="T57" i="46" s="1"/>
  <c r="S40" i="46"/>
  <c r="S58" i="46" s="1"/>
  <c r="P40" i="46"/>
  <c r="P58" i="46" s="1"/>
  <c r="I40" i="46"/>
  <c r="G40" i="46"/>
  <c r="G57" i="46" s="1"/>
  <c r="D40" i="46"/>
  <c r="AHQ38" i="46"/>
  <c r="AIB38" i="46" s="1"/>
  <c r="SP38" i="46"/>
  <c r="EC38" i="46"/>
  <c r="Q38" i="46"/>
  <c r="P38" i="46"/>
  <c r="O38" i="46"/>
  <c r="O56" i="46" s="1"/>
  <c r="N38" i="46"/>
  <c r="N56" i="46" s="1"/>
  <c r="M38" i="46"/>
  <c r="L38" i="46"/>
  <c r="L70" i="46" s="1"/>
  <c r="K38" i="46"/>
  <c r="K56" i="46" s="1"/>
  <c r="J38" i="46"/>
  <c r="J56" i="46" s="1"/>
  <c r="I38" i="46"/>
  <c r="I56" i="46" s="1"/>
  <c r="H38" i="46"/>
  <c r="H56" i="46" s="1"/>
  <c r="G38" i="46"/>
  <c r="F38" i="46"/>
  <c r="F70" i="46" s="1"/>
  <c r="D38" i="46"/>
  <c r="AIB37" i="46"/>
  <c r="EC37" i="46"/>
  <c r="P37" i="46"/>
  <c r="O37" i="46"/>
  <c r="K37" i="46"/>
  <c r="K55" i="46" s="1"/>
  <c r="J37" i="46"/>
  <c r="I37" i="46"/>
  <c r="I70" i="46" s="1"/>
  <c r="H37" i="46"/>
  <c r="D37" i="46"/>
  <c r="AO36" i="46"/>
  <c r="AO47" i="46" s="1"/>
  <c r="AK35" i="46"/>
  <c r="GS34" i="46"/>
  <c r="GR34" i="46"/>
  <c r="GQ34" i="46"/>
  <c r="AK34" i="46"/>
  <c r="AK33" i="46"/>
  <c r="AK32" i="46"/>
  <c r="AHO31" i="46"/>
  <c r="AHO40" i="46" s="1"/>
  <c r="P31" i="46"/>
  <c r="P65" i="46" s="1"/>
  <c r="M31" i="46"/>
  <c r="M65" i="46" s="1"/>
  <c r="AK30" i="46"/>
  <c r="AN29" i="46"/>
  <c r="AO29" i="46" s="1"/>
  <c r="AI27" i="46"/>
  <c r="AH27" i="46"/>
  <c r="AG27" i="46"/>
  <c r="AF27" i="46"/>
  <c r="AE27" i="46"/>
  <c r="AD27" i="46"/>
  <c r="AC27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AI26" i="46"/>
  <c r="AH26" i="46"/>
  <c r="AG26" i="46"/>
  <c r="AF26" i="46"/>
  <c r="AE26" i="46"/>
  <c r="AD26" i="46"/>
  <c r="AC26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AK25" i="46"/>
  <c r="AK26" i="46" s="1"/>
  <c r="AK24" i="46"/>
  <c r="AI22" i="46"/>
  <c r="AH22" i="46"/>
  <c r="AG22" i="46"/>
  <c r="AF22" i="46"/>
  <c r="AE22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AK21" i="46"/>
  <c r="AK20" i="46"/>
  <c r="AK22" i="46" s="1"/>
  <c r="AI18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AK17" i="46"/>
  <c r="AK16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AK13" i="46"/>
  <c r="AK12" i="46"/>
  <c r="AK14" i="46" s="1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AK9" i="46"/>
  <c r="AK10" i="46" s="1"/>
  <c r="AK8" i="46"/>
  <c r="AK183" i="43"/>
  <c r="O61" i="46" l="1"/>
  <c r="AK196" i="46"/>
  <c r="L58" i="46"/>
  <c r="AK37" i="46"/>
  <c r="AN37" i="46" s="1"/>
  <c r="W61" i="46"/>
  <c r="AM177" i="46"/>
  <c r="V58" i="46"/>
  <c r="AE60" i="46"/>
  <c r="X61" i="46"/>
  <c r="AE62" i="46"/>
  <c r="O59" i="46"/>
  <c r="G62" i="46"/>
  <c r="AK183" i="46"/>
  <c r="AC57" i="46"/>
  <c r="AK170" i="46"/>
  <c r="AI57" i="46"/>
  <c r="AK18" i="46"/>
  <c r="P56" i="46"/>
  <c r="AA58" i="46"/>
  <c r="AF60" i="46"/>
  <c r="AK208" i="46"/>
  <c r="H61" i="46"/>
  <c r="AK41" i="46"/>
  <c r="S57" i="46"/>
  <c r="P61" i="46"/>
  <c r="AK215" i="46"/>
  <c r="Q61" i="46"/>
  <c r="AK180" i="46"/>
  <c r="AK181" i="46" s="1"/>
  <c r="L40" i="46"/>
  <c r="L57" i="46" s="1"/>
  <c r="R40" i="46"/>
  <c r="R57" i="46" s="1"/>
  <c r="AD58" i="46"/>
  <c r="AF61" i="46"/>
  <c r="AM148" i="46"/>
  <c r="AK171" i="46"/>
  <c r="AK112" i="46"/>
  <c r="AK126" i="46"/>
  <c r="AK125" i="46"/>
  <c r="AK137" i="46"/>
  <c r="AK111" i="46"/>
  <c r="AF57" i="46"/>
  <c r="AF58" i="46"/>
  <c r="K58" i="46"/>
  <c r="O70" i="46"/>
  <c r="M70" i="46"/>
  <c r="Y57" i="46"/>
  <c r="Y58" i="46"/>
  <c r="AG57" i="46"/>
  <c r="AG58" i="46"/>
  <c r="N40" i="46"/>
  <c r="N58" i="46" s="1"/>
  <c r="N57" i="46"/>
  <c r="M55" i="46"/>
  <c r="U57" i="46"/>
  <c r="W59" i="46"/>
  <c r="V60" i="46"/>
  <c r="I62" i="46"/>
  <c r="F77" i="46"/>
  <c r="AK77" i="46" s="1"/>
  <c r="AK76" i="46"/>
  <c r="AM183" i="46"/>
  <c r="AM184" i="46" s="1"/>
  <c r="AM185" i="46" s="1"/>
  <c r="P70" i="46"/>
  <c r="P55" i="46"/>
  <c r="I57" i="46"/>
  <c r="I58" i="46"/>
  <c r="R59" i="46"/>
  <c r="R60" i="46"/>
  <c r="Z59" i="46"/>
  <c r="Z60" i="46"/>
  <c r="F56" i="46"/>
  <c r="Z57" i="46"/>
  <c r="X60" i="46"/>
  <c r="Y61" i="46"/>
  <c r="N62" i="46"/>
  <c r="AG62" i="46"/>
  <c r="AK97" i="46"/>
  <c r="AK160" i="46"/>
  <c r="G70" i="46"/>
  <c r="G56" i="46"/>
  <c r="J40" i="46"/>
  <c r="J58" i="46" s="1"/>
  <c r="P57" i="46"/>
  <c r="AHO41" i="46"/>
  <c r="O55" i="46"/>
  <c r="G59" i="46"/>
  <c r="AC59" i="46"/>
  <c r="AD61" i="46"/>
  <c r="AK86" i="46"/>
  <c r="AK99" i="46"/>
  <c r="AK174" i="46"/>
  <c r="AM200" i="46"/>
  <c r="AK27" i="46"/>
  <c r="AM27" i="46" s="1"/>
  <c r="X57" i="46"/>
  <c r="X58" i="46"/>
  <c r="Q57" i="46"/>
  <c r="J62" i="46"/>
  <c r="J61" i="46"/>
  <c r="R62" i="46"/>
  <c r="R61" i="46"/>
  <c r="Z62" i="46"/>
  <c r="Z61" i="46"/>
  <c r="AH60" i="46"/>
  <c r="AH62" i="46"/>
  <c r="AH61" i="46"/>
  <c r="L56" i="46"/>
  <c r="T58" i="46"/>
  <c r="AD60" i="46"/>
  <c r="SB65" i="46"/>
  <c r="M69" i="46"/>
  <c r="AK130" i="46"/>
  <c r="AK150" i="46"/>
  <c r="H70" i="46"/>
  <c r="H55" i="46"/>
  <c r="Q70" i="46"/>
  <c r="Q56" i="46"/>
  <c r="G58" i="46"/>
  <c r="AK46" i="46"/>
  <c r="K62" i="46"/>
  <c r="K61" i="46"/>
  <c r="S62" i="46"/>
  <c r="S61" i="46"/>
  <c r="AA62" i="46"/>
  <c r="AA61" i="46"/>
  <c r="AI60" i="46"/>
  <c r="AI62" i="46"/>
  <c r="AI61" i="46"/>
  <c r="M56" i="46"/>
  <c r="AH57" i="46"/>
  <c r="M59" i="46"/>
  <c r="V62" i="46"/>
  <c r="SB63" i="46"/>
  <c r="SB66" i="46" s="1"/>
  <c r="AK67" i="46"/>
  <c r="AM67" i="46" s="1"/>
  <c r="AK85" i="46"/>
  <c r="Q104" i="46"/>
  <c r="AK104" i="46" s="1"/>
  <c r="AN103" i="46"/>
  <c r="AK159" i="46"/>
  <c r="AK188" i="46"/>
  <c r="AK189" i="46" s="1"/>
  <c r="AM191" i="46"/>
  <c r="AK201" i="46"/>
  <c r="AK38" i="46"/>
  <c r="M40" i="46"/>
  <c r="M57" i="46" s="1"/>
  <c r="H58" i="46"/>
  <c r="J59" i="46"/>
  <c r="L62" i="46"/>
  <c r="L61" i="46"/>
  <c r="T62" i="46"/>
  <c r="T61" i="46"/>
  <c r="AK50" i="46"/>
  <c r="AK62" i="46" s="1"/>
  <c r="N60" i="46"/>
  <c r="K70" i="46"/>
  <c r="AK138" i="46"/>
  <c r="R58" i="46"/>
  <c r="AB62" i="46"/>
  <c r="AB61" i="46"/>
  <c r="AK31" i="46"/>
  <c r="SB35" i="46"/>
  <c r="J70" i="46"/>
  <c r="J55" i="46"/>
  <c r="O40" i="46"/>
  <c r="O57" i="46" s="1"/>
  <c r="W57" i="46"/>
  <c r="W58" i="46"/>
  <c r="AE57" i="46"/>
  <c r="AE58" i="46"/>
  <c r="AK42" i="46"/>
  <c r="F45" i="46"/>
  <c r="K45" i="46"/>
  <c r="K60" i="46" s="1"/>
  <c r="I55" i="46"/>
  <c r="F58" i="46"/>
  <c r="AB58" i="46"/>
  <c r="P60" i="46"/>
  <c r="F61" i="46"/>
  <c r="P69" i="46"/>
  <c r="I60" i="46"/>
  <c r="Q60" i="46"/>
  <c r="Y60" i="46"/>
  <c r="AK103" i="46"/>
  <c r="AK129" i="46"/>
  <c r="S60" i="46"/>
  <c r="AA60" i="46"/>
  <c r="AN129" i="46"/>
  <c r="M61" i="46"/>
  <c r="U61" i="46"/>
  <c r="AC61" i="46"/>
  <c r="AK149" i="46"/>
  <c r="AM75" i="43"/>
  <c r="AK179" i="43"/>
  <c r="AK61" i="46" l="1"/>
  <c r="AK40" i="46"/>
  <c r="K59" i="46"/>
  <c r="AK58" i="46"/>
  <c r="AM76" i="46"/>
  <c r="IX76" i="46" s="1"/>
  <c r="RZ76" i="46" s="1"/>
  <c r="AK128" i="46"/>
  <c r="AM77" i="46"/>
  <c r="IX77" i="46" s="1"/>
  <c r="RZ77" i="46" s="1"/>
  <c r="AK70" i="46"/>
  <c r="AK45" i="46"/>
  <c r="AK60" i="46" s="1"/>
  <c r="F60" i="46"/>
  <c r="J57" i="46"/>
  <c r="AK59" i="46"/>
  <c r="AK148" i="46"/>
  <c r="AO76" i="46"/>
  <c r="CK76" i="46" s="1"/>
  <c r="AK102" i="46"/>
  <c r="RY33" i="46"/>
  <c r="RY35" i="46" s="1"/>
  <c r="AM31" i="46"/>
  <c r="AK65" i="46"/>
  <c r="AM65" i="46" s="1"/>
  <c r="AN31" i="46"/>
  <c r="AN33" i="46" s="1"/>
  <c r="AN34" i="46" s="1"/>
  <c r="AO31" i="46" s="1"/>
  <c r="AN38" i="46"/>
  <c r="AK56" i="46"/>
  <c r="F59" i="46"/>
  <c r="O58" i="46"/>
  <c r="AK55" i="46"/>
  <c r="SB67" i="46"/>
  <c r="SB69" i="46" s="1"/>
  <c r="AK69" i="46"/>
  <c r="AM69" i="46" s="1"/>
  <c r="AO42" i="46"/>
  <c r="SB33" i="46"/>
  <c r="SC34" i="46" s="1"/>
  <c r="M58" i="46"/>
  <c r="AO75" i="46"/>
  <c r="CK75" i="46" s="1"/>
  <c r="AK33" i="43"/>
  <c r="AHO31" i="43"/>
  <c r="AHO41" i="43" s="1"/>
  <c r="AHQ38" i="43"/>
  <c r="AIB38" i="43" s="1"/>
  <c r="AHQ37" i="43"/>
  <c r="AIB37" i="43" s="1"/>
  <c r="AM75" i="46" l="1"/>
  <c r="AK57" i="46"/>
  <c r="RZ33" i="46"/>
  <c r="RZ35" i="46" s="1"/>
  <c r="RZ36" i="46" s="1"/>
  <c r="AN41" i="46"/>
  <c r="RZ38" i="46"/>
  <c r="AN40" i="46"/>
  <c r="AO43" i="46"/>
  <c r="AO46" i="46"/>
  <c r="AO48" i="46" s="1"/>
  <c r="AO33" i="46"/>
  <c r="AO35" i="46"/>
  <c r="AO37" i="46" s="1"/>
  <c r="AN35" i="46"/>
  <c r="SC35" i="46"/>
  <c r="RY38" i="46"/>
  <c r="RY36" i="46"/>
  <c r="AHO40" i="43"/>
  <c r="AG176" i="43"/>
  <c r="AF138" i="43"/>
  <c r="AF112" i="43"/>
  <c r="AN42" i="46" l="1"/>
  <c r="Z129" i="43"/>
  <c r="Z130" i="43" s="1"/>
  <c r="Y129" i="43"/>
  <c r="Y130" i="43" s="1"/>
  <c r="X129" i="43"/>
  <c r="X130" i="43" s="1"/>
  <c r="W129" i="43"/>
  <c r="W130" i="43" s="1"/>
  <c r="V129" i="43"/>
  <c r="V130" i="43" s="1"/>
  <c r="T129" i="43"/>
  <c r="S129" i="43"/>
  <c r="R129" i="43"/>
  <c r="Q129" i="43"/>
  <c r="AN129" i="43" s="1"/>
  <c r="P129" i="43"/>
  <c r="O129" i="43"/>
  <c r="O130" i="43" s="1"/>
  <c r="N129" i="43"/>
  <c r="N130" i="43" s="1"/>
  <c r="M129" i="43"/>
  <c r="M130" i="43" s="1"/>
  <c r="L129" i="43"/>
  <c r="K129" i="43"/>
  <c r="J129" i="43"/>
  <c r="I129" i="43"/>
  <c r="I130" i="43" s="1"/>
  <c r="H129" i="43"/>
  <c r="G129" i="43"/>
  <c r="G130" i="43" s="1"/>
  <c r="F129" i="43"/>
  <c r="F130" i="43" s="1"/>
  <c r="U129" i="43"/>
  <c r="IX130" i="43"/>
  <c r="U137" i="43"/>
  <c r="C145" i="43"/>
  <c r="C144" i="43"/>
  <c r="AK145" i="43"/>
  <c r="AK144" i="43"/>
  <c r="AK142" i="43"/>
  <c r="AK141" i="43"/>
  <c r="AI138" i="43"/>
  <c r="AH138" i="43"/>
  <c r="AG138" i="43"/>
  <c r="AE138" i="43"/>
  <c r="AD138" i="43"/>
  <c r="AC138" i="43"/>
  <c r="AB138" i="43"/>
  <c r="AA138" i="43"/>
  <c r="Z138" i="43"/>
  <c r="Y138" i="43"/>
  <c r="X138" i="43"/>
  <c r="W138" i="43"/>
  <c r="V138" i="43"/>
  <c r="U138" i="43"/>
  <c r="T138" i="43"/>
  <c r="S138" i="43"/>
  <c r="R138" i="43"/>
  <c r="Q138" i="43"/>
  <c r="P138" i="43"/>
  <c r="O138" i="43"/>
  <c r="N138" i="43"/>
  <c r="M138" i="43"/>
  <c r="L138" i="43"/>
  <c r="K138" i="43"/>
  <c r="J138" i="43"/>
  <c r="I138" i="43"/>
  <c r="H138" i="43"/>
  <c r="G138" i="43"/>
  <c r="F138" i="43"/>
  <c r="AI137" i="43"/>
  <c r="AH137" i="43"/>
  <c r="AG137" i="43"/>
  <c r="AF137" i="43"/>
  <c r="AE137" i="43"/>
  <c r="AD137" i="43"/>
  <c r="AC137" i="43"/>
  <c r="AB137" i="43"/>
  <c r="AA137" i="43"/>
  <c r="Z137" i="43"/>
  <c r="Y137" i="43"/>
  <c r="X137" i="43"/>
  <c r="W137" i="43"/>
  <c r="V137" i="43"/>
  <c r="T137" i="43"/>
  <c r="S137" i="43"/>
  <c r="R137" i="43"/>
  <c r="Q137" i="43"/>
  <c r="P137" i="43"/>
  <c r="O137" i="43"/>
  <c r="N137" i="43"/>
  <c r="M137" i="43"/>
  <c r="L137" i="43"/>
  <c r="K137" i="43"/>
  <c r="J137" i="43"/>
  <c r="I137" i="43"/>
  <c r="H137" i="43"/>
  <c r="G137" i="43"/>
  <c r="AI136" i="43"/>
  <c r="AH136" i="43"/>
  <c r="AG136" i="43"/>
  <c r="AF136" i="43"/>
  <c r="AE136" i="43"/>
  <c r="AD136" i="43"/>
  <c r="AC136" i="43"/>
  <c r="AB136" i="43"/>
  <c r="AA136" i="43"/>
  <c r="Z136" i="43"/>
  <c r="Y136" i="43"/>
  <c r="X136" i="43"/>
  <c r="W136" i="43"/>
  <c r="V136" i="43"/>
  <c r="U136" i="43"/>
  <c r="T136" i="43"/>
  <c r="S136" i="43"/>
  <c r="R136" i="43"/>
  <c r="Q136" i="43"/>
  <c r="P136" i="43"/>
  <c r="O136" i="43"/>
  <c r="N136" i="43"/>
  <c r="M136" i="43"/>
  <c r="L136" i="43"/>
  <c r="K136" i="43"/>
  <c r="J136" i="43"/>
  <c r="I136" i="43"/>
  <c r="H136" i="43"/>
  <c r="G136" i="43"/>
  <c r="F136" i="43"/>
  <c r="AI135" i="43"/>
  <c r="AH135" i="43"/>
  <c r="AG135" i="43"/>
  <c r="AF135" i="43"/>
  <c r="AE135" i="43"/>
  <c r="AD135" i="43"/>
  <c r="AC135" i="43"/>
  <c r="AB135" i="43"/>
  <c r="AA135" i="43"/>
  <c r="Z135" i="43"/>
  <c r="Y135" i="43"/>
  <c r="X135" i="43"/>
  <c r="W135" i="43"/>
  <c r="V135" i="43"/>
  <c r="U135" i="43"/>
  <c r="T135" i="43"/>
  <c r="S135" i="43"/>
  <c r="R135" i="43"/>
  <c r="Q135" i="43"/>
  <c r="P135" i="43"/>
  <c r="O135" i="43"/>
  <c r="N135" i="43"/>
  <c r="M135" i="43"/>
  <c r="L135" i="43"/>
  <c r="K135" i="43"/>
  <c r="J135" i="43"/>
  <c r="I135" i="43"/>
  <c r="H135" i="43"/>
  <c r="G135" i="43"/>
  <c r="F135" i="43"/>
  <c r="AN133" i="43"/>
  <c r="AO133" i="43" s="1"/>
  <c r="AK133" i="43"/>
  <c r="AK136" i="43" s="1"/>
  <c r="AN132" i="43"/>
  <c r="AO132" i="43" s="1"/>
  <c r="AK132" i="43"/>
  <c r="AK135" i="43" s="1"/>
  <c r="S130" i="43"/>
  <c r="R130" i="43"/>
  <c r="Q130" i="43"/>
  <c r="P130" i="43"/>
  <c r="AI129" i="43"/>
  <c r="AI130" i="43" s="1"/>
  <c r="AH129" i="43"/>
  <c r="AH130" i="43" s="1"/>
  <c r="AG129" i="43"/>
  <c r="AG130" i="43" s="1"/>
  <c r="AF129" i="43"/>
  <c r="AF130" i="43" s="1"/>
  <c r="AE129" i="43"/>
  <c r="AE130" i="43" s="1"/>
  <c r="AD129" i="43"/>
  <c r="AD130" i="43" s="1"/>
  <c r="AC129" i="43"/>
  <c r="AC130" i="43" s="1"/>
  <c r="AB129" i="43"/>
  <c r="AB130" i="43" s="1"/>
  <c r="AA129" i="43"/>
  <c r="AA130" i="43" s="1"/>
  <c r="U130" i="43"/>
  <c r="T130" i="43"/>
  <c r="L130" i="43"/>
  <c r="K130" i="43"/>
  <c r="J130" i="43"/>
  <c r="H130" i="43"/>
  <c r="AK137" i="43" l="1"/>
  <c r="AK138" i="43"/>
  <c r="AK130" i="43"/>
  <c r="AK129" i="43"/>
  <c r="AK128" i="43" l="1"/>
  <c r="Y183" i="43" l="1"/>
  <c r="AK71" i="43"/>
  <c r="AK35" i="43"/>
  <c r="AK34" i="43"/>
  <c r="R42" i="43" l="1"/>
  <c r="R41" i="43"/>
  <c r="SB35" i="43" l="1"/>
  <c r="SB34" i="43"/>
  <c r="RY41" i="43"/>
  <c r="O42" i="43" l="1"/>
  <c r="O41" i="43"/>
  <c r="O38" i="43"/>
  <c r="O37" i="43"/>
  <c r="P42" i="43"/>
  <c r="P41" i="43"/>
  <c r="P38" i="43"/>
  <c r="P37" i="43"/>
  <c r="Q41" i="43"/>
  <c r="Q38" i="43"/>
  <c r="P31" i="43"/>
  <c r="N42" i="43" l="1"/>
  <c r="N41" i="43"/>
  <c r="N40" i="43" s="1"/>
  <c r="N38" i="43"/>
  <c r="M42" i="43" l="1"/>
  <c r="M41" i="43"/>
  <c r="M38" i="43"/>
  <c r="M31" i="43"/>
  <c r="L45" i="43" l="1"/>
  <c r="L123" i="43"/>
  <c r="L122" i="43"/>
  <c r="L42" i="43" l="1"/>
  <c r="L38" i="43"/>
  <c r="K46" i="43" l="1"/>
  <c r="K42" i="43"/>
  <c r="K41" i="43"/>
  <c r="K38" i="43"/>
  <c r="K37" i="43"/>
  <c r="J47" i="43" l="1"/>
  <c r="J46" i="43"/>
  <c r="J42" i="43"/>
  <c r="J41" i="43"/>
  <c r="H42" i="43"/>
  <c r="J38" i="43"/>
  <c r="J37" i="43"/>
  <c r="I38" i="43"/>
  <c r="I37" i="43"/>
  <c r="H38" i="43"/>
  <c r="H37" i="43"/>
  <c r="G42" i="43" l="1"/>
  <c r="G38" i="43"/>
  <c r="F47" i="43" l="1"/>
  <c r="F46" i="43"/>
  <c r="F42" i="43"/>
  <c r="F38" i="43"/>
  <c r="AK177" i="43" l="1"/>
  <c r="AK30" i="43" l="1"/>
  <c r="IX72" i="43" l="1"/>
  <c r="RY73" i="43"/>
  <c r="AK74" i="43"/>
  <c r="AE50" i="43" l="1"/>
  <c r="AH45" i="43"/>
  <c r="AG45" i="43"/>
  <c r="AF45" i="43"/>
  <c r="AE45" i="43"/>
  <c r="AD45" i="43"/>
  <c r="AH40" i="43"/>
  <c r="AG40" i="43"/>
  <c r="AF40" i="43"/>
  <c r="AE40" i="43"/>
  <c r="AD40" i="43"/>
  <c r="AH50" i="43"/>
  <c r="AG50" i="43"/>
  <c r="AF50" i="43"/>
  <c r="AD50" i="43"/>
  <c r="AC50" i="43"/>
  <c r="AI214" i="43" l="1"/>
  <c r="AI207" i="43"/>
  <c r="AI200" i="43"/>
  <c r="AI195" i="43"/>
  <c r="AI187" i="43"/>
  <c r="AI188" i="43" s="1"/>
  <c r="AI181" i="43"/>
  <c r="AI180" i="43"/>
  <c r="AI171" i="43"/>
  <c r="AI170" i="43"/>
  <c r="AI160" i="43"/>
  <c r="AI159" i="43"/>
  <c r="AI158" i="43"/>
  <c r="AI174" i="43" s="1"/>
  <c r="AI157" i="43"/>
  <c r="AI156" i="43"/>
  <c r="AI173" i="43" s="1"/>
  <c r="AI149" i="43"/>
  <c r="AI150" i="43" s="1"/>
  <c r="AI123" i="43"/>
  <c r="AI122" i="43"/>
  <c r="AI112" i="43"/>
  <c r="AI111" i="43"/>
  <c r="AI110" i="43"/>
  <c r="AI126" i="43" s="1"/>
  <c r="AI109" i="43"/>
  <c r="AI125" i="43" s="1"/>
  <c r="AI103" i="43"/>
  <c r="AI104" i="43" s="1"/>
  <c r="AI97" i="43"/>
  <c r="AI96" i="43"/>
  <c r="AI86" i="43"/>
  <c r="AI85" i="43"/>
  <c r="AI84" i="43"/>
  <c r="AI100" i="43" s="1"/>
  <c r="AI83" i="43"/>
  <c r="AI99" i="43" s="1"/>
  <c r="AI76" i="43"/>
  <c r="AI77" i="43" s="1"/>
  <c r="AI72" i="43"/>
  <c r="AI70" i="43"/>
  <c r="AI69" i="43"/>
  <c r="AI67" i="43"/>
  <c r="AI65" i="43"/>
  <c r="AI59" i="43"/>
  <c r="AI56" i="43"/>
  <c r="AI55" i="43"/>
  <c r="AI50" i="43"/>
  <c r="AI62" i="43" s="1"/>
  <c r="AI45" i="43"/>
  <c r="AI40" i="43"/>
  <c r="AI58" i="43" s="1"/>
  <c r="AI27" i="43"/>
  <c r="AI26" i="43"/>
  <c r="AI22" i="43"/>
  <c r="AI18" i="43"/>
  <c r="AI14" i="43"/>
  <c r="AI10" i="43"/>
  <c r="AI60" i="43" l="1"/>
  <c r="AI61" i="43"/>
  <c r="AI57" i="43"/>
  <c r="AC45" i="43"/>
  <c r="AC40" i="43" l="1"/>
  <c r="SB62" i="43"/>
  <c r="SB61" i="43" s="1"/>
  <c r="SB63" i="43" s="1"/>
  <c r="AK49" i="43" l="1"/>
  <c r="SB65" i="43" s="1"/>
  <c r="AB50" i="43" l="1"/>
  <c r="AB45" i="43"/>
  <c r="AB40" i="43"/>
  <c r="AA65" i="43" l="1"/>
  <c r="AA50" i="43"/>
  <c r="AA45" i="43"/>
  <c r="AA40" i="43"/>
  <c r="Z45" i="43"/>
  <c r="Z50" i="43"/>
  <c r="Z40" i="43"/>
  <c r="Y45" i="43"/>
  <c r="Y50" i="43"/>
  <c r="Y40" i="43"/>
  <c r="SB55" i="43" l="1"/>
  <c r="RZ56" i="43"/>
  <c r="SB56" i="43" s="1"/>
  <c r="X50" i="43"/>
  <c r="X45" i="43"/>
  <c r="X40" i="43" l="1"/>
  <c r="W45" i="43" l="1"/>
  <c r="W50" i="43"/>
  <c r="IX62" i="43" l="1"/>
  <c r="W55" i="43"/>
  <c r="W67" i="43"/>
  <c r="W40" i="43"/>
  <c r="SB33" i="43" l="1"/>
  <c r="SC34" i="43" s="1"/>
  <c r="V45" i="43"/>
  <c r="V50" i="43"/>
  <c r="AK68" i="43" l="1"/>
  <c r="SP43" i="43"/>
  <c r="SP42" i="43"/>
  <c r="SP41" i="43"/>
  <c r="SP38" i="43" s="1"/>
  <c r="V40" i="43"/>
  <c r="V67" i="43"/>
  <c r="SP45" i="43" l="1"/>
  <c r="SC39" i="43" s="1"/>
  <c r="U45" i="43"/>
  <c r="T45" i="43"/>
  <c r="S45" i="43"/>
  <c r="R45" i="43"/>
  <c r="U50" i="43"/>
  <c r="T50" i="43"/>
  <c r="S50" i="43"/>
  <c r="R50" i="43"/>
  <c r="U40" i="43"/>
  <c r="T40" i="43"/>
  <c r="S40" i="43"/>
  <c r="R40" i="43"/>
  <c r="SP39" i="43" l="1"/>
  <c r="SC35" i="43"/>
  <c r="RY43" i="43" l="1"/>
  <c r="AO36" i="43" l="1"/>
  <c r="AN107" i="43"/>
  <c r="AO107" i="43" s="1"/>
  <c r="AN106" i="43"/>
  <c r="AO106" i="43" s="1"/>
  <c r="Q103" i="43"/>
  <c r="AN103" i="43" s="1"/>
  <c r="AN29" i="43"/>
  <c r="AO29" i="43" s="1"/>
  <c r="Q45" i="43"/>
  <c r="Q50" i="43"/>
  <c r="Q40" i="43" l="1"/>
  <c r="GQ53" i="43"/>
  <c r="P45" i="43" l="1"/>
  <c r="P50" i="43"/>
  <c r="P40" i="43" l="1"/>
  <c r="O45" i="43" l="1"/>
  <c r="O50" i="43"/>
  <c r="AK31" i="43"/>
  <c r="AK69" i="43" l="1"/>
  <c r="AM31" i="43"/>
  <c r="AO47" i="43"/>
  <c r="O40" i="43"/>
  <c r="N50" i="43" l="1"/>
  <c r="N45" i="43"/>
  <c r="RY33" i="43" l="1"/>
  <c r="AK38" i="43"/>
  <c r="AK37" i="43"/>
  <c r="M50" i="43"/>
  <c r="L50" i="43"/>
  <c r="K50" i="43"/>
  <c r="J50" i="43"/>
  <c r="I50" i="43"/>
  <c r="H50" i="43"/>
  <c r="G50" i="43"/>
  <c r="F50" i="43"/>
  <c r="M45" i="43"/>
  <c r="K45" i="43"/>
  <c r="J45" i="43"/>
  <c r="I45" i="43"/>
  <c r="H45" i="43"/>
  <c r="G45" i="43"/>
  <c r="F45" i="43"/>
  <c r="M40" i="43"/>
  <c r="L40" i="43"/>
  <c r="K40" i="43"/>
  <c r="J40" i="43"/>
  <c r="I40" i="43"/>
  <c r="H40" i="43"/>
  <c r="G40" i="43"/>
  <c r="F40" i="43"/>
  <c r="RY35" i="43" l="1"/>
  <c r="RY36" i="43" s="1"/>
  <c r="AN31" i="43"/>
  <c r="AN33" i="43" s="1"/>
  <c r="AN34" i="43" s="1"/>
  <c r="AO31" i="43" s="1"/>
  <c r="RY38" i="43" l="1"/>
  <c r="AN35" i="43"/>
  <c r="AO35" i="43"/>
  <c r="AO33" i="43"/>
  <c r="AG103" i="43"/>
  <c r="AF65" i="43" l="1"/>
  <c r="AF67" i="43"/>
  <c r="AC103" i="43" l="1"/>
  <c r="AB103" i="43"/>
  <c r="X103" i="43" l="1"/>
  <c r="W103" i="43"/>
  <c r="AO55" i="43" l="1"/>
  <c r="N27" i="43"/>
  <c r="M67" i="43" l="1"/>
  <c r="G37" i="45"/>
  <c r="F37" i="45"/>
  <c r="G36" i="45"/>
  <c r="G35" i="45"/>
  <c r="G34" i="45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E37" i="45"/>
  <c r="D37" i="45"/>
  <c r="C7" i="45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AH180" i="43" l="1"/>
  <c r="AG180" i="43"/>
  <c r="AF180" i="43"/>
  <c r="AE180" i="43"/>
  <c r="AD180" i="43"/>
  <c r="AC180" i="43"/>
  <c r="AB180" i="43"/>
  <c r="AA180" i="43"/>
  <c r="Z180" i="43"/>
  <c r="Y180" i="43"/>
  <c r="X180" i="43"/>
  <c r="W180" i="43"/>
  <c r="V180" i="43"/>
  <c r="U180" i="43"/>
  <c r="T180" i="43"/>
  <c r="R180" i="43"/>
  <c r="Q180" i="43"/>
  <c r="P180" i="43"/>
  <c r="O180" i="43"/>
  <c r="N180" i="43"/>
  <c r="M180" i="43"/>
  <c r="L180" i="43"/>
  <c r="K180" i="43"/>
  <c r="J180" i="43"/>
  <c r="I180" i="43"/>
  <c r="H180" i="43"/>
  <c r="G180" i="43"/>
  <c r="F180" i="43"/>
  <c r="AG27" i="43"/>
  <c r="GS43" i="43" l="1"/>
  <c r="GR43" i="43"/>
  <c r="GQ43" i="43"/>
  <c r="GS44" i="43" l="1"/>
  <c r="GR44" i="43"/>
  <c r="GQ44" i="43"/>
  <c r="GS34" i="43" l="1"/>
  <c r="GR34" i="43"/>
  <c r="GQ34" i="43"/>
  <c r="AK75" i="43" l="1"/>
  <c r="F83" i="43"/>
  <c r="F99" i="43" s="1"/>
  <c r="F84" i="43"/>
  <c r="F100" i="43" s="1"/>
  <c r="F85" i="43"/>
  <c r="F86" i="43"/>
  <c r="F96" i="43"/>
  <c r="F97" i="43"/>
  <c r="F103" i="43"/>
  <c r="F104" i="43" s="1"/>
  <c r="F109" i="43"/>
  <c r="F110" i="43"/>
  <c r="AE27" i="43" l="1"/>
  <c r="AG65" i="43" l="1"/>
  <c r="AG67" i="43"/>
  <c r="AK147" i="43" l="1"/>
  <c r="AB65" i="43" l="1"/>
  <c r="AB67" i="43"/>
  <c r="AA27" i="43" l="1"/>
  <c r="AB27" i="43"/>
  <c r="AE70" i="43" l="1"/>
  <c r="AG214" i="43"/>
  <c r="AF214" i="43"/>
  <c r="AE214" i="43"/>
  <c r="AG207" i="43"/>
  <c r="AF207" i="43"/>
  <c r="AE207" i="43"/>
  <c r="AG200" i="43"/>
  <c r="AF200" i="43"/>
  <c r="AE200" i="43"/>
  <c r="AG195" i="43"/>
  <c r="AF195" i="43"/>
  <c r="AE195" i="43"/>
  <c r="AG187" i="43"/>
  <c r="AG188" i="43" s="1"/>
  <c r="AF187" i="43"/>
  <c r="AF188" i="43" s="1"/>
  <c r="AE187" i="43"/>
  <c r="AE188" i="43" s="1"/>
  <c r="AG181" i="43"/>
  <c r="AF181" i="43"/>
  <c r="AE181" i="43"/>
  <c r="AG171" i="43"/>
  <c r="AF171" i="43"/>
  <c r="AE171" i="43"/>
  <c r="AG170" i="43"/>
  <c r="AF170" i="43"/>
  <c r="AE170" i="43"/>
  <c r="AG160" i="43"/>
  <c r="AF160" i="43"/>
  <c r="AE160" i="43"/>
  <c r="AG159" i="43"/>
  <c r="AF159" i="43"/>
  <c r="AE159" i="43"/>
  <c r="AG158" i="43"/>
  <c r="AG174" i="43" s="1"/>
  <c r="AF158" i="43"/>
  <c r="AF174" i="43" s="1"/>
  <c r="AE158" i="43"/>
  <c r="AE174" i="43" s="1"/>
  <c r="AG157" i="43"/>
  <c r="AF157" i="43"/>
  <c r="AE157" i="43"/>
  <c r="AG156" i="43"/>
  <c r="AG173" i="43" s="1"/>
  <c r="AF156" i="43"/>
  <c r="AF173" i="43" s="1"/>
  <c r="AE156" i="43"/>
  <c r="AE173" i="43" s="1"/>
  <c r="AG149" i="43"/>
  <c r="AG150" i="43" s="1"/>
  <c r="AF149" i="43"/>
  <c r="AF150" i="43" s="1"/>
  <c r="AE149" i="43"/>
  <c r="AE150" i="43" s="1"/>
  <c r="AG123" i="43"/>
  <c r="AF123" i="43"/>
  <c r="AE123" i="43"/>
  <c r="AG122" i="43"/>
  <c r="AF122" i="43"/>
  <c r="AE122" i="43"/>
  <c r="AG112" i="43"/>
  <c r="AE112" i="43"/>
  <c r="AG111" i="43"/>
  <c r="AF111" i="43"/>
  <c r="AE111" i="43"/>
  <c r="AG110" i="43"/>
  <c r="AG126" i="43" s="1"/>
  <c r="AF110" i="43"/>
  <c r="AF126" i="43" s="1"/>
  <c r="AE110" i="43"/>
  <c r="AE126" i="43" s="1"/>
  <c r="AG109" i="43"/>
  <c r="AG125" i="43" s="1"/>
  <c r="AF109" i="43"/>
  <c r="AF125" i="43" s="1"/>
  <c r="AE109" i="43"/>
  <c r="AE125" i="43" s="1"/>
  <c r="AG104" i="43"/>
  <c r="AF103" i="43"/>
  <c r="AF104" i="43" s="1"/>
  <c r="AE103" i="43"/>
  <c r="AE104" i="43" s="1"/>
  <c r="AG97" i="43"/>
  <c r="AF97" i="43"/>
  <c r="AE97" i="43"/>
  <c r="AG96" i="43"/>
  <c r="AF96" i="43"/>
  <c r="AE96" i="43"/>
  <c r="AG86" i="43"/>
  <c r="AF86" i="43"/>
  <c r="AE86" i="43"/>
  <c r="AG85" i="43"/>
  <c r="AF85" i="43"/>
  <c r="AE85" i="43"/>
  <c r="AG84" i="43"/>
  <c r="AG100" i="43" s="1"/>
  <c r="AF84" i="43"/>
  <c r="AF100" i="43" s="1"/>
  <c r="AE84" i="43"/>
  <c r="AE100" i="43" s="1"/>
  <c r="AG83" i="43"/>
  <c r="AG99" i="43" s="1"/>
  <c r="AF83" i="43"/>
  <c r="AF99" i="43" s="1"/>
  <c r="AE83" i="43"/>
  <c r="AE99" i="43" s="1"/>
  <c r="AG76" i="43"/>
  <c r="AG77" i="43" s="1"/>
  <c r="AF76" i="43"/>
  <c r="AF77" i="43" s="1"/>
  <c r="AE76" i="43"/>
  <c r="AE77" i="43" s="1"/>
  <c r="AG72" i="43"/>
  <c r="AF72" i="43"/>
  <c r="AE72" i="43"/>
  <c r="AG70" i="43"/>
  <c r="AF70" i="43"/>
  <c r="AG69" i="43"/>
  <c r="AE69" i="43"/>
  <c r="AE67" i="43"/>
  <c r="AE65" i="43"/>
  <c r="AG62" i="43"/>
  <c r="AF62" i="43"/>
  <c r="AE62" i="43"/>
  <c r="AG61" i="43"/>
  <c r="AF61" i="43"/>
  <c r="AE61" i="43"/>
  <c r="AG60" i="43"/>
  <c r="AF60" i="43"/>
  <c r="AE60" i="43"/>
  <c r="AG59" i="43"/>
  <c r="AF59" i="43"/>
  <c r="AE59" i="43"/>
  <c r="AG58" i="43"/>
  <c r="AF58" i="43"/>
  <c r="AE58" i="43"/>
  <c r="AG57" i="43"/>
  <c r="AF57" i="43"/>
  <c r="AE57" i="43"/>
  <c r="AG56" i="43"/>
  <c r="AE56" i="43"/>
  <c r="AG55" i="43"/>
  <c r="AE55" i="43"/>
  <c r="AF27" i="43"/>
  <c r="AG26" i="43"/>
  <c r="AF26" i="43"/>
  <c r="AE26" i="43"/>
  <c r="AG22" i="43"/>
  <c r="AF22" i="43"/>
  <c r="AE22" i="43"/>
  <c r="AG18" i="43"/>
  <c r="AF18" i="43"/>
  <c r="AE18" i="43"/>
  <c r="AG14" i="43"/>
  <c r="AF14" i="43"/>
  <c r="AE14" i="43"/>
  <c r="AG10" i="43"/>
  <c r="AF10" i="43"/>
  <c r="AE10" i="43"/>
  <c r="AF56" i="43" l="1"/>
  <c r="AF69" i="43"/>
  <c r="AF55" i="43"/>
  <c r="AB69" i="43" l="1"/>
  <c r="AA195" i="43" l="1"/>
  <c r="S159" i="43" l="1"/>
  <c r="M70" i="43" l="1"/>
  <c r="F112" i="43" l="1"/>
  <c r="AD187" i="43"/>
  <c r="Y27" i="43" l="1"/>
  <c r="AH27" i="43" l="1"/>
  <c r="AD27" i="43"/>
  <c r="AC27" i="43"/>
  <c r="Z27" i="43"/>
  <c r="X27" i="43"/>
  <c r="W27" i="43"/>
  <c r="V27" i="43"/>
  <c r="U27" i="43"/>
  <c r="T27" i="43"/>
  <c r="S27" i="43"/>
  <c r="R27" i="43"/>
  <c r="Q27" i="43"/>
  <c r="P27" i="43"/>
  <c r="O27" i="43"/>
  <c r="M27" i="43"/>
  <c r="L27" i="43"/>
  <c r="K27" i="43"/>
  <c r="J27" i="43"/>
  <c r="I27" i="43"/>
  <c r="H27" i="43"/>
  <c r="G27" i="43"/>
  <c r="F27" i="43"/>
  <c r="AH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K25" i="43"/>
  <c r="AK24" i="43"/>
  <c r="AK26" i="43" l="1"/>
  <c r="T149" i="43" l="1"/>
  <c r="S149" i="43" l="1"/>
  <c r="S150" i="43" s="1"/>
  <c r="R149" i="43"/>
  <c r="R150" i="43" s="1"/>
  <c r="D50" i="43" l="1"/>
  <c r="D45" i="43"/>
  <c r="D40" i="43"/>
  <c r="D37" i="43"/>
  <c r="Q149" i="43" l="1"/>
  <c r="AM148" i="43" s="1"/>
  <c r="P149" i="43"/>
  <c r="AH14" i="43" l="1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K13" i="43"/>
  <c r="AK12" i="43"/>
  <c r="AK14" i="43" l="1"/>
  <c r="O149" i="43" l="1"/>
  <c r="N149" i="43" l="1"/>
  <c r="M149" i="43"/>
  <c r="L149" i="43" l="1"/>
  <c r="K149" i="43" l="1"/>
  <c r="J149" i="43"/>
  <c r="I149" i="43"/>
  <c r="F149" i="43" l="1"/>
  <c r="H149" i="43"/>
  <c r="G149" i="43"/>
  <c r="G61" i="43" l="1"/>
  <c r="F61" i="43"/>
  <c r="F67" i="43"/>
  <c r="AH214" i="43"/>
  <c r="AD214" i="43"/>
  <c r="AC214" i="43"/>
  <c r="AB214" i="43"/>
  <c r="AA214" i="43"/>
  <c r="Z214" i="43"/>
  <c r="Y214" i="43"/>
  <c r="X214" i="43"/>
  <c r="W214" i="43"/>
  <c r="V214" i="43"/>
  <c r="U214" i="43"/>
  <c r="T214" i="43"/>
  <c r="S214" i="43"/>
  <c r="R214" i="43"/>
  <c r="Q214" i="43"/>
  <c r="P214" i="43"/>
  <c r="O214" i="43"/>
  <c r="N214" i="43"/>
  <c r="M214" i="43"/>
  <c r="L214" i="43"/>
  <c r="K214" i="43"/>
  <c r="J214" i="43"/>
  <c r="I214" i="43"/>
  <c r="H214" i="43"/>
  <c r="G214" i="43"/>
  <c r="F214" i="43"/>
  <c r="AK213" i="43"/>
  <c r="AK212" i="43"/>
  <c r="AK211" i="43"/>
  <c r="AK210" i="43"/>
  <c r="AK209" i="43"/>
  <c r="AH207" i="43"/>
  <c r="AD207" i="43"/>
  <c r="AC207" i="43"/>
  <c r="AB207" i="43"/>
  <c r="AA207" i="43"/>
  <c r="Z207" i="43"/>
  <c r="Y207" i="43"/>
  <c r="X207" i="43"/>
  <c r="W207" i="43"/>
  <c r="V207" i="43"/>
  <c r="U207" i="43"/>
  <c r="T207" i="43"/>
  <c r="S207" i="43"/>
  <c r="R207" i="43"/>
  <c r="Q207" i="43"/>
  <c r="P207" i="43"/>
  <c r="O207" i="43"/>
  <c r="N207" i="43"/>
  <c r="M207" i="43"/>
  <c r="L207" i="43"/>
  <c r="K207" i="43"/>
  <c r="J207" i="43"/>
  <c r="I207" i="43"/>
  <c r="H207" i="43"/>
  <c r="G207" i="43"/>
  <c r="F207" i="43"/>
  <c r="AK206" i="43"/>
  <c r="AK205" i="43"/>
  <c r="AK204" i="43"/>
  <c r="AK203" i="43"/>
  <c r="AK202" i="43"/>
  <c r="AH200" i="43"/>
  <c r="AD200" i="43"/>
  <c r="AC200" i="43"/>
  <c r="AB200" i="43"/>
  <c r="AA200" i="43"/>
  <c r="Z200" i="43"/>
  <c r="Y200" i="43"/>
  <c r="X200" i="43"/>
  <c r="W200" i="43"/>
  <c r="V200" i="43"/>
  <c r="U200" i="43"/>
  <c r="T200" i="43"/>
  <c r="S200" i="43"/>
  <c r="R200" i="43"/>
  <c r="Q200" i="43"/>
  <c r="P200" i="43"/>
  <c r="O200" i="43"/>
  <c r="N200" i="43"/>
  <c r="M200" i="43"/>
  <c r="L200" i="43"/>
  <c r="K200" i="43"/>
  <c r="J200" i="43"/>
  <c r="I200" i="43"/>
  <c r="H200" i="43"/>
  <c r="G200" i="43"/>
  <c r="F200" i="43"/>
  <c r="AK199" i="43"/>
  <c r="AK196" i="43"/>
  <c r="AH195" i="43"/>
  <c r="AD195" i="43"/>
  <c r="AC195" i="43"/>
  <c r="AB195" i="43"/>
  <c r="Z195" i="43"/>
  <c r="Y195" i="43"/>
  <c r="X195" i="43"/>
  <c r="W195" i="43"/>
  <c r="V195" i="43"/>
  <c r="U195" i="43"/>
  <c r="T195" i="43"/>
  <c r="S195" i="43"/>
  <c r="R195" i="43"/>
  <c r="Q195" i="43"/>
  <c r="P195" i="43"/>
  <c r="O195" i="43"/>
  <c r="N195" i="43"/>
  <c r="M195" i="43"/>
  <c r="L195" i="43"/>
  <c r="K195" i="43"/>
  <c r="J195" i="43"/>
  <c r="I195" i="43"/>
  <c r="H195" i="43"/>
  <c r="G195" i="43"/>
  <c r="F195" i="43"/>
  <c r="AK194" i="43"/>
  <c r="D194" i="43"/>
  <c r="D195" i="43" s="1"/>
  <c r="AK193" i="43"/>
  <c r="AIR193" i="43" s="1"/>
  <c r="AK192" i="43"/>
  <c r="AIR192" i="43" s="1"/>
  <c r="AK190" i="43"/>
  <c r="AM190" i="43" s="1"/>
  <c r="AH187" i="43"/>
  <c r="AH188" i="43" s="1"/>
  <c r="AD188" i="43"/>
  <c r="AC187" i="43"/>
  <c r="AC188" i="43" s="1"/>
  <c r="AB187" i="43"/>
  <c r="AB188" i="43" s="1"/>
  <c r="AA187" i="43"/>
  <c r="AA188" i="43" s="1"/>
  <c r="Z187" i="43"/>
  <c r="Z188" i="43" s="1"/>
  <c r="Y187" i="43"/>
  <c r="Y188" i="43" s="1"/>
  <c r="X187" i="43"/>
  <c r="X188" i="43" s="1"/>
  <c r="W187" i="43"/>
  <c r="W188" i="43" s="1"/>
  <c r="V187" i="43"/>
  <c r="V188" i="43" s="1"/>
  <c r="U187" i="43"/>
  <c r="U188" i="43" s="1"/>
  <c r="T187" i="43"/>
  <c r="T188" i="43" s="1"/>
  <c r="S187" i="43"/>
  <c r="S188" i="43" s="1"/>
  <c r="R187" i="43"/>
  <c r="R188" i="43" s="1"/>
  <c r="Q187" i="43"/>
  <c r="Q188" i="43" s="1"/>
  <c r="P187" i="43"/>
  <c r="P188" i="43" s="1"/>
  <c r="O187" i="43"/>
  <c r="O188" i="43" s="1"/>
  <c r="N187" i="43"/>
  <c r="N188" i="43" s="1"/>
  <c r="M187" i="43"/>
  <c r="M188" i="43" s="1"/>
  <c r="L187" i="43"/>
  <c r="L188" i="43" s="1"/>
  <c r="K187" i="43"/>
  <c r="K188" i="43" s="1"/>
  <c r="J187" i="43"/>
  <c r="J188" i="43" s="1"/>
  <c r="I187" i="43"/>
  <c r="I188" i="43" s="1"/>
  <c r="H187" i="43"/>
  <c r="H188" i="43" s="1"/>
  <c r="G187" i="43"/>
  <c r="G188" i="43" s="1"/>
  <c r="F187" i="43"/>
  <c r="AK186" i="43"/>
  <c r="AK185" i="43"/>
  <c r="D183" i="43"/>
  <c r="D187" i="43" s="1"/>
  <c r="D188" i="43" s="1"/>
  <c r="AH181" i="43"/>
  <c r="AD181" i="43"/>
  <c r="AC181" i="43"/>
  <c r="AB181" i="43"/>
  <c r="AA181" i="43"/>
  <c r="Z181" i="43"/>
  <c r="Y181" i="43"/>
  <c r="X181" i="43"/>
  <c r="W181" i="43"/>
  <c r="V181" i="43"/>
  <c r="U181" i="43"/>
  <c r="T181" i="43"/>
  <c r="S181" i="43"/>
  <c r="R181" i="43"/>
  <c r="Q181" i="43"/>
  <c r="P181" i="43"/>
  <c r="O181" i="43"/>
  <c r="N181" i="43"/>
  <c r="M181" i="43"/>
  <c r="L181" i="43"/>
  <c r="K181" i="43"/>
  <c r="J181" i="43"/>
  <c r="I181" i="43"/>
  <c r="H181" i="43"/>
  <c r="G181" i="43"/>
  <c r="F181" i="43"/>
  <c r="D181" i="43"/>
  <c r="AK176" i="43"/>
  <c r="AH171" i="43"/>
  <c r="AD171" i="43"/>
  <c r="AC171" i="43"/>
  <c r="AB171" i="43"/>
  <c r="AA171" i="43"/>
  <c r="Z171" i="43"/>
  <c r="Y171" i="43"/>
  <c r="X171" i="43"/>
  <c r="W171" i="43"/>
  <c r="V171" i="43"/>
  <c r="U171" i="43"/>
  <c r="T171" i="43"/>
  <c r="S171" i="43"/>
  <c r="R171" i="43"/>
  <c r="Q171" i="43"/>
  <c r="P171" i="43"/>
  <c r="O171" i="43"/>
  <c r="N171" i="43"/>
  <c r="M171" i="43"/>
  <c r="L171" i="43"/>
  <c r="K171" i="43"/>
  <c r="J171" i="43"/>
  <c r="I171" i="43"/>
  <c r="H171" i="43"/>
  <c r="G171" i="43"/>
  <c r="F171" i="43"/>
  <c r="AH170" i="43"/>
  <c r="AD170" i="43"/>
  <c r="AC170" i="43"/>
  <c r="AB170" i="43"/>
  <c r="AA170" i="43"/>
  <c r="Z170" i="43"/>
  <c r="Y170" i="43"/>
  <c r="X170" i="43"/>
  <c r="W170" i="43"/>
  <c r="V170" i="43"/>
  <c r="U170" i="43"/>
  <c r="T170" i="43"/>
  <c r="S170" i="43"/>
  <c r="R170" i="43"/>
  <c r="Q170" i="43"/>
  <c r="P170" i="43"/>
  <c r="O170" i="43"/>
  <c r="N170" i="43"/>
  <c r="M170" i="43"/>
  <c r="L170" i="43"/>
  <c r="K170" i="43"/>
  <c r="J170" i="43"/>
  <c r="I170" i="43"/>
  <c r="H170" i="43"/>
  <c r="G170" i="43"/>
  <c r="F170" i="43"/>
  <c r="AK167" i="43"/>
  <c r="AK166" i="43"/>
  <c r="AK164" i="43"/>
  <c r="AK163" i="43"/>
  <c r="AH160" i="43"/>
  <c r="AD160" i="43"/>
  <c r="AC160" i="43"/>
  <c r="AB160" i="43"/>
  <c r="AA160" i="43"/>
  <c r="Z160" i="43"/>
  <c r="Y160" i="43"/>
  <c r="X160" i="43"/>
  <c r="W160" i="43"/>
  <c r="V160" i="43"/>
  <c r="U160" i="43"/>
  <c r="T160" i="43"/>
  <c r="S160" i="43"/>
  <c r="R160" i="43"/>
  <c r="Q160" i="43"/>
  <c r="P160" i="43"/>
  <c r="O160" i="43"/>
  <c r="N160" i="43"/>
  <c r="M160" i="43"/>
  <c r="L160" i="43"/>
  <c r="K160" i="43"/>
  <c r="J160" i="43"/>
  <c r="I160" i="43"/>
  <c r="H160" i="43"/>
  <c r="G160" i="43"/>
  <c r="F160" i="43"/>
  <c r="AH159" i="43"/>
  <c r="AD159" i="43"/>
  <c r="AC159" i="43"/>
  <c r="AB159" i="43"/>
  <c r="AA159" i="43"/>
  <c r="Z159" i="43"/>
  <c r="Y159" i="43"/>
  <c r="X159" i="43"/>
  <c r="W159" i="43"/>
  <c r="V159" i="43"/>
  <c r="U159" i="43"/>
  <c r="T159" i="43"/>
  <c r="R159" i="43"/>
  <c r="Q159" i="43"/>
  <c r="P159" i="43"/>
  <c r="O159" i="43"/>
  <c r="N159" i="43"/>
  <c r="M159" i="43"/>
  <c r="L159" i="43"/>
  <c r="K159" i="43"/>
  <c r="J159" i="43"/>
  <c r="I159" i="43"/>
  <c r="H159" i="43"/>
  <c r="G159" i="43"/>
  <c r="F159" i="43"/>
  <c r="AH158" i="43"/>
  <c r="AH174" i="43" s="1"/>
  <c r="AD158" i="43"/>
  <c r="AD174" i="43" s="1"/>
  <c r="AC158" i="43"/>
  <c r="AC174" i="43" s="1"/>
  <c r="AB158" i="43"/>
  <c r="AB174" i="43" s="1"/>
  <c r="AA158" i="43"/>
  <c r="AA174" i="43" s="1"/>
  <c r="Z158" i="43"/>
  <c r="Z174" i="43" s="1"/>
  <c r="Y158" i="43"/>
  <c r="Y174" i="43" s="1"/>
  <c r="X158" i="43"/>
  <c r="X174" i="43" s="1"/>
  <c r="W158" i="43"/>
  <c r="W174" i="43" s="1"/>
  <c r="V158" i="43"/>
  <c r="V174" i="43" s="1"/>
  <c r="U158" i="43"/>
  <c r="U174" i="43" s="1"/>
  <c r="T158" i="43"/>
  <c r="T174" i="43" s="1"/>
  <c r="S158" i="43"/>
  <c r="S174" i="43" s="1"/>
  <c r="R158" i="43"/>
  <c r="R174" i="43" s="1"/>
  <c r="Q158" i="43"/>
  <c r="Q174" i="43" s="1"/>
  <c r="P158" i="43"/>
  <c r="P174" i="43" s="1"/>
  <c r="O158" i="43"/>
  <c r="O174" i="43" s="1"/>
  <c r="N158" i="43"/>
  <c r="N174" i="43" s="1"/>
  <c r="M158" i="43"/>
  <c r="M174" i="43" s="1"/>
  <c r="L158" i="43"/>
  <c r="L174" i="43" s="1"/>
  <c r="K158" i="43"/>
  <c r="K174" i="43" s="1"/>
  <c r="J158" i="43"/>
  <c r="J174" i="43" s="1"/>
  <c r="I158" i="43"/>
  <c r="I174" i="43" s="1"/>
  <c r="H158" i="43"/>
  <c r="H174" i="43" s="1"/>
  <c r="G158" i="43"/>
  <c r="G174" i="43" s="1"/>
  <c r="F158" i="43"/>
  <c r="F174" i="43" s="1"/>
  <c r="AH157" i="43"/>
  <c r="AD157" i="43"/>
  <c r="AC157" i="43"/>
  <c r="AB157" i="43"/>
  <c r="AA157" i="43"/>
  <c r="Z157" i="43"/>
  <c r="Y157" i="43"/>
  <c r="X157" i="43"/>
  <c r="W157" i="43"/>
  <c r="V157" i="43"/>
  <c r="U157" i="43"/>
  <c r="T157" i="43"/>
  <c r="S157" i="43"/>
  <c r="R157" i="43"/>
  <c r="Q157" i="43"/>
  <c r="P157" i="43"/>
  <c r="O157" i="43"/>
  <c r="N157" i="43"/>
  <c r="M157" i="43"/>
  <c r="L157" i="43"/>
  <c r="K157" i="43"/>
  <c r="J157" i="43"/>
  <c r="I157" i="43"/>
  <c r="H157" i="43"/>
  <c r="G157" i="43"/>
  <c r="F157" i="43"/>
  <c r="AH156" i="43"/>
  <c r="AH173" i="43" s="1"/>
  <c r="AD156" i="43"/>
  <c r="AD173" i="43" s="1"/>
  <c r="AC156" i="43"/>
  <c r="AC173" i="43" s="1"/>
  <c r="AB156" i="43"/>
  <c r="AB173" i="43" s="1"/>
  <c r="AA156" i="43"/>
  <c r="AA173" i="43" s="1"/>
  <c r="Z156" i="43"/>
  <c r="Z173" i="43" s="1"/>
  <c r="Y156" i="43"/>
  <c r="Y173" i="43" s="1"/>
  <c r="X156" i="43"/>
  <c r="X173" i="43" s="1"/>
  <c r="W156" i="43"/>
  <c r="W173" i="43" s="1"/>
  <c r="V156" i="43"/>
  <c r="V173" i="43" s="1"/>
  <c r="U156" i="43"/>
  <c r="U173" i="43" s="1"/>
  <c r="T156" i="43"/>
  <c r="T173" i="43" s="1"/>
  <c r="S156" i="43"/>
  <c r="S173" i="43" s="1"/>
  <c r="R156" i="43"/>
  <c r="R173" i="43" s="1"/>
  <c r="Q156" i="43"/>
  <c r="Q173" i="43" s="1"/>
  <c r="P156" i="43"/>
  <c r="P173" i="43" s="1"/>
  <c r="O156" i="43"/>
  <c r="O173" i="43" s="1"/>
  <c r="N156" i="43"/>
  <c r="N173" i="43" s="1"/>
  <c r="M156" i="43"/>
  <c r="M173" i="43" s="1"/>
  <c r="L156" i="43"/>
  <c r="L173" i="43" s="1"/>
  <c r="K156" i="43"/>
  <c r="K173" i="43" s="1"/>
  <c r="J156" i="43"/>
  <c r="J173" i="43" s="1"/>
  <c r="I156" i="43"/>
  <c r="I173" i="43" s="1"/>
  <c r="H156" i="43"/>
  <c r="H173" i="43" s="1"/>
  <c r="G156" i="43"/>
  <c r="G173" i="43" s="1"/>
  <c r="F156" i="43"/>
  <c r="F173" i="43" s="1"/>
  <c r="AK154" i="43"/>
  <c r="AK158" i="43" s="1"/>
  <c r="AK153" i="43"/>
  <c r="AK157" i="43" s="1"/>
  <c r="AK152" i="43"/>
  <c r="AK156" i="43" s="1"/>
  <c r="AH149" i="43"/>
  <c r="AH150" i="43" s="1"/>
  <c r="AD149" i="43"/>
  <c r="AD150" i="43" s="1"/>
  <c r="AC149" i="43"/>
  <c r="AC150" i="43" s="1"/>
  <c r="AB149" i="43"/>
  <c r="AB150" i="43" s="1"/>
  <c r="AA149" i="43"/>
  <c r="AA150" i="43" s="1"/>
  <c r="Z149" i="43"/>
  <c r="Z150" i="43" s="1"/>
  <c r="Y149" i="43"/>
  <c r="Y150" i="43" s="1"/>
  <c r="X149" i="43"/>
  <c r="X150" i="43" s="1"/>
  <c r="W149" i="43"/>
  <c r="W150" i="43" s="1"/>
  <c r="V149" i="43"/>
  <c r="V150" i="43" s="1"/>
  <c r="U149" i="43"/>
  <c r="U150" i="43" s="1"/>
  <c r="T150" i="43"/>
  <c r="Q150" i="43"/>
  <c r="P150" i="43"/>
  <c r="O150" i="43"/>
  <c r="N150" i="43"/>
  <c r="M150" i="43"/>
  <c r="L150" i="43"/>
  <c r="K150" i="43"/>
  <c r="J150" i="43"/>
  <c r="H150" i="43"/>
  <c r="G150" i="43"/>
  <c r="AH123" i="43"/>
  <c r="AD123" i="43"/>
  <c r="AC123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K123" i="43"/>
  <c r="J123" i="43"/>
  <c r="I123" i="43"/>
  <c r="H123" i="43"/>
  <c r="G123" i="43"/>
  <c r="F123" i="43"/>
  <c r="AH122" i="43"/>
  <c r="AD122" i="43"/>
  <c r="AC122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K122" i="43"/>
  <c r="J122" i="43"/>
  <c r="I122" i="43"/>
  <c r="H122" i="43"/>
  <c r="G122" i="43"/>
  <c r="F122" i="43"/>
  <c r="AK119" i="43"/>
  <c r="AK116" i="43"/>
  <c r="AK115" i="43"/>
  <c r="AH112" i="43"/>
  <c r="AD112" i="43"/>
  <c r="AC112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AH111" i="43"/>
  <c r="AD111" i="43"/>
  <c r="AC111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AH110" i="43"/>
  <c r="AH126" i="43" s="1"/>
  <c r="AD110" i="43"/>
  <c r="AD126" i="43" s="1"/>
  <c r="AC110" i="43"/>
  <c r="AC126" i="43" s="1"/>
  <c r="AB110" i="43"/>
  <c r="AB126" i="43" s="1"/>
  <c r="AA110" i="43"/>
  <c r="AA126" i="43" s="1"/>
  <c r="Z110" i="43"/>
  <c r="Z126" i="43" s="1"/>
  <c r="Y110" i="43"/>
  <c r="Y126" i="43" s="1"/>
  <c r="X110" i="43"/>
  <c r="X126" i="43" s="1"/>
  <c r="W110" i="43"/>
  <c r="W126" i="43" s="1"/>
  <c r="V110" i="43"/>
  <c r="V126" i="43" s="1"/>
  <c r="U110" i="43"/>
  <c r="U126" i="43" s="1"/>
  <c r="T110" i="43"/>
  <c r="T126" i="43" s="1"/>
  <c r="S110" i="43"/>
  <c r="S126" i="43" s="1"/>
  <c r="R110" i="43"/>
  <c r="R126" i="43" s="1"/>
  <c r="Q110" i="43"/>
  <c r="Q126" i="43" s="1"/>
  <c r="P110" i="43"/>
  <c r="P126" i="43" s="1"/>
  <c r="O110" i="43"/>
  <c r="O126" i="43" s="1"/>
  <c r="N110" i="43"/>
  <c r="N126" i="43" s="1"/>
  <c r="M110" i="43"/>
  <c r="M126" i="43" s="1"/>
  <c r="L110" i="43"/>
  <c r="L126" i="43" s="1"/>
  <c r="K110" i="43"/>
  <c r="K126" i="43" s="1"/>
  <c r="J110" i="43"/>
  <c r="J126" i="43" s="1"/>
  <c r="I110" i="43"/>
  <c r="I126" i="43" s="1"/>
  <c r="H110" i="43"/>
  <c r="H126" i="43" s="1"/>
  <c r="G110" i="43"/>
  <c r="G126" i="43" s="1"/>
  <c r="F126" i="43"/>
  <c r="AH109" i="43"/>
  <c r="AD109" i="43"/>
  <c r="AD125" i="43" s="1"/>
  <c r="AC109" i="43"/>
  <c r="AB109" i="43"/>
  <c r="AA109" i="43"/>
  <c r="Z109" i="43"/>
  <c r="Y109" i="43"/>
  <c r="X109" i="43"/>
  <c r="W109" i="43"/>
  <c r="W125" i="43" s="1"/>
  <c r="V109" i="43"/>
  <c r="U109" i="43"/>
  <c r="T109" i="43"/>
  <c r="S109" i="43"/>
  <c r="R109" i="43"/>
  <c r="Q109" i="43"/>
  <c r="P109" i="43"/>
  <c r="P125" i="43" s="1"/>
  <c r="O109" i="43"/>
  <c r="N109" i="43"/>
  <c r="M109" i="43"/>
  <c r="L109" i="43"/>
  <c r="L125" i="43" s="1"/>
  <c r="K109" i="43"/>
  <c r="J109" i="43"/>
  <c r="I109" i="43"/>
  <c r="I125" i="43" s="1"/>
  <c r="H109" i="43"/>
  <c r="G109" i="43"/>
  <c r="F125" i="43"/>
  <c r="AK107" i="43"/>
  <c r="AK110" i="43" s="1"/>
  <c r="AK106" i="43"/>
  <c r="AK109" i="43" s="1"/>
  <c r="AH103" i="43"/>
  <c r="AH104" i="43" s="1"/>
  <c r="AD103" i="43"/>
  <c r="AD104" i="43" s="1"/>
  <c r="AC104" i="43"/>
  <c r="AB104" i="43"/>
  <c r="AA103" i="43"/>
  <c r="AA104" i="43" s="1"/>
  <c r="Z103" i="43"/>
  <c r="Z104" i="43" s="1"/>
  <c r="Y103" i="43"/>
  <c r="Y104" i="43" s="1"/>
  <c r="X104" i="43"/>
  <c r="W104" i="43"/>
  <c r="V103" i="43"/>
  <c r="V104" i="43" s="1"/>
  <c r="U103" i="43"/>
  <c r="U104" i="43" s="1"/>
  <c r="T103" i="43"/>
  <c r="T104" i="43" s="1"/>
  <c r="S104" i="43"/>
  <c r="R104" i="43"/>
  <c r="Q104" i="43"/>
  <c r="P103" i="43"/>
  <c r="P104" i="43" s="1"/>
  <c r="O103" i="43"/>
  <c r="O104" i="43" s="1"/>
  <c r="N103" i="43"/>
  <c r="N104" i="43" s="1"/>
  <c r="M103" i="43"/>
  <c r="M104" i="43" s="1"/>
  <c r="L103" i="43"/>
  <c r="L104" i="43" s="1"/>
  <c r="K103" i="43"/>
  <c r="K104" i="43" s="1"/>
  <c r="J103" i="43"/>
  <c r="J104" i="43" s="1"/>
  <c r="I103" i="43"/>
  <c r="I104" i="43" s="1"/>
  <c r="H103" i="43"/>
  <c r="H104" i="43" s="1"/>
  <c r="G103" i="43"/>
  <c r="G104" i="43" s="1"/>
  <c r="H100" i="43"/>
  <c r="AH97" i="43"/>
  <c r="AD97" i="43"/>
  <c r="AC97" i="43"/>
  <c r="AB97" i="43"/>
  <c r="AA97" i="43"/>
  <c r="Z97" i="43"/>
  <c r="Y97" i="43"/>
  <c r="X97" i="43"/>
  <c r="W97" i="43"/>
  <c r="V97" i="43"/>
  <c r="U97" i="43"/>
  <c r="T97" i="43"/>
  <c r="S97" i="43"/>
  <c r="R97" i="43"/>
  <c r="Q97" i="43"/>
  <c r="P97" i="43"/>
  <c r="O97" i="43"/>
  <c r="N97" i="43"/>
  <c r="M97" i="43"/>
  <c r="L97" i="43"/>
  <c r="K97" i="43"/>
  <c r="J97" i="43"/>
  <c r="I97" i="43"/>
  <c r="H97" i="43"/>
  <c r="G97" i="43"/>
  <c r="AH96" i="43"/>
  <c r="AD96" i="43"/>
  <c r="AC96" i="43"/>
  <c r="AB96" i="43"/>
  <c r="AA96" i="43"/>
  <c r="Z96" i="43"/>
  <c r="Y96" i="43"/>
  <c r="X96" i="43"/>
  <c r="W96" i="43"/>
  <c r="V96" i="43"/>
  <c r="U96" i="43"/>
  <c r="T96" i="43"/>
  <c r="S96" i="43"/>
  <c r="R96" i="43"/>
  <c r="Q96" i="43"/>
  <c r="P96" i="43"/>
  <c r="O96" i="43"/>
  <c r="N96" i="43"/>
  <c r="M96" i="43"/>
  <c r="L96" i="43"/>
  <c r="K96" i="43"/>
  <c r="J96" i="43"/>
  <c r="I96" i="43"/>
  <c r="H96" i="43"/>
  <c r="G96" i="43"/>
  <c r="AK93" i="43"/>
  <c r="AK92" i="43"/>
  <c r="AK90" i="43"/>
  <c r="AK89" i="43"/>
  <c r="AH86" i="43"/>
  <c r="AD86" i="43"/>
  <c r="AC86" i="43"/>
  <c r="AB86" i="43"/>
  <c r="AA86" i="43"/>
  <c r="Z86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AH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AH84" i="43"/>
  <c r="AH100" i="43" s="1"/>
  <c r="AD84" i="43"/>
  <c r="AD100" i="43" s="1"/>
  <c r="AC84" i="43"/>
  <c r="AC100" i="43" s="1"/>
  <c r="AB84" i="43"/>
  <c r="AB100" i="43" s="1"/>
  <c r="AA84" i="43"/>
  <c r="AA100" i="43" s="1"/>
  <c r="Z84" i="43"/>
  <c r="Z100" i="43" s="1"/>
  <c r="Y84" i="43"/>
  <c r="Y100" i="43" s="1"/>
  <c r="X84" i="43"/>
  <c r="X100" i="43" s="1"/>
  <c r="W84" i="43"/>
  <c r="W100" i="43" s="1"/>
  <c r="V84" i="43"/>
  <c r="V100" i="43" s="1"/>
  <c r="U84" i="43"/>
  <c r="U100" i="43" s="1"/>
  <c r="T84" i="43"/>
  <c r="T100" i="43" s="1"/>
  <c r="S84" i="43"/>
  <c r="S100" i="43" s="1"/>
  <c r="R84" i="43"/>
  <c r="R100" i="43" s="1"/>
  <c r="Q84" i="43"/>
  <c r="Q100" i="43" s="1"/>
  <c r="P84" i="43"/>
  <c r="P100" i="43" s="1"/>
  <c r="O84" i="43"/>
  <c r="O100" i="43" s="1"/>
  <c r="N84" i="43"/>
  <c r="N100" i="43" s="1"/>
  <c r="M84" i="43"/>
  <c r="M100" i="43" s="1"/>
  <c r="L84" i="43"/>
  <c r="L100" i="43" s="1"/>
  <c r="K84" i="43"/>
  <c r="K100" i="43" s="1"/>
  <c r="J84" i="43"/>
  <c r="J100" i="43" s="1"/>
  <c r="I84" i="43"/>
  <c r="I100" i="43" s="1"/>
  <c r="G84" i="43"/>
  <c r="G100" i="43" s="1"/>
  <c r="AH83" i="43"/>
  <c r="AH99" i="43" s="1"/>
  <c r="AD83" i="43"/>
  <c r="AD99" i="43" s="1"/>
  <c r="AC83" i="43"/>
  <c r="AC99" i="43" s="1"/>
  <c r="AB83" i="43"/>
  <c r="AB99" i="43" s="1"/>
  <c r="AA83" i="43"/>
  <c r="AA99" i="43" s="1"/>
  <c r="Z83" i="43"/>
  <c r="Z99" i="43" s="1"/>
  <c r="Y83" i="43"/>
  <c r="Y99" i="43" s="1"/>
  <c r="X83" i="43"/>
  <c r="X99" i="43" s="1"/>
  <c r="W83" i="43"/>
  <c r="W99" i="43" s="1"/>
  <c r="V83" i="43"/>
  <c r="V99" i="43" s="1"/>
  <c r="U83" i="43"/>
  <c r="U99" i="43" s="1"/>
  <c r="T83" i="43"/>
  <c r="T99" i="43" s="1"/>
  <c r="S83" i="43"/>
  <c r="S99" i="43" s="1"/>
  <c r="R83" i="43"/>
  <c r="R99" i="43" s="1"/>
  <c r="Q83" i="43"/>
  <c r="Q99" i="43" s="1"/>
  <c r="P83" i="43"/>
  <c r="P99" i="43" s="1"/>
  <c r="O83" i="43"/>
  <c r="O99" i="43" s="1"/>
  <c r="N83" i="43"/>
  <c r="N99" i="43" s="1"/>
  <c r="M83" i="43"/>
  <c r="M99" i="43" s="1"/>
  <c r="L83" i="43"/>
  <c r="L99" i="43" s="1"/>
  <c r="K83" i="43"/>
  <c r="K99" i="43" s="1"/>
  <c r="J83" i="43"/>
  <c r="J99" i="43" s="1"/>
  <c r="I83" i="43"/>
  <c r="I99" i="43" s="1"/>
  <c r="H83" i="43"/>
  <c r="H99" i="43" s="1"/>
  <c r="G83" i="43"/>
  <c r="G99" i="43" s="1"/>
  <c r="AK81" i="43"/>
  <c r="AK84" i="43" s="1"/>
  <c r="AK80" i="43"/>
  <c r="AK83" i="43" s="1"/>
  <c r="AK78" i="43"/>
  <c r="AH76" i="43"/>
  <c r="AH77" i="43" s="1"/>
  <c r="AD76" i="43"/>
  <c r="AD77" i="43" s="1"/>
  <c r="AC76" i="43"/>
  <c r="AC77" i="43" s="1"/>
  <c r="AB76" i="43"/>
  <c r="AB77" i="43" s="1"/>
  <c r="AA76" i="43"/>
  <c r="AA77" i="43" s="1"/>
  <c r="Z76" i="43"/>
  <c r="Z77" i="43" s="1"/>
  <c r="Y76" i="43"/>
  <c r="Y77" i="43" s="1"/>
  <c r="X76" i="43"/>
  <c r="X77" i="43" s="1"/>
  <c r="W76" i="43"/>
  <c r="W77" i="43" s="1"/>
  <c r="V76" i="43"/>
  <c r="V77" i="43" s="1"/>
  <c r="U76" i="43"/>
  <c r="U77" i="43" s="1"/>
  <c r="T76" i="43"/>
  <c r="T77" i="43" s="1"/>
  <c r="S76" i="43"/>
  <c r="S77" i="43" s="1"/>
  <c r="R76" i="43"/>
  <c r="R77" i="43" s="1"/>
  <c r="Q76" i="43"/>
  <c r="Q77" i="43" s="1"/>
  <c r="P76" i="43"/>
  <c r="P77" i="43" s="1"/>
  <c r="O76" i="43"/>
  <c r="O77" i="43" s="1"/>
  <c r="N76" i="43"/>
  <c r="N77" i="43" s="1"/>
  <c r="M76" i="43"/>
  <c r="M77" i="43" s="1"/>
  <c r="L76" i="43"/>
  <c r="L77" i="43" s="1"/>
  <c r="K76" i="43"/>
  <c r="K77" i="43" s="1"/>
  <c r="J76" i="43"/>
  <c r="J77" i="43" s="1"/>
  <c r="I76" i="43"/>
  <c r="I77" i="43" s="1"/>
  <c r="H76" i="43"/>
  <c r="H77" i="43" s="1"/>
  <c r="G76" i="43"/>
  <c r="G77" i="43" s="1"/>
  <c r="F76" i="43"/>
  <c r="F77" i="43" s="1"/>
  <c r="AH72" i="43"/>
  <c r="AD72" i="43"/>
  <c r="AC72" i="43"/>
  <c r="AB72" i="43"/>
  <c r="AA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M72" i="43"/>
  <c r="L72" i="43"/>
  <c r="K72" i="43"/>
  <c r="J72" i="43"/>
  <c r="I72" i="43"/>
  <c r="H72" i="43"/>
  <c r="G72" i="43"/>
  <c r="F72" i="43"/>
  <c r="N70" i="43"/>
  <c r="I70" i="43"/>
  <c r="G70" i="43"/>
  <c r="S69" i="43"/>
  <c r="Q69" i="43"/>
  <c r="N69" i="43"/>
  <c r="L69" i="43"/>
  <c r="K69" i="43"/>
  <c r="J69" i="43"/>
  <c r="I69" i="43"/>
  <c r="H69" i="43"/>
  <c r="G69" i="43"/>
  <c r="AH67" i="43"/>
  <c r="AD67" i="43"/>
  <c r="AC67" i="43"/>
  <c r="AA67" i="43"/>
  <c r="Z67" i="43"/>
  <c r="Y67" i="43"/>
  <c r="X67" i="43"/>
  <c r="T67" i="43"/>
  <c r="S67" i="43"/>
  <c r="R67" i="43"/>
  <c r="Q67" i="43"/>
  <c r="P67" i="43"/>
  <c r="O67" i="43"/>
  <c r="L67" i="43"/>
  <c r="K67" i="43"/>
  <c r="J67" i="43"/>
  <c r="I67" i="43"/>
  <c r="H67" i="43"/>
  <c r="G67" i="43"/>
  <c r="AK66" i="43"/>
  <c r="SB66" i="43" s="1"/>
  <c r="SB67" i="43" s="1"/>
  <c r="SB69" i="43" s="1"/>
  <c r="S65" i="43"/>
  <c r="Q65" i="43"/>
  <c r="L65" i="43"/>
  <c r="K65" i="43"/>
  <c r="J65" i="43"/>
  <c r="I65" i="43"/>
  <c r="H65" i="43"/>
  <c r="G65" i="43"/>
  <c r="AH62" i="43"/>
  <c r="AD62" i="43"/>
  <c r="AC62" i="43"/>
  <c r="AB62" i="43"/>
  <c r="AA62" i="43"/>
  <c r="Z62" i="43"/>
  <c r="Y62" i="43"/>
  <c r="V62" i="43"/>
  <c r="U62" i="43"/>
  <c r="T62" i="43"/>
  <c r="S62" i="43"/>
  <c r="R62" i="43"/>
  <c r="Q62" i="43"/>
  <c r="P62" i="43"/>
  <c r="O62" i="43"/>
  <c r="N62" i="43"/>
  <c r="M62" i="43"/>
  <c r="L62" i="43"/>
  <c r="K62" i="43"/>
  <c r="J62" i="43"/>
  <c r="I62" i="43"/>
  <c r="H62" i="43"/>
  <c r="AH61" i="43"/>
  <c r="AD61" i="43"/>
  <c r="AC61" i="43"/>
  <c r="AB61" i="43"/>
  <c r="AA61" i="43"/>
  <c r="Z61" i="43"/>
  <c r="Y61" i="43"/>
  <c r="U61" i="43"/>
  <c r="T61" i="43"/>
  <c r="S61" i="43"/>
  <c r="R61" i="43"/>
  <c r="Q61" i="43"/>
  <c r="P61" i="43"/>
  <c r="O61" i="43"/>
  <c r="N61" i="43"/>
  <c r="M61" i="43"/>
  <c r="L61" i="43"/>
  <c r="K61" i="43"/>
  <c r="J61" i="43"/>
  <c r="I61" i="43"/>
  <c r="H61" i="43"/>
  <c r="AH60" i="43"/>
  <c r="AD60" i="43"/>
  <c r="AC60" i="43"/>
  <c r="AB60" i="43"/>
  <c r="AA60" i="43"/>
  <c r="Z60" i="43"/>
  <c r="Y60" i="43"/>
  <c r="W60" i="43"/>
  <c r="V60" i="43"/>
  <c r="U60" i="43"/>
  <c r="T60" i="43"/>
  <c r="S60" i="43"/>
  <c r="R60" i="43"/>
  <c r="Q60" i="43"/>
  <c r="P60" i="43"/>
  <c r="AH59" i="43"/>
  <c r="AD59" i="43"/>
  <c r="AC59" i="43"/>
  <c r="AB59" i="43"/>
  <c r="AA59" i="43"/>
  <c r="Z59" i="43"/>
  <c r="Y59" i="43"/>
  <c r="W59" i="43"/>
  <c r="V59" i="43"/>
  <c r="U59" i="43"/>
  <c r="T59" i="43"/>
  <c r="S59" i="43"/>
  <c r="R59" i="43"/>
  <c r="Q59" i="43"/>
  <c r="P59" i="43"/>
  <c r="F58" i="43"/>
  <c r="V57" i="43"/>
  <c r="I56" i="43"/>
  <c r="G56" i="43"/>
  <c r="N55" i="43"/>
  <c r="I55" i="43"/>
  <c r="G55" i="43"/>
  <c r="AK51" i="43"/>
  <c r="V61" i="43"/>
  <c r="AK47" i="43"/>
  <c r="AK46" i="43"/>
  <c r="X60" i="43"/>
  <c r="N60" i="43"/>
  <c r="J60" i="43"/>
  <c r="F59" i="43"/>
  <c r="AK44" i="43"/>
  <c r="N67" i="43"/>
  <c r="S57" i="43"/>
  <c r="I57" i="43"/>
  <c r="AD58" i="43"/>
  <c r="T58" i="43"/>
  <c r="P58" i="43"/>
  <c r="K58" i="43"/>
  <c r="V58" i="43"/>
  <c r="Q58" i="43"/>
  <c r="F57" i="43"/>
  <c r="AH56" i="43"/>
  <c r="AA56" i="43"/>
  <c r="W56" i="43"/>
  <c r="S56" i="43"/>
  <c r="R56" i="43"/>
  <c r="Q56" i="43"/>
  <c r="N56" i="43"/>
  <c r="L56" i="43"/>
  <c r="K56" i="43"/>
  <c r="H56" i="43"/>
  <c r="D38" i="43"/>
  <c r="Z70" i="43"/>
  <c r="V70" i="43"/>
  <c r="J70" i="43"/>
  <c r="AK32" i="43"/>
  <c r="AK70" i="43" s="1"/>
  <c r="AH65" i="43"/>
  <c r="X69" i="43"/>
  <c r="W65" i="43"/>
  <c r="T69" i="43"/>
  <c r="O69" i="43"/>
  <c r="AH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K21" i="43"/>
  <c r="AK20" i="43"/>
  <c r="AH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K17" i="43"/>
  <c r="AK16" i="43"/>
  <c r="AH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K9" i="43"/>
  <c r="AK8" i="43"/>
  <c r="AM183" i="43" l="1"/>
  <c r="AM184" i="43" s="1"/>
  <c r="AM185" i="43" s="1"/>
  <c r="AK27" i="43"/>
  <c r="AA125" i="43"/>
  <c r="AB125" i="43"/>
  <c r="AC125" i="43"/>
  <c r="V125" i="43"/>
  <c r="AH125" i="43"/>
  <c r="Z125" i="43"/>
  <c r="X125" i="43"/>
  <c r="Y125" i="43"/>
  <c r="F56" i="43"/>
  <c r="F55" i="43"/>
  <c r="F69" i="43"/>
  <c r="U125" i="43"/>
  <c r="F65" i="43"/>
  <c r="S125" i="43"/>
  <c r="T125" i="43"/>
  <c r="F70" i="43"/>
  <c r="Q125" i="43"/>
  <c r="R125" i="43"/>
  <c r="J125" i="43"/>
  <c r="N125" i="43"/>
  <c r="G125" i="43"/>
  <c r="O125" i="43"/>
  <c r="H125" i="43"/>
  <c r="M125" i="43"/>
  <c r="G62" i="43"/>
  <c r="I150" i="43"/>
  <c r="AK149" i="43"/>
  <c r="AO76" i="43" s="1"/>
  <c r="AK122" i="43"/>
  <c r="AK18" i="43"/>
  <c r="AK195" i="43"/>
  <c r="AK123" i="43"/>
  <c r="AK103" i="43"/>
  <c r="F62" i="43"/>
  <c r="AK22" i="43"/>
  <c r="AM177" i="43"/>
  <c r="F60" i="43"/>
  <c r="AK41" i="43"/>
  <c r="EC41" i="43" s="1"/>
  <c r="AK53" i="43"/>
  <c r="EC53" i="43" s="1"/>
  <c r="AK86" i="43"/>
  <c r="AK96" i="43"/>
  <c r="AK159" i="43"/>
  <c r="AK160" i="43"/>
  <c r="AK170" i="43"/>
  <c r="AK200" i="43"/>
  <c r="AK207" i="43"/>
  <c r="Z56" i="43"/>
  <c r="AD56" i="43"/>
  <c r="Z57" i="43"/>
  <c r="J58" i="43"/>
  <c r="N58" i="43"/>
  <c r="AA69" i="43"/>
  <c r="AK97" i="43"/>
  <c r="AK111" i="43"/>
  <c r="AK112" i="43"/>
  <c r="AK126" i="43"/>
  <c r="AK171" i="43"/>
  <c r="AK187" i="43"/>
  <c r="AK188" i="43" s="1"/>
  <c r="AK214" i="43"/>
  <c r="V69" i="43"/>
  <c r="Z69" i="43"/>
  <c r="Z65" i="43"/>
  <c r="AD69" i="43"/>
  <c r="AD65" i="43"/>
  <c r="X58" i="43"/>
  <c r="K60" i="43"/>
  <c r="K59" i="43"/>
  <c r="AK77" i="43"/>
  <c r="AM199" i="43"/>
  <c r="R69" i="43"/>
  <c r="IX69" i="43" s="1"/>
  <c r="R65" i="43"/>
  <c r="IX65" i="43" s="1"/>
  <c r="H70" i="43"/>
  <c r="H55" i="43"/>
  <c r="M55" i="43"/>
  <c r="S70" i="43"/>
  <c r="S55" i="43"/>
  <c r="X70" i="43"/>
  <c r="X55" i="43"/>
  <c r="AB70" i="43"/>
  <c r="AB55" i="43"/>
  <c r="M56" i="43"/>
  <c r="X56" i="43"/>
  <c r="AB56" i="43"/>
  <c r="K57" i="43"/>
  <c r="O57" i="43"/>
  <c r="T57" i="43"/>
  <c r="AH57" i="43"/>
  <c r="L58" i="43"/>
  <c r="H60" i="43"/>
  <c r="H59" i="43"/>
  <c r="L60" i="43"/>
  <c r="L59" i="43"/>
  <c r="O60" i="43"/>
  <c r="AK52" i="43"/>
  <c r="EC52" i="43" s="1"/>
  <c r="X61" i="43"/>
  <c r="R55" i="43"/>
  <c r="J56" i="43"/>
  <c r="J57" i="43"/>
  <c r="J59" i="43"/>
  <c r="AH69" i="43"/>
  <c r="R70" i="43"/>
  <c r="L70" i="43"/>
  <c r="L55" i="43"/>
  <c r="Q70" i="43"/>
  <c r="Q55" i="43"/>
  <c r="W70" i="43"/>
  <c r="AA70" i="43"/>
  <c r="AA55" i="43"/>
  <c r="AH70" i="43"/>
  <c r="AH55" i="43"/>
  <c r="G58" i="43"/>
  <c r="G57" i="43"/>
  <c r="W58" i="43"/>
  <c r="W57" i="43"/>
  <c r="G60" i="43"/>
  <c r="G59" i="43"/>
  <c r="V56" i="43"/>
  <c r="AD70" i="43"/>
  <c r="M69" i="43"/>
  <c r="M65" i="43"/>
  <c r="O70" i="43"/>
  <c r="O55" i="43"/>
  <c r="T70" i="43"/>
  <c r="T55" i="43"/>
  <c r="Y70" i="43"/>
  <c r="Y55" i="43"/>
  <c r="AC70" i="43"/>
  <c r="AC55" i="43"/>
  <c r="T56" i="43"/>
  <c r="Y56" i="43"/>
  <c r="AC56" i="43"/>
  <c r="Y58" i="43"/>
  <c r="AC58" i="43"/>
  <c r="L57" i="43"/>
  <c r="P57" i="43"/>
  <c r="U57" i="43"/>
  <c r="AB57" i="43"/>
  <c r="H58" i="43"/>
  <c r="M58" i="43"/>
  <c r="S58" i="43"/>
  <c r="AH58" i="43"/>
  <c r="AK42" i="43"/>
  <c r="EC42" i="43" s="1"/>
  <c r="I60" i="43"/>
  <c r="I59" i="43"/>
  <c r="M60" i="43"/>
  <c r="M59" i="43"/>
  <c r="O59" i="43"/>
  <c r="V55" i="43"/>
  <c r="N57" i="43"/>
  <c r="AD57" i="43"/>
  <c r="N59" i="43"/>
  <c r="T65" i="43"/>
  <c r="U67" i="43"/>
  <c r="P56" i="43"/>
  <c r="P69" i="43"/>
  <c r="AA58" i="43"/>
  <c r="AA57" i="43"/>
  <c r="O58" i="43"/>
  <c r="AD55" i="43"/>
  <c r="AK10" i="43"/>
  <c r="O65" i="43"/>
  <c r="O56" i="43"/>
  <c r="U70" i="43"/>
  <c r="U56" i="43"/>
  <c r="U55" i="43"/>
  <c r="U69" i="43"/>
  <c r="U65" i="43"/>
  <c r="Y69" i="43"/>
  <c r="Y65" i="43"/>
  <c r="AC69" i="43"/>
  <c r="AC65" i="43"/>
  <c r="K70" i="43"/>
  <c r="K55" i="43"/>
  <c r="P70" i="43"/>
  <c r="P55" i="43"/>
  <c r="R58" i="43"/>
  <c r="H57" i="43"/>
  <c r="M57" i="43"/>
  <c r="Q57" i="43"/>
  <c r="X57" i="43"/>
  <c r="I58" i="43"/>
  <c r="U58" i="43"/>
  <c r="AB58" i="43"/>
  <c r="AK45" i="43"/>
  <c r="AK59" i="43" s="1"/>
  <c r="X59" i="43"/>
  <c r="J55" i="43"/>
  <c r="Z55" i="43"/>
  <c r="N65" i="43"/>
  <c r="N72" i="43"/>
  <c r="AK64" i="43"/>
  <c r="AK65" i="43" s="1"/>
  <c r="AM65" i="43" s="1"/>
  <c r="P65" i="43"/>
  <c r="X65" i="43"/>
  <c r="W69" i="43"/>
  <c r="W61" i="43"/>
  <c r="W62" i="43"/>
  <c r="AK173" i="43"/>
  <c r="AK76" i="43"/>
  <c r="AK85" i="43"/>
  <c r="AK99" i="43"/>
  <c r="AK104" i="43"/>
  <c r="AK174" i="43"/>
  <c r="AK100" i="43"/>
  <c r="F150" i="43"/>
  <c r="F188" i="43"/>
  <c r="AO75" i="43" l="1"/>
  <c r="CK75" i="43" s="1"/>
  <c r="CK76" i="43"/>
  <c r="AK72" i="43"/>
  <c r="EC38" i="43"/>
  <c r="AN38" i="43"/>
  <c r="AN41" i="43" s="1"/>
  <c r="EC37" i="43"/>
  <c r="AN37" i="43"/>
  <c r="AN40" i="43" s="1"/>
  <c r="AM27" i="43"/>
  <c r="AK118" i="43"/>
  <c r="AK125" i="43" s="1"/>
  <c r="AK150" i="43"/>
  <c r="AK148" i="43" s="1"/>
  <c r="K125" i="43"/>
  <c r="AK102" i="43"/>
  <c r="AM69" i="43"/>
  <c r="Y57" i="43"/>
  <c r="AK50" i="43"/>
  <c r="AK62" i="43" s="1"/>
  <c r="AK60" i="43"/>
  <c r="R57" i="43"/>
  <c r="X62" i="43"/>
  <c r="AK40" i="43"/>
  <c r="Z58" i="43"/>
  <c r="V65" i="43"/>
  <c r="AK67" i="43"/>
  <c r="AK55" i="43"/>
  <c r="AC57" i="43"/>
  <c r="AK56" i="43"/>
  <c r="RZ33" i="43" l="1"/>
  <c r="RZ35" i="43" s="1"/>
  <c r="RZ36" i="43" s="1"/>
  <c r="AM67" i="43"/>
  <c r="AN42" i="43"/>
  <c r="AO42" i="43"/>
  <c r="AK58" i="43"/>
  <c r="AK57" i="43"/>
  <c r="AK61" i="43"/>
  <c r="AO37" i="43"/>
  <c r="RZ38" i="43" l="1"/>
  <c r="AO43" i="43"/>
  <c r="AO46" i="43"/>
  <c r="AO48" i="43" s="1"/>
  <c r="S180" i="43"/>
  <c r="AK180" i="43" s="1"/>
  <c r="AK181" i="43" l="1"/>
</calcChain>
</file>

<file path=xl/sharedStrings.xml><?xml version="1.0" encoding="utf-8"?>
<sst xmlns="http://schemas.openxmlformats.org/spreadsheetml/2006/main" count="962" uniqueCount="180">
  <si>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</si>
  <si>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</si>
  <si>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</si>
  <si>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</si>
  <si>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</si>
  <si>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</si>
  <si>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</si>
  <si>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</si>
  <si>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</si>
  <si>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</si>
  <si>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</si>
  <si>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</si>
  <si>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</si>
  <si>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</si>
  <si>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</si>
  <si>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</si>
  <si>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</si>
  <si>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</si>
  <si>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</si>
  <si>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</si>
  <si>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</si>
  <si>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</si>
  <si>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</si>
  <si>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</si>
  <si>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</si>
  <si>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</si>
  <si>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</si>
  <si>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</si>
  <si>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</si>
  <si>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</si>
  <si>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</si>
  <si>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</si>
  <si>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</si>
  <si>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</si>
  <si>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</si>
  <si>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</si>
  <si>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</si>
  <si>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</si>
  <si>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</si>
  <si>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</si>
  <si>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</si>
  <si>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</si>
  <si>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</si>
  <si>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</si>
  <si>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</si>
  <si>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</si>
  <si>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</si>
  <si>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</si>
  <si>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</si>
  <si>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</si>
  <si>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</si>
  <si>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</si>
  <si>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</si>
  <si>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</si>
  <si>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</si>
  <si>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</si>
  <si>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</si>
  <si>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</si>
  <si>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</si>
  <si>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</si>
  <si>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</si>
  <si>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</si>
  <si>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</si>
  <si>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</si>
  <si>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</si>
  <si>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</si>
  <si>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</si>
  <si>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</si>
  <si>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</si>
  <si>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</si>
  <si>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</si>
  <si>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</si>
  <si>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</si>
  <si>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</si>
  <si>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</si>
  <si>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</si>
  <si>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</si>
  <si>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</si>
  <si>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</si>
  <si>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</si>
  <si>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</si>
  <si>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</si>
  <si>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</si>
  <si>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</si>
  <si>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</si>
  <si>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</si>
  <si>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</si>
  <si>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</si>
  <si>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</si>
  <si>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</si>
  <si>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</si>
  <si>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</si>
  <si>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</si>
  <si>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</si>
  <si>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</si>
  <si>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</si>
  <si>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</si>
  <si>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</si>
  <si>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</si>
  <si>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</si>
  <si>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</si>
  <si>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</si>
  <si>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</si>
  <si>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</si>
  <si>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</si>
  <si>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</si>
  <si>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</si>
  <si>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</si>
  <si>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</si>
  <si>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</si>
  <si>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</si>
  <si>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</si>
  <si>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</si>
  <si>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</si>
  <si>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</si>
  <si>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</si>
  <si>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</si>
  <si>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</si>
  <si>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</si>
  <si>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</si>
  <si>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</si>
  <si>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 xml:space="preserve">INL 1800 mL </t>
  </si>
  <si>
    <t>Inc. CPO Piping Line -PKS Sei Mangkei</t>
  </si>
  <si>
    <t>Inc. CPO Piping Line -Dryport</t>
  </si>
  <si>
    <t>Inc. CPO Tolling UOI</t>
  </si>
  <si>
    <t>Basic Salary</t>
  </si>
  <si>
    <t>Tunjangan Jabatan</t>
  </si>
  <si>
    <t>Tunjangan Kinerja</t>
  </si>
  <si>
    <t>Tunjangan Keahlian</t>
  </si>
  <si>
    <t>Tunjangan Kehadiran</t>
  </si>
  <si>
    <t>Kenaikan Gaji</t>
  </si>
  <si>
    <t>Premi JHT</t>
  </si>
  <si>
    <t>Premi JKK</t>
  </si>
  <si>
    <t>Premi JKM</t>
  </si>
  <si>
    <t>Premi JP</t>
  </si>
  <si>
    <t>Koperasi</t>
  </si>
  <si>
    <t>CPO Olah</t>
  </si>
  <si>
    <t>Steam Ref</t>
  </si>
  <si>
    <t>Kg/MT</t>
  </si>
  <si>
    <t xml:space="preserve">HP Boiler </t>
  </si>
  <si>
    <t>Agustus</t>
  </si>
  <si>
    <t>Oktober</t>
  </si>
  <si>
    <t>Items</t>
  </si>
  <si>
    <t>Maret 2022</t>
  </si>
  <si>
    <t>Tahun 2021</t>
  </si>
  <si>
    <t>Tahun 2022</t>
  </si>
  <si>
    <t xml:space="preserve">CPO Olah </t>
  </si>
  <si>
    <t>in Kg</t>
  </si>
  <si>
    <t>in MT</t>
  </si>
  <si>
    <t xml:space="preserve">Tanggal </t>
  </si>
  <si>
    <t>Periode Maret Tahun 2022</t>
  </si>
  <si>
    <t>RBDPO Olah</t>
  </si>
  <si>
    <t>INL 900 ml</t>
  </si>
  <si>
    <t>MT CPO</t>
  </si>
  <si>
    <t>MT RBDPO Brand</t>
  </si>
  <si>
    <t>Total CPO Brand</t>
  </si>
  <si>
    <t>Total BE Brand</t>
  </si>
  <si>
    <t>Kg/MT CPO</t>
  </si>
  <si>
    <t>Over (Kg/MT)</t>
  </si>
  <si>
    <t>Budget (Kg/MT)</t>
  </si>
  <si>
    <t>JUNI</t>
  </si>
  <si>
    <t>Poram</t>
  </si>
  <si>
    <t>Salvaco 1L</t>
  </si>
  <si>
    <t>Salvaco 2L</t>
  </si>
  <si>
    <t>PACKAGING (Brand INL Standing Pouch)</t>
  </si>
  <si>
    <t>INL SP 1,8 L</t>
  </si>
  <si>
    <t xml:space="preserve">INL SP 900 mL  </t>
  </si>
  <si>
    <t>Tanggal 1 s.d 13</t>
  </si>
  <si>
    <t>Tanggal 1 s.d 14</t>
  </si>
  <si>
    <t>Tanggal 1 s.d 15</t>
  </si>
  <si>
    <t>Gain 0,38%</t>
  </si>
  <si>
    <t>Loss 0,69 %</t>
  </si>
  <si>
    <t>Loss 0,15%</t>
  </si>
  <si>
    <t>Only Refinery Product</t>
  </si>
  <si>
    <t>Juni</t>
  </si>
  <si>
    <t>Product OIP</t>
  </si>
  <si>
    <t>Sisa Product OIP</t>
  </si>
  <si>
    <t>Olein Filling to Packaging</t>
  </si>
  <si>
    <t>14 Juni</t>
  </si>
  <si>
    <t>15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</si>
</sst>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-* #,##0_-;\-* #,##0_-;_-* &quot;-&quot;??_-;_-@_-"/>
    <numFmt numFmtId="180" formatCode="_-* #,##0.0000_-;\-* #,##0.0000_-;_-* &quot;-&quot;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380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2" borderId="0" xfId="0" applyFont="1" applyFill="1"/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7" fillId="0" borderId="6" xfId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166" fontId="7" fillId="0" borderId="4" xfId="1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164" fontId="3" fillId="3" borderId="9" xfId="1" applyNumberFormat="1" applyFont="1" applyFill="1" applyBorder="1"/>
    <xf numFmtId="0" fontId="5" fillId="0" borderId="4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164" fontId="3" fillId="0" borderId="9" xfId="1" applyNumberFormat="1" applyFont="1" applyFill="1" applyBorder="1"/>
    <xf numFmtId="164" fontId="3" fillId="0" borderId="4" xfId="1" applyNumberFormat="1" applyFont="1" applyFill="1" applyBorder="1"/>
    <xf numFmtId="0" fontId="3" fillId="6" borderId="4" xfId="0" applyFont="1" applyFill="1" applyBorder="1"/>
    <xf numFmtId="164" fontId="3" fillId="5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6" borderId="4" xfId="1" applyNumberFormat="1" applyFont="1" applyFill="1" applyBorder="1"/>
    <xf numFmtId="0" fontId="9" fillId="0" borderId="4" xfId="0" applyFont="1" applyBorder="1" applyAlignment="1">
      <alignment horizontal="center"/>
    </xf>
    <xf numFmtId="166" fontId="4" fillId="5" borderId="4" xfId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68" fontId="3" fillId="0" borderId="4" xfId="2" applyNumberFormat="1" applyFont="1" applyFill="1" applyBorder="1"/>
    <xf numFmtId="166" fontId="3" fillId="5" borderId="4" xfId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6" fontId="3" fillId="5" borderId="4" xfId="1" applyFont="1" applyFill="1" applyBorder="1" applyAlignment="1">
      <alignment horizontal="right"/>
    </xf>
    <xf numFmtId="168" fontId="4" fillId="0" borderId="4" xfId="2" applyNumberFormat="1" applyFont="1" applyFill="1" applyBorder="1"/>
    <xf numFmtId="0" fontId="10" fillId="2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0" borderId="9" xfId="0" applyFont="1" applyBorder="1"/>
    <xf numFmtId="0" fontId="11" fillId="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" borderId="4" xfId="0" applyFont="1" applyFill="1" applyBorder="1"/>
    <xf numFmtId="166" fontId="3" fillId="0" borderId="4" xfId="1" applyFont="1" applyFill="1" applyBorder="1"/>
    <xf numFmtId="0" fontId="3" fillId="0" borderId="4" xfId="0" applyFont="1" applyBorder="1"/>
    <xf numFmtId="166" fontId="3" fillId="5" borderId="10" xfId="1" applyFont="1" applyFill="1" applyBorder="1" applyAlignment="1">
      <alignment horizontal="center"/>
    </xf>
    <xf numFmtId="164" fontId="3" fillId="0" borderId="10" xfId="1" applyNumberFormat="1" applyFont="1" applyFill="1" applyBorder="1"/>
    <xf numFmtId="0" fontId="3" fillId="0" borderId="11" xfId="0" applyFont="1" applyBorder="1"/>
    <xf numFmtId="0" fontId="3" fillId="5" borderId="11" xfId="0" applyFont="1" applyFill="1" applyBorder="1" applyAlignment="1">
      <alignment horizontal="center"/>
    </xf>
    <xf numFmtId="166" fontId="3" fillId="0" borderId="11" xfId="1" applyFont="1" applyFill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69" fontId="3" fillId="0" borderId="4" xfId="1" applyNumberFormat="1" applyFont="1" applyFill="1" applyBorder="1"/>
    <xf numFmtId="0" fontId="5" fillId="2" borderId="9" xfId="0" applyFont="1" applyFill="1" applyBorder="1" applyAlignment="1">
      <alignment horizontal="center"/>
    </xf>
    <xf numFmtId="170" fontId="3" fillId="5" borderId="9" xfId="1" applyNumberFormat="1" applyFont="1" applyFill="1" applyBorder="1" applyAlignment="1">
      <alignment horizontal="center"/>
    </xf>
    <xf numFmtId="166" fontId="12" fillId="0" borderId="9" xfId="1" applyFont="1" applyFill="1" applyBorder="1"/>
    <xf numFmtId="171" fontId="3" fillId="5" borderId="4" xfId="1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7" fontId="3" fillId="0" borderId="9" xfId="1" applyNumberFormat="1" applyFont="1" applyFill="1" applyBorder="1"/>
    <xf numFmtId="164" fontId="5" fillId="0" borderId="9" xfId="1" applyNumberFormat="1" applyFont="1" applyFill="1" applyBorder="1"/>
    <xf numFmtId="164" fontId="5" fillId="2" borderId="9" xfId="1" applyNumberFormat="1" applyFont="1" applyFill="1" applyBorder="1"/>
    <xf numFmtId="164" fontId="3" fillId="0" borderId="12" xfId="1" applyNumberFormat="1" applyFont="1" applyFill="1" applyBorder="1"/>
    <xf numFmtId="164" fontId="3" fillId="3" borderId="9" xfId="1" applyNumberFormat="1" applyFont="1" applyFill="1" applyBorder="1" applyAlignment="1">
      <alignment horizontal="right" vertical="center"/>
    </xf>
    <xf numFmtId="164" fontId="5" fillId="0" borderId="9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 vertical="center"/>
    </xf>
    <xf numFmtId="169" fontId="4" fillId="0" borderId="4" xfId="1" applyNumberFormat="1" applyFont="1" applyFill="1" applyBorder="1"/>
    <xf numFmtId="164" fontId="3" fillId="0" borderId="0" xfId="0" applyNumberFormat="1" applyFont="1"/>
    <xf numFmtId="0" fontId="14" fillId="3" borderId="15" xfId="0" applyFont="1" applyFill="1" applyBorder="1" applyAlignment="1">
      <alignment vertical="center"/>
    </xf>
    <xf numFmtId="164" fontId="3" fillId="0" borderId="15" xfId="1" applyNumberFormat="1" applyFont="1" applyBorder="1"/>
    <xf numFmtId="172" fontId="15" fillId="0" borderId="15" xfId="0" applyNumberFormat="1" applyFont="1" applyBorder="1"/>
    <xf numFmtId="0" fontId="14" fillId="3" borderId="16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5" xfId="0" applyNumberFormat="1" applyFont="1" applyBorder="1"/>
    <xf numFmtId="164" fontId="5" fillId="0" borderId="17" xfId="1" applyNumberFormat="1" applyFont="1" applyBorder="1" applyAlignment="1">
      <alignment vertical="center"/>
    </xf>
    <xf numFmtId="0" fontId="10" fillId="0" borderId="15" xfId="0" applyFont="1" applyBorder="1"/>
    <xf numFmtId="164" fontId="3" fillId="0" borderId="15" xfId="0" applyNumberFormat="1" applyFont="1" applyBorder="1"/>
    <xf numFmtId="0" fontId="16" fillId="0" borderId="0" xfId="0" applyFont="1"/>
    <xf numFmtId="164" fontId="3" fillId="0" borderId="0" xfId="1" applyNumberFormat="1" applyFont="1" applyFill="1"/>
    <xf numFmtId="166" fontId="3" fillId="0" borderId="15" xfId="0" applyNumberFormat="1" applyFont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5" xfId="0" applyNumberFormat="1" applyFont="1" applyBorder="1"/>
    <xf numFmtId="164" fontId="10" fillId="0" borderId="15" xfId="0" applyNumberFormat="1" applyFont="1" applyBorder="1"/>
    <xf numFmtId="0" fontId="16" fillId="0" borderId="0" xfId="0" applyFont="1" applyAlignment="1">
      <alignment vertical="center"/>
    </xf>
    <xf numFmtId="164" fontId="3" fillId="0" borderId="15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5" xfId="1" applyNumberFormat="1" applyFont="1" applyBorder="1" applyAlignment="1">
      <alignment vertical="center"/>
    </xf>
    <xf numFmtId="0" fontId="5" fillId="3" borderId="16" xfId="0" applyFont="1" applyFill="1" applyBorder="1"/>
    <xf numFmtId="166" fontId="3" fillId="0" borderId="15" xfId="1" applyFont="1" applyBorder="1"/>
    <xf numFmtId="166" fontId="3" fillId="0" borderId="0" xfId="1" applyFont="1" applyFill="1" applyBorder="1"/>
    <xf numFmtId="164" fontId="3" fillId="0" borderId="18" xfId="0" applyNumberFormat="1" applyFont="1" applyBorder="1"/>
    <xf numFmtId="166" fontId="3" fillId="0" borderId="19" xfId="1" applyFont="1" applyBorder="1"/>
    <xf numFmtId="169" fontId="3" fillId="0" borderId="15" xfId="1" applyNumberFormat="1" applyFont="1" applyBorder="1"/>
    <xf numFmtId="0" fontId="12" fillId="2" borderId="0" xfId="0" applyFont="1" applyFill="1"/>
    <xf numFmtId="166" fontId="12" fillId="0" borderId="16" xfId="1" applyFont="1" applyFill="1" applyBorder="1"/>
    <xf numFmtId="164" fontId="3" fillId="2" borderId="0" xfId="1" applyNumberFormat="1" applyFont="1" applyFill="1"/>
    <xf numFmtId="166" fontId="3" fillId="2" borderId="15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/>
    <xf numFmtId="0" fontId="5" fillId="5" borderId="4" xfId="0" applyFont="1" applyFill="1" applyBorder="1" applyAlignment="1">
      <alignment horizontal="center"/>
    </xf>
    <xf numFmtId="166" fontId="5" fillId="0" borderId="4" xfId="1" applyFont="1" applyFill="1" applyBorder="1"/>
    <xf numFmtId="164" fontId="3" fillId="0" borderId="4" xfId="1" applyNumberFormat="1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center"/>
    </xf>
    <xf numFmtId="170" fontId="3" fillId="5" borderId="4" xfId="1" applyNumberFormat="1" applyFont="1" applyFill="1" applyBorder="1" applyAlignment="1">
      <alignment horizontal="center"/>
    </xf>
    <xf numFmtId="173" fontId="3" fillId="0" borderId="4" xfId="1" applyNumberFormat="1" applyFont="1" applyFill="1" applyBorder="1"/>
    <xf numFmtId="164" fontId="3" fillId="0" borderId="4" xfId="1" applyNumberFormat="1" applyFont="1" applyBorder="1"/>
    <xf numFmtId="174" fontId="13" fillId="0" borderId="4" xfId="1" applyNumberFormat="1" applyFont="1" applyFill="1" applyBorder="1"/>
    <xf numFmtId="175" fontId="3" fillId="0" borderId="4" xfId="1" applyNumberFormat="1" applyFont="1" applyFill="1" applyBorder="1"/>
    <xf numFmtId="174" fontId="3" fillId="0" borderId="4" xfId="1" applyNumberFormat="1" applyFont="1" applyFill="1" applyBorder="1"/>
    <xf numFmtId="164" fontId="5" fillId="0" borderId="0" xfId="0" applyNumberFormat="1" applyFont="1"/>
    <xf numFmtId="166" fontId="5" fillId="0" borderId="15" xfId="0" applyNumberFormat="1" applyFont="1" applyBorder="1"/>
    <xf numFmtId="164" fontId="5" fillId="0" borderId="0" xfId="1" applyNumberFormat="1" applyFont="1" applyFill="1"/>
    <xf numFmtId="0" fontId="17" fillId="0" borderId="0" xfId="0" applyFont="1"/>
    <xf numFmtId="164" fontId="3" fillId="0" borderId="0" xfId="1" applyNumberFormat="1" applyFont="1" applyFill="1" applyAlignment="1">
      <alignment vertical="center"/>
    </xf>
    <xf numFmtId="174" fontId="3" fillId="0" borderId="15" xfId="0" applyNumberFormat="1" applyFont="1" applyBorder="1"/>
    <xf numFmtId="174" fontId="5" fillId="0" borderId="15" xfId="0" applyNumberFormat="1" applyFont="1" applyBorder="1"/>
    <xf numFmtId="0" fontId="5" fillId="0" borderId="6" xfId="0" applyFont="1" applyBorder="1" applyAlignment="1">
      <alignment horizontal="center"/>
    </xf>
    <xf numFmtId="166" fontId="5" fillId="5" borderId="6" xfId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74" fontId="5" fillId="3" borderId="4" xfId="1" applyNumberFormat="1" applyFont="1" applyFill="1" applyBorder="1"/>
    <xf numFmtId="164" fontId="5" fillId="5" borderId="4" xfId="1" applyNumberFormat="1" applyFont="1" applyFill="1" applyBorder="1" applyAlignment="1">
      <alignment horizontal="center"/>
    </xf>
    <xf numFmtId="166" fontId="3" fillId="5" borderId="4" xfId="1" applyFont="1" applyFill="1" applyBorder="1" applyAlignment="1">
      <alignment horizontal="center" vertical="center"/>
    </xf>
    <xf numFmtId="166" fontId="3" fillId="0" borderId="4" xfId="1" applyFont="1" applyFill="1" applyBorder="1" applyAlignment="1">
      <alignment vertical="center"/>
    </xf>
    <xf numFmtId="166" fontId="3" fillId="5" borderId="4" xfId="1" applyFont="1" applyFill="1" applyBorder="1" applyAlignment="1">
      <alignment vertical="center"/>
    </xf>
    <xf numFmtId="0" fontId="3" fillId="5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164" fontId="13" fillId="0" borderId="4" xfId="1" applyNumberFormat="1" applyFont="1" applyFill="1" applyBorder="1"/>
    <xf numFmtId="0" fontId="3" fillId="3" borderId="9" xfId="0" applyFont="1" applyFill="1" applyBorder="1"/>
    <xf numFmtId="0" fontId="5" fillId="2" borderId="6" xfId="0" applyFont="1" applyFill="1" applyBorder="1"/>
    <xf numFmtId="0" fontId="5" fillId="5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5" fillId="0" borderId="6" xfId="1" applyNumberFormat="1" applyFont="1" applyBorder="1"/>
    <xf numFmtId="174" fontId="5" fillId="0" borderId="6" xfId="1" applyNumberFormat="1" applyFont="1" applyFill="1" applyBorder="1"/>
    <xf numFmtId="164" fontId="4" fillId="0" borderId="4" xfId="1" applyNumberFormat="1" applyFont="1" applyFill="1" applyBorder="1"/>
    <xf numFmtId="166" fontId="3" fillId="3" borderId="9" xfId="1" applyFont="1" applyFill="1" applyBorder="1"/>
    <xf numFmtId="0" fontId="14" fillId="0" borderId="15" xfId="0" applyFont="1" applyBorder="1"/>
    <xf numFmtId="177" fontId="3" fillId="0" borderId="15" xfId="0" applyNumberFormat="1" applyFont="1" applyBorder="1"/>
    <xf numFmtId="174" fontId="5" fillId="0" borderId="14" xfId="0" applyNumberFormat="1" applyFont="1" applyBorder="1"/>
    <xf numFmtId="164" fontId="5" fillId="0" borderId="0" xfId="1" applyNumberFormat="1" applyFont="1"/>
    <xf numFmtId="166" fontId="5" fillId="3" borderId="16" xfId="1" applyFont="1" applyFill="1" applyBorder="1"/>
    <xf numFmtId="164" fontId="5" fillId="0" borderId="15" xfId="0" applyNumberFormat="1" applyFont="1" applyBorder="1"/>
    <xf numFmtId="165" fontId="14" fillId="0" borderId="15" xfId="0" applyNumberFormat="1" applyFont="1" applyBorder="1"/>
    <xf numFmtId="166" fontId="5" fillId="0" borderId="15" xfId="1" applyFont="1" applyBorder="1" applyAlignment="1">
      <alignment vertical="center"/>
    </xf>
    <xf numFmtId="164" fontId="14" fillId="0" borderId="15" xfId="0" applyNumberFormat="1" applyFont="1" applyBorder="1" applyAlignment="1">
      <alignment vertical="center"/>
    </xf>
    <xf numFmtId="166" fontId="3" fillId="0" borderId="15" xfId="1" applyFont="1" applyBorder="1" applyAlignment="1">
      <alignment vertical="center"/>
    </xf>
    <xf numFmtId="164" fontId="5" fillId="3" borderId="16" xfId="1" applyNumberFormat="1" applyFont="1" applyFill="1" applyBorder="1"/>
    <xf numFmtId="164" fontId="5" fillId="0" borderId="14" xfId="0" applyNumberFormat="1" applyFont="1" applyBorder="1"/>
    <xf numFmtId="0" fontId="10" fillId="3" borderId="15" xfId="0" applyFont="1" applyFill="1" applyBorder="1"/>
    <xf numFmtId="164" fontId="5" fillId="0" borderId="20" xfId="0" applyNumberFormat="1" applyFont="1" applyBorder="1"/>
    <xf numFmtId="0" fontId="5" fillId="3" borderId="15" xfId="0" quotePrefix="1" applyFont="1" applyFill="1" applyBorder="1"/>
    <xf numFmtId="0" fontId="4" fillId="0" borderId="4" xfId="0" quotePrefix="1" applyFont="1" applyBorder="1"/>
    <xf numFmtId="0" fontId="3" fillId="0" borderId="4" xfId="0" quotePrefix="1" applyFont="1" applyBorder="1"/>
    <xf numFmtId="0" fontId="3" fillId="6" borderId="4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5" fillId="3" borderId="9" xfId="0" quotePrefix="1" applyFont="1" applyFill="1" applyBorder="1"/>
    <xf numFmtId="0" fontId="5" fillId="3" borderId="16" xfId="0" quotePrefix="1" applyFont="1" applyFill="1" applyBorder="1"/>
    <xf numFmtId="0" fontId="3" fillId="2" borderId="4" xfId="0" quotePrefix="1" applyFont="1" applyFill="1" applyBorder="1"/>
    <xf numFmtId="0" fontId="3" fillId="2" borderId="4" xfId="0" quotePrefix="1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10" xfId="0" quotePrefix="1" applyFont="1" applyBorder="1"/>
    <xf numFmtId="0" fontId="3" fillId="0" borderId="10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5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3" fillId="2" borderId="6" xfId="0" quotePrefix="1" applyFont="1" applyFill="1" applyBorder="1"/>
    <xf numFmtId="0" fontId="3" fillId="2" borderId="6" xfId="0" quotePrefix="1" applyFont="1" applyFill="1" applyBorder="1" applyAlignment="1">
      <alignment horizontal="center"/>
    </xf>
    <xf numFmtId="0" fontId="5" fillId="0" borderId="4" xfId="0" quotePrefix="1" applyFont="1" applyBorder="1"/>
    <xf numFmtId="0" fontId="5" fillId="0" borderId="4" xfId="0" quotePrefix="1" applyFont="1" applyBorder="1" applyAlignment="1">
      <alignment horizontal="center"/>
    </xf>
    <xf numFmtId="0" fontId="14" fillId="0" borderId="4" xfId="0" quotePrefix="1" applyFont="1" applyBorder="1"/>
    <xf numFmtId="0" fontId="3" fillId="0" borderId="4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5" fillId="0" borderId="6" xfId="0" quotePrefix="1" applyFont="1" applyBorder="1"/>
    <xf numFmtId="0" fontId="5" fillId="0" borderId="6" xfId="0" quotePrefix="1" applyFont="1" applyBorder="1" applyAlignment="1">
      <alignment horizontal="center"/>
    </xf>
    <xf numFmtId="0" fontId="5" fillId="3" borderId="4" xfId="0" quotePrefix="1" applyFont="1" applyFill="1" applyBorder="1"/>
    <xf numFmtId="0" fontId="5" fillId="0" borderId="4" xfId="0" quotePrefix="1" applyFont="1" applyBorder="1" applyAlignment="1">
      <alignment vertical="center"/>
    </xf>
    <xf numFmtId="0" fontId="5" fillId="2" borderId="4" xfId="0" quotePrefix="1" applyFont="1" applyFill="1" applyBorder="1"/>
    <xf numFmtId="164" fontId="22" fillId="0" borderId="4" xfId="1" applyNumberFormat="1" applyFont="1" applyFill="1" applyBorder="1"/>
    <xf numFmtId="41" fontId="3" fillId="0" borderId="0" xfId="2" applyFont="1" applyFill="1"/>
    <xf numFmtId="41" fontId="3" fillId="0" borderId="0" xfId="0" applyNumberFormat="1" applyFont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9" xfId="1" applyFont="1" applyFill="1" applyBorder="1"/>
    <xf numFmtId="168" fontId="3" fillId="0" borderId="4" xfId="2" applyNumberFormat="1" applyFont="1" applyFill="1" applyBorder="1" applyAlignment="1">
      <alignment vertical="center"/>
    </xf>
    <xf numFmtId="41" fontId="3" fillId="0" borderId="4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/>
    <xf numFmtId="166" fontId="3" fillId="0" borderId="0" xfId="1" applyFont="1" applyFill="1"/>
    <xf numFmtId="168" fontId="3" fillId="0" borderId="4" xfId="1" applyNumberFormat="1" applyFont="1" applyFill="1" applyBorder="1"/>
    <xf numFmtId="164" fontId="3" fillId="7" borderId="4" xfId="1" applyNumberFormat="1" applyFont="1" applyFill="1" applyBorder="1"/>
    <xf numFmtId="41" fontId="4" fillId="0" borderId="0" xfId="2" applyFont="1"/>
    <xf numFmtId="41" fontId="3" fillId="0" borderId="0" xfId="2" applyFont="1"/>
    <xf numFmtId="166" fontId="4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9" xfId="1" applyNumberFormat="1" applyFont="1" applyFill="1" applyBorder="1" applyAlignment="1">
      <alignment horizontal="center"/>
    </xf>
    <xf numFmtId="164" fontId="3" fillId="2" borderId="4" xfId="1" applyNumberFormat="1" applyFont="1" applyFill="1" applyBorder="1"/>
    <xf numFmtId="164" fontId="3" fillId="6" borderId="6" xfId="1" applyNumberFormat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41" fontId="3" fillId="5" borderId="4" xfId="2" applyFont="1" applyFill="1" applyBorder="1" applyAlignment="1">
      <alignment horizontal="center"/>
    </xf>
    <xf numFmtId="41" fontId="11" fillId="5" borderId="9" xfId="2" applyFont="1" applyFill="1" applyBorder="1" applyAlignment="1">
      <alignment horizontal="center"/>
    </xf>
    <xf numFmtId="41" fontId="11" fillId="5" borderId="4" xfId="2" applyFont="1" applyFill="1" applyBorder="1" applyAlignment="1">
      <alignment horizontal="center" vertical="center"/>
    </xf>
    <xf numFmtId="168" fontId="3" fillId="2" borderId="4" xfId="2" applyNumberFormat="1" applyFont="1" applyFill="1" applyBorder="1"/>
    <xf numFmtId="41" fontId="3" fillId="0" borderId="0" xfId="2" applyFont="1" applyFill="1" applyAlignment="1">
      <alignment vertical="center"/>
    </xf>
    <xf numFmtId="41" fontId="5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6" fontId="4" fillId="0" borderId="4" xfId="1" applyFont="1" applyFill="1" applyBorder="1"/>
    <xf numFmtId="41" fontId="3" fillId="2" borderId="0" xfId="2" applyFont="1" applyFill="1"/>
    <xf numFmtId="41" fontId="5" fillId="0" borderId="0" xfId="2" applyFont="1"/>
    <xf numFmtId="166" fontId="13" fillId="0" borderId="4" xfId="1" applyFont="1" applyFill="1" applyBorder="1" applyAlignment="1">
      <alignment vertical="center"/>
    </xf>
    <xf numFmtId="168" fontId="3" fillId="0" borderId="0" xfId="2" applyNumberFormat="1" applyFont="1"/>
    <xf numFmtId="166" fontId="3" fillId="2" borderId="0" xfId="0" applyNumberFormat="1" applyFont="1" applyFill="1"/>
    <xf numFmtId="179" fontId="3" fillId="2" borderId="0" xfId="0" applyNumberFormat="1" applyFont="1" applyFill="1"/>
    <xf numFmtId="164" fontId="5" fillId="3" borderId="3" xfId="1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24" xfId="0" applyFont="1" applyBorder="1"/>
    <xf numFmtId="41" fontId="3" fillId="0" borderId="0" xfId="2" applyFont="1" applyBorder="1"/>
    <xf numFmtId="41" fontId="3" fillId="0" borderId="25" xfId="2" applyFont="1" applyBorder="1"/>
    <xf numFmtId="0" fontId="9" fillId="0" borderId="24" xfId="0" applyFont="1" applyBorder="1"/>
    <xf numFmtId="0" fontId="4" fillId="0" borderId="0" xfId="0" applyFont="1" applyAlignment="1">
      <alignment horizontal="center"/>
    </xf>
    <xf numFmtId="168" fontId="4" fillId="0" borderId="0" xfId="2" applyNumberFormat="1" applyFont="1" applyBorder="1"/>
    <xf numFmtId="168" fontId="4" fillId="0" borderId="25" xfId="2" applyNumberFormat="1" applyFont="1" applyBorder="1"/>
    <xf numFmtId="41" fontId="3" fillId="0" borderId="0" xfId="2" applyFont="1" applyFill="1" applyBorder="1"/>
    <xf numFmtId="41" fontId="3" fillId="0" borderId="25" xfId="2" applyFont="1" applyFill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168" fontId="13" fillId="0" borderId="27" xfId="2" applyNumberFormat="1" applyFont="1" applyFill="1" applyBorder="1"/>
    <xf numFmtId="168" fontId="13" fillId="0" borderId="28" xfId="2" applyNumberFormat="1" applyFont="1" applyFill="1" applyBorder="1"/>
    <xf numFmtId="168" fontId="3" fillId="0" borderId="27" xfId="2" applyNumberFormat="1" applyFont="1" applyFill="1" applyBorder="1"/>
    <xf numFmtId="168" fontId="3" fillId="0" borderId="28" xfId="2" applyNumberFormat="1" applyFont="1" applyFill="1" applyBorder="1"/>
    <xf numFmtId="41" fontId="3" fillId="0" borderId="24" xfId="2" applyFont="1" applyBorder="1"/>
    <xf numFmtId="168" fontId="4" fillId="0" borderId="24" xfId="2" applyNumberFormat="1" applyFont="1" applyBorder="1"/>
    <xf numFmtId="168" fontId="3" fillId="0" borderId="26" xfId="2" applyNumberFormat="1" applyFont="1" applyFill="1" applyBorder="1"/>
    <xf numFmtId="41" fontId="3" fillId="0" borderId="26" xfId="2" applyFont="1" applyBorder="1"/>
    <xf numFmtId="41" fontId="3" fillId="0" borderId="27" xfId="2" applyFont="1" applyBorder="1"/>
    <xf numFmtId="41" fontId="3" fillId="0" borderId="28" xfId="2" applyFont="1" applyBorder="1"/>
    <xf numFmtId="41" fontId="3" fillId="0" borderId="21" xfId="2" applyFont="1" applyBorder="1" applyAlignment="1"/>
    <xf numFmtId="0" fontId="5" fillId="3" borderId="0" xfId="0" applyFont="1" applyFill="1"/>
    <xf numFmtId="41" fontId="3" fillId="0" borderId="24" xfId="2" applyFont="1" applyFill="1" applyBorder="1"/>
    <xf numFmtId="168" fontId="13" fillId="0" borderId="26" xfId="2" applyNumberFormat="1" applyFont="1" applyFill="1" applyBorder="1"/>
    <xf numFmtId="168" fontId="3" fillId="0" borderId="0" xfId="2" applyNumberFormat="1" applyFont="1" applyBorder="1"/>
    <xf numFmtId="0" fontId="3" fillId="0" borderId="24" xfId="0" applyFont="1" applyBorder="1"/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41" fontId="5" fillId="0" borderId="29" xfId="0" applyNumberFormat="1" applyFont="1" applyBorder="1"/>
    <xf numFmtId="41" fontId="5" fillId="0" borderId="30" xfId="0" applyNumberFormat="1" applyFont="1" applyBorder="1"/>
    <xf numFmtId="41" fontId="5" fillId="0" borderId="31" xfId="0" applyNumberFormat="1" applyFont="1" applyBorder="1"/>
    <xf numFmtId="164" fontId="5" fillId="0" borderId="4" xfId="1" applyNumberFormat="1" applyFont="1" applyFill="1" applyBorder="1" applyAlignment="1">
      <alignment vertical="center"/>
    </xf>
    <xf numFmtId="41" fontId="9" fillId="2" borderId="0" xfId="2" applyFont="1" applyFill="1"/>
    <xf numFmtId="166" fontId="5" fillId="0" borderId="4" xfId="1" applyFont="1" applyFill="1" applyBorder="1" applyAlignment="1">
      <alignment vertical="center"/>
    </xf>
    <xf numFmtId="164" fontId="4" fillId="0" borderId="0" xfId="0" applyNumberFormat="1" applyFont="1"/>
    <xf numFmtId="164" fontId="3" fillId="0" borderId="0" xfId="1" applyNumberFormat="1" applyFont="1" applyAlignment="1">
      <alignment horizontal="center"/>
    </xf>
    <xf numFmtId="0" fontId="5" fillId="2" borderId="6" xfId="0" quotePrefix="1" applyFont="1" applyFill="1" applyBorder="1"/>
    <xf numFmtId="0" fontId="5" fillId="2" borderId="6" xfId="0" quotePrefix="1" applyFont="1" applyFill="1" applyBorder="1" applyAlignment="1">
      <alignment horizontal="center"/>
    </xf>
    <xf numFmtId="164" fontId="5" fillId="0" borderId="6" xfId="1" applyNumberFormat="1" applyFont="1" applyFill="1" applyBorder="1"/>
    <xf numFmtId="180" fontId="3" fillId="0" borderId="0" xfId="2" applyNumberFormat="1" applyFont="1" applyFill="1" applyAlignment="1">
      <alignment vertical="center"/>
    </xf>
    <xf numFmtId="179" fontId="3" fillId="0" borderId="0" xfId="0" applyNumberFormat="1" applyFont="1"/>
    <xf numFmtId="168" fontId="3" fillId="0" borderId="0" xfId="2" applyNumberFormat="1" applyFont="1" applyAlignment="1">
      <alignment vertical="center"/>
    </xf>
    <xf numFmtId="9" fontId="3" fillId="0" borderId="0" xfId="0" applyNumberFormat="1" applyFont="1"/>
    <xf numFmtId="41" fontId="3" fillId="3" borderId="0" xfId="2" applyFont="1" applyFill="1"/>
    <xf numFmtId="168" fontId="4" fillId="0" borderId="0" xfId="2" applyNumberFormat="1" applyFont="1"/>
    <xf numFmtId="168" fontId="5" fillId="0" borderId="0" xfId="2" applyNumberFormat="1" applyFont="1" applyFill="1"/>
    <xf numFmtId="168" fontId="3" fillId="0" borderId="0" xfId="2" applyNumberFormat="1" applyFont="1" applyFill="1" applyAlignment="1">
      <alignment vertical="center"/>
    </xf>
    <xf numFmtId="168" fontId="5" fillId="0" borderId="0" xfId="2" applyNumberFormat="1" applyFont="1"/>
    <xf numFmtId="168" fontId="5" fillId="3" borderId="0" xfId="2" applyNumberFormat="1" applyFont="1" applyFill="1"/>
    <xf numFmtId="41" fontId="5" fillId="3" borderId="0" xfId="2" applyFont="1" applyFill="1"/>
    <xf numFmtId="164" fontId="3" fillId="2" borderId="0" xfId="0" applyNumberFormat="1" applyFont="1" applyFill="1"/>
    <xf numFmtId="41" fontId="3" fillId="2" borderId="4" xfId="2" applyFont="1" applyFill="1" applyBorder="1"/>
    <xf numFmtId="41" fontId="3" fillId="0" borderId="4" xfId="2" applyFont="1" applyFill="1" applyBorder="1" applyAlignment="1">
      <alignment vertical="center"/>
    </xf>
    <xf numFmtId="168" fontId="5" fillId="0" borderId="4" xfId="2" applyNumberFormat="1" applyFont="1" applyFill="1" applyBorder="1" applyAlignment="1">
      <alignment vertical="center"/>
    </xf>
    <xf numFmtId="180" fontId="13" fillId="0" borderId="4" xfId="2" applyNumberFormat="1" applyFont="1" applyFill="1" applyBorder="1"/>
    <xf numFmtId="175" fontId="13" fillId="0" borderId="4" xfId="1" applyNumberFormat="1" applyFont="1" applyFill="1" applyBorder="1"/>
    <xf numFmtId="166" fontId="13" fillId="0" borderId="4" xfId="1" applyFont="1" applyFill="1" applyBorder="1"/>
    <xf numFmtId="41" fontId="3" fillId="0" borderId="0" xfId="2" applyFont="1" applyAlignment="1">
      <alignment horizontal="center"/>
    </xf>
    <xf numFmtId="41" fontId="3" fillId="0" borderId="0" xfId="2" applyFont="1" applyAlignment="1">
      <alignment horizontal="left"/>
    </xf>
    <xf numFmtId="166" fontId="4" fillId="0" borderId="4" xfId="1" applyFont="1" applyFill="1" applyBorder="1" applyAlignment="1">
      <alignment vertical="center"/>
    </xf>
    <xf numFmtId="174" fontId="4" fillId="0" borderId="4" xfId="1" applyNumberFormat="1" applyFont="1" applyFill="1" applyBorder="1"/>
    <xf numFmtId="176" fontId="3" fillId="0" borderId="4" xfId="1" applyNumberFormat="1" applyFont="1" applyFill="1" applyBorder="1"/>
    <xf numFmtId="166" fontId="3" fillId="0" borderId="18" xfId="0" applyNumberFormat="1" applyFont="1" applyBorder="1"/>
    <xf numFmtId="41" fontId="5" fillId="3" borderId="0" xfId="0" applyNumberFormat="1" applyFont="1" applyFill="1"/>
    <xf numFmtId="164" fontId="5" fillId="3" borderId="0" xfId="1" applyNumberFormat="1" applyFont="1" applyFill="1"/>
    <xf numFmtId="43" fontId="5" fillId="3" borderId="0" xfId="0" applyNumberFormat="1" applyFont="1" applyFill="1"/>
    <xf numFmtId="0" fontId="5" fillId="3" borderId="0" xfId="0" applyFont="1" applyFill="1" applyAlignment="1">
      <alignment horizontal="center"/>
    </xf>
    <xf numFmtId="0" fontId="3" fillId="3" borderId="0" xfId="0" applyFont="1" applyFill="1"/>
    <xf numFmtId="41" fontId="3" fillId="0" borderId="21" xfId="2" applyFont="1" applyBorder="1" applyAlignment="1">
      <alignment horizontal="center"/>
    </xf>
    <xf numFmtId="41" fontId="3" fillId="0" borderId="22" xfId="2" applyFont="1" applyBorder="1" applyAlignment="1">
      <alignment horizontal="center"/>
    </xf>
    <xf numFmtId="41" fontId="3" fillId="0" borderId="23" xfId="2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41" fontId="5" fillId="0" borderId="21" xfId="2" applyFont="1" applyBorder="1" applyAlignment="1">
      <alignment horizontal="center"/>
    </xf>
    <xf numFmtId="41" fontId="5" fillId="0" borderId="22" xfId="2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 vertical="center" wrapText="1"/>
    </xf>
    <xf numFmtId="164" fontId="3" fillId="3" borderId="4" xfId="1" applyNumberFormat="1" applyFont="1" applyFill="1" applyBorder="1" applyAlignment="1">
      <alignment horizontal="right" vertical="center"/>
    </xf>
    <xf numFmtId="166" fontId="7" fillId="3" borderId="6" xfId="1" applyFont="1" applyFill="1" applyBorder="1" applyAlignment="1">
      <alignment horizontal="right" vertical="center"/>
    </xf>
    <xf numFmtId="166" fontId="7" fillId="3" borderId="4" xfId="1" applyFont="1" applyFill="1" applyBorder="1" applyAlignment="1">
      <alignment horizontal="right" vertical="center"/>
    </xf>
    <xf numFmtId="164" fontId="3" fillId="3" borderId="4" xfId="1" applyNumberFormat="1" applyFont="1" applyFill="1" applyBorder="1"/>
    <xf numFmtId="168" fontId="3" fillId="3" borderId="4" xfId="2" applyNumberFormat="1" applyFont="1" applyFill="1" applyBorder="1"/>
    <xf numFmtId="168" fontId="4" fillId="3" borderId="4" xfId="2" applyNumberFormat="1" applyFont="1" applyFill="1" applyBorder="1"/>
    <xf numFmtId="166" fontId="3" fillId="3" borderId="4" xfId="1" applyFont="1" applyFill="1" applyBorder="1"/>
    <xf numFmtId="164" fontId="3" fillId="3" borderId="10" xfId="1" applyNumberFormat="1" applyFont="1" applyFill="1" applyBorder="1"/>
    <xf numFmtId="166" fontId="3" fillId="3" borderId="11" xfId="1" applyFont="1" applyFill="1" applyBorder="1"/>
    <xf numFmtId="169" fontId="3" fillId="3" borderId="4" xfId="1" applyNumberFormat="1" applyFont="1" applyFill="1" applyBorder="1"/>
    <xf numFmtId="166" fontId="12" fillId="3" borderId="9" xfId="1" applyFont="1" applyFill="1" applyBorder="1"/>
    <xf numFmtId="164" fontId="5" fillId="3" borderId="4" xfId="1" applyNumberFormat="1" applyFont="1" applyFill="1" applyBorder="1"/>
    <xf numFmtId="168" fontId="3" fillId="3" borderId="4" xfId="2" applyNumberFormat="1" applyFont="1" applyFill="1" applyBorder="1" applyAlignment="1">
      <alignment vertical="center"/>
    </xf>
    <xf numFmtId="164" fontId="3" fillId="3" borderId="4" xfId="1" applyNumberFormat="1" applyFont="1" applyFill="1" applyBorder="1" applyAlignment="1">
      <alignment vertical="center"/>
    </xf>
    <xf numFmtId="164" fontId="3" fillId="3" borderId="7" xfId="1" applyNumberFormat="1" applyFont="1" applyFill="1" applyBorder="1" applyAlignment="1">
      <alignment wrapText="1"/>
    </xf>
    <xf numFmtId="164" fontId="5" fillId="3" borderId="4" xfId="1" applyNumberFormat="1" applyFont="1" applyFill="1" applyBorder="1" applyAlignment="1">
      <alignment vertical="center"/>
    </xf>
    <xf numFmtId="166" fontId="5" fillId="3" borderId="4" xfId="1" applyFont="1" applyFill="1" applyBorder="1"/>
    <xf numFmtId="174" fontId="13" fillId="3" borderId="4" xfId="1" applyNumberFormat="1" applyFont="1" applyFill="1" applyBorder="1"/>
    <xf numFmtId="174" fontId="3" fillId="3" borderId="4" xfId="1" applyNumberFormat="1" applyFont="1" applyFill="1" applyBorder="1"/>
    <xf numFmtId="164" fontId="13" fillId="3" borderId="4" xfId="1" applyNumberFormat="1" applyFont="1" applyFill="1" applyBorder="1"/>
    <xf numFmtId="174" fontId="5" fillId="3" borderId="6" xfId="1" applyNumberFormat="1" applyFont="1" applyFill="1" applyBorder="1"/>
    <xf numFmtId="166" fontId="13" fillId="3" borderId="4" xfId="1" applyFont="1" applyFill="1" applyBorder="1" applyAlignment="1">
      <alignment vertical="center"/>
    </xf>
    <xf numFmtId="166" fontId="3" fillId="3" borderId="4" xfId="1" applyFont="1" applyFill="1" applyBorder="1" applyAlignment="1">
      <alignment vertical="center"/>
    </xf>
    <xf numFmtId="164" fontId="5" fillId="3" borderId="6" xfId="1" applyNumberFormat="1" applyFont="1" applyFill="1" applyBorder="1"/>
    <xf numFmtId="41" fontId="3" fillId="0" borderId="4" xfId="2" applyNumberFormat="1" applyFont="1" applyFill="1" applyBorder="1" applyAlignment="1">
      <alignment vertical="center"/>
    </xf>
    <xf numFmtId="166" fontId="13" fillId="3" borderId="4" xfId="1" applyFont="1" applyFill="1" applyBorder="1"/>
    <xf numFmtId="164" fontId="3" fillId="3" borderId="12" xfId="1" applyNumberFormat="1" applyFont="1" applyFill="1" applyBorder="1"/>
    <xf numFmtId="175" fontId="13" fillId="3" borderId="4" xfId="1" applyNumberFormat="1" applyFont="1" applyFill="1" applyBorder="1"/>
    <xf numFmtId="175" fontId="3" fillId="3" borderId="4" xfId="1" applyNumberFormat="1" applyFont="1" applyFill="1" applyBorder="1"/>
    <xf numFmtId="164" fontId="4" fillId="3" borderId="4" xfId="1" applyNumberFormat="1" applyFont="1" applyFill="1" applyBorder="1"/>
    <xf numFmtId="164" fontId="5" fillId="3" borderId="9" xfId="1" applyNumberFormat="1" applyFont="1" applyFill="1" applyBorder="1"/>
    <xf numFmtId="41" fontId="3" fillId="3" borderId="4" xfId="2" applyFont="1" applyFill="1" applyBorder="1"/>
    <xf numFmtId="180" fontId="13" fillId="3" borderId="4" xfId="2" applyNumberFormat="1" applyFont="1" applyFill="1" applyBorder="1"/>
    <xf numFmtId="173" fontId="3" fillId="3" borderId="4" xfId="1" applyNumberFormat="1" applyFont="1" applyFill="1" applyBorder="1"/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UL226"/>
  <sheetViews>
    <sheetView showGridLines="0" topLeftCell="A4" zoomScale="80" zoomScaleNormal="80" workbookViewId="0">
      <pane xSplit="5" ySplit="3" topLeftCell="AI7" activePane="bottomRight" state="frozen"/>
      <selection pane="topRight"/>
      <selection pane="bottomLeft"/>
      <selection pane="bottomRight" activeCell="AJH48" sqref="AJH48"/>
    </sheetView>
  </sheetViews>
  <sheetFormatPr defaultColWidth="9" defaultRowHeight="14.4"/>
  <cols>
    <col min="1" max="1" width="1.5546875" style="1" customWidth="1"/>
    <col min="2" max="2" width="4.6640625" style="7" customWidth="1"/>
    <col min="3" max="3" width="41" style="1" customWidth="1"/>
    <col min="4" max="4" width="14" style="1" hidden="1" customWidth="1"/>
    <col min="5" max="5" width="8.109375" style="1" bestFit="1" customWidth="1"/>
    <col min="6" max="6" width="15.109375" style="1" customWidth="1"/>
    <col min="7" max="7" width="13.6640625" style="1" bestFit="1" customWidth="1"/>
    <col min="8" max="9" width="14.88671875" style="1" customWidth="1"/>
    <col min="10" max="10" width="14.5546875" style="1" customWidth="1"/>
    <col min="11" max="14" width="13.6640625" style="1" bestFit="1" customWidth="1"/>
    <col min="15" max="16" width="15.109375" style="1" customWidth="1"/>
    <col min="17" max="19" width="13.6640625" style="1" bestFit="1" customWidth="1"/>
    <col min="20" max="20" width="13.6640625" style="1" customWidth="1"/>
    <col min="21" max="23" width="12.44140625" style="1" bestFit="1" customWidth="1"/>
    <col min="24" max="24" width="12" style="1" bestFit="1" customWidth="1"/>
    <col min="25" max="25" width="12.44140625" style="1" bestFit="1" customWidth="1"/>
    <col min="26" max="28" width="12" style="1" bestFit="1" customWidth="1"/>
    <col min="29" max="33" width="13.109375" style="1" customWidth="1"/>
    <col min="34" max="34" width="12.44140625" style="1" bestFit="1" customWidth="1"/>
    <col min="35" max="35" width="13.88671875" style="1" customWidth="1"/>
    <col min="36" max="36" width="12.6640625" style="1" customWidth="1"/>
    <col min="37" max="37" width="17.109375" style="1" bestFit="1" customWidth="1"/>
    <col min="38" max="38" width="14.5546875" style="1" hidden="1" customWidth="1"/>
    <col min="39" max="39" width="9" style="10" customWidth="1"/>
    <col min="40" max="40" width="13.6640625" style="1" hidden="1" customWidth="1"/>
    <col min="41" max="41" width="12.44140625" style="1" hidden="1" customWidth="1"/>
    <col min="42" max="44" width="11.33203125" style="1" hidden="1" customWidth="1"/>
    <col min="45" max="45" width="7.88671875" style="1" hidden="1" customWidth="1"/>
    <col min="46" max="49" width="11.33203125" style="1" hidden="1" customWidth="1"/>
    <col min="50" max="86" width="8.109375" style="1" hidden="1" customWidth="1"/>
    <col min="87" max="87" width="8" style="1" hidden="1" customWidth="1"/>
    <col min="88" max="88" width="6.33203125" style="1" hidden="1" customWidth="1"/>
    <col min="89" max="94" width="8.109375" style="1" hidden="1" customWidth="1"/>
    <col min="95" max="106" width="0" style="1" hidden="1" customWidth="1"/>
    <col min="107" max="107" width="12.6640625" style="1" hidden="1" customWidth="1"/>
    <col min="108" max="108" width="12.109375" style="1" hidden="1" customWidth="1"/>
    <col min="109" max="109" width="9.109375" style="1" hidden="1" customWidth="1"/>
    <col min="110" max="110" width="9.88671875" style="1" hidden="1" customWidth="1"/>
    <col min="111" max="111" width="15.88671875" style="1" hidden="1" customWidth="1"/>
    <col min="112" max="112" width="12.88671875" style="1" hidden="1" customWidth="1"/>
    <col min="113" max="113" width="14.109375" style="1" hidden="1" customWidth="1"/>
    <col min="114" max="130" width="0" style="1" hidden="1" customWidth="1"/>
    <col min="131" max="132" width="0" style="219" hidden="1" customWidth="1"/>
    <col min="133" max="133" width="5.88671875" style="1" hidden="1" customWidth="1"/>
    <col min="134" max="134" width="0" style="1" hidden="1" customWidth="1"/>
    <col min="135" max="135" width="14" style="1" hidden="1" customWidth="1"/>
    <col min="136" max="163" width="0" style="1" hidden="1" customWidth="1"/>
    <col min="164" max="164" width="14.88671875" style="219" hidden="1" customWidth="1"/>
    <col min="165" max="188" width="0" style="1" hidden="1" customWidth="1"/>
    <col min="189" max="189" width="18.6640625" style="1" hidden="1" customWidth="1"/>
    <col min="190" max="196" width="0" style="1" hidden="1" customWidth="1"/>
    <col min="197" max="197" width="13" style="1" hidden="1" customWidth="1"/>
    <col min="198" max="198" width="8.109375" style="7" hidden="1" customWidth="1"/>
    <col min="199" max="201" width="12.44140625" style="219" hidden="1" customWidth="1"/>
    <col min="202" max="202" width="0" style="219" hidden="1" customWidth="1"/>
    <col min="203" max="219" width="0" style="1" hidden="1" customWidth="1"/>
    <col min="220" max="220" width="12.109375" style="1" hidden="1" customWidth="1"/>
    <col min="221" max="256" width="0" style="1" hidden="1" customWidth="1"/>
    <col min="257" max="257" width="11.6640625" style="219" hidden="1" customWidth="1"/>
    <col min="258" max="258" width="9.44140625" style="1" hidden="1" customWidth="1"/>
    <col min="259" max="354" width="0" style="1" hidden="1" customWidth="1"/>
    <col min="355" max="355" width="15.33203125" style="1" hidden="1" customWidth="1"/>
    <col min="356" max="356" width="12.44140625" style="219" hidden="1" customWidth="1"/>
    <col min="357" max="357" width="10.6640625" style="219" hidden="1" customWidth="1"/>
    <col min="358" max="358" width="13.6640625" style="219" hidden="1" customWidth="1"/>
    <col min="359" max="359" width="0" style="219" hidden="1" customWidth="1"/>
    <col min="360" max="465" width="0" style="1" hidden="1" customWidth="1"/>
    <col min="466" max="466" width="6.88671875" style="1" hidden="1" customWidth="1"/>
    <col min="467" max="492" width="0" style="1" hidden="1" customWidth="1"/>
    <col min="493" max="494" width="9.44140625" style="219" hidden="1" customWidth="1"/>
    <col min="495" max="495" width="0.88671875" style="1" hidden="1" customWidth="1"/>
    <col min="496" max="496" width="15.6640625" style="219" hidden="1" customWidth="1"/>
    <col min="497" max="497" width="22.44140625" style="1" hidden="1" customWidth="1"/>
    <col min="498" max="508" width="0" style="1" hidden="1" customWidth="1"/>
    <col min="509" max="509" width="13.5546875" style="1" hidden="1" customWidth="1"/>
    <col min="510" max="510" width="8.109375" style="240" hidden="1" customWidth="1"/>
    <col min="511" max="511" width="0" style="1" hidden="1" customWidth="1"/>
    <col min="512" max="513" width="12.109375" style="1" hidden="1" customWidth="1"/>
    <col min="514" max="514" width="12.109375" style="219" hidden="1" customWidth="1"/>
    <col min="515" max="515" width="14.44140625" style="1" hidden="1" customWidth="1"/>
    <col min="516" max="567" width="0" style="1" hidden="1" customWidth="1"/>
    <col min="568" max="568" width="9.44140625" style="1" hidden="1" customWidth="1"/>
    <col min="569" max="569" width="7.6640625" style="240" hidden="1" customWidth="1"/>
    <col min="570" max="701" width="0" style="1" hidden="1" customWidth="1"/>
    <col min="702" max="702" width="11.33203125" style="1" hidden="1" customWidth="1"/>
    <col min="703" max="703" width="10" style="1" hidden="1" customWidth="1"/>
    <col min="704" max="728" width="0" style="1" hidden="1" customWidth="1"/>
    <col min="729" max="729" width="14.109375" style="1" hidden="1" customWidth="1"/>
    <col min="730" max="730" width="18.44140625" style="1" hidden="1" customWidth="1"/>
    <col min="731" max="839" width="0" style="1" hidden="1" customWidth="1"/>
    <col min="840" max="840" width="14.88671875" style="1" hidden="1" customWidth="1"/>
    <col min="841" max="898" width="0" style="1" hidden="1" customWidth="1"/>
    <col min="899" max="900" width="10.6640625" style="1" hidden="1" customWidth="1"/>
    <col min="901" max="901" width="12.88671875" style="1" hidden="1" customWidth="1"/>
    <col min="902" max="910" width="0" style="1" hidden="1" customWidth="1"/>
    <col min="911" max="911" width="9.44140625" style="1" hidden="1" customWidth="1"/>
    <col min="912" max="912" width="18" style="1" hidden="1" customWidth="1"/>
    <col min="913" max="927" width="0" style="1" hidden="1" customWidth="1"/>
    <col min="928" max="928" width="5.88671875" style="1" hidden="1" customWidth="1"/>
    <col min="929" max="929" width="27.33203125" style="1" hidden="1" customWidth="1"/>
    <col min="930" max="942" width="0" style="1" hidden="1" customWidth="1"/>
    <col min="943" max="943" width="12" style="1" bestFit="1" customWidth="1"/>
    <col min="944" max="15037" width="9" style="1"/>
  </cols>
  <sheetData>
    <row r="1" spans="2:37">
      <c r="B1" s="11"/>
    </row>
    <row r="2" spans="2:37" ht="17.399999999999999">
      <c r="B2" s="330" t="s">
        <v>0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228"/>
    </row>
    <row r="3" spans="2:37">
      <c r="B3" s="12"/>
    </row>
    <row r="4" spans="2:37" ht="15" thickBot="1">
      <c r="C4" s="13"/>
      <c r="D4" s="10"/>
      <c r="Z4" s="87"/>
      <c r="AB4" s="87"/>
    </row>
    <row r="5" spans="2:37">
      <c r="B5" s="331" t="s">
        <v>1</v>
      </c>
      <c r="C5" s="331" t="s">
        <v>2</v>
      </c>
      <c r="D5" s="332" t="s">
        <v>3</v>
      </c>
      <c r="E5" s="334" t="s">
        <v>4</v>
      </c>
      <c r="F5" s="336" t="s">
        <v>160</v>
      </c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K5" s="328" t="s">
        <v>5</v>
      </c>
    </row>
    <row r="6" spans="2:37">
      <c r="B6" s="331"/>
      <c r="C6" s="331"/>
      <c r="D6" s="333"/>
      <c r="E6" s="335"/>
      <c r="F6" s="14">
        <v>1</v>
      </c>
      <c r="G6" s="14">
        <v>2</v>
      </c>
      <c r="H6" s="14">
        <v>3</v>
      </c>
      <c r="I6" s="14">
        <v>4</v>
      </c>
      <c r="J6" s="14">
        <v>5</v>
      </c>
      <c r="K6" s="14">
        <v>6</v>
      </c>
      <c r="L6" s="14">
        <v>7</v>
      </c>
      <c r="M6" s="14">
        <v>8</v>
      </c>
      <c r="N6" s="14">
        <v>9</v>
      </c>
      <c r="O6" s="14">
        <v>10</v>
      </c>
      <c r="P6" s="14">
        <v>11</v>
      </c>
      <c r="Q6" s="14">
        <v>12</v>
      </c>
      <c r="R6" s="14">
        <v>13</v>
      </c>
      <c r="S6" s="14">
        <v>14</v>
      </c>
      <c r="T6" s="14">
        <v>15</v>
      </c>
      <c r="U6" s="14">
        <v>16</v>
      </c>
      <c r="V6" s="14">
        <v>17</v>
      </c>
      <c r="W6" s="14">
        <v>18</v>
      </c>
      <c r="X6" s="14">
        <v>19</v>
      </c>
      <c r="Y6" s="14">
        <v>20</v>
      </c>
      <c r="Z6" s="14">
        <v>21</v>
      </c>
      <c r="AA6" s="14">
        <v>22</v>
      </c>
      <c r="AB6" s="14">
        <v>23</v>
      </c>
      <c r="AC6" s="14">
        <v>24</v>
      </c>
      <c r="AD6" s="14">
        <v>25</v>
      </c>
      <c r="AE6" s="14">
        <v>26</v>
      </c>
      <c r="AF6" s="14">
        <v>27</v>
      </c>
      <c r="AG6" s="14">
        <v>28</v>
      </c>
      <c r="AH6" s="14">
        <v>29</v>
      </c>
      <c r="AI6" s="14">
        <v>30</v>
      </c>
      <c r="AK6" s="329"/>
    </row>
    <row r="7" spans="2:37" hidden="1">
      <c r="B7" s="15">
        <v>1</v>
      </c>
      <c r="C7" s="16" t="s">
        <v>6</v>
      </c>
      <c r="D7" s="17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87"/>
      <c r="AK7" s="88" t="s">
        <v>7</v>
      </c>
    </row>
    <row r="8" spans="2:37" hidden="1">
      <c r="B8" s="15"/>
      <c r="C8" s="20" t="s">
        <v>8</v>
      </c>
      <c r="D8" s="21"/>
      <c r="E8" s="22" t="s">
        <v>9</v>
      </c>
      <c r="F8" s="23">
        <v>2772050</v>
      </c>
      <c r="G8" s="23">
        <v>1701660</v>
      </c>
      <c r="H8" s="23">
        <v>787010</v>
      </c>
      <c r="I8" s="23">
        <v>1524850</v>
      </c>
      <c r="J8" s="23">
        <v>1360110</v>
      </c>
      <c r="K8" s="23">
        <v>1251880</v>
      </c>
      <c r="L8" s="23">
        <v>1286090</v>
      </c>
      <c r="M8" s="23">
        <v>1048360</v>
      </c>
      <c r="N8" s="23">
        <v>1825350</v>
      </c>
      <c r="O8" s="23">
        <v>534120</v>
      </c>
      <c r="P8" s="23">
        <v>1081380</v>
      </c>
      <c r="Q8" s="23">
        <v>1285710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87"/>
      <c r="AK8" s="89">
        <f>SUM(F8:AI8)</f>
        <v>16458570</v>
      </c>
    </row>
    <row r="9" spans="2:37" hidden="1">
      <c r="B9" s="15"/>
      <c r="C9" s="20" t="s">
        <v>10</v>
      </c>
      <c r="D9" s="21"/>
      <c r="E9" s="22" t="s">
        <v>9</v>
      </c>
      <c r="F9" s="23">
        <v>2768810</v>
      </c>
      <c r="G9" s="23">
        <v>1699190</v>
      </c>
      <c r="H9" s="23">
        <v>786040</v>
      </c>
      <c r="I9" s="23">
        <v>1522340</v>
      </c>
      <c r="J9" s="23">
        <v>1358810</v>
      </c>
      <c r="K9" s="23">
        <v>1250040</v>
      </c>
      <c r="L9" s="23">
        <v>1284570</v>
      </c>
      <c r="M9" s="23">
        <v>1047030</v>
      </c>
      <c r="N9" s="23">
        <v>1823270</v>
      </c>
      <c r="O9" s="23">
        <v>533710</v>
      </c>
      <c r="P9" s="23">
        <v>1080050</v>
      </c>
      <c r="Q9" s="23">
        <v>1283930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87"/>
      <c r="AK9" s="89">
        <f>SUM(F9:AI9)</f>
        <v>16437790</v>
      </c>
    </row>
    <row r="10" spans="2:37" hidden="1">
      <c r="B10" s="15"/>
      <c r="C10" s="24" t="s">
        <v>11</v>
      </c>
      <c r="D10" s="25"/>
      <c r="E10" s="26" t="s">
        <v>12</v>
      </c>
      <c r="F10" s="27">
        <f t="shared" ref="F10:AD10" si="0">((F9-F8)/F8)*100</f>
        <v>-0.11688100863981529</v>
      </c>
      <c r="G10" s="27">
        <f t="shared" si="0"/>
        <v>-0.1451523806165744</v>
      </c>
      <c r="H10" s="27">
        <f t="shared" si="0"/>
        <v>-0.12325129286794323</v>
      </c>
      <c r="I10" s="27">
        <f t="shared" si="0"/>
        <v>-0.16460635472341542</v>
      </c>
      <c r="J10" s="27">
        <f t="shared" si="0"/>
        <v>-9.5580504518016932E-2</v>
      </c>
      <c r="K10" s="27">
        <f t="shared" si="0"/>
        <v>-0.14697894366872225</v>
      </c>
      <c r="L10" s="27">
        <f t="shared" si="0"/>
        <v>-0.11818768515422715</v>
      </c>
      <c r="M10" s="27">
        <f t="shared" si="0"/>
        <v>-0.12686481742912739</v>
      </c>
      <c r="N10" s="27">
        <f t="shared" si="0"/>
        <v>-0.11395074917139179</v>
      </c>
      <c r="O10" s="27">
        <f t="shared" si="0"/>
        <v>-7.6761776379839733E-2</v>
      </c>
      <c r="P10" s="27">
        <f t="shared" si="0"/>
        <v>-0.12299099299043816</v>
      </c>
      <c r="Q10" s="27">
        <f t="shared" si="0"/>
        <v>-0.13844490592746422</v>
      </c>
      <c r="R10" s="27" t="e">
        <f t="shared" si="0"/>
        <v>#DIV/0!</v>
      </c>
      <c r="S10" s="27" t="e">
        <f t="shared" si="0"/>
        <v>#DIV/0!</v>
      </c>
      <c r="T10" s="27" t="e">
        <f t="shared" si="0"/>
        <v>#DIV/0!</v>
      </c>
      <c r="U10" s="27" t="e">
        <f t="shared" si="0"/>
        <v>#DIV/0!</v>
      </c>
      <c r="V10" s="27" t="e">
        <f t="shared" si="0"/>
        <v>#DIV/0!</v>
      </c>
      <c r="W10" s="27" t="e">
        <f t="shared" si="0"/>
        <v>#DIV/0!</v>
      </c>
      <c r="X10" s="27" t="e">
        <f t="shared" si="0"/>
        <v>#DIV/0!</v>
      </c>
      <c r="Y10" s="27" t="e">
        <f t="shared" si="0"/>
        <v>#DIV/0!</v>
      </c>
      <c r="Z10" s="27" t="e">
        <f t="shared" si="0"/>
        <v>#DIV/0!</v>
      </c>
      <c r="AA10" s="27" t="e">
        <f t="shared" si="0"/>
        <v>#DIV/0!</v>
      </c>
      <c r="AB10" s="27" t="e">
        <f t="shared" si="0"/>
        <v>#DIV/0!</v>
      </c>
      <c r="AC10" s="27" t="e">
        <f t="shared" si="0"/>
        <v>#DIV/0!</v>
      </c>
      <c r="AD10" s="27" t="e">
        <f t="shared" si="0"/>
        <v>#DIV/0!</v>
      </c>
      <c r="AE10" s="27" t="e">
        <f>((AE9-AE8)/AE8)*100</f>
        <v>#DIV/0!</v>
      </c>
      <c r="AF10" s="27" t="e">
        <f t="shared" ref="AF10:AG10" si="1">((AF9-AF8)/AF8)*100</f>
        <v>#DIV/0!</v>
      </c>
      <c r="AG10" s="27" t="e">
        <f t="shared" si="1"/>
        <v>#DIV/0!</v>
      </c>
      <c r="AH10" s="27" t="e">
        <f>((AH9-AH8)/AH8)*100</f>
        <v>#DIV/0!</v>
      </c>
      <c r="AI10" s="27" t="e">
        <f t="shared" ref="AI10" si="2">((AI9-AI8)/AI8)*100</f>
        <v>#DIV/0!</v>
      </c>
      <c r="AJ10" s="87"/>
      <c r="AK10" s="90">
        <f>((AK9-AK8)/AK8)*100</f>
        <v>-0.12625641231285586</v>
      </c>
    </row>
    <row r="11" spans="2:37" hidden="1">
      <c r="B11" s="15"/>
      <c r="C11" s="16" t="s">
        <v>122</v>
      </c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87"/>
      <c r="AK11" s="88" t="s">
        <v>7</v>
      </c>
    </row>
    <row r="12" spans="2:37" hidden="1">
      <c r="B12" s="15"/>
      <c r="C12" s="20" t="s">
        <v>13</v>
      </c>
      <c r="D12" s="21"/>
      <c r="E12" s="22" t="s">
        <v>9</v>
      </c>
      <c r="F12" s="23">
        <v>0</v>
      </c>
      <c r="G12" s="23">
        <v>0</v>
      </c>
      <c r="H12" s="23">
        <v>0</v>
      </c>
      <c r="I12" s="23">
        <v>0</v>
      </c>
      <c r="J12" s="23">
        <v>648749</v>
      </c>
      <c r="K12" s="23">
        <v>0</v>
      </c>
      <c r="L12" s="23">
        <v>0</v>
      </c>
      <c r="M12" s="23">
        <v>0</v>
      </c>
      <c r="N12" s="23">
        <v>495725</v>
      </c>
      <c r="O12" s="23">
        <v>0</v>
      </c>
      <c r="P12" s="23">
        <v>0</v>
      </c>
      <c r="Q12" s="23">
        <v>518445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87"/>
      <c r="AK12" s="89">
        <f>SUM(F12:AI12)</f>
        <v>1662919</v>
      </c>
    </row>
    <row r="13" spans="2:37" hidden="1">
      <c r="B13" s="15"/>
      <c r="C13" s="20" t="s">
        <v>14</v>
      </c>
      <c r="D13" s="21"/>
      <c r="E13" s="22" t="s">
        <v>9</v>
      </c>
      <c r="F13" s="23">
        <v>0</v>
      </c>
      <c r="G13" s="23">
        <v>0</v>
      </c>
      <c r="H13" s="23">
        <v>0</v>
      </c>
      <c r="I13" s="23">
        <v>0</v>
      </c>
      <c r="J13" s="23">
        <v>652659</v>
      </c>
      <c r="K13" s="23">
        <v>0</v>
      </c>
      <c r="L13" s="23">
        <v>0</v>
      </c>
      <c r="M13" s="23">
        <v>0</v>
      </c>
      <c r="N13" s="23">
        <v>505768</v>
      </c>
      <c r="O13" s="23">
        <v>0</v>
      </c>
      <c r="P13" s="23">
        <v>0</v>
      </c>
      <c r="Q13" s="23">
        <v>522507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87"/>
      <c r="AK13" s="89">
        <f>SUM(F13:AI13)</f>
        <v>1680934</v>
      </c>
    </row>
    <row r="14" spans="2:37" hidden="1">
      <c r="B14" s="15"/>
      <c r="C14" s="24" t="s">
        <v>15</v>
      </c>
      <c r="D14" s="25"/>
      <c r="E14" s="26" t="s">
        <v>12</v>
      </c>
      <c r="F14" s="27" t="e">
        <f t="shared" ref="F14:AH14" si="3">((F13-F12)/F12)*100</f>
        <v>#DIV/0!</v>
      </c>
      <c r="G14" s="27" t="e">
        <f t="shared" si="3"/>
        <v>#DIV/0!</v>
      </c>
      <c r="H14" s="27" t="e">
        <f t="shared" si="3"/>
        <v>#DIV/0!</v>
      </c>
      <c r="I14" s="27" t="e">
        <f t="shared" si="3"/>
        <v>#DIV/0!</v>
      </c>
      <c r="J14" s="27">
        <f t="shared" si="3"/>
        <v>0.60269842419795638</v>
      </c>
      <c r="K14" s="27" t="e">
        <f t="shared" si="3"/>
        <v>#DIV/0!</v>
      </c>
      <c r="L14" s="27" t="e">
        <f t="shared" si="3"/>
        <v>#DIV/0!</v>
      </c>
      <c r="M14" s="27" t="e">
        <f t="shared" si="3"/>
        <v>#DIV/0!</v>
      </c>
      <c r="N14" s="27">
        <f t="shared" si="3"/>
        <v>2.0259216299359522</v>
      </c>
      <c r="O14" s="27" t="e">
        <f t="shared" si="3"/>
        <v>#DIV/0!</v>
      </c>
      <c r="P14" s="27" t="e">
        <f t="shared" si="3"/>
        <v>#DIV/0!</v>
      </c>
      <c r="Q14" s="27">
        <f t="shared" si="3"/>
        <v>0.7834968029395597</v>
      </c>
      <c r="R14" s="27" t="e">
        <f t="shared" si="3"/>
        <v>#DIV/0!</v>
      </c>
      <c r="S14" s="27" t="e">
        <f t="shared" si="3"/>
        <v>#DIV/0!</v>
      </c>
      <c r="T14" s="27" t="e">
        <f t="shared" si="3"/>
        <v>#DIV/0!</v>
      </c>
      <c r="U14" s="27" t="e">
        <f t="shared" si="3"/>
        <v>#DIV/0!</v>
      </c>
      <c r="V14" s="27" t="e">
        <f t="shared" si="3"/>
        <v>#DIV/0!</v>
      </c>
      <c r="W14" s="27" t="e">
        <f t="shared" si="3"/>
        <v>#DIV/0!</v>
      </c>
      <c r="X14" s="27" t="e">
        <f t="shared" si="3"/>
        <v>#DIV/0!</v>
      </c>
      <c r="Y14" s="27" t="e">
        <f t="shared" si="3"/>
        <v>#DIV/0!</v>
      </c>
      <c r="Z14" s="27" t="e">
        <f t="shared" si="3"/>
        <v>#DIV/0!</v>
      </c>
      <c r="AA14" s="27" t="e">
        <f t="shared" si="3"/>
        <v>#DIV/0!</v>
      </c>
      <c r="AB14" s="27" t="e">
        <f t="shared" si="3"/>
        <v>#DIV/0!</v>
      </c>
      <c r="AC14" s="27" t="e">
        <f t="shared" si="3"/>
        <v>#DIV/0!</v>
      </c>
      <c r="AD14" s="27" t="e">
        <f t="shared" si="3"/>
        <v>#DIV/0!</v>
      </c>
      <c r="AE14" s="27" t="e">
        <f t="shared" ref="AE14:AG14" si="4">((AE13-AE12)/AE12)*100</f>
        <v>#DIV/0!</v>
      </c>
      <c r="AF14" s="27" t="e">
        <f t="shared" si="4"/>
        <v>#DIV/0!</v>
      </c>
      <c r="AG14" s="27" t="e">
        <f t="shared" si="4"/>
        <v>#DIV/0!</v>
      </c>
      <c r="AH14" s="27" t="e">
        <f t="shared" si="3"/>
        <v>#DIV/0!</v>
      </c>
      <c r="AI14" s="27" t="e">
        <f t="shared" ref="AI14" si="5">((AI13-AI12)/AI12)*100</f>
        <v>#DIV/0!</v>
      </c>
      <c r="AJ14" s="87"/>
      <c r="AK14" s="90">
        <f>((AK13-AK12)/AK12)*100</f>
        <v>1.0833359893055525</v>
      </c>
    </row>
    <row r="15" spans="2:37" hidden="1">
      <c r="B15" s="15"/>
      <c r="C15" s="16" t="s">
        <v>123</v>
      </c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87"/>
      <c r="AK15" s="88" t="s">
        <v>7</v>
      </c>
    </row>
    <row r="16" spans="2:37" hidden="1">
      <c r="B16" s="15"/>
      <c r="C16" s="20" t="s">
        <v>13</v>
      </c>
      <c r="D16" s="21"/>
      <c r="E16" s="22" t="s">
        <v>9</v>
      </c>
      <c r="F16" s="23">
        <v>0</v>
      </c>
      <c r="G16" s="23">
        <v>0</v>
      </c>
      <c r="H16" s="23">
        <v>0</v>
      </c>
      <c r="I16" s="23">
        <v>0</v>
      </c>
      <c r="J16" s="23">
        <v>233670</v>
      </c>
      <c r="K16" s="23">
        <v>88470</v>
      </c>
      <c r="L16" s="23">
        <v>205020</v>
      </c>
      <c r="M16" s="23">
        <v>0</v>
      </c>
      <c r="N16" s="23">
        <v>138880</v>
      </c>
      <c r="O16" s="23">
        <v>0</v>
      </c>
      <c r="P16" s="23">
        <v>565920</v>
      </c>
      <c r="Q16" s="23">
        <v>0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87"/>
      <c r="AK16" s="89">
        <f>SUM(F16:AI16)</f>
        <v>1231960</v>
      </c>
    </row>
    <row r="17" spans="2:899" hidden="1">
      <c r="B17" s="15"/>
      <c r="C17" s="20" t="s">
        <v>14</v>
      </c>
      <c r="D17" s="21"/>
      <c r="E17" s="22" t="s">
        <v>9</v>
      </c>
      <c r="F17" s="23">
        <v>0</v>
      </c>
      <c r="G17" s="23">
        <v>0</v>
      </c>
      <c r="H17" s="23">
        <v>0</v>
      </c>
      <c r="I17" s="23">
        <v>0</v>
      </c>
      <c r="J17" s="23">
        <v>233900</v>
      </c>
      <c r="K17" s="23">
        <v>88400</v>
      </c>
      <c r="L17" s="23">
        <v>205240</v>
      </c>
      <c r="M17" s="23">
        <v>0</v>
      </c>
      <c r="N17" s="23">
        <v>138240</v>
      </c>
      <c r="O17" s="23">
        <v>0</v>
      </c>
      <c r="P17" s="23">
        <v>565500</v>
      </c>
      <c r="Q17" s="23">
        <v>0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87"/>
      <c r="AK17" s="89">
        <f>SUM(F17:AI17)</f>
        <v>1231280</v>
      </c>
    </row>
    <row r="18" spans="2:899" hidden="1">
      <c r="B18" s="15"/>
      <c r="C18" s="24" t="s">
        <v>15</v>
      </c>
      <c r="D18" s="25"/>
      <c r="E18" s="26" t="s">
        <v>12</v>
      </c>
      <c r="F18" s="27" t="e">
        <f t="shared" ref="F18:AH18" si="6">((F17-F16)/F16)*100</f>
        <v>#DIV/0!</v>
      </c>
      <c r="G18" s="27" t="e">
        <f t="shared" si="6"/>
        <v>#DIV/0!</v>
      </c>
      <c r="H18" s="27" t="e">
        <f t="shared" si="6"/>
        <v>#DIV/0!</v>
      </c>
      <c r="I18" s="27" t="e">
        <f t="shared" si="6"/>
        <v>#DIV/0!</v>
      </c>
      <c r="J18" s="27">
        <f t="shared" si="6"/>
        <v>9.8429408995592063E-2</v>
      </c>
      <c r="K18" s="27">
        <f t="shared" si="6"/>
        <v>-7.912286650842093E-2</v>
      </c>
      <c r="L18" s="27">
        <f t="shared" si="6"/>
        <v>0.1073066042337333</v>
      </c>
      <c r="M18" s="27" t="e">
        <f t="shared" si="6"/>
        <v>#DIV/0!</v>
      </c>
      <c r="N18" s="27">
        <f t="shared" si="6"/>
        <v>-0.46082949308755761</v>
      </c>
      <c r="O18" s="27" t="e">
        <f t="shared" si="6"/>
        <v>#DIV/0!</v>
      </c>
      <c r="P18" s="27">
        <f t="shared" si="6"/>
        <v>-7.4215436810856655E-2</v>
      </c>
      <c r="Q18" s="27" t="e">
        <f t="shared" si="6"/>
        <v>#DIV/0!</v>
      </c>
      <c r="R18" s="27" t="e">
        <f t="shared" si="6"/>
        <v>#DIV/0!</v>
      </c>
      <c r="S18" s="27" t="e">
        <f t="shared" si="6"/>
        <v>#DIV/0!</v>
      </c>
      <c r="T18" s="27" t="e">
        <f t="shared" si="6"/>
        <v>#DIV/0!</v>
      </c>
      <c r="U18" s="27" t="e">
        <f t="shared" si="6"/>
        <v>#DIV/0!</v>
      </c>
      <c r="V18" s="27" t="e">
        <f t="shared" si="6"/>
        <v>#DIV/0!</v>
      </c>
      <c r="W18" s="27" t="e">
        <f t="shared" si="6"/>
        <v>#DIV/0!</v>
      </c>
      <c r="X18" s="27" t="e">
        <f t="shared" si="6"/>
        <v>#DIV/0!</v>
      </c>
      <c r="Y18" s="27" t="e">
        <f t="shared" si="6"/>
        <v>#DIV/0!</v>
      </c>
      <c r="Z18" s="27" t="e">
        <f t="shared" si="6"/>
        <v>#DIV/0!</v>
      </c>
      <c r="AA18" s="27" t="e">
        <f t="shared" si="6"/>
        <v>#DIV/0!</v>
      </c>
      <c r="AB18" s="27" t="e">
        <f t="shared" si="6"/>
        <v>#DIV/0!</v>
      </c>
      <c r="AC18" s="27" t="e">
        <f t="shared" si="6"/>
        <v>#DIV/0!</v>
      </c>
      <c r="AD18" s="27" t="e">
        <f t="shared" si="6"/>
        <v>#DIV/0!</v>
      </c>
      <c r="AE18" s="27" t="e">
        <f t="shared" ref="AE18:AG18" si="7">((AE17-AE16)/AE16)*100</f>
        <v>#DIV/0!</v>
      </c>
      <c r="AF18" s="27" t="e">
        <f t="shared" si="7"/>
        <v>#DIV/0!</v>
      </c>
      <c r="AG18" s="27" t="e">
        <f t="shared" si="7"/>
        <v>#DIV/0!</v>
      </c>
      <c r="AH18" s="27" t="e">
        <f t="shared" si="6"/>
        <v>#DIV/0!</v>
      </c>
      <c r="AI18" s="27" t="e">
        <f t="shared" ref="AI18" si="8">((AI17-AI16)/AI16)*100</f>
        <v>#DIV/0!</v>
      </c>
      <c r="AJ18" s="87"/>
      <c r="AK18" s="90">
        <f>((AK17-AK16)/AK16)*100</f>
        <v>-5.5196597292119877E-2</v>
      </c>
    </row>
    <row r="19" spans="2:899" hidden="1">
      <c r="B19" s="15"/>
      <c r="C19" s="28" t="s">
        <v>16</v>
      </c>
      <c r="D19" s="21"/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87"/>
      <c r="AK19" s="91" t="s">
        <v>17</v>
      </c>
    </row>
    <row r="20" spans="2:899" hidden="1">
      <c r="B20" s="15"/>
      <c r="C20" s="20" t="s">
        <v>8</v>
      </c>
      <c r="D20" s="21"/>
      <c r="E20" s="22" t="s">
        <v>9</v>
      </c>
      <c r="F20" s="23">
        <v>67650</v>
      </c>
      <c r="G20" s="23">
        <v>0</v>
      </c>
      <c r="H20" s="23">
        <v>65690</v>
      </c>
      <c r="I20" s="23">
        <v>32470</v>
      </c>
      <c r="J20" s="23">
        <v>81830</v>
      </c>
      <c r="K20" s="23">
        <v>80500</v>
      </c>
      <c r="L20" s="23">
        <v>82180</v>
      </c>
      <c r="M20" s="23">
        <v>79490</v>
      </c>
      <c r="N20" s="23">
        <v>0</v>
      </c>
      <c r="O20" s="23">
        <v>0</v>
      </c>
      <c r="P20" s="23">
        <v>0</v>
      </c>
      <c r="Q20" s="23">
        <v>0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87"/>
      <c r="AK20" s="89">
        <f>SUM(F20:AI20)</f>
        <v>489810</v>
      </c>
      <c r="AL20" s="87"/>
    </row>
    <row r="21" spans="2:899" hidden="1">
      <c r="B21" s="15"/>
      <c r="C21" s="20" t="s">
        <v>10</v>
      </c>
      <c r="D21" s="21"/>
      <c r="E21" s="22" t="s">
        <v>9</v>
      </c>
      <c r="F21" s="23">
        <v>67320</v>
      </c>
      <c r="G21" s="23">
        <v>0</v>
      </c>
      <c r="H21" s="23">
        <v>65380</v>
      </c>
      <c r="I21" s="23">
        <v>32250</v>
      </c>
      <c r="J21" s="23">
        <v>81790</v>
      </c>
      <c r="K21" s="23">
        <v>80550</v>
      </c>
      <c r="L21" s="23">
        <v>82050</v>
      </c>
      <c r="M21" s="23">
        <v>79410</v>
      </c>
      <c r="N21" s="23">
        <v>0</v>
      </c>
      <c r="O21" s="23">
        <v>0</v>
      </c>
      <c r="P21" s="23">
        <v>0</v>
      </c>
      <c r="Q21" s="23">
        <v>0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87"/>
      <c r="AK21" s="89">
        <f>SUM(F21:AI21)</f>
        <v>488750</v>
      </c>
    </row>
    <row r="22" spans="2:899" hidden="1">
      <c r="B22" s="15"/>
      <c r="C22" s="20" t="s">
        <v>11</v>
      </c>
      <c r="D22" s="21"/>
      <c r="E22" s="22" t="s">
        <v>12</v>
      </c>
      <c r="F22" s="29">
        <f t="shared" ref="F22:AH22" si="9">((F21-F20)/F20)*100</f>
        <v>-0.48780487804878048</v>
      </c>
      <c r="G22" s="29" t="e">
        <f t="shared" si="9"/>
        <v>#DIV/0!</v>
      </c>
      <c r="H22" s="29">
        <f t="shared" si="9"/>
        <v>-0.47191353326229257</v>
      </c>
      <c r="I22" s="29">
        <f t="shared" si="9"/>
        <v>-0.67754850631352015</v>
      </c>
      <c r="J22" s="29">
        <f t="shared" si="9"/>
        <v>-4.888182818037394E-2</v>
      </c>
      <c r="K22" s="29">
        <f t="shared" si="9"/>
        <v>6.2111801242236024E-2</v>
      </c>
      <c r="L22" s="29">
        <f t="shared" si="9"/>
        <v>-0.15818934047213434</v>
      </c>
      <c r="M22" s="29">
        <f t="shared" si="9"/>
        <v>-0.10064159013712416</v>
      </c>
      <c r="N22" s="29" t="e">
        <f t="shared" si="9"/>
        <v>#DIV/0!</v>
      </c>
      <c r="O22" s="29" t="e">
        <f t="shared" si="9"/>
        <v>#DIV/0!</v>
      </c>
      <c r="P22" s="29" t="e">
        <f t="shared" si="9"/>
        <v>#DIV/0!</v>
      </c>
      <c r="Q22" s="29" t="e">
        <f t="shared" si="9"/>
        <v>#DIV/0!</v>
      </c>
      <c r="R22" s="29" t="e">
        <f t="shared" si="9"/>
        <v>#DIV/0!</v>
      </c>
      <c r="S22" s="29" t="e">
        <f t="shared" si="9"/>
        <v>#DIV/0!</v>
      </c>
      <c r="T22" s="29" t="e">
        <f t="shared" si="9"/>
        <v>#DIV/0!</v>
      </c>
      <c r="U22" s="29" t="e">
        <f t="shared" si="9"/>
        <v>#DIV/0!</v>
      </c>
      <c r="V22" s="29" t="e">
        <f t="shared" si="9"/>
        <v>#DIV/0!</v>
      </c>
      <c r="W22" s="29" t="e">
        <f t="shared" si="9"/>
        <v>#DIV/0!</v>
      </c>
      <c r="X22" s="29" t="e">
        <f t="shared" si="9"/>
        <v>#DIV/0!</v>
      </c>
      <c r="Y22" s="29" t="e">
        <f t="shared" si="9"/>
        <v>#DIV/0!</v>
      </c>
      <c r="Z22" s="29" t="e">
        <f t="shared" si="9"/>
        <v>#DIV/0!</v>
      </c>
      <c r="AA22" s="29" t="e">
        <f t="shared" si="9"/>
        <v>#DIV/0!</v>
      </c>
      <c r="AB22" s="29" t="e">
        <f t="shared" si="9"/>
        <v>#DIV/0!</v>
      </c>
      <c r="AC22" s="29" t="e">
        <f t="shared" si="9"/>
        <v>#DIV/0!</v>
      </c>
      <c r="AD22" s="29" t="e">
        <f t="shared" si="9"/>
        <v>#DIV/0!</v>
      </c>
      <c r="AE22" s="29" t="e">
        <f t="shared" ref="AE22:AG22" si="10">((AE21-AE20)/AE20)*100</f>
        <v>#DIV/0!</v>
      </c>
      <c r="AF22" s="29" t="e">
        <f t="shared" si="10"/>
        <v>#DIV/0!</v>
      </c>
      <c r="AG22" s="29" t="e">
        <f t="shared" si="10"/>
        <v>#DIV/0!</v>
      </c>
      <c r="AH22" s="29" t="e">
        <f t="shared" si="9"/>
        <v>#DIV/0!</v>
      </c>
      <c r="AI22" s="29" t="e">
        <f t="shared" ref="AI22" si="11">((AI21-AI20)/AI20)*100</f>
        <v>#DIV/0!</v>
      </c>
      <c r="AJ22" s="92"/>
      <c r="AK22" s="93">
        <f>((AK21-AK20)/AK20)*100</f>
        <v>-0.21641044486637676</v>
      </c>
      <c r="GO22" s="270" t="s">
        <v>145</v>
      </c>
    </row>
    <row r="23" spans="2:899" hidden="1">
      <c r="B23" s="15"/>
      <c r="C23" s="16" t="s">
        <v>124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87"/>
      <c r="AK23" s="91" t="s">
        <v>17</v>
      </c>
    </row>
    <row r="24" spans="2:899" hidden="1">
      <c r="B24" s="15"/>
      <c r="C24" s="20" t="s">
        <v>8</v>
      </c>
      <c r="D24" s="21"/>
      <c r="E24" s="22" t="s">
        <v>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87"/>
      <c r="AK24" s="89">
        <f>SUM(F24:AI24)</f>
        <v>0</v>
      </c>
    </row>
    <row r="25" spans="2:899" hidden="1">
      <c r="B25" s="15"/>
      <c r="C25" s="20" t="s">
        <v>10</v>
      </c>
      <c r="D25" s="21"/>
      <c r="E25" s="22" t="s">
        <v>9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87"/>
      <c r="AK25" s="89">
        <f>SUM(F25:AI25)</f>
        <v>0</v>
      </c>
    </row>
    <row r="26" spans="2:899" hidden="1">
      <c r="B26" s="15"/>
      <c r="C26" s="24" t="s">
        <v>11</v>
      </c>
      <c r="D26" s="25"/>
      <c r="E26" s="26" t="s">
        <v>12</v>
      </c>
      <c r="F26" s="27" t="e">
        <f t="shared" ref="F26:AH26" si="12">((F25-F24)/F24)*100</f>
        <v>#DIV/0!</v>
      </c>
      <c r="G26" s="27" t="e">
        <f t="shared" si="12"/>
        <v>#DIV/0!</v>
      </c>
      <c r="H26" s="27" t="e">
        <f t="shared" si="12"/>
        <v>#DIV/0!</v>
      </c>
      <c r="I26" s="27" t="e">
        <f t="shared" si="12"/>
        <v>#DIV/0!</v>
      </c>
      <c r="J26" s="27" t="e">
        <f t="shared" si="12"/>
        <v>#DIV/0!</v>
      </c>
      <c r="K26" s="27" t="e">
        <f t="shared" si="12"/>
        <v>#DIV/0!</v>
      </c>
      <c r="L26" s="27" t="e">
        <f t="shared" si="12"/>
        <v>#DIV/0!</v>
      </c>
      <c r="M26" s="27" t="e">
        <f t="shared" si="12"/>
        <v>#DIV/0!</v>
      </c>
      <c r="N26" s="27" t="e">
        <f t="shared" si="12"/>
        <v>#DIV/0!</v>
      </c>
      <c r="O26" s="27" t="e">
        <f t="shared" si="12"/>
        <v>#DIV/0!</v>
      </c>
      <c r="P26" s="27" t="e">
        <f t="shared" si="12"/>
        <v>#DIV/0!</v>
      </c>
      <c r="Q26" s="27" t="e">
        <f t="shared" si="12"/>
        <v>#DIV/0!</v>
      </c>
      <c r="R26" s="27" t="e">
        <f t="shared" si="12"/>
        <v>#DIV/0!</v>
      </c>
      <c r="S26" s="27" t="e">
        <f t="shared" si="12"/>
        <v>#DIV/0!</v>
      </c>
      <c r="T26" s="27" t="e">
        <f t="shared" si="12"/>
        <v>#DIV/0!</v>
      </c>
      <c r="U26" s="27" t="e">
        <f t="shared" si="12"/>
        <v>#DIV/0!</v>
      </c>
      <c r="V26" s="27" t="e">
        <f t="shared" si="12"/>
        <v>#DIV/0!</v>
      </c>
      <c r="W26" s="27" t="e">
        <f t="shared" si="12"/>
        <v>#DIV/0!</v>
      </c>
      <c r="X26" s="27" t="e">
        <f t="shared" si="12"/>
        <v>#DIV/0!</v>
      </c>
      <c r="Y26" s="27" t="e">
        <f t="shared" si="12"/>
        <v>#DIV/0!</v>
      </c>
      <c r="Z26" s="27" t="e">
        <f t="shared" si="12"/>
        <v>#DIV/0!</v>
      </c>
      <c r="AA26" s="27" t="e">
        <f t="shared" si="12"/>
        <v>#DIV/0!</v>
      </c>
      <c r="AB26" s="27" t="e">
        <f t="shared" si="12"/>
        <v>#DIV/0!</v>
      </c>
      <c r="AC26" s="27" t="e">
        <f t="shared" si="12"/>
        <v>#DIV/0!</v>
      </c>
      <c r="AD26" s="27" t="e">
        <f t="shared" si="12"/>
        <v>#DIV/0!</v>
      </c>
      <c r="AE26" s="27" t="e">
        <f t="shared" ref="AE26:AG26" si="13">((AE25-AE24)/AE24)*100</f>
        <v>#DIV/0!</v>
      </c>
      <c r="AF26" s="27" t="e">
        <f t="shared" si="13"/>
        <v>#DIV/0!</v>
      </c>
      <c r="AG26" s="27" t="e">
        <f t="shared" si="13"/>
        <v>#DIV/0!</v>
      </c>
      <c r="AH26" s="27" t="e">
        <f t="shared" si="12"/>
        <v>#DIV/0!</v>
      </c>
      <c r="AI26" s="27" t="e">
        <f t="shared" ref="AI26" si="14">((AI25-AI24)/AI24)*100</f>
        <v>#DIV/0!</v>
      </c>
      <c r="AJ26" s="92"/>
      <c r="AK26" s="93" t="e">
        <f>((AK25-AK24)/AK24)*100</f>
        <v>#DIV/0!</v>
      </c>
      <c r="DC26" s="87"/>
    </row>
    <row r="27" spans="2:899" hidden="1">
      <c r="B27" s="15"/>
      <c r="C27" s="30" t="s">
        <v>18</v>
      </c>
      <c r="D27" s="31"/>
      <c r="E27" s="32" t="s">
        <v>9</v>
      </c>
      <c r="F27" s="243">
        <f>SUM(F9,F17,F21)+F13+F25</f>
        <v>2836130</v>
      </c>
      <c r="G27" s="243">
        <f t="shared" ref="G27:AH27" si="15">SUM(G9,G17,G21)+G13+G25</f>
        <v>1699190</v>
      </c>
      <c r="H27" s="33">
        <f t="shared" si="15"/>
        <v>851420</v>
      </c>
      <c r="I27" s="33">
        <f t="shared" si="15"/>
        <v>1554590</v>
      </c>
      <c r="J27" s="33">
        <f t="shared" si="15"/>
        <v>2327159</v>
      </c>
      <c r="K27" s="33">
        <f t="shared" si="15"/>
        <v>1418990</v>
      </c>
      <c r="L27" s="33">
        <f t="shared" si="15"/>
        <v>1571860</v>
      </c>
      <c r="M27" s="243">
        <f t="shared" si="15"/>
        <v>1126440</v>
      </c>
      <c r="N27" s="33">
        <f>SUM(N9,N17,N21)+N13+N25</f>
        <v>2467278</v>
      </c>
      <c r="O27" s="33">
        <f t="shared" si="15"/>
        <v>533710</v>
      </c>
      <c r="P27" s="33">
        <f t="shared" si="15"/>
        <v>1645550</v>
      </c>
      <c r="Q27" s="33">
        <f t="shared" si="15"/>
        <v>1806437</v>
      </c>
      <c r="R27" s="33">
        <f t="shared" si="15"/>
        <v>0</v>
      </c>
      <c r="S27" s="33">
        <f t="shared" si="15"/>
        <v>0</v>
      </c>
      <c r="T27" s="33">
        <f t="shared" si="15"/>
        <v>0</v>
      </c>
      <c r="U27" s="33">
        <f t="shared" si="15"/>
        <v>0</v>
      </c>
      <c r="V27" s="33">
        <f t="shared" si="15"/>
        <v>0</v>
      </c>
      <c r="W27" s="33">
        <f t="shared" si="15"/>
        <v>0</v>
      </c>
      <c r="X27" s="243">
        <f t="shared" si="15"/>
        <v>0</v>
      </c>
      <c r="Y27" s="33">
        <f>SUM(Y9,Y17,Y21)+Y13+Y25</f>
        <v>0</v>
      </c>
      <c r="Z27" s="243">
        <f t="shared" si="15"/>
        <v>0</v>
      </c>
      <c r="AA27" s="244">
        <f>SUM(AA9,AA17,AA21)+AA13+AA25</f>
        <v>0</v>
      </c>
      <c r="AB27" s="33">
        <f t="shared" si="15"/>
        <v>0</v>
      </c>
      <c r="AC27" s="33">
        <f t="shared" si="15"/>
        <v>0</v>
      </c>
      <c r="AD27" s="33">
        <f t="shared" si="15"/>
        <v>0</v>
      </c>
      <c r="AE27" s="33">
        <f>SUM(AE9,AE17,AE21)+AE13+AE25</f>
        <v>0</v>
      </c>
      <c r="AF27" s="33">
        <f t="shared" ref="AF27" si="16">SUM(AF9,AF17,AF21)+AF13+AF25</f>
        <v>0</v>
      </c>
      <c r="AG27" s="244">
        <f>SUM(AG9,AG17,AG21)+AG13+AG25</f>
        <v>0</v>
      </c>
      <c r="AH27" s="33">
        <f t="shared" si="15"/>
        <v>0</v>
      </c>
      <c r="AI27" s="33">
        <f t="shared" ref="AI27" si="17">SUM(AI9,AI17,AI21)+AI13+AI25</f>
        <v>0</v>
      </c>
      <c r="AJ27" s="87"/>
      <c r="AK27" s="94">
        <f>SUM(AK9,AK17,AK21)+AK13+AK25</f>
        <v>19838754</v>
      </c>
      <c r="AL27" s="87"/>
      <c r="AM27" s="10">
        <f>AK27/AK30/1000</f>
        <v>1526.058</v>
      </c>
      <c r="GO27" s="322" t="s">
        <v>142</v>
      </c>
      <c r="GP27" s="323"/>
      <c r="GQ27" s="319" t="s">
        <v>143</v>
      </c>
      <c r="GR27" s="320"/>
      <c r="GS27" s="321"/>
    </row>
    <row r="28" spans="2:899" ht="15" thickBot="1">
      <c r="B28" s="34">
        <v>2</v>
      </c>
      <c r="C28" s="16" t="s">
        <v>19</v>
      </c>
      <c r="D28" s="35"/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83"/>
      <c r="AD28" s="36"/>
      <c r="AE28" s="36"/>
      <c r="AF28" s="36"/>
      <c r="AG28" s="36"/>
      <c r="AH28" s="36"/>
      <c r="AI28" s="36"/>
      <c r="AJ28" s="87"/>
      <c r="AK28" s="174" t="s">
        <v>20</v>
      </c>
      <c r="AN28" s="1">
        <v>1796</v>
      </c>
      <c r="GO28" s="324"/>
      <c r="GP28" s="325"/>
      <c r="GQ28" s="266">
        <v>29</v>
      </c>
      <c r="GR28" s="267">
        <v>30</v>
      </c>
      <c r="GS28" s="268">
        <v>31</v>
      </c>
    </row>
    <row r="29" spans="2:899">
      <c r="B29" s="37"/>
      <c r="C29" s="38" t="s">
        <v>21</v>
      </c>
      <c r="D29" s="17"/>
      <c r="E29" s="18"/>
      <c r="F29" s="39"/>
      <c r="G29" s="207"/>
      <c r="H29" s="39"/>
      <c r="I29" s="39"/>
      <c r="J29" s="80"/>
      <c r="K29" s="39"/>
      <c r="L29" s="39"/>
      <c r="M29" s="39"/>
      <c r="N29" s="39"/>
      <c r="O29" s="39"/>
      <c r="P29" s="39"/>
      <c r="Q29" s="39"/>
      <c r="R29" s="39"/>
      <c r="S29" s="39"/>
      <c r="T29" s="80"/>
      <c r="U29" s="81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87"/>
      <c r="AK29" s="95" t="s">
        <v>21</v>
      </c>
      <c r="AN29" s="87">
        <f>Q31/1000</f>
        <v>1175.19</v>
      </c>
      <c r="AO29" s="9">
        <f>AN29/AN28*100</f>
        <v>65.433741648106903</v>
      </c>
      <c r="GO29" s="248" t="s">
        <v>136</v>
      </c>
      <c r="GP29" s="7" t="s">
        <v>9</v>
      </c>
      <c r="GQ29" s="263">
        <v>1971319.99999999</v>
      </c>
      <c r="GR29" s="249">
        <v>2015120.0000000098</v>
      </c>
      <c r="GS29" s="250">
        <v>2015230</v>
      </c>
    </row>
    <row r="30" spans="2:899">
      <c r="B30" s="37"/>
      <c r="C30" s="20" t="s">
        <v>22</v>
      </c>
      <c r="D30" s="21"/>
      <c r="E30" s="22" t="s">
        <v>23</v>
      </c>
      <c r="F30" s="40">
        <v>1</v>
      </c>
      <c r="G30" s="40">
        <v>1</v>
      </c>
      <c r="H30" s="40">
        <v>1</v>
      </c>
      <c r="I30" s="40">
        <v>1</v>
      </c>
      <c r="J30" s="40">
        <v>1</v>
      </c>
      <c r="K30" s="40">
        <v>1</v>
      </c>
      <c r="L30" s="40">
        <v>1</v>
      </c>
      <c r="M30" s="40">
        <v>1</v>
      </c>
      <c r="N30" s="40">
        <v>1</v>
      </c>
      <c r="O30" s="40">
        <v>1</v>
      </c>
      <c r="P30" s="40">
        <v>1</v>
      </c>
      <c r="Q30" s="40">
        <v>1</v>
      </c>
      <c r="R30" s="40">
        <v>1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87"/>
      <c r="AK30" s="96">
        <f>SUM(F30:AI30)</f>
        <v>13</v>
      </c>
      <c r="AL30" s="10"/>
      <c r="AM30" s="286"/>
      <c r="AN30" s="219"/>
      <c r="AO30" s="219">
        <v>55688.622754491022</v>
      </c>
      <c r="GO30" s="248"/>
      <c r="GQ30" s="263"/>
      <c r="GR30" s="249"/>
      <c r="GS30" s="250"/>
      <c r="IX30" s="87"/>
      <c r="SB30" s="219" t="s">
        <v>161</v>
      </c>
    </row>
    <row r="31" spans="2:899" s="1" customFormat="1" ht="13.8">
      <c r="B31" s="37"/>
      <c r="C31" s="41" t="s">
        <v>24</v>
      </c>
      <c r="D31" s="42"/>
      <c r="E31" s="43" t="s">
        <v>9</v>
      </c>
      <c r="F31" s="44">
        <v>2098190</v>
      </c>
      <c r="G31" s="44">
        <v>2077260</v>
      </c>
      <c r="H31" s="44">
        <v>1654440</v>
      </c>
      <c r="I31" s="44">
        <v>2159530</v>
      </c>
      <c r="J31" s="44">
        <v>1669470</v>
      </c>
      <c r="K31" s="44">
        <v>1560220</v>
      </c>
      <c r="L31" s="44">
        <v>1560120</v>
      </c>
      <c r="M31" s="44">
        <f>1561.26999999999*1000</f>
        <v>1561269.99999999</v>
      </c>
      <c r="N31" s="44">
        <v>1545560</v>
      </c>
      <c r="O31" s="44">
        <v>1429500</v>
      </c>
      <c r="P31" s="44">
        <f>1344.83000000002*1000</f>
        <v>1344830.00000002</v>
      </c>
      <c r="Q31" s="44">
        <v>1175190</v>
      </c>
      <c r="R31" s="44">
        <v>1487169.9999999858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44">
        <v>0</v>
      </c>
      <c r="AJ31" s="97"/>
      <c r="AK31" s="96">
        <f>SUM(F31:AI31)</f>
        <v>21322749.999999996</v>
      </c>
      <c r="AL31" s="98"/>
      <c r="AM31" s="98">
        <f>AK31/1000/AK30</f>
        <v>1640.2115384615381</v>
      </c>
      <c r="AN31" s="87">
        <f>AK31</f>
        <v>21322749.999999996</v>
      </c>
      <c r="AO31" s="87">
        <f>AN34</f>
        <v>21322.749999999996</v>
      </c>
      <c r="CO31" s="204"/>
      <c r="EA31" s="203"/>
      <c r="EB31" s="203"/>
      <c r="FH31" s="203"/>
      <c r="GO31" s="251" t="s">
        <v>139</v>
      </c>
      <c r="GP31" s="252" t="s">
        <v>85</v>
      </c>
      <c r="GQ31" s="264">
        <v>251.19641540408293</v>
      </c>
      <c r="GR31" s="253">
        <v>257.91391043490887</v>
      </c>
      <c r="GS31" s="254">
        <v>251.5126532332811</v>
      </c>
      <c r="GT31" s="203"/>
      <c r="IW31" s="219"/>
      <c r="IX31" s="87"/>
      <c r="MR31" s="203"/>
      <c r="MS31" s="203"/>
      <c r="MT31" s="219"/>
      <c r="MU31" s="203"/>
      <c r="RY31" s="203">
        <v>26946.10778443114</v>
      </c>
      <c r="RZ31" s="203">
        <v>17383.233532934133</v>
      </c>
      <c r="SB31" s="203" t="s">
        <v>151</v>
      </c>
      <c r="SP31" s="206"/>
      <c r="ST31" s="203"/>
      <c r="UW31" s="206"/>
      <c r="AHO31" s="219">
        <f>35.8500000000058*1000</f>
        <v>35850.000000005799</v>
      </c>
    </row>
    <row r="32" spans="2:899" s="1" customFormat="1" ht="13.8" hidden="1">
      <c r="B32" s="37"/>
      <c r="C32" s="41" t="s">
        <v>25</v>
      </c>
      <c r="D32" s="42"/>
      <c r="E32" s="43" t="s">
        <v>9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97"/>
      <c r="AK32" s="89">
        <f>SUM(F32:AI32)</f>
        <v>0</v>
      </c>
      <c r="AL32" s="98"/>
      <c r="AM32" s="98"/>
      <c r="EA32" s="203"/>
      <c r="EB32" s="203"/>
      <c r="FH32" s="203"/>
      <c r="GO32" s="248"/>
      <c r="GP32" s="7"/>
      <c r="GQ32" s="271"/>
      <c r="GR32" s="255"/>
      <c r="GS32" s="256"/>
      <c r="GT32" s="203"/>
      <c r="IW32" s="203"/>
      <c r="MR32" s="203"/>
      <c r="MS32" s="203"/>
      <c r="MT32" s="203"/>
      <c r="MU32" s="203"/>
      <c r="RY32" s="203"/>
      <c r="RZ32" s="203"/>
      <c r="SB32" s="203"/>
      <c r="SP32" s="206"/>
      <c r="ST32" s="203"/>
      <c r="UW32" s="206"/>
    </row>
    <row r="33" spans="1:15085" s="2" customFormat="1" ht="13.8">
      <c r="B33" s="45"/>
      <c r="C33" s="175" t="s">
        <v>26</v>
      </c>
      <c r="D33" s="46">
        <v>5</v>
      </c>
      <c r="E33" s="47" t="s">
        <v>12</v>
      </c>
      <c r="F33" s="48">
        <v>4.2</v>
      </c>
      <c r="G33" s="48">
        <v>4.2300000000000004</v>
      </c>
      <c r="H33" s="48">
        <v>4.25</v>
      </c>
      <c r="I33" s="48">
        <v>4.25</v>
      </c>
      <c r="J33" s="48">
        <v>4.25</v>
      </c>
      <c r="K33" s="48">
        <v>4.26</v>
      </c>
      <c r="L33" s="48">
        <v>4.25</v>
      </c>
      <c r="M33" s="48">
        <v>4.29</v>
      </c>
      <c r="N33" s="48">
        <v>4.26</v>
      </c>
      <c r="O33" s="48">
        <v>4.25</v>
      </c>
      <c r="P33" s="48">
        <v>4.2300000000000004</v>
      </c>
      <c r="Q33" s="48">
        <v>4.26</v>
      </c>
      <c r="R33" s="48">
        <v>4.22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48">
        <v>0</v>
      </c>
      <c r="AC33" s="48">
        <v>0</v>
      </c>
      <c r="AD33" s="48">
        <v>0</v>
      </c>
      <c r="AE33" s="48">
        <v>0</v>
      </c>
      <c r="AF33" s="48">
        <v>0</v>
      </c>
      <c r="AG33" s="48">
        <v>0</v>
      </c>
      <c r="AH33" s="48">
        <v>0</v>
      </c>
      <c r="AI33" s="48">
        <v>0</v>
      </c>
      <c r="AK33" s="99">
        <f>AVERAGE(F33:R33)</f>
        <v>4.2461538461538462</v>
      </c>
      <c r="AL33" s="218"/>
      <c r="AM33" s="100"/>
      <c r="AN33" s="285">
        <f>AN31-AN30</f>
        <v>21322749.999999996</v>
      </c>
      <c r="AO33" s="220">
        <f>AO31/AO30*100</f>
        <v>38.289239247311819</v>
      </c>
      <c r="AP33" s="226"/>
      <c r="AS33" s="226"/>
      <c r="EA33" s="218"/>
      <c r="EB33" s="218"/>
      <c r="FH33" s="218"/>
      <c r="GO33" s="248" t="s">
        <v>137</v>
      </c>
      <c r="GP33" s="7" t="s">
        <v>9</v>
      </c>
      <c r="GQ33" s="263">
        <v>182229.99999999956</v>
      </c>
      <c r="GR33" s="249">
        <v>190069.99999999971</v>
      </c>
      <c r="GS33" s="250">
        <v>197800.00000000111</v>
      </c>
      <c r="GT33" s="218"/>
      <c r="IW33" s="218"/>
      <c r="IX33" s="218"/>
      <c r="MR33" s="218"/>
      <c r="MS33" s="218"/>
      <c r="MT33" s="283"/>
      <c r="MU33" s="218"/>
      <c r="RY33" s="218">
        <f>AK31/1000</f>
        <v>21322.749999999996</v>
      </c>
      <c r="RZ33" s="218">
        <f>(AK40+AK50+AK45)/1000</f>
        <v>15314.999999999989</v>
      </c>
      <c r="SB33" s="218">
        <f>SUM(SB34:SB35)</f>
        <v>1321.6999999999891</v>
      </c>
      <c r="SP33" s="295"/>
      <c r="ST33" s="218"/>
      <c r="UW33" s="295"/>
    </row>
    <row r="34" spans="1:15085" s="1" customFormat="1" thickBot="1">
      <c r="B34" s="37"/>
      <c r="C34" s="176" t="s">
        <v>27</v>
      </c>
      <c r="D34" s="49">
        <v>0.5</v>
      </c>
      <c r="E34" s="50" t="s">
        <v>12</v>
      </c>
      <c r="F34" s="48">
        <v>0.4</v>
      </c>
      <c r="G34" s="48">
        <v>0.41</v>
      </c>
      <c r="H34" s="48">
        <v>0.41</v>
      </c>
      <c r="I34" s="48">
        <v>0.41</v>
      </c>
      <c r="J34" s="48">
        <v>0.4</v>
      </c>
      <c r="K34" s="48">
        <v>0.4</v>
      </c>
      <c r="L34" s="48">
        <v>0.4</v>
      </c>
      <c r="M34" s="48">
        <v>0.4</v>
      </c>
      <c r="N34" s="48">
        <v>0.4</v>
      </c>
      <c r="O34" s="48">
        <v>0.4</v>
      </c>
      <c r="P34" s="48">
        <v>0.4</v>
      </c>
      <c r="Q34" s="48">
        <v>0.41</v>
      </c>
      <c r="R34" s="48">
        <v>0.4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</v>
      </c>
      <c r="AH34" s="48">
        <v>0</v>
      </c>
      <c r="AI34" s="48">
        <v>0</v>
      </c>
      <c r="AJ34" s="97"/>
      <c r="AK34" s="99">
        <f t="shared" ref="AK34:AK35" si="18">AVERAGE(F34:R34)</f>
        <v>0.40307692307692311</v>
      </c>
      <c r="AM34" s="98"/>
      <c r="AN34" s="87">
        <f>AN33/1000</f>
        <v>21322.749999999996</v>
      </c>
      <c r="AS34" s="226"/>
      <c r="CO34" s="204"/>
      <c r="EA34" s="203"/>
      <c r="EB34" s="203"/>
      <c r="FH34" s="203"/>
      <c r="GO34" s="257"/>
      <c r="GP34" s="258" t="s">
        <v>138</v>
      </c>
      <c r="GQ34" s="272">
        <f>GQ33/(GQ29/1000)</f>
        <v>92.44059817787091</v>
      </c>
      <c r="GR34" s="259">
        <f>GR33/(GR29/1000)</f>
        <v>94.321926237642813</v>
      </c>
      <c r="GS34" s="260">
        <f>GS33/(GS29/1000)</f>
        <v>98.152568193209262</v>
      </c>
      <c r="GT34" s="203"/>
      <c r="IW34" s="203"/>
      <c r="MR34" s="203"/>
      <c r="MS34" s="218"/>
      <c r="MT34" s="203"/>
      <c r="MU34" s="203"/>
      <c r="RY34" s="294"/>
      <c r="RZ34" s="294"/>
      <c r="SB34" s="294">
        <f>R41/1000</f>
        <v>1098.3999999999901</v>
      </c>
      <c r="SC34" s="206">
        <f>SB34/SB33*100</f>
        <v>83.105091927063569</v>
      </c>
      <c r="SP34" s="206"/>
      <c r="ST34" s="203"/>
      <c r="UW34" s="206"/>
    </row>
    <row r="35" spans="1:15085" s="1" customFormat="1" ht="13.8">
      <c r="B35" s="37"/>
      <c r="C35" s="176" t="s">
        <v>28</v>
      </c>
      <c r="D35" s="51" t="s">
        <v>29</v>
      </c>
      <c r="E35" s="50" t="s">
        <v>12</v>
      </c>
      <c r="F35" s="48">
        <v>2.23</v>
      </c>
      <c r="G35" s="48">
        <v>2.2200000000000002</v>
      </c>
      <c r="H35" s="48">
        <v>2.2200000000000002</v>
      </c>
      <c r="I35" s="48">
        <v>2.2200000000000002</v>
      </c>
      <c r="J35" s="48">
        <v>2.2200000000000002</v>
      </c>
      <c r="K35" s="48">
        <v>2.2200000000000002</v>
      </c>
      <c r="L35" s="48">
        <v>2.2400000000000002</v>
      </c>
      <c r="M35" s="48">
        <v>2.21</v>
      </c>
      <c r="N35" s="48">
        <v>2.2200000000000002</v>
      </c>
      <c r="O35" s="48">
        <v>2.21</v>
      </c>
      <c r="P35" s="48">
        <v>2.21</v>
      </c>
      <c r="Q35" s="52">
        <v>2.2200000000000002</v>
      </c>
      <c r="R35" s="48">
        <v>2.21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  <c r="AA35" s="48">
        <v>0</v>
      </c>
      <c r="AB35" s="48">
        <v>0</v>
      </c>
      <c r="AC35" s="48">
        <v>0</v>
      </c>
      <c r="AD35" s="48">
        <v>0</v>
      </c>
      <c r="AE35" s="48">
        <v>0</v>
      </c>
      <c r="AF35" s="48">
        <v>0</v>
      </c>
      <c r="AG35" s="48">
        <v>0</v>
      </c>
      <c r="AH35" s="48">
        <v>0</v>
      </c>
      <c r="AI35" s="48">
        <v>0</v>
      </c>
      <c r="AJ35" s="97"/>
      <c r="AK35" s="99">
        <f t="shared" si="18"/>
        <v>2.2192307692307693</v>
      </c>
      <c r="AL35" s="218"/>
      <c r="AM35" s="98"/>
      <c r="AN35" s="87">
        <f>AO31-AN34</f>
        <v>0</v>
      </c>
      <c r="AO35" s="204">
        <f>AO30-AO31</f>
        <v>34365.872754491022</v>
      </c>
      <c r="AP35" s="226"/>
      <c r="AS35" s="226"/>
      <c r="EA35" s="203"/>
      <c r="EB35" s="203"/>
      <c r="FH35" s="203"/>
      <c r="GT35" s="203"/>
      <c r="IW35" s="203"/>
      <c r="MR35" s="203"/>
      <c r="MS35" s="203"/>
      <c r="MT35" s="203"/>
      <c r="MU35" s="203"/>
      <c r="RY35" s="203">
        <f>SUM(RY33:RY34)</f>
        <v>21322.749999999996</v>
      </c>
      <c r="RZ35" s="203">
        <f>SUM(RZ33:RZ34)</f>
        <v>15314.999999999989</v>
      </c>
      <c r="SB35" s="294">
        <f>R42/1000</f>
        <v>223.29999999999899</v>
      </c>
      <c r="SC35" s="206">
        <f>SB35/SB33*100</f>
        <v>16.894908072936431</v>
      </c>
      <c r="SP35" s="206"/>
      <c r="ST35" s="203"/>
      <c r="UW35" s="206"/>
    </row>
    <row r="36" spans="1:15085" s="1" customFormat="1">
      <c r="B36" s="37"/>
      <c r="C36" s="53" t="s">
        <v>30</v>
      </c>
      <c r="D36" s="54"/>
      <c r="E36" s="55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101"/>
      <c r="AK36" s="102" t="s">
        <v>30</v>
      </c>
      <c r="AL36" s="98"/>
      <c r="AM36" s="98"/>
      <c r="AO36" s="203">
        <f>31-12</f>
        <v>19</v>
      </c>
      <c r="EA36" s="203"/>
      <c r="EB36" s="203"/>
      <c r="FH36" s="203"/>
      <c r="GP36" s="7"/>
      <c r="GQ36" s="203"/>
      <c r="GR36" s="203"/>
      <c r="GS36" s="203"/>
      <c r="GT36" s="203"/>
      <c r="IW36" s="203"/>
      <c r="MR36" s="203"/>
      <c r="MS36" s="203"/>
      <c r="MT36" s="203"/>
      <c r="MU36" s="203"/>
      <c r="RY36" s="206">
        <f>RY35/RY31*100</f>
        <v>79.131094444444429</v>
      </c>
      <c r="RZ36" s="206">
        <f>RZ35/RZ31*100</f>
        <v>88.102135721667167</v>
      </c>
      <c r="SB36" s="203"/>
      <c r="SP36" s="206"/>
      <c r="ST36" s="203"/>
      <c r="UW36" s="206"/>
      <c r="AHQ36" s="11" t="s">
        <v>175</v>
      </c>
      <c r="AHR36" s="11"/>
      <c r="AHS36" s="11"/>
      <c r="AHT36" s="11"/>
      <c r="AHU36" s="11"/>
      <c r="AHV36" s="11"/>
      <c r="AHW36" s="11"/>
      <c r="AHX36" s="11"/>
      <c r="AHY36" s="11"/>
      <c r="AHZ36" s="11"/>
      <c r="AIA36" s="7" t="s">
        <v>174</v>
      </c>
      <c r="AIB36" s="11" t="s">
        <v>176</v>
      </c>
    </row>
    <row r="37" spans="1:15085" s="1" customFormat="1" ht="15" thickBot="1">
      <c r="B37" s="50"/>
      <c r="C37" s="177" t="s">
        <v>31</v>
      </c>
      <c r="D37" s="42">
        <f>D55%*D31</f>
        <v>0</v>
      </c>
      <c r="E37" s="178" t="s">
        <v>9</v>
      </c>
      <c r="F37" s="44">
        <v>1996000</v>
      </c>
      <c r="G37" s="44">
        <v>1974470</v>
      </c>
      <c r="H37" s="44">
        <f>1571.43999999997*1000</f>
        <v>1571439.99999997</v>
      </c>
      <c r="I37" s="44">
        <f>2055.17000000001*1000</f>
        <v>2055170.00000001</v>
      </c>
      <c r="J37" s="44">
        <f>1588.32999999999*1000</f>
        <v>1588329.99999999</v>
      </c>
      <c r="K37" s="44">
        <f>1483.33000000002*1000</f>
        <v>1483330.00000002</v>
      </c>
      <c r="L37" s="44">
        <v>1485910</v>
      </c>
      <c r="M37" s="44">
        <v>1485530</v>
      </c>
      <c r="N37" s="217">
        <v>1470160</v>
      </c>
      <c r="O37" s="217">
        <f>1361.84999999998*1000</f>
        <v>1361849.99999998</v>
      </c>
      <c r="P37" s="217">
        <f>1281.83000000002*1000</f>
        <v>1281830.00000002</v>
      </c>
      <c r="Q37" s="44">
        <v>1118440</v>
      </c>
      <c r="R37" s="44">
        <v>1417007.8800000155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4">
        <v>0</v>
      </c>
      <c r="AJ37" s="97"/>
      <c r="AK37" s="96">
        <f>SUM(F37:AI37)</f>
        <v>20289467.880000003</v>
      </c>
      <c r="AL37" s="10"/>
      <c r="AM37" s="10"/>
      <c r="AN37" s="87">
        <f>AK37</f>
        <v>20289467.880000003</v>
      </c>
      <c r="AO37" s="204">
        <f>AO35/AO36</f>
        <v>1808.7301449732117</v>
      </c>
      <c r="BJ37" s="87"/>
      <c r="EA37" s="219"/>
      <c r="EB37" s="219"/>
      <c r="EC37" s="87">
        <f>AM37/1000</f>
        <v>0</v>
      </c>
      <c r="FH37" s="219"/>
      <c r="GO37" s="270" t="s">
        <v>144</v>
      </c>
      <c r="GP37" s="7"/>
      <c r="GQ37" s="219"/>
      <c r="GR37" s="219"/>
      <c r="GS37" s="219"/>
      <c r="GT37" s="219"/>
      <c r="IW37" s="219"/>
      <c r="MR37" s="219"/>
      <c r="MS37" s="219"/>
      <c r="MT37" s="219"/>
      <c r="MU37" s="219"/>
      <c r="RY37" s="219"/>
      <c r="RZ37" s="219"/>
      <c r="SB37" s="219"/>
      <c r="SP37" s="240"/>
      <c r="ST37" s="219"/>
      <c r="UW37" s="240"/>
      <c r="AHO37" s="219">
        <v>136359.999999986</v>
      </c>
      <c r="AHP37" s="219">
        <v>109339.999999997</v>
      </c>
      <c r="AHQ37" s="314">
        <f>SUM(AHO37:AHP37)</f>
        <v>245699.999999983</v>
      </c>
      <c r="AIA37" s="219">
        <v>34157.880000005527</v>
      </c>
      <c r="AIB37" s="314">
        <f>AHQ37-AIA37</f>
        <v>211542.11999997747</v>
      </c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</row>
    <row r="38" spans="1:15085" s="1" customFormat="1">
      <c r="B38" s="50"/>
      <c r="C38" s="177" t="s">
        <v>32</v>
      </c>
      <c r="D38" s="42">
        <f>D56%*D31</f>
        <v>0</v>
      </c>
      <c r="E38" s="178" t="s">
        <v>9</v>
      </c>
      <c r="F38" s="44">
        <f>87.4700000000003*1000</f>
        <v>87470.000000000291</v>
      </c>
      <c r="G38" s="44">
        <f>86.8699999999999*1000</f>
        <v>86869.999999999898</v>
      </c>
      <c r="H38" s="44">
        <f>70.5300000000007*1000</f>
        <v>70530.000000000698</v>
      </c>
      <c r="I38" s="44">
        <f>89.4799999999996*1000</f>
        <v>89479.999999999607</v>
      </c>
      <c r="J38" s="44">
        <f>68.6800000000003*1000</f>
        <v>68680.000000000306</v>
      </c>
      <c r="K38" s="44">
        <f>66.1299999999992*1000</f>
        <v>66129.9999999992</v>
      </c>
      <c r="L38" s="44">
        <f>63.9700000000012*1000</f>
        <v>63970.000000001201</v>
      </c>
      <c r="M38" s="44">
        <f>65.5599999999995*1000</f>
        <v>65559.999999999505</v>
      </c>
      <c r="N38" s="217">
        <f>65.369999999999*1000</f>
        <v>65369.999999998996</v>
      </c>
      <c r="O38" s="217">
        <f>58.2100000000009*1000</f>
        <v>58210.000000000902</v>
      </c>
      <c r="P38" s="217">
        <f>54.4699999999993*1000</f>
        <v>54469.999999999302</v>
      </c>
      <c r="Q38" s="44">
        <f>49.3900000000012*1000</f>
        <v>49390.000000001201</v>
      </c>
      <c r="R38" s="44">
        <v>60969.850000000239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44">
        <v>0</v>
      </c>
      <c r="AJ38" s="97"/>
      <c r="AK38" s="96">
        <f>SUM(F38:AI38)</f>
        <v>887099.85000000126</v>
      </c>
      <c r="AL38" s="10"/>
      <c r="AM38" s="10"/>
      <c r="AN38" s="87">
        <f>AK38</f>
        <v>887099.85000000126</v>
      </c>
      <c r="EA38" s="219"/>
      <c r="EB38" s="219"/>
      <c r="EC38" s="87">
        <f>AM38/1000</f>
        <v>0</v>
      </c>
      <c r="FH38" s="219"/>
      <c r="GO38" s="322" t="s">
        <v>142</v>
      </c>
      <c r="GP38" s="326"/>
      <c r="GQ38" s="269" t="s">
        <v>140</v>
      </c>
      <c r="GR38" s="320" t="s">
        <v>141</v>
      </c>
      <c r="GS38" s="321"/>
      <c r="GT38" s="219"/>
      <c r="IW38" s="219"/>
      <c r="MR38" s="219"/>
      <c r="MS38" s="219"/>
      <c r="MT38" s="219"/>
      <c r="MU38" s="219"/>
      <c r="RY38" s="219">
        <f>RY31-RY35</f>
        <v>5623.357784431144</v>
      </c>
      <c r="RZ38" s="219">
        <f>RZ31-RZ35</f>
        <v>2068.233532934144</v>
      </c>
      <c r="SB38" s="308" t="s">
        <v>39</v>
      </c>
      <c r="SC38" s="291">
        <v>0</v>
      </c>
      <c r="SO38" s="219">
        <v>564.70506750000004</v>
      </c>
      <c r="SP38" s="240">
        <f>SC38/SO38*100</f>
        <v>0</v>
      </c>
      <c r="SS38" s="293"/>
      <c r="ST38" s="219"/>
      <c r="UW38" s="240"/>
      <c r="AHO38" s="219">
        <v>13799.999999999302</v>
      </c>
      <c r="AHP38" s="1">
        <v>2799.9999999992701</v>
      </c>
      <c r="AHQ38" s="314">
        <f>SUM(AHO38:AHP38)</f>
        <v>16599.99999999857</v>
      </c>
      <c r="AIA38" s="219">
        <v>1469.8500000002375</v>
      </c>
      <c r="AIB38" s="314">
        <f>AHQ38-AIA38</f>
        <v>15130.149999998333</v>
      </c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</row>
    <row r="39" spans="1:15085" ht="15" thickBot="1">
      <c r="B39" s="50"/>
      <c r="C39" s="56" t="s">
        <v>33</v>
      </c>
      <c r="D39" s="57"/>
      <c r="E39" s="5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97"/>
      <c r="AK39" s="103" t="s">
        <v>34</v>
      </c>
      <c r="AL39" s="10"/>
      <c r="GO39" s="324"/>
      <c r="GP39" s="327"/>
      <c r="GQ39" s="266">
        <v>24</v>
      </c>
      <c r="GR39" s="267">
        <v>2</v>
      </c>
      <c r="GS39" s="268">
        <v>3</v>
      </c>
      <c r="SB39" s="308" t="s">
        <v>43</v>
      </c>
      <c r="SC39" s="240">
        <f>376.46518+SP45</f>
        <v>416.90781999999996</v>
      </c>
      <c r="SO39" s="219">
        <v>4695.7554</v>
      </c>
      <c r="SP39" s="240">
        <f>SC39/SO39*100</f>
        <v>8.8783972861959537</v>
      </c>
    </row>
    <row r="40" spans="1:15085" s="1" customFormat="1" ht="13.8">
      <c r="B40" s="50"/>
      <c r="C40" s="177" t="s">
        <v>35</v>
      </c>
      <c r="D40" s="229">
        <f>SUM(D41:D42)</f>
        <v>0</v>
      </c>
      <c r="E40" s="178" t="s">
        <v>9</v>
      </c>
      <c r="F40" s="44">
        <f>SUM(F41:F42)</f>
        <v>1556600.0000000021</v>
      </c>
      <c r="G40" s="44">
        <f t="shared" ref="G40:N40" si="19">SUM(G41:G42)</f>
        <v>2106799.9999999991</v>
      </c>
      <c r="H40" s="44">
        <f t="shared" si="19"/>
        <v>1684299.9999999991</v>
      </c>
      <c r="I40" s="44">
        <f t="shared" si="19"/>
        <v>1288000</v>
      </c>
      <c r="J40" s="44">
        <f t="shared" si="19"/>
        <v>1082100.000000013</v>
      </c>
      <c r="K40" s="44">
        <f t="shared" si="19"/>
        <v>1117299.9999999949</v>
      </c>
      <c r="L40" s="44">
        <f t="shared" si="19"/>
        <v>1357599.9999999991</v>
      </c>
      <c r="M40" s="44">
        <f t="shared" si="19"/>
        <v>897500.00000001094</v>
      </c>
      <c r="N40" s="44">
        <f t="shared" si="19"/>
        <v>462199.99999999331</v>
      </c>
      <c r="O40" s="44">
        <f>SUM(O41:O42)</f>
        <v>481099.99999999849</v>
      </c>
      <c r="P40" s="44">
        <f>SUM(P41:P42)</f>
        <v>527599.99999999476</v>
      </c>
      <c r="Q40" s="44">
        <f>SUM(Q41:Q42)</f>
        <v>887600.00000000605</v>
      </c>
      <c r="R40" s="44">
        <f t="shared" ref="R40:AH40" si="20">SUM(R41:R42)</f>
        <v>1321699.9999999891</v>
      </c>
      <c r="S40" s="44">
        <f t="shared" si="20"/>
        <v>151200</v>
      </c>
      <c r="T40" s="44">
        <f t="shared" si="20"/>
        <v>0</v>
      </c>
      <c r="U40" s="44">
        <f t="shared" si="20"/>
        <v>0</v>
      </c>
      <c r="V40" s="44">
        <f t="shared" si="20"/>
        <v>0</v>
      </c>
      <c r="W40" s="44">
        <f t="shared" si="20"/>
        <v>0</v>
      </c>
      <c r="X40" s="44">
        <f t="shared" si="20"/>
        <v>0</v>
      </c>
      <c r="Y40" s="44">
        <f t="shared" si="20"/>
        <v>0</v>
      </c>
      <c r="Z40" s="44">
        <f t="shared" si="20"/>
        <v>0</v>
      </c>
      <c r="AA40" s="44">
        <f t="shared" si="20"/>
        <v>0</v>
      </c>
      <c r="AB40" s="44">
        <f t="shared" si="20"/>
        <v>0</v>
      </c>
      <c r="AC40" s="44">
        <f t="shared" si="20"/>
        <v>0</v>
      </c>
      <c r="AD40" s="44">
        <f t="shared" si="20"/>
        <v>0</v>
      </c>
      <c r="AE40" s="44">
        <f t="shared" si="20"/>
        <v>0</v>
      </c>
      <c r="AF40" s="44">
        <f t="shared" si="20"/>
        <v>0</v>
      </c>
      <c r="AG40" s="44">
        <f t="shared" si="20"/>
        <v>0</v>
      </c>
      <c r="AH40" s="44">
        <f t="shared" si="20"/>
        <v>0</v>
      </c>
      <c r="AI40" s="44">
        <f t="shared" ref="AI40" si="21">SUM(AI41:AI42)</f>
        <v>0</v>
      </c>
      <c r="AJ40" s="97"/>
      <c r="AK40" s="96">
        <f>SUM(F40:AI40)</f>
        <v>14921599.999999998</v>
      </c>
      <c r="AL40" s="98"/>
      <c r="AM40" s="98"/>
      <c r="AN40" s="206">
        <f>AN37/AN33*100</f>
        <v>95.154086034868897</v>
      </c>
      <c r="EA40" s="203"/>
      <c r="EB40" s="203"/>
      <c r="FH40" s="203"/>
      <c r="GO40" s="248" t="s">
        <v>136</v>
      </c>
      <c r="GP40" s="7" t="s">
        <v>9</v>
      </c>
      <c r="GQ40" s="263">
        <v>2000530</v>
      </c>
      <c r="GR40" s="255">
        <v>2005167</v>
      </c>
      <c r="GS40" s="250">
        <v>2025879</v>
      </c>
      <c r="GT40" s="203"/>
      <c r="IW40" s="203"/>
      <c r="MR40" s="203"/>
      <c r="MS40" s="203"/>
      <c r="MT40" s="203"/>
      <c r="MU40" s="203"/>
      <c r="RY40" s="203"/>
      <c r="RZ40" s="203"/>
      <c r="SB40" s="203"/>
      <c r="SP40" s="206"/>
      <c r="ST40" s="203"/>
      <c r="UW40" s="206"/>
      <c r="AHO40" s="204">
        <f>95.28%*AHO31</f>
        <v>34157.880000005527</v>
      </c>
    </row>
    <row r="41" spans="1:15085">
      <c r="B41" s="50"/>
      <c r="C41" s="177" t="s">
        <v>36</v>
      </c>
      <c r="D41" s="229"/>
      <c r="E41" s="178" t="s">
        <v>9</v>
      </c>
      <c r="F41" s="44">
        <v>1278000</v>
      </c>
      <c r="G41" s="44">
        <v>1760000</v>
      </c>
      <c r="H41" s="44">
        <v>1395000</v>
      </c>
      <c r="I41" s="44">
        <v>1069000</v>
      </c>
      <c r="J41" s="44">
        <f>887.300000000017*1000</f>
        <v>887300.000000017</v>
      </c>
      <c r="K41" s="44">
        <f>911.899999999994*1000</f>
        <v>911899.99999999395</v>
      </c>
      <c r="L41" s="44">
        <v>1131500</v>
      </c>
      <c r="M41" s="44">
        <f>727.400000000009*1000</f>
        <v>727400.00000000896</v>
      </c>
      <c r="N41" s="44">
        <f>391.899999999994*1000</f>
        <v>391899.999999994</v>
      </c>
      <c r="O41" s="217">
        <f>393.699999999997*1000</f>
        <v>393699.99999999697</v>
      </c>
      <c r="P41" s="217">
        <f>448.199999999997*1000</f>
        <v>448199.99999999697</v>
      </c>
      <c r="Q41" s="217">
        <f>733.100000000006*1000</f>
        <v>733100.00000000605</v>
      </c>
      <c r="R41" s="217">
        <f>1098.39999999999*1000</f>
        <v>1098399.99999999</v>
      </c>
      <c r="S41" s="44">
        <v>103400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97"/>
      <c r="AK41" s="96">
        <f>SUM(F41:AI41)</f>
        <v>12328800.000000004</v>
      </c>
      <c r="AL41" s="219"/>
      <c r="AN41" s="240">
        <f>AN38/AN33*100</f>
        <v>4.160344467763311</v>
      </c>
      <c r="AO41" s="219">
        <v>44458.68263473054</v>
      </c>
      <c r="EC41" s="87">
        <f t="shared" ref="EC41:EC42" si="22">AM41/1000</f>
        <v>0</v>
      </c>
      <c r="GO41" s="251" t="s">
        <v>139</v>
      </c>
      <c r="GP41" s="252" t="s">
        <v>85</v>
      </c>
      <c r="GQ41" s="264">
        <v>255.536188590634</v>
      </c>
      <c r="GR41" s="273">
        <v>255.09239449100701</v>
      </c>
      <c r="GS41" s="254">
        <v>260.824545250543</v>
      </c>
      <c r="RY41" s="294">
        <f>R31/1000</f>
        <v>1487.1699999999857</v>
      </c>
      <c r="SB41" s="309" t="s">
        <v>152</v>
      </c>
      <c r="SC41" s="219">
        <v>0</v>
      </c>
      <c r="SO41" s="219">
        <v>9.7534799999999997</v>
      </c>
      <c r="SP41" s="240">
        <f>(SC41*SO41)/1000</f>
        <v>0</v>
      </c>
      <c r="AHO41" s="204">
        <f>4.1%*AHO31</f>
        <v>1469.8500000002375</v>
      </c>
    </row>
    <row r="42" spans="1:15085">
      <c r="B42" s="50"/>
      <c r="C42" s="177" t="s">
        <v>37</v>
      </c>
      <c r="D42" s="229"/>
      <c r="E42" s="178" t="s">
        <v>9</v>
      </c>
      <c r="F42" s="44">
        <f>278.600000000002*1000</f>
        <v>278600.00000000204</v>
      </c>
      <c r="G42" s="44">
        <f>346.799999999999*1000</f>
        <v>346799.99999999901</v>
      </c>
      <c r="H42" s="44">
        <f>289.299999999999*1000</f>
        <v>289299.99999999901</v>
      </c>
      <c r="I42" s="44">
        <v>219000</v>
      </c>
      <c r="J42" s="44">
        <f>194.799999999996*1000</f>
        <v>194799.99999999601</v>
      </c>
      <c r="K42" s="44">
        <f>205.400000000001*1000</f>
        <v>205400.00000000099</v>
      </c>
      <c r="L42" s="44">
        <f>226.099999999999*1000</f>
        <v>226099.99999999901</v>
      </c>
      <c r="M42" s="44">
        <f>170.100000000002*1000</f>
        <v>170100.00000000201</v>
      </c>
      <c r="N42" s="44">
        <f>70.2999999999993*1000</f>
        <v>70299.999999999302</v>
      </c>
      <c r="O42" s="217">
        <f>87.4000000000015*1000</f>
        <v>87400.000000001499</v>
      </c>
      <c r="P42" s="217">
        <f>79.3999999999978*1000</f>
        <v>79399.999999997803</v>
      </c>
      <c r="Q42" s="217">
        <v>154500</v>
      </c>
      <c r="R42" s="217">
        <f>223.299999999999*1000</f>
        <v>223299.99999999898</v>
      </c>
      <c r="S42" s="44">
        <v>47800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225">
        <v>0</v>
      </c>
      <c r="AB42" s="225">
        <v>0</v>
      </c>
      <c r="AC42" s="225">
        <v>0</v>
      </c>
      <c r="AD42" s="225">
        <v>0</v>
      </c>
      <c r="AE42" s="225">
        <v>0</v>
      </c>
      <c r="AF42" s="225">
        <v>0</v>
      </c>
      <c r="AG42" s="225">
        <v>0</v>
      </c>
      <c r="AH42" s="225">
        <v>0</v>
      </c>
      <c r="AI42" s="225">
        <v>0</v>
      </c>
      <c r="AJ42" s="97"/>
      <c r="AK42" s="96">
        <f>SUM(F42:AI42)</f>
        <v>2592799.9999999958</v>
      </c>
      <c r="AL42" s="219"/>
      <c r="AN42" s="240">
        <f>100-AN40-AN41</f>
        <v>0.68556949736779238</v>
      </c>
      <c r="AO42" s="87">
        <f>SUM(AK40,AK45,AK50)/1000</f>
        <v>15314.999999999989</v>
      </c>
      <c r="EC42" s="87">
        <f t="shared" si="22"/>
        <v>0</v>
      </c>
      <c r="GO42" s="248" t="s">
        <v>137</v>
      </c>
      <c r="GP42" s="7" t="s">
        <v>9</v>
      </c>
      <c r="GQ42" s="263">
        <v>146000</v>
      </c>
      <c r="GR42" s="249">
        <v>151100</v>
      </c>
      <c r="GS42" s="250">
        <v>152900</v>
      </c>
      <c r="RY42" s="219">
        <v>1796</v>
      </c>
      <c r="SA42" s="240"/>
      <c r="SB42" s="309" t="s">
        <v>162</v>
      </c>
      <c r="SC42" s="219">
        <v>1267</v>
      </c>
      <c r="SO42" s="1">
        <v>10.86</v>
      </c>
      <c r="SP42" s="240">
        <f t="shared" ref="SP42:SP43" si="23">(SC42*SO42)/1000</f>
        <v>13.759619999999998</v>
      </c>
    </row>
    <row r="43" spans="1:15085" ht="15" thickBot="1">
      <c r="B43" s="50"/>
      <c r="C43" s="56" t="s">
        <v>38</v>
      </c>
      <c r="D43" s="230"/>
      <c r="E43" s="58"/>
      <c r="F43" s="39"/>
      <c r="G43" s="39"/>
      <c r="H43" s="39"/>
      <c r="I43" s="7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84"/>
      <c r="Z43" s="223"/>
      <c r="AA43" s="224"/>
      <c r="AB43" s="84"/>
      <c r="AC43" s="84"/>
      <c r="AD43" s="84"/>
      <c r="AE43" s="84"/>
      <c r="AF43" s="84"/>
      <c r="AG43" s="84"/>
      <c r="AH43" s="84"/>
      <c r="AI43" s="84"/>
      <c r="AJ43" s="97"/>
      <c r="AK43" s="103" t="s">
        <v>39</v>
      </c>
      <c r="AL43" s="219"/>
      <c r="AO43" s="221">
        <f>AO42/AO41*100</f>
        <v>34.447714354982061</v>
      </c>
      <c r="GO43" s="257"/>
      <c r="GP43" s="258" t="s">
        <v>138</v>
      </c>
      <c r="GQ43" s="265">
        <f>GQ42/(GQ40/1000)</f>
        <v>72.980660125066862</v>
      </c>
      <c r="GR43" s="261">
        <f t="shared" ref="GR43:GS43" si="24">GR42/(GR40/1000)</f>
        <v>75.35531953198911</v>
      </c>
      <c r="GS43" s="262">
        <f t="shared" si="24"/>
        <v>75.473411788167013</v>
      </c>
      <c r="RY43" s="240">
        <f>RY41/RY42*100</f>
        <v>82.804565701558232</v>
      </c>
      <c r="SA43" s="240"/>
      <c r="SB43" s="309" t="s">
        <v>163</v>
      </c>
      <c r="SC43" s="219">
        <v>2457</v>
      </c>
      <c r="SO43" s="1">
        <v>10.86</v>
      </c>
      <c r="SP43" s="240">
        <f t="shared" si="23"/>
        <v>26.683019999999996</v>
      </c>
    </row>
    <row r="44" spans="1:15085" s="3" customFormat="1" hidden="1">
      <c r="A44" s="6"/>
      <c r="B44" s="22"/>
      <c r="C44" s="59" t="s">
        <v>24</v>
      </c>
      <c r="D44" s="231"/>
      <c r="E44" s="60" t="s">
        <v>9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85"/>
      <c r="AE44" s="85"/>
      <c r="AF44" s="85"/>
      <c r="AG44" s="85"/>
      <c r="AH44" s="85"/>
      <c r="AI44" s="85"/>
      <c r="AJ44" s="104"/>
      <c r="AK44" s="105">
        <f>SUM(F44:AI44)</f>
        <v>0</v>
      </c>
      <c r="AL44" s="210"/>
      <c r="AM44" s="10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210"/>
      <c r="EB44" s="210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210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1"/>
      <c r="GP44" s="7" t="s">
        <v>138</v>
      </c>
      <c r="GQ44" s="206" t="e">
        <f>GQ42/(GQ38/1000)</f>
        <v>#VALUE!</v>
      </c>
      <c r="GR44" s="206" t="e">
        <f>GS42/(GR38/1000)</f>
        <v>#VALUE!</v>
      </c>
      <c r="GS44" s="206" t="e">
        <f>#REF!/(GS38/1000)</f>
        <v>#REF!</v>
      </c>
      <c r="GT44" s="210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210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210"/>
      <c r="MS44" s="210"/>
      <c r="MT44" s="210"/>
      <c r="MU44" s="210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210"/>
      <c r="RZ44" s="210"/>
      <c r="SA44" s="292"/>
      <c r="SB44" s="210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292"/>
      <c r="SQ44" s="6"/>
      <c r="SR44" s="6"/>
      <c r="SS44" s="6"/>
      <c r="ST44" s="210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292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  <c r="CDD44" s="6"/>
      <c r="CDE44" s="6"/>
      <c r="CDF44" s="6"/>
      <c r="CDG44" s="6"/>
      <c r="CDH44" s="6"/>
      <c r="CDI44" s="6"/>
      <c r="CDJ44" s="6"/>
      <c r="CDK44" s="6"/>
      <c r="CDL44" s="6"/>
      <c r="CDM44" s="6"/>
      <c r="CDN44" s="6"/>
      <c r="CDO44" s="6"/>
      <c r="CDP44" s="6"/>
      <c r="CDQ44" s="6"/>
      <c r="CDR44" s="6"/>
      <c r="CDS44" s="6"/>
      <c r="CDT44" s="6"/>
      <c r="CDU44" s="6"/>
      <c r="CDV44" s="6"/>
      <c r="CDW44" s="6"/>
      <c r="CDX44" s="6"/>
      <c r="CDY44" s="6"/>
      <c r="CDZ44" s="6"/>
      <c r="CEA44" s="6"/>
      <c r="CEB44" s="6"/>
      <c r="CEC44" s="6"/>
      <c r="CED44" s="6"/>
      <c r="CEE44" s="6"/>
      <c r="CEF44" s="6"/>
      <c r="CEG44" s="6"/>
      <c r="CEH44" s="6"/>
      <c r="CEI44" s="6"/>
      <c r="CEJ44" s="6"/>
      <c r="CEK44" s="6"/>
      <c r="CEL44" s="6"/>
      <c r="CEM44" s="6"/>
      <c r="CEN44" s="6"/>
      <c r="CEO44" s="6"/>
      <c r="CEP44" s="6"/>
      <c r="CEQ44" s="6"/>
      <c r="CER44" s="6"/>
      <c r="CES44" s="6"/>
      <c r="CET44" s="6"/>
      <c r="CEU44" s="6"/>
      <c r="CEV44" s="6"/>
      <c r="CEW44" s="6"/>
      <c r="CEX44" s="6"/>
      <c r="CEY44" s="6"/>
      <c r="CEZ44" s="6"/>
      <c r="CFA44" s="6"/>
      <c r="CFB44" s="6"/>
      <c r="CFC44" s="6"/>
      <c r="CFD44" s="6"/>
      <c r="CFE44" s="6"/>
      <c r="CFF44" s="6"/>
      <c r="CFG44" s="6"/>
      <c r="CFH44" s="6"/>
      <c r="CFI44" s="6"/>
      <c r="CFJ44" s="6"/>
      <c r="CFK44" s="6"/>
      <c r="CFL44" s="6"/>
      <c r="CFM44" s="6"/>
      <c r="CFN44" s="6"/>
      <c r="CFO44" s="6"/>
      <c r="CFP44" s="6"/>
      <c r="CFQ44" s="6"/>
      <c r="CFR44" s="6"/>
      <c r="CFS44" s="6"/>
      <c r="CFT44" s="6"/>
      <c r="CFU44" s="6"/>
      <c r="CFV44" s="6"/>
      <c r="CFW44" s="6"/>
      <c r="CFX44" s="6"/>
      <c r="CFY44" s="6"/>
      <c r="CFZ44" s="6"/>
      <c r="CGA44" s="6"/>
      <c r="CGB44" s="6"/>
      <c r="CGC44" s="6"/>
      <c r="CGD44" s="6"/>
      <c r="CGE44" s="6"/>
      <c r="CGF44" s="6"/>
      <c r="CGG44" s="6"/>
      <c r="CGH44" s="6"/>
      <c r="CGI44" s="6"/>
      <c r="CGJ44" s="6"/>
      <c r="CGK44" s="6"/>
      <c r="CGL44" s="6"/>
      <c r="CGM44" s="6"/>
      <c r="CGN44" s="6"/>
      <c r="CGO44" s="6"/>
      <c r="CGP44" s="6"/>
      <c r="CGQ44" s="6"/>
      <c r="CGR44" s="6"/>
      <c r="CGS44" s="6"/>
      <c r="CGT44" s="6"/>
      <c r="CGU44" s="6"/>
      <c r="CGV44" s="6"/>
      <c r="CGW44" s="6"/>
      <c r="CGX44" s="6"/>
      <c r="CGY44" s="6"/>
      <c r="CGZ44" s="6"/>
      <c r="CHA44" s="6"/>
      <c r="CHB44" s="6"/>
      <c r="CHC44" s="6"/>
      <c r="CHD44" s="6"/>
      <c r="CHE44" s="6"/>
      <c r="CHF44" s="6"/>
      <c r="CHG44" s="6"/>
      <c r="CHH44" s="6"/>
      <c r="CHI44" s="6"/>
      <c r="CHJ44" s="6"/>
      <c r="CHK44" s="6"/>
      <c r="CHL44" s="6"/>
      <c r="CHM44" s="6"/>
      <c r="CHN44" s="6"/>
      <c r="CHO44" s="6"/>
      <c r="CHP44" s="6"/>
      <c r="CHQ44" s="6"/>
      <c r="CHR44" s="6"/>
      <c r="CHS44" s="6"/>
      <c r="CHT44" s="6"/>
      <c r="CHU44" s="6"/>
      <c r="CHV44" s="6"/>
      <c r="CHW44" s="6"/>
      <c r="CHX44" s="6"/>
      <c r="CHY44" s="6"/>
      <c r="CHZ44" s="6"/>
      <c r="CIA44" s="6"/>
      <c r="CIB44" s="6"/>
      <c r="CIC44" s="6"/>
      <c r="CID44" s="6"/>
      <c r="CIE44" s="6"/>
      <c r="CIF44" s="6"/>
      <c r="CIG44" s="6"/>
      <c r="CIH44" s="6"/>
      <c r="CII44" s="6"/>
      <c r="CIJ44" s="6"/>
      <c r="CIK44" s="6"/>
      <c r="CIL44" s="6"/>
      <c r="CIM44" s="6"/>
      <c r="CIN44" s="6"/>
      <c r="CIO44" s="6"/>
      <c r="CIP44" s="6"/>
      <c r="CIQ44" s="6"/>
      <c r="CIR44" s="6"/>
      <c r="CIS44" s="6"/>
      <c r="CIT44" s="6"/>
      <c r="CIU44" s="6"/>
      <c r="CIV44" s="6"/>
      <c r="CIW44" s="6"/>
      <c r="CIX44" s="6"/>
      <c r="CIY44" s="6"/>
      <c r="CIZ44" s="6"/>
      <c r="CJA44" s="6"/>
      <c r="CJB44" s="6"/>
      <c r="CJC44" s="6"/>
      <c r="CJD44" s="6"/>
      <c r="CJE44" s="6"/>
      <c r="CJF44" s="6"/>
      <c r="CJG44" s="6"/>
      <c r="CJH44" s="6"/>
      <c r="CJI44" s="6"/>
      <c r="CJJ44" s="6"/>
      <c r="CJK44" s="6"/>
      <c r="CJL44" s="6"/>
      <c r="CJM44" s="6"/>
      <c r="CJN44" s="6"/>
      <c r="CJO44" s="6"/>
      <c r="CJP44" s="6"/>
      <c r="CJQ44" s="6"/>
      <c r="CJR44" s="6"/>
      <c r="CJS44" s="6"/>
      <c r="CJT44" s="6"/>
      <c r="CJU44" s="6"/>
      <c r="CJV44" s="6"/>
      <c r="CJW44" s="6"/>
      <c r="CJX44" s="6"/>
      <c r="CJY44" s="6"/>
      <c r="CJZ44" s="6"/>
      <c r="CKA44" s="6"/>
      <c r="CKB44" s="6"/>
      <c r="CKC44" s="6"/>
      <c r="CKD44" s="6"/>
      <c r="CKE44" s="6"/>
      <c r="CKF44" s="6"/>
      <c r="CKG44" s="6"/>
      <c r="CKH44" s="6"/>
      <c r="CKI44" s="6"/>
      <c r="CKJ44" s="6"/>
      <c r="CKK44" s="6"/>
      <c r="CKL44" s="6"/>
      <c r="CKM44" s="6"/>
      <c r="CKN44" s="6"/>
      <c r="CKO44" s="6"/>
      <c r="CKP44" s="6"/>
      <c r="CKQ44" s="6"/>
      <c r="CKR44" s="6"/>
      <c r="CKS44" s="6"/>
      <c r="CKT44" s="6"/>
      <c r="CKU44" s="6"/>
      <c r="CKV44" s="6"/>
      <c r="CKW44" s="6"/>
      <c r="CKX44" s="6"/>
      <c r="CKY44" s="6"/>
      <c r="CKZ44" s="6"/>
      <c r="CLA44" s="6"/>
      <c r="CLB44" s="6"/>
      <c r="CLC44" s="6"/>
      <c r="CLD44" s="6"/>
      <c r="CLE44" s="6"/>
      <c r="CLF44" s="6"/>
      <c r="CLG44" s="6"/>
      <c r="CLH44" s="6"/>
      <c r="CLI44" s="6"/>
      <c r="CLJ44" s="6"/>
      <c r="CLK44" s="6"/>
      <c r="CLL44" s="6"/>
      <c r="CLM44" s="6"/>
      <c r="CLN44" s="6"/>
      <c r="CLO44" s="6"/>
      <c r="CLP44" s="6"/>
      <c r="CLQ44" s="6"/>
      <c r="CLR44" s="6"/>
      <c r="CLS44" s="6"/>
      <c r="CLT44" s="6"/>
      <c r="CLU44" s="6"/>
      <c r="CLV44" s="6"/>
      <c r="CLW44" s="6"/>
      <c r="CLX44" s="6"/>
      <c r="CLY44" s="6"/>
      <c r="CLZ44" s="6"/>
      <c r="CMA44" s="6"/>
      <c r="CMB44" s="6"/>
      <c r="CMC44" s="6"/>
      <c r="CMD44" s="6"/>
      <c r="CME44" s="6"/>
      <c r="CMF44" s="6"/>
      <c r="CMG44" s="6"/>
      <c r="CMH44" s="6"/>
      <c r="CMI44" s="6"/>
      <c r="CMJ44" s="6"/>
      <c r="CMK44" s="6"/>
      <c r="CML44" s="6"/>
      <c r="CMM44" s="6"/>
      <c r="CMN44" s="6"/>
      <c r="CMO44" s="6"/>
      <c r="CMP44" s="6"/>
      <c r="CMQ44" s="6"/>
      <c r="CMR44" s="6"/>
      <c r="CMS44" s="6"/>
      <c r="CMT44" s="6"/>
      <c r="CMU44" s="6"/>
      <c r="CMV44" s="6"/>
      <c r="CMW44" s="6"/>
      <c r="CMX44" s="6"/>
      <c r="CMY44" s="6"/>
      <c r="CMZ44" s="6"/>
      <c r="CNA44" s="6"/>
      <c r="CNB44" s="6"/>
      <c r="CNC44" s="6"/>
      <c r="CND44" s="6"/>
      <c r="CNE44" s="6"/>
      <c r="CNF44" s="6"/>
      <c r="CNG44" s="6"/>
      <c r="CNH44" s="6"/>
      <c r="CNI44" s="6"/>
      <c r="CNJ44" s="6"/>
      <c r="CNK44" s="6"/>
      <c r="CNL44" s="6"/>
      <c r="CNM44" s="6"/>
      <c r="CNN44" s="6"/>
      <c r="CNO44" s="6"/>
      <c r="CNP44" s="6"/>
      <c r="CNQ44" s="6"/>
      <c r="CNR44" s="6"/>
      <c r="CNS44" s="6"/>
      <c r="CNT44" s="6"/>
      <c r="CNU44" s="6"/>
      <c r="CNV44" s="6"/>
      <c r="CNW44" s="6"/>
      <c r="CNX44" s="6"/>
      <c r="CNY44" s="6"/>
      <c r="CNZ44" s="6"/>
      <c r="COA44" s="6"/>
      <c r="COB44" s="6"/>
      <c r="COC44" s="6"/>
      <c r="COD44" s="6"/>
      <c r="COE44" s="6"/>
      <c r="COF44" s="6"/>
      <c r="COG44" s="6"/>
      <c r="COH44" s="6"/>
      <c r="COI44" s="6"/>
      <c r="COJ44" s="6"/>
      <c r="COK44" s="6"/>
      <c r="COL44" s="6"/>
      <c r="COM44" s="6"/>
      <c r="CON44" s="6"/>
      <c r="COO44" s="6"/>
      <c r="COP44" s="6"/>
      <c r="COQ44" s="6"/>
      <c r="COR44" s="6"/>
      <c r="COS44" s="6"/>
      <c r="COT44" s="6"/>
      <c r="COU44" s="6"/>
      <c r="COV44" s="6"/>
      <c r="COW44" s="6"/>
      <c r="COX44" s="6"/>
      <c r="COY44" s="6"/>
      <c r="COZ44" s="6"/>
      <c r="CPA44" s="6"/>
      <c r="CPB44" s="6"/>
      <c r="CPC44" s="6"/>
      <c r="CPD44" s="6"/>
      <c r="CPE44" s="6"/>
      <c r="CPF44" s="6"/>
      <c r="CPG44" s="6"/>
      <c r="CPH44" s="6"/>
      <c r="CPI44" s="6"/>
      <c r="CPJ44" s="6"/>
      <c r="CPK44" s="6"/>
      <c r="CPL44" s="6"/>
      <c r="CPM44" s="6"/>
      <c r="CPN44" s="6"/>
      <c r="CPO44" s="6"/>
      <c r="CPP44" s="6"/>
      <c r="CPQ44" s="6"/>
      <c r="CPR44" s="6"/>
      <c r="CPS44" s="6"/>
      <c r="CPT44" s="6"/>
      <c r="CPU44" s="6"/>
      <c r="CPV44" s="6"/>
      <c r="CPW44" s="6"/>
      <c r="CPX44" s="6"/>
      <c r="CPY44" s="6"/>
      <c r="CPZ44" s="6"/>
      <c r="CQA44" s="6"/>
      <c r="CQB44" s="6"/>
      <c r="CQC44" s="6"/>
      <c r="CQD44" s="6"/>
      <c r="CQE44" s="6"/>
      <c r="CQF44" s="6"/>
      <c r="CQG44" s="6"/>
      <c r="CQH44" s="6"/>
      <c r="CQI44" s="6"/>
      <c r="CQJ44" s="6"/>
      <c r="CQK44" s="6"/>
      <c r="CQL44" s="6"/>
      <c r="CQM44" s="6"/>
      <c r="CQN44" s="6"/>
      <c r="CQO44" s="6"/>
      <c r="CQP44" s="6"/>
      <c r="CQQ44" s="6"/>
      <c r="CQR44" s="6"/>
      <c r="CQS44" s="6"/>
      <c r="CQT44" s="6"/>
      <c r="CQU44" s="6"/>
      <c r="CQV44" s="6"/>
      <c r="CQW44" s="6"/>
      <c r="CQX44" s="6"/>
      <c r="CQY44" s="6"/>
      <c r="CQZ44" s="6"/>
      <c r="CRA44" s="6"/>
      <c r="CRB44" s="6"/>
      <c r="CRC44" s="6"/>
      <c r="CRD44" s="6"/>
      <c r="CRE44" s="6"/>
      <c r="CRF44" s="6"/>
      <c r="CRG44" s="6"/>
      <c r="CRH44" s="6"/>
      <c r="CRI44" s="6"/>
      <c r="CRJ44" s="6"/>
      <c r="CRK44" s="6"/>
      <c r="CRL44" s="6"/>
      <c r="CRM44" s="6"/>
      <c r="CRN44" s="6"/>
      <c r="CRO44" s="6"/>
      <c r="CRP44" s="6"/>
      <c r="CRQ44" s="6"/>
      <c r="CRR44" s="6"/>
      <c r="CRS44" s="6"/>
      <c r="CRT44" s="6"/>
      <c r="CRU44" s="6"/>
      <c r="CRV44" s="6"/>
      <c r="CRW44" s="6"/>
      <c r="CRX44" s="6"/>
      <c r="CRY44" s="6"/>
      <c r="CRZ44" s="6"/>
      <c r="CSA44" s="6"/>
      <c r="CSB44" s="6"/>
      <c r="CSC44" s="6"/>
      <c r="CSD44" s="6"/>
      <c r="CSE44" s="6"/>
      <c r="CSF44" s="6"/>
      <c r="CSG44" s="6"/>
      <c r="CSH44" s="6"/>
      <c r="CSI44" s="6"/>
      <c r="CSJ44" s="6"/>
      <c r="CSK44" s="6"/>
      <c r="CSL44" s="6"/>
      <c r="CSM44" s="6"/>
      <c r="CSN44" s="6"/>
      <c r="CSO44" s="6"/>
      <c r="CSP44" s="6"/>
      <c r="CSQ44" s="6"/>
      <c r="CSR44" s="6"/>
      <c r="CSS44" s="6"/>
      <c r="CST44" s="6"/>
      <c r="CSU44" s="6"/>
      <c r="CSV44" s="6"/>
      <c r="CSW44" s="6"/>
      <c r="CSX44" s="6"/>
      <c r="CSY44" s="6"/>
      <c r="CSZ44" s="6"/>
      <c r="CTA44" s="6"/>
      <c r="CTB44" s="6"/>
      <c r="CTC44" s="6"/>
      <c r="CTD44" s="6"/>
      <c r="CTE44" s="6"/>
      <c r="CTF44" s="6"/>
      <c r="CTG44" s="6"/>
      <c r="CTH44" s="6"/>
      <c r="CTI44" s="6"/>
      <c r="CTJ44" s="6"/>
      <c r="CTK44" s="6"/>
      <c r="CTL44" s="6"/>
      <c r="CTM44" s="6"/>
      <c r="CTN44" s="6"/>
      <c r="CTO44" s="6"/>
      <c r="CTP44" s="6"/>
      <c r="CTQ44" s="6"/>
      <c r="CTR44" s="6"/>
      <c r="CTS44" s="6"/>
      <c r="CTT44" s="6"/>
      <c r="CTU44" s="6"/>
      <c r="CTV44" s="6"/>
      <c r="CTW44" s="6"/>
      <c r="CTX44" s="6"/>
      <c r="CTY44" s="6"/>
      <c r="CTZ44" s="6"/>
      <c r="CUA44" s="6"/>
      <c r="CUB44" s="6"/>
      <c r="CUC44" s="6"/>
      <c r="CUD44" s="6"/>
      <c r="CUE44" s="6"/>
      <c r="CUF44" s="6"/>
      <c r="CUG44" s="6"/>
      <c r="CUH44" s="6"/>
      <c r="CUI44" s="6"/>
      <c r="CUJ44" s="6"/>
      <c r="CUK44" s="6"/>
      <c r="CUL44" s="6"/>
      <c r="CUM44" s="6"/>
      <c r="CUN44" s="6"/>
      <c r="CUO44" s="6"/>
      <c r="CUP44" s="6"/>
      <c r="CUQ44" s="6"/>
      <c r="CUR44" s="6"/>
      <c r="CUS44" s="6"/>
      <c r="CUT44" s="6"/>
      <c r="CUU44" s="6"/>
      <c r="CUV44" s="6"/>
      <c r="CUW44" s="6"/>
      <c r="CUX44" s="6"/>
      <c r="CUY44" s="6"/>
      <c r="CUZ44" s="6"/>
      <c r="CVA44" s="6"/>
      <c r="CVB44" s="6"/>
      <c r="CVC44" s="6"/>
      <c r="CVD44" s="6"/>
      <c r="CVE44" s="6"/>
      <c r="CVF44" s="6"/>
      <c r="CVG44" s="6"/>
      <c r="CVH44" s="6"/>
      <c r="CVI44" s="6"/>
      <c r="CVJ44" s="6"/>
      <c r="CVK44" s="6"/>
      <c r="CVL44" s="6"/>
      <c r="CVM44" s="6"/>
      <c r="CVN44" s="6"/>
      <c r="CVO44" s="6"/>
      <c r="CVP44" s="6"/>
      <c r="CVQ44" s="6"/>
      <c r="CVR44" s="6"/>
      <c r="CVS44" s="6"/>
      <c r="CVT44" s="6"/>
      <c r="CVU44" s="6"/>
      <c r="CVV44" s="6"/>
      <c r="CVW44" s="6"/>
      <c r="CVX44" s="6"/>
      <c r="CVY44" s="6"/>
      <c r="CVZ44" s="6"/>
      <c r="CWA44" s="6"/>
      <c r="CWB44" s="6"/>
      <c r="CWC44" s="6"/>
      <c r="CWD44" s="6"/>
      <c r="CWE44" s="6"/>
      <c r="CWF44" s="6"/>
      <c r="CWG44" s="6"/>
      <c r="CWH44" s="6"/>
      <c r="CWI44" s="6"/>
      <c r="CWJ44" s="6"/>
      <c r="CWK44" s="6"/>
      <c r="CWL44" s="6"/>
      <c r="CWM44" s="6"/>
      <c r="CWN44" s="6"/>
      <c r="CWO44" s="6"/>
      <c r="CWP44" s="6"/>
      <c r="CWQ44" s="6"/>
      <c r="CWR44" s="6"/>
      <c r="CWS44" s="6"/>
      <c r="CWT44" s="6"/>
      <c r="CWU44" s="6"/>
      <c r="CWV44" s="6"/>
      <c r="CWW44" s="6"/>
      <c r="CWX44" s="6"/>
      <c r="CWY44" s="6"/>
      <c r="CWZ44" s="6"/>
      <c r="CXA44" s="6"/>
      <c r="CXB44" s="6"/>
      <c r="CXC44" s="6"/>
      <c r="CXD44" s="6"/>
      <c r="CXE44" s="6"/>
      <c r="CXF44" s="6"/>
      <c r="CXG44" s="6"/>
      <c r="CXH44" s="6"/>
      <c r="CXI44" s="6"/>
      <c r="CXJ44" s="6"/>
      <c r="CXK44" s="6"/>
      <c r="CXL44" s="6"/>
      <c r="CXM44" s="6"/>
      <c r="CXN44" s="6"/>
      <c r="CXO44" s="6"/>
      <c r="CXP44" s="6"/>
      <c r="CXQ44" s="6"/>
      <c r="CXR44" s="6"/>
      <c r="CXS44" s="6"/>
      <c r="CXT44" s="6"/>
      <c r="CXU44" s="6"/>
      <c r="CXV44" s="6"/>
      <c r="CXW44" s="6"/>
      <c r="CXX44" s="6"/>
      <c r="CXY44" s="6"/>
      <c r="CXZ44" s="6"/>
      <c r="CYA44" s="6"/>
      <c r="CYB44" s="6"/>
      <c r="CYC44" s="6"/>
      <c r="CYD44" s="6"/>
      <c r="CYE44" s="6"/>
      <c r="CYF44" s="6"/>
      <c r="CYG44" s="6"/>
      <c r="CYH44" s="6"/>
      <c r="CYI44" s="6"/>
      <c r="CYJ44" s="6"/>
      <c r="CYK44" s="6"/>
      <c r="CYL44" s="6"/>
      <c r="CYM44" s="6"/>
      <c r="CYN44" s="6"/>
      <c r="CYO44" s="6"/>
      <c r="CYP44" s="6"/>
      <c r="CYQ44" s="6"/>
      <c r="CYR44" s="6"/>
      <c r="CYS44" s="6"/>
      <c r="CYT44" s="6"/>
      <c r="CYU44" s="6"/>
      <c r="CYV44" s="6"/>
      <c r="CYW44" s="6"/>
      <c r="CYX44" s="6"/>
      <c r="CYY44" s="6"/>
      <c r="CYZ44" s="6"/>
      <c r="CZA44" s="6"/>
      <c r="CZB44" s="6"/>
      <c r="CZC44" s="6"/>
      <c r="CZD44" s="6"/>
      <c r="CZE44" s="6"/>
      <c r="CZF44" s="6"/>
      <c r="CZG44" s="6"/>
      <c r="CZH44" s="6"/>
      <c r="CZI44" s="6"/>
      <c r="CZJ44" s="6"/>
      <c r="CZK44" s="6"/>
      <c r="CZL44" s="6"/>
      <c r="CZM44" s="6"/>
      <c r="CZN44" s="6"/>
      <c r="CZO44" s="6"/>
      <c r="CZP44" s="6"/>
      <c r="CZQ44" s="6"/>
      <c r="CZR44" s="6"/>
      <c r="CZS44" s="6"/>
      <c r="CZT44" s="6"/>
      <c r="CZU44" s="6"/>
      <c r="CZV44" s="6"/>
      <c r="CZW44" s="6"/>
      <c r="CZX44" s="6"/>
      <c r="CZY44" s="6"/>
      <c r="CZZ44" s="6"/>
      <c r="DAA44" s="6"/>
      <c r="DAB44" s="6"/>
      <c r="DAC44" s="6"/>
      <c r="DAD44" s="6"/>
      <c r="DAE44" s="6"/>
      <c r="DAF44" s="6"/>
      <c r="DAG44" s="6"/>
      <c r="DAH44" s="6"/>
      <c r="DAI44" s="6"/>
      <c r="DAJ44" s="6"/>
      <c r="DAK44" s="6"/>
      <c r="DAL44" s="6"/>
      <c r="DAM44" s="6"/>
      <c r="DAN44" s="6"/>
      <c r="DAO44" s="6"/>
      <c r="DAP44" s="6"/>
      <c r="DAQ44" s="6"/>
      <c r="DAR44" s="6"/>
      <c r="DAS44" s="6"/>
      <c r="DAT44" s="6"/>
      <c r="DAU44" s="6"/>
      <c r="DAV44" s="6"/>
      <c r="DAW44" s="6"/>
      <c r="DAX44" s="6"/>
      <c r="DAY44" s="6"/>
      <c r="DAZ44" s="6"/>
      <c r="DBA44" s="6"/>
      <c r="DBB44" s="6"/>
      <c r="DBC44" s="6"/>
      <c r="DBD44" s="6"/>
      <c r="DBE44" s="6"/>
      <c r="DBF44" s="6"/>
      <c r="DBG44" s="6"/>
      <c r="DBH44" s="6"/>
      <c r="DBI44" s="6"/>
      <c r="DBJ44" s="6"/>
      <c r="DBK44" s="6"/>
      <c r="DBL44" s="6"/>
      <c r="DBM44" s="6"/>
      <c r="DBN44" s="6"/>
      <c r="DBO44" s="6"/>
      <c r="DBP44" s="6"/>
      <c r="DBQ44" s="6"/>
      <c r="DBR44" s="6"/>
      <c r="DBS44" s="6"/>
      <c r="DBT44" s="6"/>
      <c r="DBU44" s="6"/>
      <c r="DBV44" s="6"/>
      <c r="DBW44" s="6"/>
      <c r="DBX44" s="6"/>
      <c r="DBY44" s="6"/>
      <c r="DBZ44" s="6"/>
      <c r="DCA44" s="6"/>
      <c r="DCB44" s="6"/>
      <c r="DCC44" s="6"/>
      <c r="DCD44" s="6"/>
      <c r="DCE44" s="6"/>
      <c r="DCF44" s="6"/>
      <c r="DCG44" s="6"/>
      <c r="DCH44" s="6"/>
      <c r="DCI44" s="6"/>
      <c r="DCJ44" s="6"/>
      <c r="DCK44" s="6"/>
      <c r="DCL44" s="6"/>
      <c r="DCM44" s="6"/>
      <c r="DCN44" s="6"/>
      <c r="DCO44" s="6"/>
      <c r="DCP44" s="6"/>
      <c r="DCQ44" s="6"/>
      <c r="DCR44" s="6"/>
      <c r="DCS44" s="6"/>
      <c r="DCT44" s="6"/>
      <c r="DCU44" s="6"/>
      <c r="DCV44" s="6"/>
      <c r="DCW44" s="6"/>
      <c r="DCX44" s="6"/>
      <c r="DCY44" s="6"/>
      <c r="DCZ44" s="6"/>
      <c r="DDA44" s="6"/>
      <c r="DDB44" s="6"/>
      <c r="DDC44" s="6"/>
      <c r="DDD44" s="6"/>
      <c r="DDE44" s="6"/>
      <c r="DDF44" s="6"/>
      <c r="DDG44" s="6"/>
      <c r="DDH44" s="6"/>
      <c r="DDI44" s="6"/>
      <c r="DDJ44" s="6"/>
      <c r="DDK44" s="6"/>
      <c r="DDL44" s="6"/>
      <c r="DDM44" s="6"/>
      <c r="DDN44" s="6"/>
      <c r="DDO44" s="6"/>
      <c r="DDP44" s="6"/>
      <c r="DDQ44" s="6"/>
      <c r="DDR44" s="6"/>
      <c r="DDS44" s="6"/>
      <c r="DDT44" s="6"/>
      <c r="DDU44" s="6"/>
      <c r="DDV44" s="6"/>
      <c r="DDW44" s="6"/>
      <c r="DDX44" s="6"/>
      <c r="DDY44" s="6"/>
      <c r="DDZ44" s="6"/>
      <c r="DEA44" s="6"/>
      <c r="DEB44" s="6"/>
      <c r="DEC44" s="6"/>
      <c r="DED44" s="6"/>
      <c r="DEE44" s="6"/>
      <c r="DEF44" s="6"/>
      <c r="DEG44" s="6"/>
      <c r="DEH44" s="6"/>
      <c r="DEI44" s="6"/>
      <c r="DEJ44" s="6"/>
      <c r="DEK44" s="6"/>
      <c r="DEL44" s="6"/>
      <c r="DEM44" s="6"/>
      <c r="DEN44" s="6"/>
      <c r="DEO44" s="6"/>
      <c r="DEP44" s="6"/>
      <c r="DEQ44" s="6"/>
      <c r="DER44" s="6"/>
      <c r="DES44" s="6"/>
      <c r="DET44" s="6"/>
      <c r="DEU44" s="6"/>
      <c r="DEV44" s="6"/>
      <c r="DEW44" s="6"/>
      <c r="DEX44" s="6"/>
      <c r="DEY44" s="6"/>
      <c r="DEZ44" s="6"/>
      <c r="DFA44" s="6"/>
      <c r="DFB44" s="6"/>
      <c r="DFC44" s="6"/>
      <c r="DFD44" s="6"/>
      <c r="DFE44" s="6"/>
      <c r="DFF44" s="6"/>
      <c r="DFG44" s="6"/>
      <c r="DFH44" s="6"/>
      <c r="DFI44" s="6"/>
      <c r="DFJ44" s="6"/>
      <c r="DFK44" s="6"/>
      <c r="DFL44" s="6"/>
      <c r="DFM44" s="6"/>
      <c r="DFN44" s="6"/>
      <c r="DFO44" s="6"/>
      <c r="DFP44" s="6"/>
      <c r="DFQ44" s="6"/>
      <c r="DFR44" s="6"/>
      <c r="DFS44" s="6"/>
      <c r="DFT44" s="6"/>
      <c r="DFU44" s="6"/>
      <c r="DFV44" s="6"/>
      <c r="DFW44" s="6"/>
      <c r="DFX44" s="6"/>
      <c r="DFY44" s="6"/>
      <c r="DFZ44" s="6"/>
      <c r="DGA44" s="6"/>
      <c r="DGB44" s="6"/>
      <c r="DGC44" s="6"/>
      <c r="DGD44" s="6"/>
      <c r="DGE44" s="6"/>
      <c r="DGF44" s="6"/>
      <c r="DGG44" s="6"/>
      <c r="DGH44" s="6"/>
      <c r="DGI44" s="6"/>
      <c r="DGJ44" s="6"/>
      <c r="DGK44" s="6"/>
      <c r="DGL44" s="6"/>
      <c r="DGM44" s="6"/>
      <c r="DGN44" s="6"/>
      <c r="DGO44" s="6"/>
      <c r="DGP44" s="6"/>
      <c r="DGQ44" s="6"/>
      <c r="DGR44" s="6"/>
      <c r="DGS44" s="6"/>
      <c r="DGT44" s="6"/>
      <c r="DGU44" s="6"/>
      <c r="DGV44" s="6"/>
      <c r="DGW44" s="6"/>
      <c r="DGX44" s="6"/>
      <c r="DGY44" s="6"/>
      <c r="DGZ44" s="6"/>
      <c r="DHA44" s="6"/>
      <c r="DHB44" s="6"/>
      <c r="DHC44" s="6"/>
      <c r="DHD44" s="6"/>
      <c r="DHE44" s="6"/>
      <c r="DHF44" s="6"/>
      <c r="DHG44" s="6"/>
      <c r="DHH44" s="6"/>
      <c r="DHI44" s="6"/>
      <c r="DHJ44" s="6"/>
      <c r="DHK44" s="6"/>
      <c r="DHL44" s="6"/>
      <c r="DHM44" s="6"/>
      <c r="DHN44" s="6"/>
      <c r="DHO44" s="6"/>
      <c r="DHP44" s="6"/>
      <c r="DHQ44" s="6"/>
      <c r="DHR44" s="6"/>
      <c r="DHS44" s="6"/>
      <c r="DHT44" s="6"/>
      <c r="DHU44" s="6"/>
      <c r="DHV44" s="6"/>
      <c r="DHW44" s="6"/>
      <c r="DHX44" s="6"/>
      <c r="DHY44" s="6"/>
      <c r="DHZ44" s="6"/>
      <c r="DIA44" s="6"/>
      <c r="DIB44" s="6"/>
      <c r="DIC44" s="6"/>
      <c r="DID44" s="6"/>
      <c r="DIE44" s="6"/>
      <c r="DIF44" s="6"/>
      <c r="DIG44" s="6"/>
      <c r="DIH44" s="6"/>
      <c r="DII44" s="6"/>
      <c r="DIJ44" s="6"/>
      <c r="DIK44" s="6"/>
      <c r="DIL44" s="6"/>
      <c r="DIM44" s="6"/>
      <c r="DIN44" s="6"/>
      <c r="DIO44" s="6"/>
      <c r="DIP44" s="6"/>
      <c r="DIQ44" s="6"/>
      <c r="DIR44" s="6"/>
      <c r="DIS44" s="6"/>
      <c r="DIT44" s="6"/>
      <c r="DIU44" s="6"/>
      <c r="DIV44" s="6"/>
      <c r="DIW44" s="6"/>
      <c r="DIX44" s="6"/>
      <c r="DIY44" s="6"/>
      <c r="DIZ44" s="6"/>
      <c r="DJA44" s="6"/>
      <c r="DJB44" s="6"/>
      <c r="DJC44" s="6"/>
      <c r="DJD44" s="6"/>
      <c r="DJE44" s="6"/>
      <c r="DJF44" s="6"/>
      <c r="DJG44" s="6"/>
      <c r="DJH44" s="6"/>
      <c r="DJI44" s="6"/>
      <c r="DJJ44" s="6"/>
      <c r="DJK44" s="6"/>
      <c r="DJL44" s="6"/>
      <c r="DJM44" s="6"/>
      <c r="DJN44" s="6"/>
      <c r="DJO44" s="6"/>
      <c r="DJP44" s="6"/>
      <c r="DJQ44" s="6"/>
      <c r="DJR44" s="6"/>
      <c r="DJS44" s="6"/>
      <c r="DJT44" s="6"/>
      <c r="DJU44" s="6"/>
      <c r="DJV44" s="6"/>
      <c r="DJW44" s="6"/>
      <c r="DJX44" s="6"/>
      <c r="DJY44" s="6"/>
      <c r="DJZ44" s="6"/>
      <c r="DKA44" s="6"/>
      <c r="DKB44" s="6"/>
      <c r="DKC44" s="6"/>
      <c r="DKD44" s="6"/>
      <c r="DKE44" s="6"/>
      <c r="DKF44" s="6"/>
      <c r="DKG44" s="6"/>
      <c r="DKH44" s="6"/>
      <c r="DKI44" s="6"/>
      <c r="DKJ44" s="6"/>
      <c r="DKK44" s="6"/>
      <c r="DKL44" s="6"/>
      <c r="DKM44" s="6"/>
      <c r="DKN44" s="6"/>
      <c r="DKO44" s="6"/>
      <c r="DKP44" s="6"/>
      <c r="DKQ44" s="6"/>
      <c r="DKR44" s="6"/>
      <c r="DKS44" s="6"/>
      <c r="DKT44" s="6"/>
      <c r="DKU44" s="6"/>
      <c r="DKV44" s="6"/>
      <c r="DKW44" s="6"/>
      <c r="DKX44" s="6"/>
      <c r="DKY44" s="6"/>
      <c r="DKZ44" s="6"/>
      <c r="DLA44" s="6"/>
      <c r="DLB44" s="6"/>
      <c r="DLC44" s="6"/>
      <c r="DLD44" s="6"/>
      <c r="DLE44" s="6"/>
      <c r="DLF44" s="6"/>
      <c r="DLG44" s="6"/>
      <c r="DLH44" s="6"/>
      <c r="DLI44" s="6"/>
      <c r="DLJ44" s="6"/>
      <c r="DLK44" s="6"/>
      <c r="DLL44" s="6"/>
      <c r="DLM44" s="6"/>
      <c r="DLN44" s="6"/>
      <c r="DLO44" s="6"/>
      <c r="DLP44" s="6"/>
      <c r="DLQ44" s="6"/>
      <c r="DLR44" s="6"/>
      <c r="DLS44" s="6"/>
      <c r="DLT44" s="6"/>
      <c r="DLU44" s="6"/>
      <c r="DLV44" s="6"/>
      <c r="DLW44" s="6"/>
      <c r="DLX44" s="6"/>
      <c r="DLY44" s="6"/>
      <c r="DLZ44" s="6"/>
      <c r="DMA44" s="6"/>
      <c r="DMB44" s="6"/>
      <c r="DMC44" s="6"/>
      <c r="DMD44" s="6"/>
      <c r="DME44" s="6"/>
      <c r="DMF44" s="6"/>
      <c r="DMG44" s="6"/>
      <c r="DMH44" s="6"/>
      <c r="DMI44" s="6"/>
      <c r="DMJ44" s="6"/>
      <c r="DMK44" s="6"/>
      <c r="DML44" s="6"/>
      <c r="DMM44" s="6"/>
      <c r="DMN44" s="6"/>
      <c r="DMO44" s="6"/>
      <c r="DMP44" s="6"/>
      <c r="DMQ44" s="6"/>
      <c r="DMR44" s="6"/>
      <c r="DMS44" s="6"/>
      <c r="DMT44" s="6"/>
      <c r="DMU44" s="6"/>
      <c r="DMV44" s="6"/>
      <c r="DMW44" s="6"/>
      <c r="DMX44" s="6"/>
      <c r="DMY44" s="6"/>
      <c r="DMZ44" s="6"/>
      <c r="DNA44" s="6"/>
      <c r="DNB44" s="6"/>
      <c r="DNC44" s="6"/>
      <c r="DND44" s="6"/>
      <c r="DNE44" s="6"/>
      <c r="DNF44" s="6"/>
      <c r="DNG44" s="6"/>
      <c r="DNH44" s="6"/>
      <c r="DNI44" s="6"/>
      <c r="DNJ44" s="6"/>
      <c r="DNK44" s="6"/>
      <c r="DNL44" s="6"/>
      <c r="DNM44" s="6"/>
      <c r="DNN44" s="6"/>
      <c r="DNO44" s="6"/>
      <c r="DNP44" s="6"/>
      <c r="DNQ44" s="6"/>
      <c r="DNR44" s="6"/>
      <c r="DNS44" s="6"/>
      <c r="DNT44" s="6"/>
      <c r="DNU44" s="6"/>
      <c r="DNV44" s="6"/>
      <c r="DNW44" s="6"/>
      <c r="DNX44" s="6"/>
      <c r="DNY44" s="6"/>
      <c r="DNZ44" s="6"/>
      <c r="DOA44" s="6"/>
      <c r="DOB44" s="6"/>
      <c r="DOC44" s="6"/>
      <c r="DOD44" s="6"/>
      <c r="DOE44" s="6"/>
      <c r="DOF44" s="6"/>
      <c r="DOG44" s="6"/>
      <c r="DOH44" s="6"/>
      <c r="DOI44" s="6"/>
      <c r="DOJ44" s="6"/>
      <c r="DOK44" s="6"/>
      <c r="DOL44" s="6"/>
      <c r="DOM44" s="6"/>
      <c r="DON44" s="6"/>
      <c r="DOO44" s="6"/>
      <c r="DOP44" s="6"/>
      <c r="DOQ44" s="6"/>
      <c r="DOR44" s="6"/>
      <c r="DOS44" s="6"/>
      <c r="DOT44" s="6"/>
      <c r="DOU44" s="6"/>
      <c r="DOV44" s="6"/>
      <c r="DOW44" s="6"/>
      <c r="DOX44" s="6"/>
      <c r="DOY44" s="6"/>
      <c r="DOZ44" s="6"/>
      <c r="DPA44" s="6"/>
      <c r="DPB44" s="6"/>
      <c r="DPC44" s="6"/>
      <c r="DPD44" s="6"/>
      <c r="DPE44" s="6"/>
      <c r="DPF44" s="6"/>
      <c r="DPG44" s="6"/>
      <c r="DPH44" s="6"/>
      <c r="DPI44" s="6"/>
      <c r="DPJ44" s="6"/>
      <c r="DPK44" s="6"/>
      <c r="DPL44" s="6"/>
      <c r="DPM44" s="6"/>
      <c r="DPN44" s="6"/>
      <c r="DPO44" s="6"/>
      <c r="DPP44" s="6"/>
      <c r="DPQ44" s="6"/>
      <c r="DPR44" s="6"/>
      <c r="DPS44" s="6"/>
      <c r="DPT44" s="6"/>
      <c r="DPU44" s="6"/>
      <c r="DPV44" s="6"/>
      <c r="DPW44" s="6"/>
      <c r="DPX44" s="6"/>
      <c r="DPY44" s="6"/>
      <c r="DPZ44" s="6"/>
      <c r="DQA44" s="6"/>
      <c r="DQB44" s="6"/>
      <c r="DQC44" s="6"/>
      <c r="DQD44" s="6"/>
      <c r="DQE44" s="6"/>
      <c r="DQF44" s="6"/>
      <c r="DQG44" s="6"/>
      <c r="DQH44" s="6"/>
      <c r="DQI44" s="6"/>
      <c r="DQJ44" s="6"/>
      <c r="DQK44" s="6"/>
      <c r="DQL44" s="6"/>
      <c r="DQM44" s="6"/>
      <c r="DQN44" s="6"/>
      <c r="DQO44" s="6"/>
      <c r="DQP44" s="6"/>
      <c r="DQQ44" s="6"/>
      <c r="DQR44" s="6"/>
      <c r="DQS44" s="6"/>
      <c r="DQT44" s="6"/>
      <c r="DQU44" s="6"/>
      <c r="DQV44" s="6"/>
      <c r="DQW44" s="6"/>
      <c r="DQX44" s="6"/>
      <c r="DQY44" s="6"/>
      <c r="DQZ44" s="6"/>
      <c r="DRA44" s="6"/>
      <c r="DRB44" s="6"/>
      <c r="DRC44" s="6"/>
      <c r="DRD44" s="6"/>
      <c r="DRE44" s="6"/>
      <c r="DRF44" s="6"/>
      <c r="DRG44" s="6"/>
      <c r="DRH44" s="6"/>
      <c r="DRI44" s="6"/>
      <c r="DRJ44" s="6"/>
      <c r="DRK44" s="6"/>
      <c r="DRL44" s="6"/>
      <c r="DRM44" s="6"/>
      <c r="DRN44" s="6"/>
      <c r="DRO44" s="6"/>
      <c r="DRP44" s="6"/>
      <c r="DRQ44" s="6"/>
      <c r="DRR44" s="6"/>
      <c r="DRS44" s="6"/>
      <c r="DRT44" s="6"/>
      <c r="DRU44" s="6"/>
      <c r="DRV44" s="6"/>
      <c r="DRW44" s="6"/>
      <c r="DRX44" s="6"/>
      <c r="DRY44" s="6"/>
      <c r="DRZ44" s="6"/>
      <c r="DSA44" s="6"/>
      <c r="DSB44" s="6"/>
      <c r="DSC44" s="6"/>
      <c r="DSD44" s="6"/>
      <c r="DSE44" s="6"/>
      <c r="DSF44" s="6"/>
      <c r="DSG44" s="6"/>
      <c r="DSH44" s="6"/>
      <c r="DSI44" s="6"/>
      <c r="DSJ44" s="6"/>
      <c r="DSK44" s="6"/>
      <c r="DSL44" s="6"/>
      <c r="DSM44" s="6"/>
      <c r="DSN44" s="6"/>
      <c r="DSO44" s="6"/>
      <c r="DSP44" s="6"/>
      <c r="DSQ44" s="6"/>
      <c r="DSR44" s="6"/>
      <c r="DSS44" s="6"/>
      <c r="DST44" s="6"/>
      <c r="DSU44" s="6"/>
      <c r="DSV44" s="6"/>
      <c r="DSW44" s="6"/>
      <c r="DSX44" s="6"/>
      <c r="DSY44" s="6"/>
      <c r="DSZ44" s="6"/>
      <c r="DTA44" s="6"/>
      <c r="DTB44" s="6"/>
      <c r="DTC44" s="6"/>
      <c r="DTD44" s="6"/>
      <c r="DTE44" s="6"/>
      <c r="DTF44" s="6"/>
      <c r="DTG44" s="6"/>
      <c r="DTH44" s="6"/>
      <c r="DTI44" s="6"/>
      <c r="DTJ44" s="6"/>
      <c r="DTK44" s="6"/>
      <c r="DTL44" s="6"/>
      <c r="DTM44" s="6"/>
      <c r="DTN44" s="6"/>
      <c r="DTO44" s="6"/>
      <c r="DTP44" s="6"/>
      <c r="DTQ44" s="6"/>
      <c r="DTR44" s="6"/>
      <c r="DTS44" s="6"/>
      <c r="DTT44" s="6"/>
      <c r="DTU44" s="6"/>
      <c r="DTV44" s="6"/>
      <c r="DTW44" s="6"/>
      <c r="DTX44" s="6"/>
      <c r="DTY44" s="6"/>
      <c r="DTZ44" s="6"/>
      <c r="DUA44" s="6"/>
      <c r="DUB44" s="6"/>
      <c r="DUC44" s="6"/>
      <c r="DUD44" s="6"/>
      <c r="DUE44" s="6"/>
      <c r="DUF44" s="6"/>
      <c r="DUG44" s="6"/>
      <c r="DUH44" s="6"/>
      <c r="DUI44" s="6"/>
      <c r="DUJ44" s="6"/>
      <c r="DUK44" s="6"/>
      <c r="DUL44" s="6"/>
      <c r="DUM44" s="6"/>
      <c r="DUN44" s="6"/>
      <c r="DUO44" s="6"/>
      <c r="DUP44" s="6"/>
      <c r="DUQ44" s="6"/>
      <c r="DUR44" s="6"/>
      <c r="DUS44" s="6"/>
      <c r="DUT44" s="6"/>
      <c r="DUU44" s="6"/>
      <c r="DUV44" s="6"/>
      <c r="DUW44" s="6"/>
      <c r="DUX44" s="6"/>
      <c r="DUY44" s="6"/>
      <c r="DUZ44" s="6"/>
      <c r="DVA44" s="6"/>
      <c r="DVB44" s="6"/>
      <c r="DVC44" s="6"/>
      <c r="DVD44" s="6"/>
      <c r="DVE44" s="6"/>
      <c r="DVF44" s="6"/>
      <c r="DVG44" s="6"/>
      <c r="DVH44" s="6"/>
      <c r="DVI44" s="6"/>
      <c r="DVJ44" s="6"/>
      <c r="DVK44" s="6"/>
      <c r="DVL44" s="6"/>
      <c r="DVM44" s="6"/>
      <c r="DVN44" s="6"/>
      <c r="DVO44" s="6"/>
      <c r="DVP44" s="6"/>
      <c r="DVQ44" s="6"/>
      <c r="DVR44" s="6"/>
      <c r="DVS44" s="6"/>
      <c r="DVT44" s="6"/>
      <c r="DVU44" s="6"/>
      <c r="DVV44" s="6"/>
      <c r="DVW44" s="6"/>
      <c r="DVX44" s="6"/>
      <c r="DVY44" s="6"/>
      <c r="DVZ44" s="6"/>
      <c r="DWA44" s="6"/>
      <c r="DWB44" s="6"/>
      <c r="DWC44" s="6"/>
      <c r="DWD44" s="6"/>
      <c r="DWE44" s="6"/>
      <c r="DWF44" s="6"/>
      <c r="DWG44" s="6"/>
      <c r="DWH44" s="6"/>
      <c r="DWI44" s="6"/>
      <c r="DWJ44" s="6"/>
      <c r="DWK44" s="6"/>
      <c r="DWL44" s="6"/>
      <c r="DWM44" s="6"/>
      <c r="DWN44" s="6"/>
      <c r="DWO44" s="6"/>
      <c r="DWP44" s="6"/>
      <c r="DWQ44" s="6"/>
      <c r="DWR44" s="6"/>
      <c r="DWS44" s="6"/>
      <c r="DWT44" s="6"/>
      <c r="DWU44" s="6"/>
      <c r="DWV44" s="6"/>
      <c r="DWW44" s="6"/>
      <c r="DWX44" s="6"/>
      <c r="DWY44" s="6"/>
      <c r="DWZ44" s="6"/>
      <c r="DXA44" s="6"/>
      <c r="DXB44" s="6"/>
      <c r="DXC44" s="6"/>
      <c r="DXD44" s="6"/>
      <c r="DXE44" s="6"/>
      <c r="DXF44" s="6"/>
      <c r="DXG44" s="6"/>
      <c r="DXH44" s="6"/>
      <c r="DXI44" s="6"/>
      <c r="DXJ44" s="6"/>
      <c r="DXK44" s="6"/>
      <c r="DXL44" s="6"/>
      <c r="DXM44" s="6"/>
      <c r="DXN44" s="6"/>
      <c r="DXO44" s="6"/>
      <c r="DXP44" s="6"/>
      <c r="DXQ44" s="6"/>
      <c r="DXR44" s="6"/>
      <c r="DXS44" s="6"/>
      <c r="DXT44" s="6"/>
      <c r="DXU44" s="6"/>
      <c r="DXV44" s="6"/>
      <c r="DXW44" s="6"/>
      <c r="DXX44" s="6"/>
      <c r="DXY44" s="6"/>
      <c r="DXZ44" s="6"/>
      <c r="DYA44" s="6"/>
      <c r="DYB44" s="6"/>
      <c r="DYC44" s="6"/>
      <c r="DYD44" s="6"/>
      <c r="DYE44" s="6"/>
      <c r="DYF44" s="6"/>
      <c r="DYG44" s="6"/>
      <c r="DYH44" s="6"/>
      <c r="DYI44" s="6"/>
      <c r="DYJ44" s="6"/>
      <c r="DYK44" s="6"/>
      <c r="DYL44" s="6"/>
      <c r="DYM44" s="6"/>
      <c r="DYN44" s="6"/>
      <c r="DYO44" s="6"/>
      <c r="DYP44" s="6"/>
      <c r="DYQ44" s="6"/>
      <c r="DYR44" s="6"/>
      <c r="DYS44" s="6"/>
      <c r="DYT44" s="6"/>
      <c r="DYU44" s="6"/>
      <c r="DYV44" s="6"/>
      <c r="DYW44" s="6"/>
      <c r="DYX44" s="6"/>
      <c r="DYY44" s="6"/>
      <c r="DYZ44" s="6"/>
      <c r="DZA44" s="6"/>
      <c r="DZB44" s="6"/>
      <c r="DZC44" s="6"/>
      <c r="DZD44" s="6"/>
      <c r="DZE44" s="6"/>
      <c r="DZF44" s="6"/>
      <c r="DZG44" s="6"/>
      <c r="DZH44" s="6"/>
      <c r="DZI44" s="6"/>
      <c r="DZJ44" s="6"/>
      <c r="DZK44" s="6"/>
      <c r="DZL44" s="6"/>
      <c r="DZM44" s="6"/>
      <c r="DZN44" s="6"/>
      <c r="DZO44" s="6"/>
      <c r="DZP44" s="6"/>
      <c r="DZQ44" s="6"/>
      <c r="DZR44" s="6"/>
      <c r="DZS44" s="6"/>
      <c r="DZT44" s="6"/>
      <c r="DZU44" s="6"/>
      <c r="DZV44" s="6"/>
      <c r="DZW44" s="6"/>
      <c r="DZX44" s="6"/>
      <c r="DZY44" s="6"/>
      <c r="DZZ44" s="6"/>
      <c r="EAA44" s="6"/>
      <c r="EAB44" s="6"/>
      <c r="EAC44" s="6"/>
      <c r="EAD44" s="6"/>
      <c r="EAE44" s="6"/>
      <c r="EAF44" s="6"/>
      <c r="EAG44" s="6"/>
      <c r="EAH44" s="6"/>
      <c r="EAI44" s="6"/>
      <c r="EAJ44" s="6"/>
      <c r="EAK44" s="6"/>
      <c r="EAL44" s="6"/>
      <c r="EAM44" s="6"/>
      <c r="EAN44" s="6"/>
      <c r="EAO44" s="6"/>
      <c r="EAP44" s="6"/>
      <c r="EAQ44" s="6"/>
      <c r="EAR44" s="6"/>
      <c r="EAS44" s="6"/>
      <c r="EAT44" s="6"/>
      <c r="EAU44" s="6"/>
      <c r="EAV44" s="6"/>
      <c r="EAW44" s="6"/>
      <c r="EAX44" s="6"/>
      <c r="EAY44" s="6"/>
      <c r="EAZ44" s="6"/>
      <c r="EBA44" s="6"/>
      <c r="EBB44" s="6"/>
      <c r="EBC44" s="6"/>
      <c r="EBD44" s="6"/>
      <c r="EBE44" s="6"/>
      <c r="EBF44" s="6"/>
      <c r="EBG44" s="6"/>
      <c r="EBH44" s="6"/>
      <c r="EBI44" s="6"/>
      <c r="EBJ44" s="6"/>
      <c r="EBK44" s="6"/>
      <c r="EBL44" s="6"/>
      <c r="EBM44" s="6"/>
      <c r="EBN44" s="6"/>
      <c r="EBO44" s="6"/>
      <c r="EBP44" s="6"/>
      <c r="EBQ44" s="6"/>
      <c r="EBR44" s="6"/>
      <c r="EBS44" s="6"/>
      <c r="EBT44" s="6"/>
      <c r="EBU44" s="6"/>
      <c r="EBV44" s="6"/>
      <c r="EBW44" s="6"/>
      <c r="EBX44" s="6"/>
      <c r="EBY44" s="6"/>
      <c r="EBZ44" s="6"/>
      <c r="ECA44" s="6"/>
      <c r="ECB44" s="6"/>
      <c r="ECC44" s="6"/>
      <c r="ECD44" s="6"/>
      <c r="ECE44" s="6"/>
      <c r="ECF44" s="6"/>
      <c r="ECG44" s="6"/>
      <c r="ECH44" s="6"/>
      <c r="ECI44" s="6"/>
      <c r="ECJ44" s="6"/>
      <c r="ECK44" s="6"/>
      <c r="ECL44" s="6"/>
      <c r="ECM44" s="6"/>
      <c r="ECN44" s="6"/>
      <c r="ECO44" s="6"/>
      <c r="ECP44" s="6"/>
      <c r="ECQ44" s="6"/>
      <c r="ECR44" s="6"/>
      <c r="ECS44" s="6"/>
      <c r="ECT44" s="6"/>
      <c r="ECU44" s="6"/>
      <c r="ECV44" s="6"/>
      <c r="ECW44" s="6"/>
      <c r="ECX44" s="6"/>
      <c r="ECY44" s="6"/>
      <c r="ECZ44" s="6"/>
      <c r="EDA44" s="6"/>
      <c r="EDB44" s="6"/>
      <c r="EDC44" s="6"/>
      <c r="EDD44" s="6"/>
      <c r="EDE44" s="6"/>
      <c r="EDF44" s="6"/>
      <c r="EDG44" s="6"/>
      <c r="EDH44" s="6"/>
      <c r="EDI44" s="6"/>
      <c r="EDJ44" s="6"/>
      <c r="EDK44" s="6"/>
      <c r="EDL44" s="6"/>
      <c r="EDM44" s="6"/>
      <c r="EDN44" s="6"/>
      <c r="EDO44" s="6"/>
      <c r="EDP44" s="6"/>
      <c r="EDQ44" s="6"/>
      <c r="EDR44" s="6"/>
      <c r="EDS44" s="6"/>
      <c r="EDT44" s="6"/>
      <c r="EDU44" s="6"/>
      <c r="EDV44" s="6"/>
      <c r="EDW44" s="6"/>
      <c r="EDX44" s="6"/>
      <c r="EDY44" s="6"/>
      <c r="EDZ44" s="6"/>
      <c r="EEA44" s="6"/>
      <c r="EEB44" s="6"/>
      <c r="EEC44" s="6"/>
      <c r="EED44" s="6"/>
      <c r="EEE44" s="6"/>
      <c r="EEF44" s="6"/>
      <c r="EEG44" s="6"/>
      <c r="EEH44" s="6"/>
      <c r="EEI44" s="6"/>
      <c r="EEJ44" s="6"/>
      <c r="EEK44" s="6"/>
      <c r="EEL44" s="6"/>
      <c r="EEM44" s="6"/>
      <c r="EEN44" s="6"/>
      <c r="EEO44" s="6"/>
      <c r="EEP44" s="6"/>
      <c r="EEQ44" s="6"/>
      <c r="EER44" s="6"/>
      <c r="EES44" s="6"/>
      <c r="EET44" s="6"/>
      <c r="EEU44" s="6"/>
      <c r="EEV44" s="6"/>
      <c r="EEW44" s="6"/>
      <c r="EEX44" s="6"/>
      <c r="EEY44" s="6"/>
      <c r="EEZ44" s="6"/>
      <c r="EFA44" s="6"/>
      <c r="EFB44" s="6"/>
      <c r="EFC44" s="6"/>
      <c r="EFD44" s="6"/>
      <c r="EFE44" s="6"/>
      <c r="EFF44" s="6"/>
      <c r="EFG44" s="6"/>
      <c r="EFH44" s="6"/>
      <c r="EFI44" s="6"/>
      <c r="EFJ44" s="6"/>
      <c r="EFK44" s="6"/>
      <c r="EFL44" s="6"/>
      <c r="EFM44" s="6"/>
      <c r="EFN44" s="6"/>
      <c r="EFO44" s="6"/>
      <c r="EFP44" s="6"/>
      <c r="EFQ44" s="6"/>
      <c r="EFR44" s="6"/>
      <c r="EFS44" s="6"/>
      <c r="EFT44" s="6"/>
      <c r="EFU44" s="6"/>
      <c r="EFV44" s="6"/>
      <c r="EFW44" s="6"/>
      <c r="EFX44" s="6"/>
      <c r="EFY44" s="6"/>
      <c r="EFZ44" s="6"/>
      <c r="EGA44" s="6"/>
      <c r="EGB44" s="6"/>
      <c r="EGC44" s="6"/>
      <c r="EGD44" s="6"/>
      <c r="EGE44" s="6"/>
      <c r="EGF44" s="6"/>
      <c r="EGG44" s="6"/>
      <c r="EGH44" s="6"/>
      <c r="EGI44" s="6"/>
      <c r="EGJ44" s="6"/>
      <c r="EGK44" s="6"/>
      <c r="EGL44" s="6"/>
      <c r="EGM44" s="6"/>
      <c r="EGN44" s="6"/>
      <c r="EGO44" s="6"/>
      <c r="EGP44" s="6"/>
      <c r="EGQ44" s="6"/>
      <c r="EGR44" s="6"/>
      <c r="EGS44" s="6"/>
      <c r="EGT44" s="6"/>
      <c r="EGU44" s="6"/>
      <c r="EGV44" s="6"/>
      <c r="EGW44" s="6"/>
      <c r="EGX44" s="6"/>
      <c r="EGY44" s="6"/>
      <c r="EGZ44" s="6"/>
      <c r="EHA44" s="6"/>
      <c r="EHB44" s="6"/>
      <c r="EHC44" s="6"/>
      <c r="EHD44" s="6"/>
      <c r="EHE44" s="6"/>
      <c r="EHF44" s="6"/>
      <c r="EHG44" s="6"/>
      <c r="EHH44" s="6"/>
      <c r="EHI44" s="6"/>
      <c r="EHJ44" s="6"/>
      <c r="EHK44" s="6"/>
      <c r="EHL44" s="6"/>
      <c r="EHM44" s="6"/>
      <c r="EHN44" s="6"/>
      <c r="EHO44" s="6"/>
      <c r="EHP44" s="6"/>
      <c r="EHQ44" s="6"/>
      <c r="EHR44" s="6"/>
      <c r="EHS44" s="6"/>
      <c r="EHT44" s="6"/>
      <c r="EHU44" s="6"/>
      <c r="EHV44" s="6"/>
      <c r="EHW44" s="6"/>
      <c r="EHX44" s="6"/>
      <c r="EHY44" s="6"/>
      <c r="EHZ44" s="6"/>
      <c r="EIA44" s="6"/>
      <c r="EIB44" s="6"/>
      <c r="EIC44" s="6"/>
      <c r="EID44" s="6"/>
      <c r="EIE44" s="6"/>
      <c r="EIF44" s="6"/>
      <c r="EIG44" s="6"/>
      <c r="EIH44" s="6"/>
      <c r="EII44" s="6"/>
      <c r="EIJ44" s="6"/>
      <c r="EIK44" s="6"/>
      <c r="EIL44" s="6"/>
      <c r="EIM44" s="6"/>
      <c r="EIN44" s="6"/>
      <c r="EIO44" s="6"/>
      <c r="EIP44" s="6"/>
      <c r="EIQ44" s="6"/>
      <c r="EIR44" s="6"/>
      <c r="EIS44" s="6"/>
      <c r="EIT44" s="6"/>
      <c r="EIU44" s="6"/>
      <c r="EIV44" s="6"/>
      <c r="EIW44" s="6"/>
      <c r="EIX44" s="6"/>
      <c r="EIY44" s="6"/>
      <c r="EIZ44" s="6"/>
      <c r="EJA44" s="6"/>
      <c r="EJB44" s="6"/>
      <c r="EJC44" s="6"/>
      <c r="EJD44" s="6"/>
      <c r="EJE44" s="6"/>
      <c r="EJF44" s="6"/>
      <c r="EJG44" s="6"/>
      <c r="EJH44" s="6"/>
      <c r="EJI44" s="6"/>
      <c r="EJJ44" s="6"/>
      <c r="EJK44" s="6"/>
      <c r="EJL44" s="6"/>
      <c r="EJM44" s="6"/>
      <c r="EJN44" s="6"/>
      <c r="EJO44" s="6"/>
      <c r="EJP44" s="6"/>
      <c r="EJQ44" s="6"/>
      <c r="EJR44" s="6"/>
      <c r="EJS44" s="6"/>
      <c r="EJT44" s="6"/>
      <c r="EJU44" s="6"/>
      <c r="EJV44" s="6"/>
      <c r="EJW44" s="6"/>
      <c r="EJX44" s="6"/>
      <c r="EJY44" s="6"/>
      <c r="EJZ44" s="6"/>
      <c r="EKA44" s="6"/>
      <c r="EKB44" s="6"/>
      <c r="EKC44" s="6"/>
      <c r="EKD44" s="6"/>
      <c r="EKE44" s="6"/>
      <c r="EKF44" s="6"/>
      <c r="EKG44" s="6"/>
      <c r="EKH44" s="6"/>
      <c r="EKI44" s="6"/>
      <c r="EKJ44" s="6"/>
      <c r="EKK44" s="6"/>
      <c r="EKL44" s="6"/>
      <c r="EKM44" s="6"/>
      <c r="EKN44" s="6"/>
      <c r="EKO44" s="6"/>
      <c r="EKP44" s="6"/>
      <c r="EKQ44" s="6"/>
      <c r="EKR44" s="6"/>
      <c r="EKS44" s="6"/>
      <c r="EKT44" s="6"/>
      <c r="EKU44" s="6"/>
      <c r="EKV44" s="6"/>
      <c r="EKW44" s="6"/>
      <c r="EKX44" s="6"/>
      <c r="EKY44" s="6"/>
      <c r="EKZ44" s="6"/>
      <c r="ELA44" s="6"/>
      <c r="ELB44" s="6"/>
      <c r="ELC44" s="6"/>
      <c r="ELD44" s="6"/>
      <c r="ELE44" s="6"/>
      <c r="ELF44" s="6"/>
      <c r="ELG44" s="6"/>
      <c r="ELH44" s="6"/>
      <c r="ELI44" s="6"/>
      <c r="ELJ44" s="6"/>
      <c r="ELK44" s="6"/>
      <c r="ELL44" s="6"/>
      <c r="ELM44" s="6"/>
      <c r="ELN44" s="6"/>
      <c r="ELO44" s="6"/>
      <c r="ELP44" s="6"/>
      <c r="ELQ44" s="6"/>
      <c r="ELR44" s="6"/>
      <c r="ELS44" s="6"/>
      <c r="ELT44" s="6"/>
      <c r="ELU44" s="6"/>
      <c r="ELV44" s="6"/>
      <c r="ELW44" s="6"/>
      <c r="ELX44" s="6"/>
      <c r="ELY44" s="6"/>
      <c r="ELZ44" s="6"/>
      <c r="EMA44" s="6"/>
      <c r="EMB44" s="6"/>
      <c r="EMC44" s="6"/>
      <c r="EMD44" s="6"/>
      <c r="EME44" s="6"/>
      <c r="EMF44" s="6"/>
      <c r="EMG44" s="6"/>
      <c r="EMH44" s="6"/>
      <c r="EMI44" s="6"/>
      <c r="EMJ44" s="6"/>
      <c r="EMK44" s="6"/>
      <c r="EML44" s="6"/>
      <c r="EMM44" s="6"/>
      <c r="EMN44" s="6"/>
      <c r="EMO44" s="6"/>
      <c r="EMP44" s="6"/>
      <c r="EMQ44" s="6"/>
      <c r="EMR44" s="6"/>
      <c r="EMS44" s="6"/>
      <c r="EMT44" s="6"/>
      <c r="EMU44" s="6"/>
      <c r="EMV44" s="6"/>
      <c r="EMW44" s="6"/>
      <c r="EMX44" s="6"/>
      <c r="EMY44" s="6"/>
      <c r="EMZ44" s="6"/>
      <c r="ENA44" s="6"/>
      <c r="ENB44" s="6"/>
      <c r="ENC44" s="6"/>
      <c r="END44" s="6"/>
      <c r="ENE44" s="6"/>
      <c r="ENF44" s="6"/>
      <c r="ENG44" s="6"/>
      <c r="ENH44" s="6"/>
      <c r="ENI44" s="6"/>
      <c r="ENJ44" s="6"/>
      <c r="ENK44" s="6"/>
      <c r="ENL44" s="6"/>
      <c r="ENM44" s="6"/>
      <c r="ENN44" s="6"/>
      <c r="ENO44" s="6"/>
      <c r="ENP44" s="6"/>
      <c r="ENQ44" s="6"/>
      <c r="ENR44" s="6"/>
      <c r="ENS44" s="6"/>
      <c r="ENT44" s="6"/>
      <c r="ENU44" s="6"/>
      <c r="ENV44" s="6"/>
      <c r="ENW44" s="6"/>
      <c r="ENX44" s="6"/>
      <c r="ENY44" s="6"/>
      <c r="ENZ44" s="6"/>
      <c r="EOA44" s="6"/>
      <c r="EOB44" s="6"/>
      <c r="EOC44" s="6"/>
      <c r="EOD44" s="6"/>
      <c r="EOE44" s="6"/>
      <c r="EOF44" s="6"/>
      <c r="EOG44" s="6"/>
      <c r="EOH44" s="6"/>
      <c r="EOI44" s="6"/>
      <c r="EOJ44" s="6"/>
      <c r="EOK44" s="6"/>
      <c r="EOL44" s="6"/>
      <c r="EOM44" s="6"/>
      <c r="EON44" s="6"/>
      <c r="EOO44" s="6"/>
      <c r="EOP44" s="6"/>
      <c r="EOQ44" s="6"/>
      <c r="EOR44" s="6"/>
      <c r="EOS44" s="6"/>
      <c r="EOT44" s="6"/>
      <c r="EOU44" s="6"/>
      <c r="EOV44" s="6"/>
      <c r="EOW44" s="6"/>
      <c r="EOX44" s="6"/>
      <c r="EOY44" s="6"/>
      <c r="EOZ44" s="6"/>
      <c r="EPA44" s="6"/>
      <c r="EPB44" s="6"/>
      <c r="EPC44" s="6"/>
      <c r="EPD44" s="6"/>
      <c r="EPE44" s="6"/>
      <c r="EPF44" s="6"/>
      <c r="EPG44" s="6"/>
      <c r="EPH44" s="6"/>
      <c r="EPI44" s="6"/>
      <c r="EPJ44" s="6"/>
      <c r="EPK44" s="6"/>
      <c r="EPL44" s="6"/>
      <c r="EPM44" s="6"/>
      <c r="EPN44" s="6"/>
      <c r="EPO44" s="6"/>
      <c r="EPP44" s="6"/>
      <c r="EPQ44" s="6"/>
      <c r="EPR44" s="6"/>
      <c r="EPS44" s="6"/>
      <c r="EPT44" s="6"/>
      <c r="EPU44" s="6"/>
      <c r="EPV44" s="6"/>
      <c r="EPW44" s="6"/>
      <c r="EPX44" s="6"/>
      <c r="EPY44" s="6"/>
      <c r="EPZ44" s="6"/>
      <c r="EQA44" s="6"/>
      <c r="EQB44" s="6"/>
      <c r="EQC44" s="6"/>
      <c r="EQD44" s="6"/>
      <c r="EQE44" s="6"/>
      <c r="EQF44" s="6"/>
      <c r="EQG44" s="6"/>
      <c r="EQH44" s="6"/>
      <c r="EQI44" s="6"/>
      <c r="EQJ44" s="6"/>
      <c r="EQK44" s="6"/>
      <c r="EQL44" s="6"/>
      <c r="EQM44" s="6"/>
      <c r="EQN44" s="6"/>
      <c r="EQO44" s="6"/>
      <c r="EQP44" s="6"/>
      <c r="EQQ44" s="6"/>
      <c r="EQR44" s="6"/>
      <c r="EQS44" s="6"/>
      <c r="EQT44" s="6"/>
      <c r="EQU44" s="6"/>
      <c r="EQV44" s="6"/>
      <c r="EQW44" s="6"/>
      <c r="EQX44" s="6"/>
      <c r="EQY44" s="6"/>
      <c r="EQZ44" s="6"/>
      <c r="ERA44" s="6"/>
      <c r="ERB44" s="6"/>
      <c r="ERC44" s="6"/>
      <c r="ERD44" s="6"/>
      <c r="ERE44" s="6"/>
      <c r="ERF44" s="6"/>
      <c r="ERG44" s="6"/>
      <c r="ERH44" s="6"/>
      <c r="ERI44" s="6"/>
      <c r="ERJ44" s="6"/>
      <c r="ERK44" s="6"/>
      <c r="ERL44" s="6"/>
      <c r="ERM44" s="6"/>
      <c r="ERN44" s="6"/>
      <c r="ERO44" s="6"/>
      <c r="ERP44" s="6"/>
      <c r="ERQ44" s="6"/>
      <c r="ERR44" s="6"/>
      <c r="ERS44" s="6"/>
      <c r="ERT44" s="6"/>
      <c r="ERU44" s="6"/>
      <c r="ERV44" s="6"/>
      <c r="ERW44" s="6"/>
      <c r="ERX44" s="6"/>
      <c r="ERY44" s="6"/>
      <c r="ERZ44" s="6"/>
      <c r="ESA44" s="6"/>
      <c r="ESB44" s="6"/>
      <c r="ESC44" s="6"/>
      <c r="ESD44" s="6"/>
      <c r="ESE44" s="6"/>
      <c r="ESF44" s="6"/>
      <c r="ESG44" s="6"/>
      <c r="ESH44" s="6"/>
      <c r="ESI44" s="6"/>
      <c r="ESJ44" s="6"/>
      <c r="ESK44" s="6"/>
      <c r="ESL44" s="6"/>
      <c r="ESM44" s="6"/>
      <c r="ESN44" s="6"/>
      <c r="ESO44" s="6"/>
      <c r="ESP44" s="6"/>
      <c r="ESQ44" s="6"/>
      <c r="ESR44" s="6"/>
      <c r="ESS44" s="6"/>
      <c r="EST44" s="6"/>
      <c r="ESU44" s="6"/>
      <c r="ESV44" s="6"/>
      <c r="ESW44" s="6"/>
      <c r="ESX44" s="6"/>
      <c r="ESY44" s="6"/>
      <c r="ESZ44" s="6"/>
      <c r="ETA44" s="6"/>
      <c r="ETB44" s="6"/>
      <c r="ETC44" s="6"/>
      <c r="ETD44" s="6"/>
      <c r="ETE44" s="6"/>
      <c r="ETF44" s="6"/>
      <c r="ETG44" s="6"/>
      <c r="ETH44" s="6"/>
      <c r="ETI44" s="6"/>
      <c r="ETJ44" s="6"/>
      <c r="ETK44" s="6"/>
      <c r="ETL44" s="6"/>
      <c r="ETM44" s="6"/>
      <c r="ETN44" s="6"/>
      <c r="ETO44" s="6"/>
      <c r="ETP44" s="6"/>
      <c r="ETQ44" s="6"/>
      <c r="ETR44" s="6"/>
      <c r="ETS44" s="6"/>
      <c r="ETT44" s="6"/>
      <c r="ETU44" s="6"/>
      <c r="ETV44" s="6"/>
      <c r="ETW44" s="6"/>
      <c r="ETX44" s="6"/>
      <c r="ETY44" s="6"/>
      <c r="ETZ44" s="6"/>
      <c r="EUA44" s="6"/>
      <c r="EUB44" s="6"/>
      <c r="EUC44" s="6"/>
      <c r="EUD44" s="6"/>
      <c r="EUE44" s="6"/>
      <c r="EUF44" s="6"/>
      <c r="EUG44" s="6"/>
      <c r="EUH44" s="6"/>
      <c r="EUI44" s="6"/>
      <c r="EUJ44" s="6"/>
      <c r="EUK44" s="6"/>
      <c r="EUL44" s="6"/>
      <c r="EUM44" s="6"/>
      <c r="EUN44" s="6"/>
      <c r="EUO44" s="6"/>
      <c r="EUP44" s="6"/>
      <c r="EUQ44" s="6"/>
      <c r="EUR44" s="6"/>
      <c r="EUS44" s="6"/>
      <c r="EUT44" s="6"/>
      <c r="EUU44" s="6"/>
      <c r="EUV44" s="6"/>
      <c r="EUW44" s="6"/>
      <c r="EUX44" s="6"/>
      <c r="EUY44" s="6"/>
      <c r="EUZ44" s="6"/>
      <c r="EVA44" s="6"/>
      <c r="EVB44" s="6"/>
      <c r="EVC44" s="6"/>
      <c r="EVD44" s="6"/>
      <c r="EVE44" s="6"/>
      <c r="EVF44" s="6"/>
      <c r="EVG44" s="6"/>
      <c r="EVH44" s="6"/>
      <c r="EVI44" s="6"/>
      <c r="EVJ44" s="6"/>
      <c r="EVK44" s="6"/>
      <c r="EVL44" s="6"/>
      <c r="EVM44" s="6"/>
      <c r="EVN44" s="6"/>
      <c r="EVO44" s="6"/>
      <c r="EVP44" s="6"/>
      <c r="EVQ44" s="6"/>
      <c r="EVR44" s="6"/>
      <c r="EVS44" s="6"/>
      <c r="EVT44" s="6"/>
      <c r="EVU44" s="6"/>
      <c r="EVV44" s="6"/>
      <c r="EVW44" s="6"/>
      <c r="EVX44" s="6"/>
      <c r="EVY44" s="6"/>
      <c r="EVZ44" s="6"/>
      <c r="EWA44" s="6"/>
      <c r="EWB44" s="6"/>
      <c r="EWC44" s="6"/>
      <c r="EWD44" s="6"/>
      <c r="EWE44" s="6"/>
      <c r="EWF44" s="6"/>
      <c r="EWG44" s="6"/>
      <c r="EWH44" s="6"/>
      <c r="EWI44" s="6"/>
      <c r="EWJ44" s="6"/>
      <c r="EWK44" s="6"/>
      <c r="EWL44" s="6"/>
      <c r="EWM44" s="6"/>
      <c r="EWN44" s="6"/>
      <c r="EWO44" s="6"/>
      <c r="EWP44" s="6"/>
      <c r="EWQ44" s="6"/>
      <c r="EWR44" s="6"/>
      <c r="EWS44" s="6"/>
      <c r="EWT44" s="6"/>
      <c r="EWU44" s="6"/>
      <c r="EWV44" s="6"/>
      <c r="EWW44" s="6"/>
      <c r="EWX44" s="6"/>
      <c r="EWY44" s="6"/>
      <c r="EWZ44" s="6"/>
      <c r="EXA44" s="6"/>
      <c r="EXB44" s="6"/>
      <c r="EXC44" s="6"/>
      <c r="EXD44" s="6"/>
      <c r="EXE44" s="6"/>
      <c r="EXF44" s="6"/>
      <c r="EXG44" s="6"/>
      <c r="EXH44" s="6"/>
      <c r="EXI44" s="6"/>
      <c r="EXJ44" s="6"/>
      <c r="EXK44" s="6"/>
      <c r="EXL44" s="6"/>
      <c r="EXM44" s="6"/>
      <c r="EXN44" s="6"/>
      <c r="EXO44" s="6"/>
      <c r="EXP44" s="6"/>
      <c r="EXQ44" s="6"/>
      <c r="EXR44" s="6"/>
      <c r="EXS44" s="6"/>
      <c r="EXT44" s="6"/>
      <c r="EXU44" s="6"/>
      <c r="EXV44" s="6"/>
      <c r="EXW44" s="6"/>
      <c r="EXX44" s="6"/>
      <c r="EXY44" s="6"/>
      <c r="EXZ44" s="6"/>
      <c r="EYA44" s="6"/>
      <c r="EYB44" s="6"/>
      <c r="EYC44" s="6"/>
      <c r="EYD44" s="6"/>
      <c r="EYE44" s="6"/>
      <c r="EYF44" s="6"/>
      <c r="EYG44" s="6"/>
      <c r="EYH44" s="6"/>
      <c r="EYI44" s="6"/>
      <c r="EYJ44" s="6"/>
      <c r="EYK44" s="6"/>
      <c r="EYL44" s="6"/>
      <c r="EYM44" s="6"/>
      <c r="EYN44" s="6"/>
      <c r="EYO44" s="6"/>
      <c r="EYP44" s="6"/>
      <c r="EYQ44" s="6"/>
      <c r="EYR44" s="6"/>
      <c r="EYS44" s="6"/>
      <c r="EYT44" s="6"/>
      <c r="EYU44" s="6"/>
      <c r="EYV44" s="6"/>
      <c r="EYW44" s="6"/>
      <c r="EYX44" s="6"/>
      <c r="EYY44" s="6"/>
      <c r="EYZ44" s="6"/>
      <c r="EZA44" s="6"/>
      <c r="EZB44" s="6"/>
      <c r="EZC44" s="6"/>
      <c r="EZD44" s="6"/>
      <c r="EZE44" s="6"/>
      <c r="EZF44" s="6"/>
      <c r="EZG44" s="6"/>
      <c r="EZH44" s="6"/>
      <c r="EZI44" s="6"/>
      <c r="EZJ44" s="6"/>
      <c r="EZK44" s="6"/>
      <c r="EZL44" s="6"/>
      <c r="EZM44" s="6"/>
      <c r="EZN44" s="6"/>
      <c r="EZO44" s="6"/>
      <c r="EZP44" s="6"/>
      <c r="EZQ44" s="6"/>
      <c r="EZR44" s="6"/>
      <c r="EZS44" s="6"/>
      <c r="EZT44" s="6"/>
      <c r="EZU44" s="6"/>
      <c r="EZV44" s="6"/>
      <c r="EZW44" s="6"/>
      <c r="EZX44" s="6"/>
      <c r="EZY44" s="6"/>
      <c r="EZZ44" s="6"/>
      <c r="FAA44" s="6"/>
      <c r="FAB44" s="6"/>
      <c r="FAC44" s="6"/>
      <c r="FAD44" s="6"/>
      <c r="FAE44" s="6"/>
      <c r="FAF44" s="6"/>
      <c r="FAG44" s="6"/>
      <c r="FAH44" s="6"/>
      <c r="FAI44" s="6"/>
      <c r="FAJ44" s="6"/>
      <c r="FAK44" s="6"/>
      <c r="FAL44" s="6"/>
      <c r="FAM44" s="6"/>
      <c r="FAN44" s="6"/>
      <c r="FAO44" s="6"/>
      <c r="FAP44" s="6"/>
      <c r="FAQ44" s="6"/>
      <c r="FAR44" s="6"/>
      <c r="FAS44" s="6"/>
      <c r="FAT44" s="6"/>
      <c r="FAU44" s="6"/>
      <c r="FAV44" s="6"/>
      <c r="FAW44" s="6"/>
      <c r="FAX44" s="6"/>
      <c r="FAY44" s="6"/>
      <c r="FAZ44" s="6"/>
      <c r="FBA44" s="6"/>
      <c r="FBB44" s="6"/>
      <c r="FBC44" s="6"/>
      <c r="FBD44" s="6"/>
      <c r="FBE44" s="6"/>
      <c r="FBF44" s="6"/>
      <c r="FBG44" s="6"/>
      <c r="FBH44" s="6"/>
      <c r="FBI44" s="6"/>
      <c r="FBJ44" s="6"/>
      <c r="FBK44" s="6"/>
      <c r="FBL44" s="6"/>
      <c r="FBM44" s="6"/>
      <c r="FBN44" s="6"/>
      <c r="FBO44" s="6"/>
      <c r="FBP44" s="6"/>
      <c r="FBQ44" s="6"/>
      <c r="FBR44" s="6"/>
      <c r="FBS44" s="6"/>
      <c r="FBT44" s="6"/>
      <c r="FBU44" s="6"/>
      <c r="FBV44" s="6"/>
      <c r="FBW44" s="6"/>
      <c r="FBX44" s="6"/>
      <c r="FBY44" s="6"/>
      <c r="FBZ44" s="6"/>
      <c r="FCA44" s="6"/>
      <c r="FCB44" s="6"/>
      <c r="FCC44" s="6"/>
      <c r="FCD44" s="6"/>
      <c r="FCE44" s="6"/>
      <c r="FCF44" s="6"/>
      <c r="FCG44" s="6"/>
      <c r="FCH44" s="6"/>
      <c r="FCI44" s="6"/>
      <c r="FCJ44" s="6"/>
      <c r="FCK44" s="6"/>
      <c r="FCL44" s="6"/>
      <c r="FCM44" s="6"/>
      <c r="FCN44" s="6"/>
      <c r="FCO44" s="6"/>
      <c r="FCP44" s="6"/>
      <c r="FCQ44" s="6"/>
      <c r="FCR44" s="6"/>
      <c r="FCS44" s="6"/>
      <c r="FCT44" s="6"/>
      <c r="FCU44" s="6"/>
      <c r="FCV44" s="6"/>
      <c r="FCW44" s="6"/>
      <c r="FCX44" s="6"/>
      <c r="FCY44" s="6"/>
      <c r="FCZ44" s="6"/>
      <c r="FDA44" s="6"/>
      <c r="FDB44" s="6"/>
      <c r="FDC44" s="6"/>
      <c r="FDD44" s="6"/>
      <c r="FDE44" s="6"/>
      <c r="FDF44" s="6"/>
      <c r="FDG44" s="6"/>
      <c r="FDH44" s="6"/>
      <c r="FDI44" s="6"/>
      <c r="FDJ44" s="6"/>
      <c r="FDK44" s="6"/>
      <c r="FDL44" s="6"/>
      <c r="FDM44" s="6"/>
      <c r="FDN44" s="6"/>
      <c r="FDO44" s="6"/>
      <c r="FDP44" s="6"/>
      <c r="FDQ44" s="6"/>
      <c r="FDR44" s="6"/>
      <c r="FDS44" s="6"/>
      <c r="FDT44" s="6"/>
      <c r="FDU44" s="6"/>
      <c r="FDV44" s="6"/>
      <c r="FDW44" s="6"/>
      <c r="FDX44" s="6"/>
      <c r="FDY44" s="6"/>
      <c r="FDZ44" s="6"/>
      <c r="FEA44" s="6"/>
      <c r="FEB44" s="6"/>
      <c r="FEC44" s="6"/>
      <c r="FED44" s="6"/>
      <c r="FEE44" s="6"/>
      <c r="FEF44" s="6"/>
      <c r="FEG44" s="6"/>
      <c r="FEH44" s="6"/>
      <c r="FEI44" s="6"/>
      <c r="FEJ44" s="6"/>
      <c r="FEK44" s="6"/>
      <c r="FEL44" s="6"/>
      <c r="FEM44" s="6"/>
      <c r="FEN44" s="6"/>
      <c r="FEO44" s="6"/>
      <c r="FEP44" s="6"/>
      <c r="FEQ44" s="6"/>
      <c r="FER44" s="6"/>
      <c r="FES44" s="6"/>
      <c r="FET44" s="6"/>
      <c r="FEU44" s="6"/>
      <c r="FEV44" s="6"/>
      <c r="FEW44" s="6"/>
      <c r="FEX44" s="6"/>
      <c r="FEY44" s="6"/>
      <c r="FEZ44" s="6"/>
      <c r="FFA44" s="6"/>
      <c r="FFB44" s="6"/>
      <c r="FFC44" s="6"/>
      <c r="FFD44" s="6"/>
      <c r="FFE44" s="6"/>
      <c r="FFF44" s="6"/>
      <c r="FFG44" s="6"/>
      <c r="FFH44" s="6"/>
      <c r="FFI44" s="6"/>
      <c r="FFJ44" s="6"/>
      <c r="FFK44" s="6"/>
      <c r="FFL44" s="6"/>
      <c r="FFM44" s="6"/>
      <c r="FFN44" s="6"/>
      <c r="FFO44" s="6"/>
      <c r="FFP44" s="6"/>
      <c r="FFQ44" s="6"/>
      <c r="FFR44" s="6"/>
      <c r="FFS44" s="6"/>
      <c r="FFT44" s="6"/>
      <c r="FFU44" s="6"/>
      <c r="FFV44" s="6"/>
      <c r="FFW44" s="6"/>
      <c r="FFX44" s="6"/>
      <c r="FFY44" s="6"/>
      <c r="FFZ44" s="6"/>
      <c r="FGA44" s="6"/>
      <c r="FGB44" s="6"/>
      <c r="FGC44" s="6"/>
      <c r="FGD44" s="6"/>
      <c r="FGE44" s="6"/>
      <c r="FGF44" s="6"/>
      <c r="FGG44" s="6"/>
      <c r="FGH44" s="6"/>
      <c r="FGI44" s="6"/>
      <c r="FGJ44" s="6"/>
      <c r="FGK44" s="6"/>
      <c r="FGL44" s="6"/>
      <c r="FGM44" s="6"/>
      <c r="FGN44" s="6"/>
      <c r="FGO44" s="6"/>
      <c r="FGP44" s="6"/>
      <c r="FGQ44" s="6"/>
      <c r="FGR44" s="6"/>
      <c r="FGS44" s="6"/>
      <c r="FGT44" s="6"/>
      <c r="FGU44" s="6"/>
      <c r="FGV44" s="6"/>
      <c r="FGW44" s="6"/>
      <c r="FGX44" s="6"/>
      <c r="FGY44" s="6"/>
      <c r="FGZ44" s="6"/>
      <c r="FHA44" s="6"/>
      <c r="FHB44" s="6"/>
      <c r="FHC44" s="6"/>
      <c r="FHD44" s="6"/>
      <c r="FHE44" s="6"/>
      <c r="FHF44" s="6"/>
      <c r="FHG44" s="6"/>
      <c r="FHH44" s="6"/>
      <c r="FHI44" s="6"/>
      <c r="FHJ44" s="6"/>
      <c r="FHK44" s="6"/>
      <c r="FHL44" s="6"/>
      <c r="FHM44" s="6"/>
      <c r="FHN44" s="6"/>
      <c r="FHO44" s="6"/>
      <c r="FHP44" s="6"/>
      <c r="FHQ44" s="6"/>
      <c r="FHR44" s="6"/>
      <c r="FHS44" s="6"/>
      <c r="FHT44" s="6"/>
      <c r="FHU44" s="6"/>
      <c r="FHV44" s="6"/>
      <c r="FHW44" s="6"/>
      <c r="FHX44" s="6"/>
      <c r="FHY44" s="6"/>
      <c r="FHZ44" s="6"/>
      <c r="FIA44" s="6"/>
      <c r="FIB44" s="6"/>
      <c r="FIC44" s="6"/>
      <c r="FID44" s="6"/>
      <c r="FIE44" s="6"/>
      <c r="FIF44" s="6"/>
      <c r="FIG44" s="6"/>
      <c r="FIH44" s="6"/>
      <c r="FII44" s="6"/>
      <c r="FIJ44" s="6"/>
      <c r="FIK44" s="6"/>
      <c r="FIL44" s="6"/>
      <c r="FIM44" s="6"/>
      <c r="FIN44" s="6"/>
      <c r="FIO44" s="6"/>
      <c r="FIP44" s="6"/>
      <c r="FIQ44" s="6"/>
      <c r="FIR44" s="6"/>
      <c r="FIS44" s="6"/>
      <c r="FIT44" s="6"/>
      <c r="FIU44" s="6"/>
      <c r="FIV44" s="6"/>
      <c r="FIW44" s="6"/>
      <c r="FIX44" s="6"/>
      <c r="FIY44" s="6"/>
      <c r="FIZ44" s="6"/>
      <c r="FJA44" s="6"/>
      <c r="FJB44" s="6"/>
      <c r="FJC44" s="6"/>
      <c r="FJD44" s="6"/>
      <c r="FJE44" s="6"/>
      <c r="FJF44" s="6"/>
      <c r="FJG44" s="6"/>
      <c r="FJH44" s="6"/>
      <c r="FJI44" s="6"/>
      <c r="FJJ44" s="6"/>
      <c r="FJK44" s="6"/>
      <c r="FJL44" s="6"/>
      <c r="FJM44" s="6"/>
      <c r="FJN44" s="6"/>
      <c r="FJO44" s="6"/>
      <c r="FJP44" s="6"/>
      <c r="FJQ44" s="6"/>
      <c r="FJR44" s="6"/>
      <c r="FJS44" s="6"/>
      <c r="FJT44" s="6"/>
      <c r="FJU44" s="6"/>
      <c r="FJV44" s="6"/>
      <c r="FJW44" s="6"/>
      <c r="FJX44" s="6"/>
      <c r="FJY44" s="6"/>
      <c r="FJZ44" s="6"/>
      <c r="FKA44" s="6"/>
      <c r="FKB44" s="6"/>
      <c r="FKC44" s="6"/>
      <c r="FKD44" s="6"/>
      <c r="FKE44" s="6"/>
      <c r="FKF44" s="6"/>
      <c r="FKG44" s="6"/>
      <c r="FKH44" s="6"/>
      <c r="FKI44" s="6"/>
      <c r="FKJ44" s="6"/>
      <c r="FKK44" s="6"/>
      <c r="FKL44" s="6"/>
      <c r="FKM44" s="6"/>
      <c r="FKN44" s="6"/>
      <c r="FKO44" s="6"/>
      <c r="FKP44" s="6"/>
      <c r="FKQ44" s="6"/>
      <c r="FKR44" s="6"/>
      <c r="FKS44" s="6"/>
      <c r="FKT44" s="6"/>
      <c r="FKU44" s="6"/>
      <c r="FKV44" s="6"/>
      <c r="FKW44" s="6"/>
      <c r="FKX44" s="6"/>
      <c r="FKY44" s="6"/>
      <c r="FKZ44" s="6"/>
      <c r="FLA44" s="6"/>
      <c r="FLB44" s="6"/>
      <c r="FLC44" s="6"/>
      <c r="FLD44" s="6"/>
      <c r="FLE44" s="6"/>
      <c r="FLF44" s="6"/>
      <c r="FLG44" s="6"/>
      <c r="FLH44" s="6"/>
      <c r="FLI44" s="6"/>
      <c r="FLJ44" s="6"/>
      <c r="FLK44" s="6"/>
      <c r="FLL44" s="6"/>
      <c r="FLM44" s="6"/>
      <c r="FLN44" s="6"/>
      <c r="FLO44" s="6"/>
      <c r="FLP44" s="6"/>
      <c r="FLQ44" s="6"/>
      <c r="FLR44" s="6"/>
      <c r="FLS44" s="6"/>
      <c r="FLT44" s="6"/>
      <c r="FLU44" s="6"/>
      <c r="FLV44" s="6"/>
      <c r="FLW44" s="6"/>
      <c r="FLX44" s="6"/>
      <c r="FLY44" s="6"/>
      <c r="FLZ44" s="6"/>
      <c r="FMA44" s="6"/>
      <c r="FMB44" s="6"/>
      <c r="FMC44" s="6"/>
      <c r="FMD44" s="6"/>
      <c r="FME44" s="6"/>
      <c r="FMF44" s="6"/>
      <c r="FMG44" s="6"/>
      <c r="FMH44" s="6"/>
      <c r="FMI44" s="6"/>
      <c r="FMJ44" s="6"/>
      <c r="FMK44" s="6"/>
      <c r="FML44" s="6"/>
      <c r="FMM44" s="6"/>
      <c r="FMN44" s="6"/>
      <c r="FMO44" s="6"/>
      <c r="FMP44" s="6"/>
      <c r="FMQ44" s="6"/>
      <c r="FMR44" s="6"/>
      <c r="FMS44" s="6"/>
      <c r="FMT44" s="6"/>
      <c r="FMU44" s="6"/>
      <c r="FMV44" s="6"/>
      <c r="FMW44" s="6"/>
      <c r="FMX44" s="6"/>
      <c r="FMY44" s="6"/>
      <c r="FMZ44" s="6"/>
      <c r="FNA44" s="6"/>
      <c r="FNB44" s="6"/>
      <c r="FNC44" s="6"/>
      <c r="FND44" s="6"/>
      <c r="FNE44" s="6"/>
      <c r="FNF44" s="6"/>
      <c r="FNG44" s="6"/>
      <c r="FNH44" s="6"/>
      <c r="FNI44" s="6"/>
      <c r="FNJ44" s="6"/>
      <c r="FNK44" s="6"/>
      <c r="FNL44" s="6"/>
      <c r="FNM44" s="6"/>
      <c r="FNN44" s="6"/>
      <c r="FNO44" s="6"/>
      <c r="FNP44" s="6"/>
      <c r="FNQ44" s="6"/>
      <c r="FNR44" s="6"/>
      <c r="FNS44" s="6"/>
      <c r="FNT44" s="6"/>
      <c r="FNU44" s="6"/>
      <c r="FNV44" s="6"/>
      <c r="FNW44" s="6"/>
      <c r="FNX44" s="6"/>
      <c r="FNY44" s="6"/>
      <c r="FNZ44" s="6"/>
      <c r="FOA44" s="6"/>
      <c r="FOB44" s="6"/>
      <c r="FOC44" s="6"/>
      <c r="FOD44" s="6"/>
      <c r="FOE44" s="6"/>
      <c r="FOF44" s="6"/>
      <c r="FOG44" s="6"/>
      <c r="FOH44" s="6"/>
      <c r="FOI44" s="6"/>
      <c r="FOJ44" s="6"/>
      <c r="FOK44" s="6"/>
      <c r="FOL44" s="6"/>
      <c r="FOM44" s="6"/>
      <c r="FON44" s="6"/>
      <c r="FOO44" s="6"/>
      <c r="FOP44" s="6"/>
      <c r="FOQ44" s="6"/>
      <c r="FOR44" s="6"/>
      <c r="FOS44" s="6"/>
      <c r="FOT44" s="6"/>
      <c r="FOU44" s="6"/>
      <c r="FOV44" s="6"/>
      <c r="FOW44" s="6"/>
      <c r="FOX44" s="6"/>
      <c r="FOY44" s="6"/>
      <c r="FOZ44" s="6"/>
      <c r="FPA44" s="6"/>
      <c r="FPB44" s="6"/>
      <c r="FPC44" s="6"/>
      <c r="FPD44" s="6"/>
      <c r="FPE44" s="6"/>
      <c r="FPF44" s="6"/>
      <c r="FPG44" s="6"/>
      <c r="FPH44" s="6"/>
      <c r="FPI44" s="6"/>
      <c r="FPJ44" s="6"/>
      <c r="FPK44" s="6"/>
      <c r="FPL44" s="6"/>
      <c r="FPM44" s="6"/>
      <c r="FPN44" s="6"/>
      <c r="FPO44" s="6"/>
      <c r="FPP44" s="6"/>
      <c r="FPQ44" s="6"/>
      <c r="FPR44" s="6"/>
      <c r="FPS44" s="6"/>
      <c r="FPT44" s="6"/>
      <c r="FPU44" s="6"/>
      <c r="FPV44" s="6"/>
      <c r="FPW44" s="6"/>
      <c r="FPX44" s="6"/>
      <c r="FPY44" s="6"/>
      <c r="FPZ44" s="6"/>
      <c r="FQA44" s="6"/>
      <c r="FQB44" s="6"/>
      <c r="FQC44" s="6"/>
      <c r="FQD44" s="6"/>
      <c r="FQE44" s="6"/>
      <c r="FQF44" s="6"/>
      <c r="FQG44" s="6"/>
      <c r="FQH44" s="6"/>
      <c r="FQI44" s="6"/>
      <c r="FQJ44" s="6"/>
      <c r="FQK44" s="6"/>
      <c r="FQL44" s="6"/>
      <c r="FQM44" s="6"/>
      <c r="FQN44" s="6"/>
      <c r="FQO44" s="6"/>
      <c r="FQP44" s="6"/>
      <c r="FQQ44" s="6"/>
      <c r="FQR44" s="6"/>
      <c r="FQS44" s="6"/>
      <c r="FQT44" s="6"/>
      <c r="FQU44" s="6"/>
      <c r="FQV44" s="6"/>
      <c r="FQW44" s="6"/>
      <c r="FQX44" s="6"/>
      <c r="FQY44" s="6"/>
      <c r="FQZ44" s="6"/>
      <c r="FRA44" s="6"/>
      <c r="FRB44" s="6"/>
      <c r="FRC44" s="6"/>
      <c r="FRD44" s="6"/>
      <c r="FRE44" s="6"/>
      <c r="FRF44" s="6"/>
      <c r="FRG44" s="6"/>
      <c r="FRH44" s="6"/>
      <c r="FRI44" s="6"/>
      <c r="FRJ44" s="6"/>
      <c r="FRK44" s="6"/>
      <c r="FRL44" s="6"/>
      <c r="FRM44" s="6"/>
      <c r="FRN44" s="6"/>
      <c r="FRO44" s="6"/>
      <c r="FRP44" s="6"/>
      <c r="FRQ44" s="6"/>
      <c r="FRR44" s="6"/>
      <c r="FRS44" s="6"/>
      <c r="FRT44" s="6"/>
      <c r="FRU44" s="6"/>
      <c r="FRV44" s="6"/>
      <c r="FRW44" s="6"/>
      <c r="FRX44" s="6"/>
      <c r="FRY44" s="6"/>
      <c r="FRZ44" s="6"/>
      <c r="FSA44" s="6"/>
      <c r="FSB44" s="6"/>
      <c r="FSC44" s="6"/>
      <c r="FSD44" s="6"/>
      <c r="FSE44" s="6"/>
      <c r="FSF44" s="6"/>
      <c r="FSG44" s="6"/>
      <c r="FSH44" s="6"/>
      <c r="FSI44" s="6"/>
      <c r="FSJ44" s="6"/>
      <c r="FSK44" s="6"/>
      <c r="FSL44" s="6"/>
      <c r="FSM44" s="6"/>
      <c r="FSN44" s="6"/>
      <c r="FSO44" s="6"/>
      <c r="FSP44" s="6"/>
      <c r="FSQ44" s="6"/>
      <c r="FSR44" s="6"/>
      <c r="FSS44" s="6"/>
      <c r="FST44" s="6"/>
      <c r="FSU44" s="6"/>
      <c r="FSV44" s="6"/>
      <c r="FSW44" s="6"/>
      <c r="FSX44" s="6"/>
      <c r="FSY44" s="6"/>
      <c r="FSZ44" s="6"/>
      <c r="FTA44" s="6"/>
      <c r="FTB44" s="6"/>
      <c r="FTC44" s="6"/>
      <c r="FTD44" s="6"/>
      <c r="FTE44" s="6"/>
      <c r="FTF44" s="6"/>
      <c r="FTG44" s="6"/>
      <c r="FTH44" s="6"/>
      <c r="FTI44" s="6"/>
      <c r="FTJ44" s="6"/>
      <c r="FTK44" s="6"/>
      <c r="FTL44" s="6"/>
      <c r="FTM44" s="6"/>
      <c r="FTN44" s="6"/>
      <c r="FTO44" s="6"/>
      <c r="FTP44" s="6"/>
      <c r="FTQ44" s="6"/>
      <c r="FTR44" s="6"/>
      <c r="FTS44" s="6"/>
      <c r="FTT44" s="6"/>
      <c r="FTU44" s="6"/>
      <c r="FTV44" s="6"/>
      <c r="FTW44" s="6"/>
      <c r="FTX44" s="6"/>
      <c r="FTY44" s="6"/>
      <c r="FTZ44" s="6"/>
      <c r="FUA44" s="6"/>
      <c r="FUB44" s="6"/>
      <c r="FUC44" s="6"/>
      <c r="FUD44" s="6"/>
      <c r="FUE44" s="6"/>
      <c r="FUF44" s="6"/>
      <c r="FUG44" s="6"/>
      <c r="FUH44" s="6"/>
      <c r="FUI44" s="6"/>
      <c r="FUJ44" s="6"/>
      <c r="FUK44" s="6"/>
      <c r="FUL44" s="6"/>
      <c r="FUM44" s="6"/>
      <c r="FUN44" s="6"/>
      <c r="FUO44" s="6"/>
      <c r="FUP44" s="6"/>
      <c r="FUQ44" s="6"/>
      <c r="FUR44" s="6"/>
      <c r="FUS44" s="6"/>
      <c r="FUT44" s="6"/>
      <c r="FUU44" s="6"/>
      <c r="FUV44" s="6"/>
      <c r="FUW44" s="6"/>
      <c r="FUX44" s="6"/>
      <c r="FUY44" s="6"/>
      <c r="FUZ44" s="6"/>
      <c r="FVA44" s="6"/>
      <c r="FVB44" s="6"/>
      <c r="FVC44" s="6"/>
      <c r="FVD44" s="6"/>
      <c r="FVE44" s="6"/>
      <c r="FVF44" s="6"/>
      <c r="FVG44" s="6"/>
      <c r="FVH44" s="6"/>
      <c r="FVI44" s="6"/>
      <c r="FVJ44" s="6"/>
      <c r="FVK44" s="6"/>
      <c r="FVL44" s="6"/>
      <c r="FVM44" s="6"/>
      <c r="FVN44" s="6"/>
      <c r="FVO44" s="6"/>
      <c r="FVP44" s="6"/>
      <c r="FVQ44" s="6"/>
      <c r="FVR44" s="6"/>
      <c r="FVS44" s="6"/>
      <c r="FVT44" s="6"/>
      <c r="FVU44" s="6"/>
      <c r="FVV44" s="6"/>
      <c r="FVW44" s="6"/>
      <c r="FVX44" s="6"/>
      <c r="FVY44" s="6"/>
      <c r="FVZ44" s="6"/>
      <c r="FWA44" s="6"/>
      <c r="FWB44" s="6"/>
      <c r="FWC44" s="6"/>
      <c r="FWD44" s="6"/>
      <c r="FWE44" s="6"/>
      <c r="FWF44" s="6"/>
      <c r="FWG44" s="6"/>
      <c r="FWH44" s="6"/>
      <c r="FWI44" s="6"/>
      <c r="FWJ44" s="6"/>
      <c r="FWK44" s="6"/>
      <c r="FWL44" s="6"/>
      <c r="FWM44" s="6"/>
      <c r="FWN44" s="6"/>
      <c r="FWO44" s="6"/>
      <c r="FWP44" s="6"/>
      <c r="FWQ44" s="6"/>
      <c r="FWR44" s="6"/>
      <c r="FWS44" s="6"/>
      <c r="FWT44" s="6"/>
      <c r="FWU44" s="6"/>
      <c r="FWV44" s="6"/>
      <c r="FWW44" s="6"/>
      <c r="FWX44" s="6"/>
      <c r="FWY44" s="6"/>
      <c r="FWZ44" s="6"/>
      <c r="FXA44" s="6"/>
      <c r="FXB44" s="6"/>
      <c r="FXC44" s="6"/>
      <c r="FXD44" s="6"/>
      <c r="FXE44" s="6"/>
      <c r="FXF44" s="6"/>
      <c r="FXG44" s="6"/>
      <c r="FXH44" s="6"/>
      <c r="FXI44" s="6"/>
      <c r="FXJ44" s="6"/>
      <c r="FXK44" s="6"/>
      <c r="FXL44" s="6"/>
      <c r="FXM44" s="6"/>
      <c r="FXN44" s="6"/>
      <c r="FXO44" s="6"/>
      <c r="FXP44" s="6"/>
      <c r="FXQ44" s="6"/>
      <c r="FXR44" s="6"/>
      <c r="FXS44" s="6"/>
      <c r="FXT44" s="6"/>
      <c r="FXU44" s="6"/>
      <c r="FXV44" s="6"/>
      <c r="FXW44" s="6"/>
      <c r="FXX44" s="6"/>
      <c r="FXY44" s="6"/>
      <c r="FXZ44" s="6"/>
      <c r="FYA44" s="6"/>
      <c r="FYB44" s="6"/>
      <c r="FYC44" s="6"/>
      <c r="FYD44" s="6"/>
      <c r="FYE44" s="6"/>
      <c r="FYF44" s="6"/>
      <c r="FYG44" s="6"/>
      <c r="FYH44" s="6"/>
      <c r="FYI44" s="6"/>
      <c r="FYJ44" s="6"/>
      <c r="FYK44" s="6"/>
      <c r="FYL44" s="6"/>
      <c r="FYM44" s="6"/>
      <c r="FYN44" s="6"/>
      <c r="FYO44" s="6"/>
      <c r="FYP44" s="6"/>
      <c r="FYQ44" s="6"/>
      <c r="FYR44" s="6"/>
      <c r="FYS44" s="6"/>
      <c r="FYT44" s="6"/>
      <c r="FYU44" s="6"/>
      <c r="FYV44" s="6"/>
      <c r="FYW44" s="6"/>
      <c r="FYX44" s="6"/>
      <c r="FYY44" s="6"/>
      <c r="FYZ44" s="6"/>
      <c r="FZA44" s="6"/>
      <c r="FZB44" s="6"/>
      <c r="FZC44" s="6"/>
      <c r="FZD44" s="6"/>
      <c r="FZE44" s="6"/>
      <c r="FZF44" s="6"/>
      <c r="FZG44" s="6"/>
      <c r="FZH44" s="6"/>
      <c r="FZI44" s="6"/>
      <c r="FZJ44" s="6"/>
      <c r="FZK44" s="6"/>
      <c r="FZL44" s="6"/>
      <c r="FZM44" s="6"/>
      <c r="FZN44" s="6"/>
      <c r="FZO44" s="6"/>
      <c r="FZP44" s="6"/>
      <c r="FZQ44" s="6"/>
      <c r="FZR44" s="6"/>
      <c r="FZS44" s="6"/>
      <c r="FZT44" s="6"/>
      <c r="FZU44" s="6"/>
      <c r="FZV44" s="6"/>
      <c r="FZW44" s="6"/>
      <c r="FZX44" s="6"/>
      <c r="FZY44" s="6"/>
      <c r="FZZ44" s="6"/>
      <c r="GAA44" s="6"/>
      <c r="GAB44" s="6"/>
      <c r="GAC44" s="6"/>
      <c r="GAD44" s="6"/>
      <c r="GAE44" s="6"/>
      <c r="GAF44" s="6"/>
      <c r="GAG44" s="6"/>
      <c r="GAH44" s="6"/>
      <c r="GAI44" s="6"/>
      <c r="GAJ44" s="6"/>
      <c r="GAK44" s="6"/>
      <c r="GAL44" s="6"/>
      <c r="GAM44" s="6"/>
      <c r="GAN44" s="6"/>
      <c r="GAO44" s="6"/>
      <c r="GAP44" s="6"/>
      <c r="GAQ44" s="6"/>
      <c r="GAR44" s="6"/>
      <c r="GAS44" s="6"/>
      <c r="GAT44" s="6"/>
      <c r="GAU44" s="6"/>
      <c r="GAV44" s="6"/>
      <c r="GAW44" s="6"/>
      <c r="GAX44" s="6"/>
      <c r="GAY44" s="6"/>
      <c r="GAZ44" s="6"/>
      <c r="GBA44" s="6"/>
      <c r="GBB44" s="6"/>
      <c r="GBC44" s="6"/>
      <c r="GBD44" s="6"/>
      <c r="GBE44" s="6"/>
      <c r="GBF44" s="6"/>
      <c r="GBG44" s="6"/>
      <c r="GBH44" s="6"/>
      <c r="GBI44" s="6"/>
      <c r="GBJ44" s="6"/>
      <c r="GBK44" s="6"/>
      <c r="GBL44" s="6"/>
      <c r="GBM44" s="6"/>
      <c r="GBN44" s="6"/>
      <c r="GBO44" s="6"/>
      <c r="GBP44" s="6"/>
      <c r="GBQ44" s="6"/>
      <c r="GBR44" s="6"/>
      <c r="GBS44" s="6"/>
      <c r="GBT44" s="6"/>
      <c r="GBU44" s="6"/>
      <c r="GBV44" s="6"/>
      <c r="GBW44" s="6"/>
      <c r="GBX44" s="6"/>
      <c r="GBY44" s="6"/>
      <c r="GBZ44" s="6"/>
      <c r="GCA44" s="6"/>
      <c r="GCB44" s="6"/>
      <c r="GCC44" s="6"/>
      <c r="GCD44" s="6"/>
      <c r="GCE44" s="6"/>
      <c r="GCF44" s="6"/>
      <c r="GCG44" s="6"/>
      <c r="GCH44" s="6"/>
      <c r="GCI44" s="6"/>
      <c r="GCJ44" s="6"/>
      <c r="GCK44" s="6"/>
      <c r="GCL44" s="6"/>
      <c r="GCM44" s="6"/>
      <c r="GCN44" s="6"/>
      <c r="GCO44" s="6"/>
      <c r="GCP44" s="6"/>
      <c r="GCQ44" s="6"/>
      <c r="GCR44" s="6"/>
      <c r="GCS44" s="6"/>
      <c r="GCT44" s="6"/>
      <c r="GCU44" s="6"/>
      <c r="GCV44" s="6"/>
      <c r="GCW44" s="6"/>
      <c r="GCX44" s="6"/>
      <c r="GCY44" s="6"/>
      <c r="GCZ44" s="6"/>
      <c r="GDA44" s="6"/>
      <c r="GDB44" s="6"/>
      <c r="GDC44" s="6"/>
      <c r="GDD44" s="6"/>
      <c r="GDE44" s="6"/>
      <c r="GDF44" s="6"/>
      <c r="GDG44" s="6"/>
      <c r="GDH44" s="6"/>
      <c r="GDI44" s="6"/>
      <c r="GDJ44" s="6"/>
      <c r="GDK44" s="6"/>
      <c r="GDL44" s="6"/>
      <c r="GDM44" s="6"/>
      <c r="GDN44" s="6"/>
      <c r="GDO44" s="6"/>
      <c r="GDP44" s="6"/>
      <c r="GDQ44" s="6"/>
      <c r="GDR44" s="6"/>
      <c r="GDS44" s="6"/>
      <c r="GDT44" s="6"/>
      <c r="GDU44" s="6"/>
      <c r="GDV44" s="6"/>
      <c r="GDW44" s="6"/>
      <c r="GDX44" s="6"/>
      <c r="GDY44" s="6"/>
      <c r="GDZ44" s="6"/>
      <c r="GEA44" s="6"/>
      <c r="GEB44" s="6"/>
      <c r="GEC44" s="6"/>
      <c r="GED44" s="6"/>
      <c r="GEE44" s="6"/>
      <c r="GEF44" s="6"/>
      <c r="GEG44" s="6"/>
      <c r="GEH44" s="6"/>
      <c r="GEI44" s="6"/>
      <c r="GEJ44" s="6"/>
      <c r="GEK44" s="6"/>
      <c r="GEL44" s="6"/>
      <c r="GEM44" s="6"/>
      <c r="GEN44" s="6"/>
      <c r="GEO44" s="6"/>
      <c r="GEP44" s="6"/>
      <c r="GEQ44" s="6"/>
      <c r="GER44" s="6"/>
      <c r="GES44" s="6"/>
      <c r="GET44" s="6"/>
      <c r="GEU44" s="6"/>
      <c r="GEV44" s="6"/>
      <c r="GEW44" s="6"/>
      <c r="GEX44" s="6"/>
      <c r="GEY44" s="6"/>
      <c r="GEZ44" s="6"/>
      <c r="GFA44" s="6"/>
      <c r="GFB44" s="6"/>
      <c r="GFC44" s="6"/>
      <c r="GFD44" s="6"/>
      <c r="GFE44" s="6"/>
      <c r="GFF44" s="6"/>
      <c r="GFG44" s="6"/>
      <c r="GFH44" s="6"/>
      <c r="GFI44" s="6"/>
      <c r="GFJ44" s="6"/>
      <c r="GFK44" s="6"/>
      <c r="GFL44" s="6"/>
      <c r="GFM44" s="6"/>
      <c r="GFN44" s="6"/>
      <c r="GFO44" s="6"/>
      <c r="GFP44" s="6"/>
      <c r="GFQ44" s="6"/>
      <c r="GFR44" s="6"/>
      <c r="GFS44" s="6"/>
      <c r="GFT44" s="6"/>
      <c r="GFU44" s="6"/>
      <c r="GFV44" s="6"/>
      <c r="GFW44" s="6"/>
      <c r="GFX44" s="6"/>
      <c r="GFY44" s="6"/>
      <c r="GFZ44" s="6"/>
      <c r="GGA44" s="6"/>
      <c r="GGB44" s="6"/>
      <c r="GGC44" s="6"/>
      <c r="GGD44" s="6"/>
      <c r="GGE44" s="6"/>
      <c r="GGF44" s="6"/>
      <c r="GGG44" s="6"/>
      <c r="GGH44" s="6"/>
      <c r="GGI44" s="6"/>
      <c r="GGJ44" s="6"/>
      <c r="GGK44" s="6"/>
      <c r="GGL44" s="6"/>
      <c r="GGM44" s="6"/>
      <c r="GGN44" s="6"/>
      <c r="GGO44" s="6"/>
      <c r="GGP44" s="6"/>
      <c r="GGQ44" s="6"/>
      <c r="GGR44" s="6"/>
      <c r="GGS44" s="6"/>
      <c r="GGT44" s="6"/>
      <c r="GGU44" s="6"/>
      <c r="GGV44" s="6"/>
      <c r="GGW44" s="6"/>
      <c r="GGX44" s="6"/>
      <c r="GGY44" s="6"/>
      <c r="GGZ44" s="6"/>
      <c r="GHA44" s="6"/>
      <c r="GHB44" s="6"/>
      <c r="GHC44" s="6"/>
      <c r="GHD44" s="6"/>
      <c r="GHE44" s="6"/>
      <c r="GHF44" s="6"/>
      <c r="GHG44" s="6"/>
      <c r="GHH44" s="6"/>
      <c r="GHI44" s="6"/>
      <c r="GHJ44" s="6"/>
      <c r="GHK44" s="6"/>
      <c r="GHL44" s="6"/>
      <c r="GHM44" s="6"/>
      <c r="GHN44" s="6"/>
      <c r="GHO44" s="6"/>
      <c r="GHP44" s="6"/>
      <c r="GHQ44" s="6"/>
      <c r="GHR44" s="6"/>
      <c r="GHS44" s="6"/>
      <c r="GHT44" s="6"/>
      <c r="GHU44" s="6"/>
      <c r="GHV44" s="6"/>
      <c r="GHW44" s="6"/>
      <c r="GHX44" s="6"/>
      <c r="GHY44" s="6"/>
      <c r="GHZ44" s="6"/>
      <c r="GIA44" s="6"/>
      <c r="GIB44" s="6"/>
      <c r="GIC44" s="6"/>
      <c r="GID44" s="6"/>
      <c r="GIE44" s="6"/>
      <c r="GIF44" s="6"/>
      <c r="GIG44" s="6"/>
      <c r="GIH44" s="6"/>
      <c r="GII44" s="6"/>
      <c r="GIJ44" s="6"/>
      <c r="GIK44" s="6"/>
      <c r="GIL44" s="6"/>
      <c r="GIM44" s="6"/>
      <c r="GIN44" s="6"/>
      <c r="GIO44" s="6"/>
      <c r="GIP44" s="6"/>
      <c r="GIQ44" s="6"/>
      <c r="GIR44" s="6"/>
      <c r="GIS44" s="6"/>
      <c r="GIT44" s="6"/>
      <c r="GIU44" s="6"/>
      <c r="GIV44" s="6"/>
      <c r="GIW44" s="6"/>
      <c r="GIX44" s="6"/>
      <c r="GIY44" s="6"/>
      <c r="GIZ44" s="6"/>
      <c r="GJA44" s="6"/>
      <c r="GJB44" s="6"/>
      <c r="GJC44" s="6"/>
      <c r="GJD44" s="6"/>
      <c r="GJE44" s="6"/>
      <c r="GJF44" s="6"/>
      <c r="GJG44" s="6"/>
      <c r="GJH44" s="6"/>
      <c r="GJI44" s="6"/>
      <c r="GJJ44" s="6"/>
      <c r="GJK44" s="6"/>
      <c r="GJL44" s="6"/>
      <c r="GJM44" s="6"/>
      <c r="GJN44" s="6"/>
      <c r="GJO44" s="6"/>
      <c r="GJP44" s="6"/>
      <c r="GJQ44" s="6"/>
      <c r="GJR44" s="6"/>
      <c r="GJS44" s="6"/>
      <c r="GJT44" s="6"/>
      <c r="GJU44" s="6"/>
      <c r="GJV44" s="6"/>
      <c r="GJW44" s="6"/>
      <c r="GJX44" s="6"/>
      <c r="GJY44" s="6"/>
      <c r="GJZ44" s="6"/>
      <c r="GKA44" s="6"/>
      <c r="GKB44" s="6"/>
      <c r="GKC44" s="6"/>
      <c r="GKD44" s="6"/>
      <c r="GKE44" s="6"/>
      <c r="GKF44" s="6"/>
      <c r="GKG44" s="6"/>
      <c r="GKH44" s="6"/>
      <c r="GKI44" s="6"/>
      <c r="GKJ44" s="6"/>
      <c r="GKK44" s="6"/>
      <c r="GKL44" s="6"/>
      <c r="GKM44" s="6"/>
      <c r="GKN44" s="6"/>
      <c r="GKO44" s="6"/>
      <c r="GKP44" s="6"/>
      <c r="GKQ44" s="6"/>
      <c r="GKR44" s="6"/>
      <c r="GKS44" s="6"/>
      <c r="GKT44" s="6"/>
      <c r="GKU44" s="6"/>
      <c r="GKV44" s="6"/>
      <c r="GKW44" s="6"/>
      <c r="GKX44" s="6"/>
      <c r="GKY44" s="6"/>
      <c r="GKZ44" s="6"/>
      <c r="GLA44" s="6"/>
      <c r="GLB44" s="6"/>
      <c r="GLC44" s="6"/>
      <c r="GLD44" s="6"/>
      <c r="GLE44" s="6"/>
      <c r="GLF44" s="6"/>
      <c r="GLG44" s="6"/>
      <c r="GLH44" s="6"/>
      <c r="GLI44" s="6"/>
      <c r="GLJ44" s="6"/>
      <c r="GLK44" s="6"/>
      <c r="GLL44" s="6"/>
      <c r="GLM44" s="6"/>
      <c r="GLN44" s="6"/>
      <c r="GLO44" s="6"/>
      <c r="GLP44" s="6"/>
      <c r="GLQ44" s="6"/>
      <c r="GLR44" s="6"/>
      <c r="GLS44" s="6"/>
      <c r="GLT44" s="6"/>
      <c r="GLU44" s="6"/>
      <c r="GLV44" s="6"/>
      <c r="GLW44" s="6"/>
      <c r="GLX44" s="6"/>
      <c r="GLY44" s="6"/>
      <c r="GLZ44" s="6"/>
      <c r="GMA44" s="6"/>
      <c r="GMB44" s="6"/>
      <c r="GMC44" s="6"/>
      <c r="GMD44" s="6"/>
      <c r="GME44" s="6"/>
      <c r="GMF44" s="6"/>
      <c r="GMG44" s="6"/>
      <c r="GMH44" s="6"/>
      <c r="GMI44" s="6"/>
      <c r="GMJ44" s="6"/>
      <c r="GMK44" s="6"/>
      <c r="GML44" s="6"/>
      <c r="GMM44" s="6"/>
      <c r="GMN44" s="6"/>
      <c r="GMO44" s="6"/>
      <c r="GMP44" s="6"/>
      <c r="GMQ44" s="6"/>
      <c r="GMR44" s="6"/>
      <c r="GMS44" s="6"/>
      <c r="GMT44" s="6"/>
      <c r="GMU44" s="6"/>
      <c r="GMV44" s="6"/>
      <c r="GMW44" s="6"/>
      <c r="GMX44" s="6"/>
      <c r="GMY44" s="6"/>
      <c r="GMZ44" s="6"/>
      <c r="GNA44" s="6"/>
      <c r="GNB44" s="6"/>
      <c r="GNC44" s="6"/>
      <c r="GND44" s="6"/>
      <c r="GNE44" s="6"/>
      <c r="GNF44" s="6"/>
      <c r="GNG44" s="6"/>
      <c r="GNH44" s="6"/>
      <c r="GNI44" s="6"/>
      <c r="GNJ44" s="6"/>
      <c r="GNK44" s="6"/>
      <c r="GNL44" s="6"/>
      <c r="GNM44" s="6"/>
      <c r="GNN44" s="6"/>
      <c r="GNO44" s="6"/>
      <c r="GNP44" s="6"/>
      <c r="GNQ44" s="6"/>
      <c r="GNR44" s="6"/>
      <c r="GNS44" s="6"/>
      <c r="GNT44" s="6"/>
      <c r="GNU44" s="6"/>
      <c r="GNV44" s="6"/>
      <c r="GNW44" s="6"/>
      <c r="GNX44" s="6"/>
      <c r="GNY44" s="6"/>
      <c r="GNZ44" s="6"/>
      <c r="GOA44" s="6"/>
      <c r="GOB44" s="6"/>
      <c r="GOC44" s="6"/>
      <c r="GOD44" s="6"/>
      <c r="GOE44" s="6"/>
      <c r="GOF44" s="6"/>
      <c r="GOG44" s="6"/>
      <c r="GOH44" s="6"/>
      <c r="GOI44" s="6"/>
      <c r="GOJ44" s="6"/>
      <c r="GOK44" s="6"/>
      <c r="GOL44" s="6"/>
      <c r="GOM44" s="6"/>
      <c r="GON44" s="6"/>
      <c r="GOO44" s="6"/>
      <c r="GOP44" s="6"/>
      <c r="GOQ44" s="6"/>
      <c r="GOR44" s="6"/>
      <c r="GOS44" s="6"/>
      <c r="GOT44" s="6"/>
      <c r="GOU44" s="6"/>
      <c r="GOV44" s="6"/>
      <c r="GOW44" s="6"/>
      <c r="GOX44" s="6"/>
      <c r="GOY44" s="6"/>
      <c r="GOZ44" s="6"/>
      <c r="GPA44" s="6"/>
      <c r="GPB44" s="6"/>
      <c r="GPC44" s="6"/>
      <c r="GPD44" s="6"/>
      <c r="GPE44" s="6"/>
      <c r="GPF44" s="6"/>
      <c r="GPG44" s="6"/>
      <c r="GPH44" s="6"/>
      <c r="GPI44" s="6"/>
      <c r="GPJ44" s="6"/>
      <c r="GPK44" s="6"/>
      <c r="GPL44" s="6"/>
      <c r="GPM44" s="6"/>
      <c r="GPN44" s="6"/>
      <c r="GPO44" s="6"/>
      <c r="GPP44" s="6"/>
      <c r="GPQ44" s="6"/>
      <c r="GPR44" s="6"/>
      <c r="GPS44" s="6"/>
      <c r="GPT44" s="6"/>
      <c r="GPU44" s="6"/>
      <c r="GPV44" s="6"/>
      <c r="GPW44" s="6"/>
      <c r="GPX44" s="6"/>
      <c r="GPY44" s="6"/>
      <c r="GPZ44" s="6"/>
      <c r="GQA44" s="6"/>
      <c r="GQB44" s="6"/>
      <c r="GQC44" s="6"/>
      <c r="GQD44" s="6"/>
      <c r="GQE44" s="6"/>
      <c r="GQF44" s="6"/>
      <c r="GQG44" s="6"/>
      <c r="GQH44" s="6"/>
      <c r="GQI44" s="6"/>
      <c r="GQJ44" s="6"/>
      <c r="GQK44" s="6"/>
      <c r="GQL44" s="6"/>
      <c r="GQM44" s="6"/>
      <c r="GQN44" s="6"/>
      <c r="GQO44" s="6"/>
      <c r="GQP44" s="6"/>
      <c r="GQQ44" s="6"/>
      <c r="GQR44" s="6"/>
      <c r="GQS44" s="6"/>
      <c r="GQT44" s="6"/>
      <c r="GQU44" s="6"/>
      <c r="GQV44" s="6"/>
      <c r="GQW44" s="6"/>
      <c r="GQX44" s="6"/>
      <c r="GQY44" s="6"/>
      <c r="GQZ44" s="6"/>
      <c r="GRA44" s="6"/>
      <c r="GRB44" s="6"/>
      <c r="GRC44" s="6"/>
      <c r="GRD44" s="6"/>
      <c r="GRE44" s="6"/>
      <c r="GRF44" s="6"/>
      <c r="GRG44" s="6"/>
      <c r="GRH44" s="6"/>
      <c r="GRI44" s="6"/>
      <c r="GRJ44" s="6"/>
      <c r="GRK44" s="6"/>
      <c r="GRL44" s="6"/>
      <c r="GRM44" s="6"/>
      <c r="GRN44" s="6"/>
      <c r="GRO44" s="6"/>
      <c r="GRP44" s="6"/>
      <c r="GRQ44" s="6"/>
      <c r="GRR44" s="6"/>
      <c r="GRS44" s="6"/>
      <c r="GRT44" s="6"/>
      <c r="GRU44" s="6"/>
      <c r="GRV44" s="6"/>
      <c r="GRW44" s="6"/>
      <c r="GRX44" s="6"/>
      <c r="GRY44" s="6"/>
      <c r="GRZ44" s="6"/>
      <c r="GSA44" s="6"/>
      <c r="GSB44" s="6"/>
      <c r="GSC44" s="6"/>
      <c r="GSD44" s="6"/>
      <c r="GSE44" s="6"/>
      <c r="GSF44" s="6"/>
      <c r="GSG44" s="6"/>
      <c r="GSH44" s="6"/>
      <c r="GSI44" s="6"/>
      <c r="GSJ44" s="6"/>
      <c r="GSK44" s="6"/>
      <c r="GSL44" s="6"/>
      <c r="GSM44" s="6"/>
      <c r="GSN44" s="6"/>
      <c r="GSO44" s="6"/>
      <c r="GSP44" s="6"/>
      <c r="GSQ44" s="6"/>
      <c r="GSR44" s="6"/>
      <c r="GSS44" s="6"/>
      <c r="GST44" s="6"/>
      <c r="GSU44" s="6"/>
      <c r="GSV44" s="6"/>
      <c r="GSW44" s="6"/>
      <c r="GSX44" s="6"/>
      <c r="GSY44" s="6"/>
      <c r="GSZ44" s="6"/>
      <c r="GTA44" s="6"/>
      <c r="GTB44" s="6"/>
      <c r="GTC44" s="6"/>
      <c r="GTD44" s="6"/>
      <c r="GTE44" s="6"/>
      <c r="GTF44" s="6"/>
      <c r="GTG44" s="6"/>
      <c r="GTH44" s="6"/>
      <c r="GTI44" s="6"/>
      <c r="GTJ44" s="6"/>
      <c r="GTK44" s="6"/>
      <c r="GTL44" s="6"/>
      <c r="GTM44" s="6"/>
      <c r="GTN44" s="6"/>
      <c r="GTO44" s="6"/>
      <c r="GTP44" s="6"/>
      <c r="GTQ44" s="6"/>
      <c r="GTR44" s="6"/>
      <c r="GTS44" s="6"/>
      <c r="GTT44" s="6"/>
      <c r="GTU44" s="6"/>
      <c r="GTV44" s="6"/>
      <c r="GTW44" s="6"/>
      <c r="GTX44" s="6"/>
      <c r="GTY44" s="6"/>
      <c r="GTZ44" s="6"/>
      <c r="GUA44" s="6"/>
      <c r="GUB44" s="6"/>
      <c r="GUC44" s="6"/>
      <c r="GUD44" s="6"/>
      <c r="GUE44" s="6"/>
      <c r="GUF44" s="6"/>
      <c r="GUG44" s="6"/>
      <c r="GUH44" s="6"/>
      <c r="GUI44" s="6"/>
      <c r="GUJ44" s="6"/>
      <c r="GUK44" s="6"/>
      <c r="GUL44" s="6"/>
      <c r="GUM44" s="6"/>
      <c r="GUN44" s="6"/>
      <c r="GUO44" s="6"/>
      <c r="GUP44" s="6"/>
      <c r="GUQ44" s="6"/>
      <c r="GUR44" s="6"/>
      <c r="GUS44" s="6"/>
      <c r="GUT44" s="6"/>
      <c r="GUU44" s="6"/>
      <c r="GUV44" s="6"/>
      <c r="GUW44" s="6"/>
      <c r="GUX44" s="6"/>
      <c r="GUY44" s="6"/>
      <c r="GUZ44" s="6"/>
      <c r="GVA44" s="6"/>
      <c r="GVB44" s="6"/>
      <c r="GVC44" s="6"/>
      <c r="GVD44" s="6"/>
      <c r="GVE44" s="6"/>
      <c r="GVF44" s="6"/>
      <c r="GVG44" s="6"/>
      <c r="GVH44" s="6"/>
      <c r="GVI44" s="6"/>
      <c r="GVJ44" s="6"/>
      <c r="GVK44" s="6"/>
      <c r="GVL44" s="6"/>
      <c r="GVM44" s="6"/>
      <c r="GVN44" s="6"/>
      <c r="GVO44" s="6"/>
      <c r="GVP44" s="6"/>
      <c r="GVQ44" s="6"/>
      <c r="GVR44" s="6"/>
      <c r="GVS44" s="6"/>
      <c r="GVT44" s="6"/>
      <c r="GVU44" s="6"/>
      <c r="GVV44" s="6"/>
      <c r="GVW44" s="6"/>
      <c r="GVX44" s="6"/>
      <c r="GVY44" s="6"/>
      <c r="GVZ44" s="6"/>
      <c r="GWA44" s="6"/>
      <c r="GWB44" s="6"/>
      <c r="GWC44" s="6"/>
      <c r="GWD44" s="6"/>
      <c r="GWE44" s="6"/>
      <c r="GWF44" s="6"/>
      <c r="GWG44" s="6"/>
      <c r="GWH44" s="6"/>
      <c r="GWI44" s="6"/>
      <c r="GWJ44" s="6"/>
      <c r="GWK44" s="6"/>
      <c r="GWL44" s="6"/>
      <c r="GWM44" s="6"/>
      <c r="GWN44" s="6"/>
      <c r="GWO44" s="6"/>
      <c r="GWP44" s="6"/>
      <c r="GWQ44" s="6"/>
      <c r="GWR44" s="6"/>
      <c r="GWS44" s="6"/>
      <c r="GWT44" s="6"/>
      <c r="GWU44" s="6"/>
      <c r="GWV44" s="6"/>
      <c r="GWW44" s="6"/>
      <c r="GWX44" s="6"/>
      <c r="GWY44" s="6"/>
      <c r="GWZ44" s="6"/>
      <c r="GXA44" s="6"/>
      <c r="GXB44" s="6"/>
      <c r="GXC44" s="6"/>
      <c r="GXD44" s="6"/>
      <c r="GXE44" s="6"/>
      <c r="GXF44" s="6"/>
      <c r="GXG44" s="6"/>
      <c r="GXH44" s="6"/>
      <c r="GXI44" s="6"/>
      <c r="GXJ44" s="6"/>
      <c r="GXK44" s="6"/>
      <c r="GXL44" s="6"/>
      <c r="GXM44" s="6"/>
      <c r="GXN44" s="6"/>
      <c r="GXO44" s="6"/>
      <c r="GXP44" s="6"/>
      <c r="GXQ44" s="6"/>
      <c r="GXR44" s="6"/>
      <c r="GXS44" s="6"/>
      <c r="GXT44" s="6"/>
      <c r="GXU44" s="6"/>
      <c r="GXV44" s="6"/>
      <c r="GXW44" s="6"/>
      <c r="GXX44" s="6"/>
      <c r="GXY44" s="6"/>
      <c r="GXZ44" s="6"/>
      <c r="GYA44" s="6"/>
      <c r="GYB44" s="6"/>
      <c r="GYC44" s="6"/>
      <c r="GYD44" s="6"/>
      <c r="GYE44" s="6"/>
      <c r="GYF44" s="6"/>
      <c r="GYG44" s="6"/>
      <c r="GYH44" s="6"/>
      <c r="GYI44" s="6"/>
      <c r="GYJ44" s="6"/>
      <c r="GYK44" s="6"/>
      <c r="GYL44" s="6"/>
      <c r="GYM44" s="6"/>
      <c r="GYN44" s="6"/>
      <c r="GYO44" s="6"/>
      <c r="GYP44" s="6"/>
      <c r="GYQ44" s="6"/>
      <c r="GYR44" s="6"/>
      <c r="GYS44" s="6"/>
      <c r="GYT44" s="6"/>
      <c r="GYU44" s="6"/>
      <c r="GYV44" s="6"/>
      <c r="GYW44" s="6"/>
      <c r="GYX44" s="6"/>
      <c r="GYY44" s="6"/>
      <c r="GYZ44" s="6"/>
      <c r="GZA44" s="6"/>
      <c r="GZB44" s="6"/>
      <c r="GZC44" s="6"/>
      <c r="GZD44" s="6"/>
      <c r="GZE44" s="6"/>
      <c r="GZF44" s="6"/>
      <c r="GZG44" s="6"/>
      <c r="GZH44" s="6"/>
      <c r="GZI44" s="6"/>
      <c r="GZJ44" s="6"/>
      <c r="GZK44" s="6"/>
      <c r="GZL44" s="6"/>
      <c r="GZM44" s="6"/>
      <c r="GZN44" s="6"/>
      <c r="GZO44" s="6"/>
      <c r="GZP44" s="6"/>
      <c r="GZQ44" s="6"/>
      <c r="GZR44" s="6"/>
      <c r="GZS44" s="6"/>
      <c r="GZT44" s="6"/>
      <c r="GZU44" s="6"/>
      <c r="GZV44" s="6"/>
      <c r="GZW44" s="6"/>
      <c r="GZX44" s="6"/>
      <c r="GZY44" s="6"/>
      <c r="GZZ44" s="6"/>
      <c r="HAA44" s="6"/>
      <c r="HAB44" s="6"/>
      <c r="HAC44" s="6"/>
      <c r="HAD44" s="6"/>
      <c r="HAE44" s="6"/>
      <c r="HAF44" s="6"/>
      <c r="HAG44" s="6"/>
      <c r="HAH44" s="6"/>
      <c r="HAI44" s="6"/>
      <c r="HAJ44" s="6"/>
      <c r="HAK44" s="6"/>
      <c r="HAL44" s="6"/>
      <c r="HAM44" s="6"/>
      <c r="HAN44" s="6"/>
      <c r="HAO44" s="6"/>
      <c r="HAP44" s="6"/>
      <c r="HAQ44" s="6"/>
      <c r="HAR44" s="6"/>
      <c r="HAS44" s="6"/>
      <c r="HAT44" s="6"/>
      <c r="HAU44" s="6"/>
      <c r="HAV44" s="6"/>
      <c r="HAW44" s="6"/>
      <c r="HAX44" s="6"/>
      <c r="HAY44" s="6"/>
      <c r="HAZ44" s="6"/>
      <c r="HBA44" s="6"/>
      <c r="HBB44" s="6"/>
      <c r="HBC44" s="6"/>
      <c r="HBD44" s="6"/>
      <c r="HBE44" s="6"/>
      <c r="HBF44" s="6"/>
      <c r="HBG44" s="6"/>
      <c r="HBH44" s="6"/>
      <c r="HBI44" s="6"/>
      <c r="HBJ44" s="6"/>
      <c r="HBK44" s="6"/>
      <c r="HBL44" s="6"/>
      <c r="HBM44" s="6"/>
      <c r="HBN44" s="6"/>
      <c r="HBO44" s="6"/>
      <c r="HBP44" s="6"/>
      <c r="HBQ44" s="6"/>
      <c r="HBR44" s="6"/>
      <c r="HBS44" s="6"/>
      <c r="HBT44" s="6"/>
      <c r="HBU44" s="6"/>
      <c r="HBV44" s="6"/>
      <c r="HBW44" s="6"/>
      <c r="HBX44" s="6"/>
      <c r="HBY44" s="6"/>
      <c r="HBZ44" s="6"/>
      <c r="HCA44" s="6"/>
      <c r="HCB44" s="6"/>
      <c r="HCC44" s="6"/>
      <c r="HCD44" s="6"/>
      <c r="HCE44" s="6"/>
      <c r="HCF44" s="6"/>
      <c r="HCG44" s="6"/>
      <c r="HCH44" s="6"/>
      <c r="HCI44" s="6"/>
      <c r="HCJ44" s="6"/>
      <c r="HCK44" s="6"/>
      <c r="HCL44" s="6"/>
      <c r="HCM44" s="6"/>
      <c r="HCN44" s="6"/>
      <c r="HCO44" s="6"/>
      <c r="HCP44" s="6"/>
      <c r="HCQ44" s="6"/>
      <c r="HCR44" s="6"/>
      <c r="HCS44" s="6"/>
      <c r="HCT44" s="6"/>
      <c r="HCU44" s="6"/>
      <c r="HCV44" s="6"/>
      <c r="HCW44" s="6"/>
      <c r="HCX44" s="6"/>
      <c r="HCY44" s="6"/>
      <c r="HCZ44" s="6"/>
      <c r="HDA44" s="6"/>
      <c r="HDB44" s="6"/>
      <c r="HDC44" s="6"/>
      <c r="HDD44" s="6"/>
      <c r="HDE44" s="6"/>
      <c r="HDF44" s="6"/>
      <c r="HDG44" s="6"/>
      <c r="HDH44" s="6"/>
      <c r="HDI44" s="6"/>
      <c r="HDJ44" s="6"/>
      <c r="HDK44" s="6"/>
      <c r="HDL44" s="6"/>
      <c r="HDM44" s="6"/>
      <c r="HDN44" s="6"/>
      <c r="HDO44" s="6"/>
      <c r="HDP44" s="6"/>
      <c r="HDQ44" s="6"/>
      <c r="HDR44" s="6"/>
      <c r="HDS44" s="6"/>
      <c r="HDT44" s="6"/>
      <c r="HDU44" s="6"/>
      <c r="HDV44" s="6"/>
      <c r="HDW44" s="6"/>
      <c r="HDX44" s="6"/>
      <c r="HDY44" s="6"/>
      <c r="HDZ44" s="6"/>
      <c r="HEA44" s="6"/>
      <c r="HEB44" s="6"/>
      <c r="HEC44" s="6"/>
      <c r="HED44" s="6"/>
      <c r="HEE44" s="6"/>
      <c r="HEF44" s="6"/>
      <c r="HEG44" s="6"/>
      <c r="HEH44" s="6"/>
      <c r="HEI44" s="6"/>
      <c r="HEJ44" s="6"/>
      <c r="HEK44" s="6"/>
      <c r="HEL44" s="6"/>
      <c r="HEM44" s="6"/>
      <c r="HEN44" s="6"/>
      <c r="HEO44" s="6"/>
      <c r="HEP44" s="6"/>
      <c r="HEQ44" s="6"/>
      <c r="HER44" s="6"/>
      <c r="HES44" s="6"/>
      <c r="HET44" s="6"/>
      <c r="HEU44" s="6"/>
      <c r="HEV44" s="6"/>
      <c r="HEW44" s="6"/>
      <c r="HEX44" s="6"/>
      <c r="HEY44" s="6"/>
      <c r="HEZ44" s="6"/>
      <c r="HFA44" s="6"/>
      <c r="HFB44" s="6"/>
      <c r="HFC44" s="6"/>
      <c r="HFD44" s="6"/>
      <c r="HFE44" s="6"/>
      <c r="HFF44" s="6"/>
      <c r="HFG44" s="6"/>
      <c r="HFH44" s="6"/>
      <c r="HFI44" s="6"/>
      <c r="HFJ44" s="6"/>
      <c r="HFK44" s="6"/>
      <c r="HFL44" s="6"/>
      <c r="HFM44" s="6"/>
      <c r="HFN44" s="6"/>
      <c r="HFO44" s="6"/>
      <c r="HFP44" s="6"/>
      <c r="HFQ44" s="6"/>
      <c r="HFR44" s="6"/>
      <c r="HFS44" s="6"/>
      <c r="HFT44" s="6"/>
      <c r="HFU44" s="6"/>
      <c r="HFV44" s="6"/>
      <c r="HFW44" s="6"/>
      <c r="HFX44" s="6"/>
      <c r="HFY44" s="6"/>
      <c r="HFZ44" s="6"/>
      <c r="HGA44" s="6"/>
      <c r="HGB44" s="6"/>
      <c r="HGC44" s="6"/>
      <c r="HGD44" s="6"/>
      <c r="HGE44" s="6"/>
      <c r="HGF44" s="6"/>
      <c r="HGG44" s="6"/>
      <c r="HGH44" s="6"/>
      <c r="HGI44" s="6"/>
      <c r="HGJ44" s="6"/>
      <c r="HGK44" s="6"/>
      <c r="HGL44" s="6"/>
      <c r="HGM44" s="6"/>
      <c r="HGN44" s="6"/>
      <c r="HGO44" s="6"/>
      <c r="HGP44" s="6"/>
      <c r="HGQ44" s="6"/>
      <c r="HGR44" s="6"/>
      <c r="HGS44" s="6"/>
      <c r="HGT44" s="6"/>
      <c r="HGU44" s="6"/>
      <c r="HGV44" s="6"/>
      <c r="HGW44" s="6"/>
      <c r="HGX44" s="6"/>
      <c r="HGY44" s="6"/>
      <c r="HGZ44" s="6"/>
      <c r="HHA44" s="6"/>
      <c r="HHB44" s="6"/>
      <c r="HHC44" s="6"/>
      <c r="HHD44" s="6"/>
      <c r="HHE44" s="6"/>
      <c r="HHF44" s="6"/>
      <c r="HHG44" s="6"/>
      <c r="HHH44" s="6"/>
      <c r="HHI44" s="6"/>
      <c r="HHJ44" s="6"/>
      <c r="HHK44" s="6"/>
      <c r="HHL44" s="6"/>
      <c r="HHM44" s="6"/>
      <c r="HHN44" s="6"/>
      <c r="HHO44" s="6"/>
      <c r="HHP44" s="6"/>
      <c r="HHQ44" s="6"/>
      <c r="HHR44" s="6"/>
      <c r="HHS44" s="6"/>
      <c r="HHT44" s="6"/>
      <c r="HHU44" s="6"/>
      <c r="HHV44" s="6"/>
      <c r="HHW44" s="6"/>
      <c r="HHX44" s="6"/>
      <c r="HHY44" s="6"/>
      <c r="HHZ44" s="6"/>
      <c r="HIA44" s="6"/>
      <c r="HIB44" s="6"/>
      <c r="HIC44" s="6"/>
      <c r="HID44" s="6"/>
      <c r="HIE44" s="6"/>
      <c r="HIF44" s="6"/>
      <c r="HIG44" s="6"/>
      <c r="HIH44" s="6"/>
      <c r="HII44" s="6"/>
      <c r="HIJ44" s="6"/>
      <c r="HIK44" s="6"/>
      <c r="HIL44" s="6"/>
      <c r="HIM44" s="6"/>
      <c r="HIN44" s="6"/>
      <c r="HIO44" s="6"/>
      <c r="HIP44" s="6"/>
      <c r="HIQ44" s="6"/>
      <c r="HIR44" s="6"/>
      <c r="HIS44" s="6"/>
      <c r="HIT44" s="6"/>
      <c r="HIU44" s="6"/>
      <c r="HIV44" s="6"/>
      <c r="HIW44" s="6"/>
      <c r="HIX44" s="6"/>
      <c r="HIY44" s="6"/>
      <c r="HIZ44" s="6"/>
      <c r="HJA44" s="6"/>
      <c r="HJB44" s="6"/>
      <c r="HJC44" s="6"/>
      <c r="HJD44" s="6"/>
      <c r="HJE44" s="6"/>
      <c r="HJF44" s="6"/>
      <c r="HJG44" s="6"/>
      <c r="HJH44" s="6"/>
      <c r="HJI44" s="6"/>
      <c r="HJJ44" s="6"/>
      <c r="HJK44" s="6"/>
      <c r="HJL44" s="6"/>
      <c r="HJM44" s="6"/>
      <c r="HJN44" s="6"/>
      <c r="HJO44" s="6"/>
      <c r="HJP44" s="6"/>
      <c r="HJQ44" s="6"/>
      <c r="HJR44" s="6"/>
      <c r="HJS44" s="6"/>
      <c r="HJT44" s="6"/>
      <c r="HJU44" s="6"/>
      <c r="HJV44" s="6"/>
      <c r="HJW44" s="6"/>
      <c r="HJX44" s="6"/>
      <c r="HJY44" s="6"/>
      <c r="HJZ44" s="6"/>
      <c r="HKA44" s="6"/>
      <c r="HKB44" s="6"/>
      <c r="HKC44" s="6"/>
      <c r="HKD44" s="6"/>
      <c r="HKE44" s="6"/>
      <c r="HKF44" s="6"/>
      <c r="HKG44" s="6"/>
      <c r="HKH44" s="6"/>
      <c r="HKI44" s="6"/>
      <c r="HKJ44" s="6"/>
      <c r="HKK44" s="6"/>
      <c r="HKL44" s="6"/>
      <c r="HKM44" s="6"/>
      <c r="HKN44" s="6"/>
      <c r="HKO44" s="6"/>
      <c r="HKP44" s="6"/>
      <c r="HKQ44" s="6"/>
      <c r="HKR44" s="6"/>
      <c r="HKS44" s="6"/>
      <c r="HKT44" s="6"/>
      <c r="HKU44" s="6"/>
      <c r="HKV44" s="6"/>
      <c r="HKW44" s="6"/>
      <c r="HKX44" s="6"/>
      <c r="HKY44" s="6"/>
      <c r="HKZ44" s="6"/>
      <c r="HLA44" s="6"/>
      <c r="HLB44" s="6"/>
      <c r="HLC44" s="6"/>
      <c r="HLD44" s="6"/>
      <c r="HLE44" s="6"/>
      <c r="HLF44" s="6"/>
      <c r="HLG44" s="6"/>
      <c r="HLH44" s="6"/>
      <c r="HLI44" s="6"/>
      <c r="HLJ44" s="6"/>
      <c r="HLK44" s="6"/>
      <c r="HLL44" s="6"/>
      <c r="HLM44" s="6"/>
      <c r="HLN44" s="6"/>
      <c r="HLO44" s="6"/>
      <c r="HLP44" s="6"/>
      <c r="HLQ44" s="6"/>
      <c r="HLR44" s="6"/>
      <c r="HLS44" s="6"/>
      <c r="HLT44" s="6"/>
      <c r="HLU44" s="6"/>
      <c r="HLV44" s="6"/>
      <c r="HLW44" s="6"/>
      <c r="HLX44" s="6"/>
      <c r="HLY44" s="6"/>
      <c r="HLZ44" s="6"/>
      <c r="HMA44" s="6"/>
      <c r="HMB44" s="6"/>
      <c r="HMC44" s="6"/>
      <c r="HMD44" s="6"/>
      <c r="HME44" s="6"/>
      <c r="HMF44" s="6"/>
      <c r="HMG44" s="6"/>
      <c r="HMH44" s="6"/>
      <c r="HMI44" s="6"/>
      <c r="HMJ44" s="6"/>
      <c r="HMK44" s="6"/>
      <c r="HML44" s="6"/>
      <c r="HMM44" s="6"/>
      <c r="HMN44" s="6"/>
      <c r="HMO44" s="6"/>
      <c r="HMP44" s="6"/>
      <c r="HMQ44" s="6"/>
      <c r="HMR44" s="6"/>
      <c r="HMS44" s="6"/>
      <c r="HMT44" s="6"/>
      <c r="HMU44" s="6"/>
      <c r="HMV44" s="6"/>
      <c r="HMW44" s="6"/>
      <c r="HMX44" s="6"/>
      <c r="HMY44" s="6"/>
      <c r="HMZ44" s="6"/>
      <c r="HNA44" s="6"/>
      <c r="HNB44" s="6"/>
      <c r="HNC44" s="6"/>
      <c r="HND44" s="6"/>
      <c r="HNE44" s="6"/>
      <c r="HNF44" s="6"/>
      <c r="HNG44" s="6"/>
      <c r="HNH44" s="6"/>
      <c r="HNI44" s="6"/>
      <c r="HNJ44" s="6"/>
      <c r="HNK44" s="6"/>
      <c r="HNL44" s="6"/>
      <c r="HNM44" s="6"/>
      <c r="HNN44" s="6"/>
      <c r="HNO44" s="6"/>
      <c r="HNP44" s="6"/>
      <c r="HNQ44" s="6"/>
      <c r="HNR44" s="6"/>
      <c r="HNS44" s="6"/>
      <c r="HNT44" s="6"/>
      <c r="HNU44" s="6"/>
      <c r="HNV44" s="6"/>
      <c r="HNW44" s="6"/>
      <c r="HNX44" s="6"/>
      <c r="HNY44" s="6"/>
      <c r="HNZ44" s="6"/>
      <c r="HOA44" s="6"/>
      <c r="HOB44" s="6"/>
      <c r="HOC44" s="6"/>
      <c r="HOD44" s="6"/>
      <c r="HOE44" s="6"/>
      <c r="HOF44" s="6"/>
      <c r="HOG44" s="6"/>
      <c r="HOH44" s="6"/>
      <c r="HOI44" s="6"/>
      <c r="HOJ44" s="6"/>
      <c r="HOK44" s="6"/>
      <c r="HOL44" s="6"/>
      <c r="HOM44" s="6"/>
      <c r="HON44" s="6"/>
      <c r="HOO44" s="6"/>
      <c r="HOP44" s="6"/>
      <c r="HOQ44" s="6"/>
      <c r="HOR44" s="6"/>
      <c r="HOS44" s="6"/>
      <c r="HOT44" s="6"/>
      <c r="HOU44" s="6"/>
      <c r="HOV44" s="6"/>
      <c r="HOW44" s="6"/>
      <c r="HOX44" s="6"/>
      <c r="HOY44" s="6"/>
      <c r="HOZ44" s="6"/>
      <c r="HPA44" s="6"/>
      <c r="HPB44" s="6"/>
      <c r="HPC44" s="6"/>
      <c r="HPD44" s="6"/>
      <c r="HPE44" s="6"/>
      <c r="HPF44" s="6"/>
      <c r="HPG44" s="6"/>
      <c r="HPH44" s="6"/>
      <c r="HPI44" s="6"/>
      <c r="HPJ44" s="6"/>
      <c r="HPK44" s="6"/>
      <c r="HPL44" s="6"/>
      <c r="HPM44" s="6"/>
      <c r="HPN44" s="6"/>
      <c r="HPO44" s="6"/>
      <c r="HPP44" s="6"/>
      <c r="HPQ44" s="6"/>
      <c r="HPR44" s="6"/>
      <c r="HPS44" s="6"/>
      <c r="HPT44" s="6"/>
      <c r="HPU44" s="6"/>
      <c r="HPV44" s="6"/>
      <c r="HPW44" s="6"/>
      <c r="HPX44" s="6"/>
      <c r="HPY44" s="6"/>
      <c r="HPZ44" s="6"/>
      <c r="HQA44" s="6"/>
      <c r="HQB44" s="6"/>
      <c r="HQC44" s="6"/>
      <c r="HQD44" s="6"/>
      <c r="HQE44" s="6"/>
      <c r="HQF44" s="6"/>
      <c r="HQG44" s="6"/>
      <c r="HQH44" s="6"/>
      <c r="HQI44" s="6"/>
      <c r="HQJ44" s="6"/>
      <c r="HQK44" s="6"/>
      <c r="HQL44" s="6"/>
      <c r="HQM44" s="6"/>
      <c r="HQN44" s="6"/>
      <c r="HQO44" s="6"/>
      <c r="HQP44" s="6"/>
      <c r="HQQ44" s="6"/>
      <c r="HQR44" s="6"/>
      <c r="HQS44" s="6"/>
      <c r="HQT44" s="6"/>
      <c r="HQU44" s="6"/>
      <c r="HQV44" s="6"/>
      <c r="HQW44" s="6"/>
      <c r="HQX44" s="6"/>
      <c r="HQY44" s="6"/>
      <c r="HQZ44" s="6"/>
      <c r="HRA44" s="6"/>
      <c r="HRB44" s="6"/>
      <c r="HRC44" s="6"/>
      <c r="HRD44" s="6"/>
      <c r="HRE44" s="6"/>
      <c r="HRF44" s="6"/>
      <c r="HRG44" s="6"/>
      <c r="HRH44" s="6"/>
      <c r="HRI44" s="6"/>
      <c r="HRJ44" s="6"/>
      <c r="HRK44" s="6"/>
      <c r="HRL44" s="6"/>
      <c r="HRM44" s="6"/>
      <c r="HRN44" s="6"/>
      <c r="HRO44" s="6"/>
      <c r="HRP44" s="6"/>
      <c r="HRQ44" s="6"/>
      <c r="HRR44" s="6"/>
      <c r="HRS44" s="6"/>
      <c r="HRT44" s="6"/>
      <c r="HRU44" s="6"/>
      <c r="HRV44" s="6"/>
      <c r="HRW44" s="6"/>
      <c r="HRX44" s="6"/>
      <c r="HRY44" s="6"/>
      <c r="HRZ44" s="6"/>
      <c r="HSA44" s="6"/>
      <c r="HSB44" s="6"/>
      <c r="HSC44" s="6"/>
      <c r="HSD44" s="6"/>
      <c r="HSE44" s="6"/>
      <c r="HSF44" s="6"/>
      <c r="HSG44" s="6"/>
      <c r="HSH44" s="6"/>
      <c r="HSI44" s="6"/>
      <c r="HSJ44" s="6"/>
      <c r="HSK44" s="6"/>
      <c r="HSL44" s="6"/>
      <c r="HSM44" s="6"/>
      <c r="HSN44" s="6"/>
      <c r="HSO44" s="6"/>
      <c r="HSP44" s="6"/>
      <c r="HSQ44" s="6"/>
      <c r="HSR44" s="6"/>
      <c r="HSS44" s="6"/>
      <c r="HST44" s="6"/>
      <c r="HSU44" s="6"/>
      <c r="HSV44" s="6"/>
      <c r="HSW44" s="6"/>
      <c r="HSX44" s="6"/>
      <c r="HSY44" s="6"/>
      <c r="HSZ44" s="6"/>
      <c r="HTA44" s="6"/>
      <c r="HTB44" s="6"/>
      <c r="HTC44" s="6"/>
      <c r="HTD44" s="6"/>
      <c r="HTE44" s="6"/>
      <c r="HTF44" s="6"/>
      <c r="HTG44" s="6"/>
      <c r="HTH44" s="6"/>
      <c r="HTI44" s="6"/>
      <c r="HTJ44" s="6"/>
      <c r="HTK44" s="6"/>
      <c r="HTL44" s="6"/>
      <c r="HTM44" s="6"/>
      <c r="HTN44" s="6"/>
      <c r="HTO44" s="6"/>
      <c r="HTP44" s="6"/>
      <c r="HTQ44" s="6"/>
      <c r="HTR44" s="6"/>
      <c r="HTS44" s="6"/>
      <c r="HTT44" s="6"/>
      <c r="HTU44" s="6"/>
      <c r="HTV44" s="6"/>
      <c r="HTW44" s="6"/>
      <c r="HTX44" s="6"/>
      <c r="HTY44" s="6"/>
      <c r="HTZ44" s="6"/>
      <c r="HUA44" s="6"/>
      <c r="HUB44" s="6"/>
      <c r="HUC44" s="6"/>
      <c r="HUD44" s="6"/>
      <c r="HUE44" s="6"/>
      <c r="HUF44" s="6"/>
      <c r="HUG44" s="6"/>
      <c r="HUH44" s="6"/>
      <c r="HUI44" s="6"/>
      <c r="HUJ44" s="6"/>
      <c r="HUK44" s="6"/>
      <c r="HUL44" s="6"/>
      <c r="HUM44" s="6"/>
      <c r="HUN44" s="6"/>
      <c r="HUO44" s="6"/>
      <c r="HUP44" s="6"/>
      <c r="HUQ44" s="6"/>
      <c r="HUR44" s="6"/>
      <c r="HUS44" s="6"/>
      <c r="HUT44" s="6"/>
      <c r="HUU44" s="6"/>
      <c r="HUV44" s="6"/>
      <c r="HUW44" s="6"/>
      <c r="HUX44" s="6"/>
      <c r="HUY44" s="6"/>
      <c r="HUZ44" s="6"/>
      <c r="HVA44" s="6"/>
      <c r="HVB44" s="6"/>
      <c r="HVC44" s="6"/>
      <c r="HVD44" s="6"/>
      <c r="HVE44" s="6"/>
      <c r="HVF44" s="6"/>
      <c r="HVG44" s="6"/>
      <c r="HVH44" s="6"/>
      <c r="HVI44" s="6"/>
      <c r="HVJ44" s="6"/>
      <c r="HVK44" s="6"/>
      <c r="HVL44" s="6"/>
      <c r="HVM44" s="6"/>
      <c r="HVN44" s="6"/>
      <c r="HVO44" s="6"/>
      <c r="HVP44" s="6"/>
      <c r="HVQ44" s="6"/>
      <c r="HVR44" s="6"/>
      <c r="HVS44" s="6"/>
      <c r="HVT44" s="6"/>
      <c r="HVU44" s="6"/>
      <c r="HVV44" s="6"/>
      <c r="HVW44" s="6"/>
      <c r="HVX44" s="6"/>
      <c r="HVY44" s="6"/>
      <c r="HVZ44" s="6"/>
      <c r="HWA44" s="6"/>
      <c r="HWB44" s="6"/>
      <c r="HWC44" s="6"/>
      <c r="HWD44" s="6"/>
      <c r="HWE44" s="6"/>
      <c r="HWF44" s="6"/>
      <c r="HWG44" s="6"/>
      <c r="HWH44" s="6"/>
      <c r="HWI44" s="6"/>
      <c r="HWJ44" s="6"/>
      <c r="HWK44" s="6"/>
      <c r="HWL44" s="6"/>
      <c r="HWM44" s="6"/>
      <c r="HWN44" s="6"/>
      <c r="HWO44" s="6"/>
      <c r="HWP44" s="6"/>
      <c r="HWQ44" s="6"/>
      <c r="HWR44" s="6"/>
      <c r="HWS44" s="6"/>
      <c r="HWT44" s="6"/>
      <c r="HWU44" s="6"/>
      <c r="HWV44" s="6"/>
      <c r="HWW44" s="6"/>
      <c r="HWX44" s="6"/>
      <c r="HWY44" s="6"/>
      <c r="HWZ44" s="6"/>
      <c r="HXA44" s="6"/>
      <c r="HXB44" s="6"/>
      <c r="HXC44" s="6"/>
      <c r="HXD44" s="6"/>
      <c r="HXE44" s="6"/>
      <c r="HXF44" s="6"/>
      <c r="HXG44" s="6"/>
      <c r="HXH44" s="6"/>
      <c r="HXI44" s="6"/>
      <c r="HXJ44" s="6"/>
      <c r="HXK44" s="6"/>
      <c r="HXL44" s="6"/>
      <c r="HXM44" s="6"/>
      <c r="HXN44" s="6"/>
      <c r="HXO44" s="6"/>
      <c r="HXP44" s="6"/>
      <c r="HXQ44" s="6"/>
      <c r="HXR44" s="6"/>
      <c r="HXS44" s="6"/>
      <c r="HXT44" s="6"/>
      <c r="HXU44" s="6"/>
      <c r="HXV44" s="6"/>
      <c r="HXW44" s="6"/>
      <c r="HXX44" s="6"/>
      <c r="HXY44" s="6"/>
      <c r="HXZ44" s="6"/>
      <c r="HYA44" s="6"/>
      <c r="HYB44" s="6"/>
      <c r="HYC44" s="6"/>
      <c r="HYD44" s="6"/>
      <c r="HYE44" s="6"/>
      <c r="HYF44" s="6"/>
      <c r="HYG44" s="6"/>
      <c r="HYH44" s="6"/>
      <c r="HYI44" s="6"/>
      <c r="HYJ44" s="6"/>
      <c r="HYK44" s="6"/>
      <c r="HYL44" s="6"/>
      <c r="HYM44" s="6"/>
      <c r="HYN44" s="6"/>
      <c r="HYO44" s="6"/>
      <c r="HYP44" s="6"/>
      <c r="HYQ44" s="6"/>
      <c r="HYR44" s="6"/>
      <c r="HYS44" s="6"/>
      <c r="HYT44" s="6"/>
      <c r="HYU44" s="6"/>
      <c r="HYV44" s="6"/>
      <c r="HYW44" s="6"/>
      <c r="HYX44" s="6"/>
      <c r="HYY44" s="6"/>
      <c r="HYZ44" s="6"/>
      <c r="HZA44" s="6"/>
      <c r="HZB44" s="6"/>
      <c r="HZC44" s="6"/>
      <c r="HZD44" s="6"/>
      <c r="HZE44" s="6"/>
      <c r="HZF44" s="6"/>
      <c r="HZG44" s="6"/>
      <c r="HZH44" s="6"/>
      <c r="HZI44" s="6"/>
      <c r="HZJ44" s="6"/>
      <c r="HZK44" s="6"/>
      <c r="HZL44" s="6"/>
      <c r="HZM44" s="6"/>
      <c r="HZN44" s="6"/>
      <c r="HZO44" s="6"/>
      <c r="HZP44" s="6"/>
      <c r="HZQ44" s="6"/>
      <c r="HZR44" s="6"/>
      <c r="HZS44" s="6"/>
      <c r="HZT44" s="6"/>
      <c r="HZU44" s="6"/>
      <c r="HZV44" s="6"/>
      <c r="HZW44" s="6"/>
      <c r="HZX44" s="6"/>
      <c r="HZY44" s="6"/>
      <c r="HZZ44" s="6"/>
      <c r="IAA44" s="6"/>
      <c r="IAB44" s="6"/>
      <c r="IAC44" s="6"/>
      <c r="IAD44" s="6"/>
      <c r="IAE44" s="6"/>
      <c r="IAF44" s="6"/>
      <c r="IAG44" s="6"/>
      <c r="IAH44" s="6"/>
      <c r="IAI44" s="6"/>
      <c r="IAJ44" s="6"/>
      <c r="IAK44" s="6"/>
      <c r="IAL44" s="6"/>
      <c r="IAM44" s="6"/>
      <c r="IAN44" s="6"/>
      <c r="IAO44" s="6"/>
      <c r="IAP44" s="6"/>
      <c r="IAQ44" s="6"/>
      <c r="IAR44" s="6"/>
      <c r="IAS44" s="6"/>
      <c r="IAT44" s="6"/>
      <c r="IAU44" s="6"/>
      <c r="IAV44" s="6"/>
      <c r="IAW44" s="6"/>
      <c r="IAX44" s="6"/>
      <c r="IAY44" s="6"/>
      <c r="IAZ44" s="6"/>
      <c r="IBA44" s="6"/>
      <c r="IBB44" s="6"/>
      <c r="IBC44" s="6"/>
      <c r="IBD44" s="6"/>
      <c r="IBE44" s="6"/>
      <c r="IBF44" s="6"/>
      <c r="IBG44" s="6"/>
      <c r="IBH44" s="6"/>
      <c r="IBI44" s="6"/>
      <c r="IBJ44" s="6"/>
      <c r="IBK44" s="6"/>
      <c r="IBL44" s="6"/>
      <c r="IBM44" s="6"/>
      <c r="IBN44" s="6"/>
      <c r="IBO44" s="6"/>
      <c r="IBP44" s="6"/>
      <c r="IBQ44" s="6"/>
      <c r="IBR44" s="6"/>
      <c r="IBS44" s="6"/>
      <c r="IBT44" s="6"/>
      <c r="IBU44" s="6"/>
      <c r="IBV44" s="6"/>
      <c r="IBW44" s="6"/>
      <c r="IBX44" s="6"/>
      <c r="IBY44" s="6"/>
      <c r="IBZ44" s="6"/>
      <c r="ICA44" s="6"/>
      <c r="ICB44" s="6"/>
      <c r="ICC44" s="6"/>
      <c r="ICD44" s="6"/>
      <c r="ICE44" s="6"/>
      <c r="ICF44" s="6"/>
      <c r="ICG44" s="6"/>
      <c r="ICH44" s="6"/>
      <c r="ICI44" s="6"/>
      <c r="ICJ44" s="6"/>
      <c r="ICK44" s="6"/>
      <c r="ICL44" s="6"/>
      <c r="ICM44" s="6"/>
      <c r="ICN44" s="6"/>
      <c r="ICO44" s="6"/>
      <c r="ICP44" s="6"/>
      <c r="ICQ44" s="6"/>
      <c r="ICR44" s="6"/>
      <c r="ICS44" s="6"/>
      <c r="ICT44" s="6"/>
      <c r="ICU44" s="6"/>
      <c r="ICV44" s="6"/>
      <c r="ICW44" s="6"/>
      <c r="ICX44" s="6"/>
      <c r="ICY44" s="6"/>
      <c r="ICZ44" s="6"/>
      <c r="IDA44" s="6"/>
      <c r="IDB44" s="6"/>
      <c r="IDC44" s="6"/>
      <c r="IDD44" s="6"/>
      <c r="IDE44" s="6"/>
      <c r="IDF44" s="6"/>
      <c r="IDG44" s="6"/>
      <c r="IDH44" s="6"/>
      <c r="IDI44" s="6"/>
      <c r="IDJ44" s="6"/>
      <c r="IDK44" s="6"/>
      <c r="IDL44" s="6"/>
      <c r="IDM44" s="6"/>
      <c r="IDN44" s="6"/>
      <c r="IDO44" s="6"/>
      <c r="IDP44" s="6"/>
      <c r="IDQ44" s="6"/>
      <c r="IDR44" s="6"/>
      <c r="IDS44" s="6"/>
      <c r="IDT44" s="6"/>
      <c r="IDU44" s="6"/>
      <c r="IDV44" s="6"/>
      <c r="IDW44" s="6"/>
      <c r="IDX44" s="6"/>
      <c r="IDY44" s="6"/>
      <c r="IDZ44" s="6"/>
      <c r="IEA44" s="6"/>
      <c r="IEB44" s="6"/>
      <c r="IEC44" s="6"/>
      <c r="IED44" s="6"/>
      <c r="IEE44" s="6"/>
      <c r="IEF44" s="6"/>
      <c r="IEG44" s="6"/>
      <c r="IEH44" s="6"/>
      <c r="IEI44" s="6"/>
      <c r="IEJ44" s="6"/>
      <c r="IEK44" s="6"/>
      <c r="IEL44" s="6"/>
      <c r="IEM44" s="6"/>
      <c r="IEN44" s="6"/>
      <c r="IEO44" s="6"/>
      <c r="IEP44" s="6"/>
      <c r="IEQ44" s="6"/>
      <c r="IER44" s="6"/>
      <c r="IES44" s="6"/>
      <c r="IET44" s="6"/>
      <c r="IEU44" s="6"/>
      <c r="IEV44" s="6"/>
      <c r="IEW44" s="6"/>
      <c r="IEX44" s="6"/>
      <c r="IEY44" s="6"/>
      <c r="IEZ44" s="6"/>
      <c r="IFA44" s="6"/>
      <c r="IFB44" s="6"/>
      <c r="IFC44" s="6"/>
      <c r="IFD44" s="6"/>
      <c r="IFE44" s="6"/>
      <c r="IFF44" s="6"/>
      <c r="IFG44" s="6"/>
      <c r="IFH44" s="6"/>
      <c r="IFI44" s="6"/>
      <c r="IFJ44" s="6"/>
      <c r="IFK44" s="6"/>
      <c r="IFL44" s="6"/>
      <c r="IFM44" s="6"/>
      <c r="IFN44" s="6"/>
      <c r="IFO44" s="6"/>
      <c r="IFP44" s="6"/>
      <c r="IFQ44" s="6"/>
      <c r="IFR44" s="6"/>
      <c r="IFS44" s="6"/>
      <c r="IFT44" s="6"/>
      <c r="IFU44" s="6"/>
      <c r="IFV44" s="6"/>
      <c r="IFW44" s="6"/>
      <c r="IFX44" s="6"/>
      <c r="IFY44" s="6"/>
      <c r="IFZ44" s="6"/>
      <c r="IGA44" s="6"/>
      <c r="IGB44" s="6"/>
      <c r="IGC44" s="6"/>
      <c r="IGD44" s="6"/>
      <c r="IGE44" s="6"/>
      <c r="IGF44" s="6"/>
      <c r="IGG44" s="6"/>
      <c r="IGH44" s="6"/>
      <c r="IGI44" s="6"/>
      <c r="IGJ44" s="6"/>
      <c r="IGK44" s="6"/>
      <c r="IGL44" s="6"/>
      <c r="IGM44" s="6"/>
      <c r="IGN44" s="6"/>
      <c r="IGO44" s="6"/>
      <c r="IGP44" s="6"/>
      <c r="IGQ44" s="6"/>
      <c r="IGR44" s="6"/>
      <c r="IGS44" s="6"/>
      <c r="IGT44" s="6"/>
      <c r="IGU44" s="6"/>
      <c r="IGV44" s="6"/>
      <c r="IGW44" s="6"/>
      <c r="IGX44" s="6"/>
      <c r="IGY44" s="6"/>
      <c r="IGZ44" s="6"/>
      <c r="IHA44" s="6"/>
      <c r="IHB44" s="6"/>
      <c r="IHC44" s="6"/>
      <c r="IHD44" s="6"/>
      <c r="IHE44" s="6"/>
      <c r="IHF44" s="6"/>
      <c r="IHG44" s="6"/>
      <c r="IHH44" s="6"/>
      <c r="IHI44" s="6"/>
      <c r="IHJ44" s="6"/>
      <c r="IHK44" s="6"/>
      <c r="IHL44" s="6"/>
      <c r="IHM44" s="6"/>
      <c r="IHN44" s="6"/>
      <c r="IHO44" s="6"/>
      <c r="IHP44" s="6"/>
      <c r="IHQ44" s="6"/>
      <c r="IHR44" s="6"/>
      <c r="IHS44" s="6"/>
      <c r="IHT44" s="6"/>
      <c r="IHU44" s="6"/>
      <c r="IHV44" s="6"/>
      <c r="IHW44" s="6"/>
      <c r="IHX44" s="6"/>
      <c r="IHY44" s="6"/>
      <c r="IHZ44" s="6"/>
      <c r="IIA44" s="6"/>
      <c r="IIB44" s="6"/>
      <c r="IIC44" s="6"/>
      <c r="IID44" s="6"/>
      <c r="IIE44" s="6"/>
      <c r="IIF44" s="6"/>
      <c r="IIG44" s="6"/>
      <c r="IIH44" s="6"/>
      <c r="III44" s="6"/>
      <c r="IIJ44" s="6"/>
      <c r="IIK44" s="6"/>
      <c r="IIL44" s="6"/>
      <c r="IIM44" s="6"/>
      <c r="IIN44" s="6"/>
      <c r="IIO44" s="6"/>
      <c r="IIP44" s="6"/>
      <c r="IIQ44" s="6"/>
      <c r="IIR44" s="6"/>
      <c r="IIS44" s="6"/>
      <c r="IIT44" s="6"/>
      <c r="IIU44" s="6"/>
      <c r="IIV44" s="6"/>
      <c r="IIW44" s="6"/>
      <c r="IIX44" s="6"/>
      <c r="IIY44" s="6"/>
      <c r="IIZ44" s="6"/>
      <c r="IJA44" s="6"/>
      <c r="IJB44" s="6"/>
      <c r="IJC44" s="6"/>
      <c r="IJD44" s="6"/>
      <c r="IJE44" s="6"/>
      <c r="IJF44" s="6"/>
      <c r="IJG44" s="6"/>
      <c r="IJH44" s="6"/>
      <c r="IJI44" s="6"/>
      <c r="IJJ44" s="6"/>
      <c r="IJK44" s="6"/>
      <c r="IJL44" s="6"/>
      <c r="IJM44" s="6"/>
      <c r="IJN44" s="6"/>
      <c r="IJO44" s="6"/>
      <c r="IJP44" s="6"/>
      <c r="IJQ44" s="6"/>
      <c r="IJR44" s="6"/>
      <c r="IJS44" s="6"/>
      <c r="IJT44" s="6"/>
      <c r="IJU44" s="6"/>
      <c r="IJV44" s="6"/>
      <c r="IJW44" s="6"/>
      <c r="IJX44" s="6"/>
      <c r="IJY44" s="6"/>
      <c r="IJZ44" s="6"/>
      <c r="IKA44" s="6"/>
      <c r="IKB44" s="6"/>
      <c r="IKC44" s="6"/>
      <c r="IKD44" s="6"/>
      <c r="IKE44" s="6"/>
      <c r="IKF44" s="6"/>
      <c r="IKG44" s="6"/>
      <c r="IKH44" s="6"/>
      <c r="IKI44" s="6"/>
      <c r="IKJ44" s="6"/>
      <c r="IKK44" s="6"/>
      <c r="IKL44" s="6"/>
      <c r="IKM44" s="6"/>
      <c r="IKN44" s="6"/>
      <c r="IKO44" s="6"/>
      <c r="IKP44" s="6"/>
      <c r="IKQ44" s="6"/>
      <c r="IKR44" s="6"/>
      <c r="IKS44" s="6"/>
      <c r="IKT44" s="6"/>
      <c r="IKU44" s="6"/>
      <c r="IKV44" s="6"/>
      <c r="IKW44" s="6"/>
      <c r="IKX44" s="6"/>
      <c r="IKY44" s="6"/>
      <c r="IKZ44" s="6"/>
      <c r="ILA44" s="6"/>
      <c r="ILB44" s="6"/>
      <c r="ILC44" s="6"/>
      <c r="ILD44" s="6"/>
      <c r="ILE44" s="6"/>
      <c r="ILF44" s="6"/>
      <c r="ILG44" s="6"/>
      <c r="ILH44" s="6"/>
      <c r="ILI44" s="6"/>
      <c r="ILJ44" s="6"/>
      <c r="ILK44" s="6"/>
      <c r="ILL44" s="6"/>
      <c r="ILM44" s="6"/>
      <c r="ILN44" s="6"/>
      <c r="ILO44" s="6"/>
      <c r="ILP44" s="6"/>
      <c r="ILQ44" s="6"/>
      <c r="ILR44" s="6"/>
      <c r="ILS44" s="6"/>
      <c r="ILT44" s="6"/>
      <c r="ILU44" s="6"/>
      <c r="ILV44" s="6"/>
      <c r="ILW44" s="6"/>
      <c r="ILX44" s="6"/>
      <c r="ILY44" s="6"/>
      <c r="ILZ44" s="6"/>
      <c r="IMA44" s="6"/>
      <c r="IMB44" s="6"/>
      <c r="IMC44" s="6"/>
      <c r="IMD44" s="6"/>
      <c r="IME44" s="6"/>
      <c r="IMF44" s="6"/>
      <c r="IMG44" s="6"/>
      <c r="IMH44" s="6"/>
      <c r="IMI44" s="6"/>
      <c r="IMJ44" s="6"/>
      <c r="IMK44" s="6"/>
      <c r="IML44" s="6"/>
      <c r="IMM44" s="6"/>
      <c r="IMN44" s="6"/>
      <c r="IMO44" s="6"/>
      <c r="IMP44" s="6"/>
      <c r="IMQ44" s="6"/>
      <c r="IMR44" s="6"/>
      <c r="IMS44" s="6"/>
      <c r="IMT44" s="6"/>
      <c r="IMU44" s="6"/>
      <c r="IMV44" s="6"/>
      <c r="IMW44" s="6"/>
      <c r="IMX44" s="6"/>
      <c r="IMY44" s="6"/>
      <c r="IMZ44" s="6"/>
      <c r="INA44" s="6"/>
      <c r="INB44" s="6"/>
      <c r="INC44" s="6"/>
      <c r="IND44" s="6"/>
      <c r="INE44" s="6"/>
      <c r="INF44" s="6"/>
      <c r="ING44" s="6"/>
      <c r="INH44" s="6"/>
      <c r="INI44" s="6"/>
      <c r="INJ44" s="6"/>
      <c r="INK44" s="6"/>
      <c r="INL44" s="6"/>
      <c r="INM44" s="6"/>
      <c r="INN44" s="6"/>
      <c r="INO44" s="6"/>
      <c r="INP44" s="6"/>
      <c r="INQ44" s="6"/>
      <c r="INR44" s="6"/>
      <c r="INS44" s="6"/>
      <c r="INT44" s="6"/>
      <c r="INU44" s="6"/>
      <c r="INV44" s="6"/>
      <c r="INW44" s="6"/>
      <c r="INX44" s="6"/>
      <c r="INY44" s="6"/>
      <c r="INZ44" s="6"/>
      <c r="IOA44" s="6"/>
      <c r="IOB44" s="6"/>
      <c r="IOC44" s="6"/>
      <c r="IOD44" s="6"/>
      <c r="IOE44" s="6"/>
      <c r="IOF44" s="6"/>
      <c r="IOG44" s="6"/>
      <c r="IOH44" s="6"/>
      <c r="IOI44" s="6"/>
      <c r="IOJ44" s="6"/>
      <c r="IOK44" s="6"/>
      <c r="IOL44" s="6"/>
      <c r="IOM44" s="6"/>
      <c r="ION44" s="6"/>
      <c r="IOO44" s="6"/>
      <c r="IOP44" s="6"/>
      <c r="IOQ44" s="6"/>
      <c r="IOR44" s="6"/>
      <c r="IOS44" s="6"/>
      <c r="IOT44" s="6"/>
      <c r="IOU44" s="6"/>
      <c r="IOV44" s="6"/>
      <c r="IOW44" s="6"/>
      <c r="IOX44" s="6"/>
      <c r="IOY44" s="6"/>
      <c r="IOZ44" s="6"/>
      <c r="IPA44" s="6"/>
      <c r="IPB44" s="6"/>
      <c r="IPC44" s="6"/>
      <c r="IPD44" s="6"/>
      <c r="IPE44" s="6"/>
      <c r="IPF44" s="6"/>
      <c r="IPG44" s="6"/>
      <c r="IPH44" s="6"/>
      <c r="IPI44" s="6"/>
      <c r="IPJ44" s="6"/>
      <c r="IPK44" s="6"/>
      <c r="IPL44" s="6"/>
      <c r="IPM44" s="6"/>
      <c r="IPN44" s="6"/>
      <c r="IPO44" s="6"/>
      <c r="IPP44" s="6"/>
      <c r="IPQ44" s="6"/>
      <c r="IPR44" s="6"/>
      <c r="IPS44" s="6"/>
      <c r="IPT44" s="6"/>
      <c r="IPU44" s="6"/>
      <c r="IPV44" s="6"/>
      <c r="IPW44" s="6"/>
      <c r="IPX44" s="6"/>
      <c r="IPY44" s="6"/>
      <c r="IPZ44" s="6"/>
      <c r="IQA44" s="6"/>
      <c r="IQB44" s="6"/>
      <c r="IQC44" s="6"/>
      <c r="IQD44" s="6"/>
      <c r="IQE44" s="6"/>
      <c r="IQF44" s="6"/>
      <c r="IQG44" s="6"/>
      <c r="IQH44" s="6"/>
      <c r="IQI44" s="6"/>
      <c r="IQJ44" s="6"/>
      <c r="IQK44" s="6"/>
      <c r="IQL44" s="6"/>
      <c r="IQM44" s="6"/>
      <c r="IQN44" s="6"/>
      <c r="IQO44" s="6"/>
      <c r="IQP44" s="6"/>
      <c r="IQQ44" s="6"/>
      <c r="IQR44" s="6"/>
      <c r="IQS44" s="6"/>
      <c r="IQT44" s="6"/>
      <c r="IQU44" s="6"/>
      <c r="IQV44" s="6"/>
      <c r="IQW44" s="6"/>
      <c r="IQX44" s="6"/>
      <c r="IQY44" s="6"/>
      <c r="IQZ44" s="6"/>
      <c r="IRA44" s="6"/>
      <c r="IRB44" s="6"/>
      <c r="IRC44" s="6"/>
      <c r="IRD44" s="6"/>
      <c r="IRE44" s="6"/>
      <c r="IRF44" s="6"/>
      <c r="IRG44" s="6"/>
      <c r="IRH44" s="6"/>
      <c r="IRI44" s="6"/>
      <c r="IRJ44" s="6"/>
      <c r="IRK44" s="6"/>
      <c r="IRL44" s="6"/>
      <c r="IRM44" s="6"/>
      <c r="IRN44" s="6"/>
      <c r="IRO44" s="6"/>
      <c r="IRP44" s="6"/>
      <c r="IRQ44" s="6"/>
      <c r="IRR44" s="6"/>
      <c r="IRS44" s="6"/>
      <c r="IRT44" s="6"/>
      <c r="IRU44" s="6"/>
      <c r="IRV44" s="6"/>
      <c r="IRW44" s="6"/>
      <c r="IRX44" s="6"/>
      <c r="IRY44" s="6"/>
      <c r="IRZ44" s="6"/>
      <c r="ISA44" s="6"/>
      <c r="ISB44" s="6"/>
      <c r="ISC44" s="6"/>
      <c r="ISD44" s="6"/>
      <c r="ISE44" s="6"/>
      <c r="ISF44" s="6"/>
      <c r="ISG44" s="6"/>
      <c r="ISH44" s="6"/>
      <c r="ISI44" s="6"/>
      <c r="ISJ44" s="6"/>
      <c r="ISK44" s="6"/>
      <c r="ISL44" s="6"/>
      <c r="ISM44" s="6"/>
      <c r="ISN44" s="6"/>
      <c r="ISO44" s="6"/>
      <c r="ISP44" s="6"/>
      <c r="ISQ44" s="6"/>
      <c r="ISR44" s="6"/>
      <c r="ISS44" s="6"/>
      <c r="IST44" s="6"/>
      <c r="ISU44" s="6"/>
      <c r="ISV44" s="6"/>
      <c r="ISW44" s="6"/>
      <c r="ISX44" s="6"/>
      <c r="ISY44" s="6"/>
      <c r="ISZ44" s="6"/>
      <c r="ITA44" s="6"/>
      <c r="ITB44" s="6"/>
      <c r="ITC44" s="6"/>
      <c r="ITD44" s="6"/>
      <c r="ITE44" s="6"/>
      <c r="ITF44" s="6"/>
      <c r="ITG44" s="6"/>
      <c r="ITH44" s="6"/>
      <c r="ITI44" s="6"/>
      <c r="ITJ44" s="6"/>
      <c r="ITK44" s="6"/>
      <c r="ITL44" s="6"/>
      <c r="ITM44" s="6"/>
      <c r="ITN44" s="6"/>
      <c r="ITO44" s="6"/>
      <c r="ITP44" s="6"/>
      <c r="ITQ44" s="6"/>
      <c r="ITR44" s="6"/>
      <c r="ITS44" s="6"/>
      <c r="ITT44" s="6"/>
      <c r="ITU44" s="6"/>
      <c r="ITV44" s="6"/>
      <c r="ITW44" s="6"/>
      <c r="ITX44" s="6"/>
      <c r="ITY44" s="6"/>
      <c r="ITZ44" s="6"/>
      <c r="IUA44" s="6"/>
      <c r="IUB44" s="6"/>
      <c r="IUC44" s="6"/>
      <c r="IUD44" s="6"/>
      <c r="IUE44" s="6"/>
      <c r="IUF44" s="6"/>
      <c r="IUG44" s="6"/>
      <c r="IUH44" s="6"/>
      <c r="IUI44" s="6"/>
      <c r="IUJ44" s="6"/>
      <c r="IUK44" s="6"/>
      <c r="IUL44" s="6"/>
      <c r="IUM44" s="6"/>
      <c r="IUN44" s="6"/>
      <c r="IUO44" s="6"/>
      <c r="IUP44" s="6"/>
      <c r="IUQ44" s="6"/>
      <c r="IUR44" s="6"/>
      <c r="IUS44" s="6"/>
      <c r="IUT44" s="6"/>
      <c r="IUU44" s="6"/>
      <c r="IUV44" s="6"/>
      <c r="IUW44" s="6"/>
      <c r="IUX44" s="6"/>
      <c r="IUY44" s="6"/>
      <c r="IUZ44" s="6"/>
      <c r="IVA44" s="6"/>
      <c r="IVB44" s="6"/>
      <c r="IVC44" s="6"/>
      <c r="IVD44" s="6"/>
      <c r="IVE44" s="6"/>
      <c r="IVF44" s="6"/>
      <c r="IVG44" s="6"/>
      <c r="IVH44" s="6"/>
      <c r="IVI44" s="6"/>
      <c r="IVJ44" s="6"/>
      <c r="IVK44" s="6"/>
      <c r="IVL44" s="6"/>
      <c r="IVM44" s="6"/>
      <c r="IVN44" s="6"/>
      <c r="IVO44" s="6"/>
      <c r="IVP44" s="6"/>
      <c r="IVQ44" s="6"/>
      <c r="IVR44" s="6"/>
      <c r="IVS44" s="6"/>
      <c r="IVT44" s="6"/>
      <c r="IVU44" s="6"/>
      <c r="IVV44" s="6"/>
      <c r="IVW44" s="6"/>
      <c r="IVX44" s="6"/>
      <c r="IVY44" s="6"/>
      <c r="IVZ44" s="6"/>
      <c r="IWA44" s="6"/>
      <c r="IWB44" s="6"/>
      <c r="IWC44" s="6"/>
      <c r="IWD44" s="6"/>
      <c r="IWE44" s="6"/>
      <c r="IWF44" s="6"/>
      <c r="IWG44" s="6"/>
      <c r="IWH44" s="6"/>
      <c r="IWI44" s="6"/>
      <c r="IWJ44" s="6"/>
      <c r="IWK44" s="6"/>
      <c r="IWL44" s="6"/>
      <c r="IWM44" s="6"/>
      <c r="IWN44" s="6"/>
      <c r="IWO44" s="6"/>
      <c r="IWP44" s="6"/>
      <c r="IWQ44" s="6"/>
      <c r="IWR44" s="6"/>
      <c r="IWS44" s="6"/>
      <c r="IWT44" s="6"/>
      <c r="IWU44" s="6"/>
      <c r="IWV44" s="6"/>
      <c r="IWW44" s="6"/>
      <c r="IWX44" s="6"/>
      <c r="IWY44" s="6"/>
      <c r="IWZ44" s="6"/>
      <c r="IXA44" s="6"/>
      <c r="IXB44" s="6"/>
      <c r="IXC44" s="6"/>
      <c r="IXD44" s="6"/>
      <c r="IXE44" s="6"/>
      <c r="IXF44" s="6"/>
      <c r="IXG44" s="6"/>
      <c r="IXH44" s="6"/>
      <c r="IXI44" s="6"/>
      <c r="IXJ44" s="6"/>
      <c r="IXK44" s="6"/>
      <c r="IXL44" s="6"/>
      <c r="IXM44" s="6"/>
      <c r="IXN44" s="6"/>
      <c r="IXO44" s="6"/>
      <c r="IXP44" s="6"/>
      <c r="IXQ44" s="6"/>
      <c r="IXR44" s="6"/>
      <c r="IXS44" s="6"/>
      <c r="IXT44" s="6"/>
      <c r="IXU44" s="6"/>
      <c r="IXV44" s="6"/>
      <c r="IXW44" s="6"/>
      <c r="IXX44" s="6"/>
      <c r="IXY44" s="6"/>
      <c r="IXZ44" s="6"/>
      <c r="IYA44" s="6"/>
      <c r="IYB44" s="6"/>
      <c r="IYC44" s="6"/>
      <c r="IYD44" s="6"/>
      <c r="IYE44" s="6"/>
      <c r="IYF44" s="6"/>
      <c r="IYG44" s="6"/>
      <c r="IYH44" s="6"/>
      <c r="IYI44" s="6"/>
      <c r="IYJ44" s="6"/>
      <c r="IYK44" s="6"/>
      <c r="IYL44" s="6"/>
      <c r="IYM44" s="6"/>
      <c r="IYN44" s="6"/>
      <c r="IYO44" s="6"/>
      <c r="IYP44" s="6"/>
      <c r="IYQ44" s="6"/>
      <c r="IYR44" s="6"/>
      <c r="IYS44" s="6"/>
      <c r="IYT44" s="6"/>
      <c r="IYU44" s="6"/>
      <c r="IYV44" s="6"/>
      <c r="IYW44" s="6"/>
      <c r="IYX44" s="6"/>
      <c r="IYY44" s="6"/>
      <c r="IYZ44" s="6"/>
      <c r="IZA44" s="6"/>
      <c r="IZB44" s="6"/>
      <c r="IZC44" s="6"/>
      <c r="IZD44" s="6"/>
      <c r="IZE44" s="6"/>
      <c r="IZF44" s="6"/>
      <c r="IZG44" s="6"/>
      <c r="IZH44" s="6"/>
      <c r="IZI44" s="6"/>
      <c r="IZJ44" s="6"/>
      <c r="IZK44" s="6"/>
      <c r="IZL44" s="6"/>
      <c r="IZM44" s="6"/>
      <c r="IZN44" s="6"/>
      <c r="IZO44" s="6"/>
      <c r="IZP44" s="6"/>
      <c r="IZQ44" s="6"/>
      <c r="IZR44" s="6"/>
      <c r="IZS44" s="6"/>
      <c r="IZT44" s="6"/>
      <c r="IZU44" s="6"/>
      <c r="IZV44" s="6"/>
      <c r="IZW44" s="6"/>
      <c r="IZX44" s="6"/>
      <c r="IZY44" s="6"/>
      <c r="IZZ44" s="6"/>
      <c r="JAA44" s="6"/>
      <c r="JAB44" s="6"/>
      <c r="JAC44" s="6"/>
      <c r="JAD44" s="6"/>
      <c r="JAE44" s="6"/>
      <c r="JAF44" s="6"/>
      <c r="JAG44" s="6"/>
      <c r="JAH44" s="6"/>
      <c r="JAI44" s="6"/>
      <c r="JAJ44" s="6"/>
      <c r="JAK44" s="6"/>
      <c r="JAL44" s="6"/>
      <c r="JAM44" s="6"/>
      <c r="JAN44" s="6"/>
      <c r="JAO44" s="6"/>
      <c r="JAP44" s="6"/>
      <c r="JAQ44" s="6"/>
      <c r="JAR44" s="6"/>
      <c r="JAS44" s="6"/>
      <c r="JAT44" s="6"/>
      <c r="JAU44" s="6"/>
      <c r="JAV44" s="6"/>
      <c r="JAW44" s="6"/>
      <c r="JAX44" s="6"/>
      <c r="JAY44" s="6"/>
      <c r="JAZ44" s="6"/>
      <c r="JBA44" s="6"/>
      <c r="JBB44" s="6"/>
      <c r="JBC44" s="6"/>
      <c r="JBD44" s="6"/>
      <c r="JBE44" s="6"/>
      <c r="JBF44" s="6"/>
      <c r="JBG44" s="6"/>
      <c r="JBH44" s="6"/>
      <c r="JBI44" s="6"/>
      <c r="JBJ44" s="6"/>
      <c r="JBK44" s="6"/>
      <c r="JBL44" s="6"/>
      <c r="JBM44" s="6"/>
      <c r="JBN44" s="6"/>
      <c r="JBO44" s="6"/>
      <c r="JBP44" s="6"/>
      <c r="JBQ44" s="6"/>
      <c r="JBR44" s="6"/>
      <c r="JBS44" s="6"/>
      <c r="JBT44" s="6"/>
      <c r="JBU44" s="6"/>
      <c r="JBV44" s="6"/>
      <c r="JBW44" s="6"/>
      <c r="JBX44" s="6"/>
      <c r="JBY44" s="6"/>
      <c r="JBZ44" s="6"/>
      <c r="JCA44" s="6"/>
      <c r="JCB44" s="6"/>
      <c r="JCC44" s="6"/>
      <c r="JCD44" s="6"/>
      <c r="JCE44" s="6"/>
      <c r="JCF44" s="6"/>
      <c r="JCG44" s="6"/>
      <c r="JCH44" s="6"/>
      <c r="JCI44" s="6"/>
      <c r="JCJ44" s="6"/>
      <c r="JCK44" s="6"/>
      <c r="JCL44" s="6"/>
      <c r="JCM44" s="6"/>
      <c r="JCN44" s="6"/>
      <c r="JCO44" s="6"/>
      <c r="JCP44" s="6"/>
      <c r="JCQ44" s="6"/>
      <c r="JCR44" s="6"/>
      <c r="JCS44" s="6"/>
      <c r="JCT44" s="6"/>
      <c r="JCU44" s="6"/>
      <c r="JCV44" s="6"/>
      <c r="JCW44" s="6"/>
      <c r="JCX44" s="6"/>
      <c r="JCY44" s="6"/>
      <c r="JCZ44" s="6"/>
      <c r="JDA44" s="6"/>
      <c r="JDB44" s="6"/>
      <c r="JDC44" s="6"/>
      <c r="JDD44" s="6"/>
      <c r="JDE44" s="6"/>
      <c r="JDF44" s="6"/>
      <c r="JDG44" s="6"/>
      <c r="JDH44" s="6"/>
      <c r="JDI44" s="6"/>
      <c r="JDJ44" s="6"/>
      <c r="JDK44" s="6"/>
      <c r="JDL44" s="6"/>
      <c r="JDM44" s="6"/>
      <c r="JDN44" s="6"/>
      <c r="JDO44" s="6"/>
      <c r="JDP44" s="6"/>
      <c r="JDQ44" s="6"/>
      <c r="JDR44" s="6"/>
      <c r="JDS44" s="6"/>
      <c r="JDT44" s="6"/>
      <c r="JDU44" s="6"/>
      <c r="JDV44" s="6"/>
      <c r="JDW44" s="6"/>
      <c r="JDX44" s="6"/>
      <c r="JDY44" s="6"/>
      <c r="JDZ44" s="6"/>
      <c r="JEA44" s="6"/>
      <c r="JEB44" s="6"/>
      <c r="JEC44" s="6"/>
      <c r="JED44" s="6"/>
      <c r="JEE44" s="6"/>
      <c r="JEF44" s="6"/>
      <c r="JEG44" s="6"/>
      <c r="JEH44" s="6"/>
      <c r="JEI44" s="6"/>
      <c r="JEJ44" s="6"/>
      <c r="JEK44" s="6"/>
      <c r="JEL44" s="6"/>
      <c r="JEM44" s="6"/>
      <c r="JEN44" s="6"/>
      <c r="JEO44" s="6"/>
      <c r="JEP44" s="6"/>
      <c r="JEQ44" s="6"/>
      <c r="JER44" s="6"/>
      <c r="JES44" s="6"/>
      <c r="JET44" s="6"/>
      <c r="JEU44" s="6"/>
      <c r="JEV44" s="6"/>
      <c r="JEW44" s="6"/>
      <c r="JEX44" s="6"/>
      <c r="JEY44" s="6"/>
      <c r="JEZ44" s="6"/>
      <c r="JFA44" s="6"/>
      <c r="JFB44" s="6"/>
      <c r="JFC44" s="6"/>
      <c r="JFD44" s="6"/>
      <c r="JFE44" s="6"/>
      <c r="JFF44" s="6"/>
      <c r="JFG44" s="6"/>
      <c r="JFH44" s="6"/>
      <c r="JFI44" s="6"/>
      <c r="JFJ44" s="6"/>
      <c r="JFK44" s="6"/>
      <c r="JFL44" s="6"/>
      <c r="JFM44" s="6"/>
      <c r="JFN44" s="6"/>
      <c r="JFO44" s="6"/>
      <c r="JFP44" s="6"/>
      <c r="JFQ44" s="6"/>
      <c r="JFR44" s="6"/>
      <c r="JFS44" s="6"/>
      <c r="JFT44" s="6"/>
      <c r="JFU44" s="6"/>
      <c r="JFV44" s="6"/>
      <c r="JFW44" s="6"/>
      <c r="JFX44" s="6"/>
      <c r="JFY44" s="6"/>
      <c r="JFZ44" s="6"/>
      <c r="JGA44" s="6"/>
      <c r="JGB44" s="6"/>
      <c r="JGC44" s="6"/>
      <c r="JGD44" s="6"/>
      <c r="JGE44" s="6"/>
      <c r="JGF44" s="6"/>
      <c r="JGG44" s="6"/>
      <c r="JGH44" s="6"/>
      <c r="JGI44" s="6"/>
      <c r="JGJ44" s="6"/>
      <c r="JGK44" s="6"/>
      <c r="JGL44" s="6"/>
      <c r="JGM44" s="6"/>
      <c r="JGN44" s="6"/>
      <c r="JGO44" s="6"/>
      <c r="JGP44" s="6"/>
      <c r="JGQ44" s="6"/>
      <c r="JGR44" s="6"/>
      <c r="JGS44" s="6"/>
      <c r="JGT44" s="6"/>
      <c r="JGU44" s="6"/>
      <c r="JGV44" s="6"/>
      <c r="JGW44" s="6"/>
      <c r="JGX44" s="6"/>
      <c r="JGY44" s="6"/>
      <c r="JGZ44" s="6"/>
      <c r="JHA44" s="6"/>
      <c r="JHB44" s="6"/>
      <c r="JHC44" s="6"/>
      <c r="JHD44" s="6"/>
      <c r="JHE44" s="6"/>
      <c r="JHF44" s="6"/>
      <c r="JHG44" s="6"/>
      <c r="JHH44" s="6"/>
      <c r="JHI44" s="6"/>
      <c r="JHJ44" s="6"/>
      <c r="JHK44" s="6"/>
      <c r="JHL44" s="6"/>
      <c r="JHM44" s="6"/>
      <c r="JHN44" s="6"/>
      <c r="JHO44" s="6"/>
      <c r="JHP44" s="6"/>
      <c r="JHQ44" s="6"/>
      <c r="JHR44" s="6"/>
      <c r="JHS44" s="6"/>
      <c r="JHT44" s="6"/>
      <c r="JHU44" s="6"/>
      <c r="JHV44" s="6"/>
      <c r="JHW44" s="6"/>
      <c r="JHX44" s="6"/>
      <c r="JHY44" s="6"/>
      <c r="JHZ44" s="6"/>
      <c r="JIA44" s="6"/>
      <c r="JIB44" s="6"/>
      <c r="JIC44" s="6"/>
      <c r="JID44" s="6"/>
      <c r="JIE44" s="6"/>
      <c r="JIF44" s="6"/>
      <c r="JIG44" s="6"/>
      <c r="JIH44" s="6"/>
      <c r="JII44" s="6"/>
      <c r="JIJ44" s="6"/>
      <c r="JIK44" s="6"/>
      <c r="JIL44" s="6"/>
      <c r="JIM44" s="6"/>
      <c r="JIN44" s="6"/>
      <c r="JIO44" s="6"/>
      <c r="JIP44" s="6"/>
      <c r="JIQ44" s="6"/>
      <c r="JIR44" s="6"/>
      <c r="JIS44" s="6"/>
      <c r="JIT44" s="6"/>
      <c r="JIU44" s="6"/>
      <c r="JIV44" s="6"/>
      <c r="JIW44" s="6"/>
      <c r="JIX44" s="6"/>
      <c r="JIY44" s="6"/>
      <c r="JIZ44" s="6"/>
      <c r="JJA44" s="6"/>
      <c r="JJB44" s="6"/>
      <c r="JJC44" s="6"/>
      <c r="JJD44" s="6"/>
      <c r="JJE44" s="6"/>
      <c r="JJF44" s="6"/>
      <c r="JJG44" s="6"/>
      <c r="JJH44" s="6"/>
      <c r="JJI44" s="6"/>
      <c r="JJJ44" s="6"/>
      <c r="JJK44" s="6"/>
      <c r="JJL44" s="6"/>
      <c r="JJM44" s="6"/>
      <c r="JJN44" s="6"/>
      <c r="JJO44" s="6"/>
      <c r="JJP44" s="6"/>
      <c r="JJQ44" s="6"/>
      <c r="JJR44" s="6"/>
      <c r="JJS44" s="6"/>
      <c r="JJT44" s="6"/>
      <c r="JJU44" s="6"/>
      <c r="JJV44" s="6"/>
      <c r="JJW44" s="6"/>
      <c r="JJX44" s="6"/>
      <c r="JJY44" s="6"/>
      <c r="JJZ44" s="6"/>
      <c r="JKA44" s="6"/>
      <c r="JKB44" s="6"/>
      <c r="JKC44" s="6"/>
      <c r="JKD44" s="6"/>
      <c r="JKE44" s="6"/>
      <c r="JKF44" s="6"/>
      <c r="JKG44" s="6"/>
      <c r="JKH44" s="6"/>
      <c r="JKI44" s="6"/>
      <c r="JKJ44" s="6"/>
      <c r="JKK44" s="6"/>
      <c r="JKL44" s="6"/>
      <c r="JKM44" s="6"/>
      <c r="JKN44" s="6"/>
      <c r="JKO44" s="6"/>
      <c r="JKP44" s="6"/>
      <c r="JKQ44" s="6"/>
      <c r="JKR44" s="6"/>
      <c r="JKS44" s="6"/>
      <c r="JKT44" s="6"/>
      <c r="JKU44" s="6"/>
      <c r="JKV44" s="6"/>
      <c r="JKW44" s="6"/>
      <c r="JKX44" s="6"/>
      <c r="JKY44" s="6"/>
      <c r="JKZ44" s="6"/>
      <c r="JLA44" s="6"/>
      <c r="JLB44" s="6"/>
      <c r="JLC44" s="6"/>
      <c r="JLD44" s="6"/>
      <c r="JLE44" s="6"/>
      <c r="JLF44" s="6"/>
      <c r="JLG44" s="6"/>
      <c r="JLH44" s="6"/>
      <c r="JLI44" s="6"/>
      <c r="JLJ44" s="6"/>
      <c r="JLK44" s="6"/>
      <c r="JLL44" s="6"/>
      <c r="JLM44" s="6"/>
      <c r="JLN44" s="6"/>
      <c r="JLO44" s="6"/>
      <c r="JLP44" s="6"/>
      <c r="JLQ44" s="6"/>
      <c r="JLR44" s="6"/>
      <c r="JLS44" s="6"/>
      <c r="JLT44" s="6"/>
      <c r="JLU44" s="6"/>
      <c r="JLV44" s="6"/>
      <c r="JLW44" s="6"/>
      <c r="JLX44" s="6"/>
      <c r="JLY44" s="6"/>
      <c r="JLZ44" s="6"/>
      <c r="JMA44" s="6"/>
      <c r="JMB44" s="6"/>
      <c r="JMC44" s="6"/>
      <c r="JMD44" s="6"/>
      <c r="JME44" s="6"/>
      <c r="JMF44" s="6"/>
      <c r="JMG44" s="6"/>
      <c r="JMH44" s="6"/>
      <c r="JMI44" s="6"/>
      <c r="JMJ44" s="6"/>
      <c r="JMK44" s="6"/>
      <c r="JML44" s="6"/>
      <c r="JMM44" s="6"/>
      <c r="JMN44" s="6"/>
      <c r="JMO44" s="6"/>
      <c r="JMP44" s="6"/>
      <c r="JMQ44" s="6"/>
      <c r="JMR44" s="6"/>
      <c r="JMS44" s="6"/>
      <c r="JMT44" s="6"/>
      <c r="JMU44" s="6"/>
      <c r="JMV44" s="6"/>
      <c r="JMW44" s="6"/>
      <c r="JMX44" s="6"/>
      <c r="JMY44" s="6"/>
      <c r="JMZ44" s="6"/>
      <c r="JNA44" s="6"/>
      <c r="JNB44" s="6"/>
      <c r="JNC44" s="6"/>
      <c r="JND44" s="6"/>
      <c r="JNE44" s="6"/>
      <c r="JNF44" s="6"/>
      <c r="JNG44" s="6"/>
      <c r="JNH44" s="6"/>
      <c r="JNI44" s="6"/>
      <c r="JNJ44" s="6"/>
      <c r="JNK44" s="6"/>
      <c r="JNL44" s="6"/>
      <c r="JNM44" s="6"/>
      <c r="JNN44" s="6"/>
      <c r="JNO44" s="6"/>
      <c r="JNP44" s="6"/>
      <c r="JNQ44" s="6"/>
      <c r="JNR44" s="6"/>
      <c r="JNS44" s="6"/>
      <c r="JNT44" s="6"/>
      <c r="JNU44" s="6"/>
      <c r="JNV44" s="6"/>
      <c r="JNW44" s="6"/>
      <c r="JNX44" s="6"/>
      <c r="JNY44" s="6"/>
      <c r="JNZ44" s="6"/>
      <c r="JOA44" s="6"/>
      <c r="JOB44" s="6"/>
      <c r="JOC44" s="6"/>
      <c r="JOD44" s="6"/>
      <c r="JOE44" s="6"/>
      <c r="JOF44" s="6"/>
      <c r="JOG44" s="6"/>
      <c r="JOH44" s="6"/>
      <c r="JOI44" s="6"/>
      <c r="JOJ44" s="6"/>
      <c r="JOK44" s="6"/>
      <c r="JOL44" s="6"/>
      <c r="JOM44" s="6"/>
      <c r="JON44" s="6"/>
      <c r="JOO44" s="6"/>
      <c r="JOP44" s="6"/>
      <c r="JOQ44" s="6"/>
      <c r="JOR44" s="6"/>
      <c r="JOS44" s="6"/>
      <c r="JOT44" s="6"/>
      <c r="JOU44" s="6"/>
      <c r="JOV44" s="6"/>
      <c r="JOW44" s="6"/>
      <c r="JOX44" s="6"/>
      <c r="JOY44" s="6"/>
      <c r="JOZ44" s="6"/>
      <c r="JPA44" s="6"/>
      <c r="JPB44" s="6"/>
      <c r="JPC44" s="6"/>
      <c r="JPD44" s="6"/>
      <c r="JPE44" s="6"/>
      <c r="JPF44" s="6"/>
      <c r="JPG44" s="6"/>
      <c r="JPH44" s="6"/>
      <c r="JPI44" s="6"/>
      <c r="JPJ44" s="6"/>
      <c r="JPK44" s="6"/>
      <c r="JPL44" s="6"/>
      <c r="JPM44" s="6"/>
      <c r="JPN44" s="6"/>
      <c r="JPO44" s="6"/>
      <c r="JPP44" s="6"/>
      <c r="JPQ44" s="6"/>
      <c r="JPR44" s="6"/>
      <c r="JPS44" s="6"/>
      <c r="JPT44" s="6"/>
      <c r="JPU44" s="6"/>
      <c r="JPV44" s="6"/>
      <c r="JPW44" s="6"/>
      <c r="JPX44" s="6"/>
      <c r="JPY44" s="6"/>
      <c r="JPZ44" s="6"/>
      <c r="JQA44" s="6"/>
      <c r="JQB44" s="6"/>
      <c r="JQC44" s="6"/>
      <c r="JQD44" s="6"/>
      <c r="JQE44" s="6"/>
      <c r="JQF44" s="6"/>
      <c r="JQG44" s="6"/>
      <c r="JQH44" s="6"/>
      <c r="JQI44" s="6"/>
      <c r="JQJ44" s="6"/>
      <c r="JQK44" s="6"/>
      <c r="JQL44" s="6"/>
      <c r="JQM44" s="6"/>
      <c r="JQN44" s="6"/>
      <c r="JQO44" s="6"/>
      <c r="JQP44" s="6"/>
      <c r="JQQ44" s="6"/>
      <c r="JQR44" s="6"/>
      <c r="JQS44" s="6"/>
      <c r="JQT44" s="6"/>
      <c r="JQU44" s="6"/>
      <c r="JQV44" s="6"/>
      <c r="JQW44" s="6"/>
      <c r="JQX44" s="6"/>
      <c r="JQY44" s="6"/>
      <c r="JQZ44" s="6"/>
      <c r="JRA44" s="6"/>
      <c r="JRB44" s="6"/>
      <c r="JRC44" s="6"/>
      <c r="JRD44" s="6"/>
      <c r="JRE44" s="6"/>
      <c r="JRF44" s="6"/>
      <c r="JRG44" s="6"/>
      <c r="JRH44" s="6"/>
      <c r="JRI44" s="6"/>
      <c r="JRJ44" s="6"/>
      <c r="JRK44" s="6"/>
      <c r="JRL44" s="6"/>
      <c r="JRM44" s="6"/>
      <c r="JRN44" s="6"/>
      <c r="JRO44" s="6"/>
      <c r="JRP44" s="6"/>
      <c r="JRQ44" s="6"/>
      <c r="JRR44" s="6"/>
      <c r="JRS44" s="6"/>
      <c r="JRT44" s="6"/>
      <c r="JRU44" s="6"/>
      <c r="JRV44" s="6"/>
      <c r="JRW44" s="6"/>
      <c r="JRX44" s="6"/>
      <c r="JRY44" s="6"/>
      <c r="JRZ44" s="6"/>
      <c r="JSA44" s="6"/>
      <c r="JSB44" s="6"/>
      <c r="JSC44" s="6"/>
      <c r="JSD44" s="6"/>
      <c r="JSE44" s="6"/>
      <c r="JSF44" s="6"/>
      <c r="JSG44" s="6"/>
      <c r="JSH44" s="6"/>
      <c r="JSI44" s="6"/>
      <c r="JSJ44" s="6"/>
      <c r="JSK44" s="6"/>
      <c r="JSL44" s="6"/>
      <c r="JSM44" s="6"/>
      <c r="JSN44" s="6"/>
      <c r="JSO44" s="6"/>
      <c r="JSP44" s="6"/>
      <c r="JSQ44" s="6"/>
      <c r="JSR44" s="6"/>
      <c r="JSS44" s="6"/>
      <c r="JST44" s="6"/>
      <c r="JSU44" s="6"/>
      <c r="JSV44" s="6"/>
      <c r="JSW44" s="6"/>
      <c r="JSX44" s="6"/>
      <c r="JSY44" s="6"/>
      <c r="JSZ44" s="6"/>
      <c r="JTA44" s="6"/>
      <c r="JTB44" s="6"/>
      <c r="JTC44" s="6"/>
      <c r="JTD44" s="6"/>
      <c r="JTE44" s="6"/>
      <c r="JTF44" s="6"/>
      <c r="JTG44" s="6"/>
      <c r="JTH44" s="6"/>
      <c r="JTI44" s="6"/>
      <c r="JTJ44" s="6"/>
      <c r="JTK44" s="6"/>
      <c r="JTL44" s="6"/>
      <c r="JTM44" s="6"/>
      <c r="JTN44" s="6"/>
      <c r="JTO44" s="6"/>
      <c r="JTP44" s="6"/>
      <c r="JTQ44" s="6"/>
      <c r="JTR44" s="6"/>
      <c r="JTS44" s="6"/>
      <c r="JTT44" s="6"/>
      <c r="JTU44" s="6"/>
      <c r="JTV44" s="6"/>
      <c r="JTW44" s="6"/>
      <c r="JTX44" s="6"/>
      <c r="JTY44" s="6"/>
      <c r="JTZ44" s="6"/>
      <c r="JUA44" s="6"/>
      <c r="JUB44" s="6"/>
      <c r="JUC44" s="6"/>
      <c r="JUD44" s="6"/>
      <c r="JUE44" s="6"/>
      <c r="JUF44" s="6"/>
      <c r="JUG44" s="6"/>
      <c r="JUH44" s="6"/>
      <c r="JUI44" s="6"/>
      <c r="JUJ44" s="6"/>
      <c r="JUK44" s="6"/>
      <c r="JUL44" s="6"/>
      <c r="JUM44" s="6"/>
      <c r="JUN44" s="6"/>
      <c r="JUO44" s="6"/>
      <c r="JUP44" s="6"/>
      <c r="JUQ44" s="6"/>
      <c r="JUR44" s="6"/>
      <c r="JUS44" s="6"/>
      <c r="JUT44" s="6"/>
      <c r="JUU44" s="6"/>
      <c r="JUV44" s="6"/>
      <c r="JUW44" s="6"/>
      <c r="JUX44" s="6"/>
      <c r="JUY44" s="6"/>
      <c r="JUZ44" s="6"/>
      <c r="JVA44" s="6"/>
      <c r="JVB44" s="6"/>
      <c r="JVC44" s="6"/>
      <c r="JVD44" s="6"/>
      <c r="JVE44" s="6"/>
      <c r="JVF44" s="6"/>
      <c r="JVG44" s="6"/>
      <c r="JVH44" s="6"/>
      <c r="JVI44" s="6"/>
      <c r="JVJ44" s="6"/>
      <c r="JVK44" s="6"/>
      <c r="JVL44" s="6"/>
      <c r="JVM44" s="6"/>
      <c r="JVN44" s="6"/>
      <c r="JVO44" s="6"/>
      <c r="JVP44" s="6"/>
      <c r="JVQ44" s="6"/>
      <c r="JVR44" s="6"/>
      <c r="JVS44" s="6"/>
      <c r="JVT44" s="6"/>
      <c r="JVU44" s="6"/>
      <c r="JVV44" s="6"/>
      <c r="JVW44" s="6"/>
      <c r="JVX44" s="6"/>
      <c r="JVY44" s="6"/>
      <c r="JVZ44" s="6"/>
      <c r="JWA44" s="6"/>
      <c r="JWB44" s="6"/>
      <c r="JWC44" s="6"/>
      <c r="JWD44" s="6"/>
      <c r="JWE44" s="6"/>
      <c r="JWF44" s="6"/>
      <c r="JWG44" s="6"/>
      <c r="JWH44" s="6"/>
      <c r="JWI44" s="6"/>
      <c r="JWJ44" s="6"/>
      <c r="JWK44" s="6"/>
      <c r="JWL44" s="6"/>
      <c r="JWM44" s="6"/>
      <c r="JWN44" s="6"/>
      <c r="JWO44" s="6"/>
      <c r="JWP44" s="6"/>
      <c r="JWQ44" s="6"/>
      <c r="JWR44" s="6"/>
      <c r="JWS44" s="6"/>
      <c r="JWT44" s="6"/>
      <c r="JWU44" s="6"/>
      <c r="JWV44" s="6"/>
      <c r="JWW44" s="6"/>
      <c r="JWX44" s="6"/>
      <c r="JWY44" s="6"/>
      <c r="JWZ44" s="6"/>
      <c r="JXA44" s="6"/>
      <c r="JXB44" s="6"/>
      <c r="JXC44" s="6"/>
      <c r="JXD44" s="6"/>
      <c r="JXE44" s="6"/>
      <c r="JXF44" s="6"/>
      <c r="JXG44" s="6"/>
      <c r="JXH44" s="6"/>
      <c r="JXI44" s="6"/>
      <c r="JXJ44" s="6"/>
      <c r="JXK44" s="6"/>
      <c r="JXL44" s="6"/>
      <c r="JXM44" s="6"/>
      <c r="JXN44" s="6"/>
      <c r="JXO44" s="6"/>
      <c r="JXP44" s="6"/>
      <c r="JXQ44" s="6"/>
      <c r="JXR44" s="6"/>
      <c r="JXS44" s="6"/>
      <c r="JXT44" s="6"/>
      <c r="JXU44" s="6"/>
      <c r="JXV44" s="6"/>
      <c r="JXW44" s="6"/>
      <c r="JXX44" s="6"/>
      <c r="JXY44" s="6"/>
      <c r="JXZ44" s="6"/>
      <c r="JYA44" s="6"/>
      <c r="JYB44" s="6"/>
      <c r="JYC44" s="6"/>
      <c r="JYD44" s="6"/>
      <c r="JYE44" s="6"/>
      <c r="JYF44" s="6"/>
      <c r="JYG44" s="6"/>
      <c r="JYH44" s="6"/>
      <c r="JYI44" s="6"/>
      <c r="JYJ44" s="6"/>
      <c r="JYK44" s="6"/>
      <c r="JYL44" s="6"/>
      <c r="JYM44" s="6"/>
      <c r="JYN44" s="6"/>
      <c r="JYO44" s="6"/>
      <c r="JYP44" s="6"/>
      <c r="JYQ44" s="6"/>
      <c r="JYR44" s="6"/>
      <c r="JYS44" s="6"/>
      <c r="JYT44" s="6"/>
      <c r="JYU44" s="6"/>
      <c r="JYV44" s="6"/>
      <c r="JYW44" s="6"/>
      <c r="JYX44" s="6"/>
      <c r="JYY44" s="6"/>
      <c r="JYZ44" s="6"/>
      <c r="JZA44" s="6"/>
      <c r="JZB44" s="6"/>
      <c r="JZC44" s="6"/>
      <c r="JZD44" s="6"/>
      <c r="JZE44" s="6"/>
      <c r="JZF44" s="6"/>
      <c r="JZG44" s="6"/>
      <c r="JZH44" s="6"/>
      <c r="JZI44" s="6"/>
      <c r="JZJ44" s="6"/>
      <c r="JZK44" s="6"/>
      <c r="JZL44" s="6"/>
      <c r="JZM44" s="6"/>
      <c r="JZN44" s="6"/>
      <c r="JZO44" s="6"/>
      <c r="JZP44" s="6"/>
      <c r="JZQ44" s="6"/>
      <c r="JZR44" s="6"/>
      <c r="JZS44" s="6"/>
      <c r="JZT44" s="6"/>
      <c r="JZU44" s="6"/>
      <c r="JZV44" s="6"/>
      <c r="JZW44" s="6"/>
      <c r="JZX44" s="6"/>
      <c r="JZY44" s="6"/>
      <c r="JZZ44" s="6"/>
      <c r="KAA44" s="6"/>
      <c r="KAB44" s="6"/>
      <c r="KAC44" s="6"/>
      <c r="KAD44" s="6"/>
      <c r="KAE44" s="6"/>
      <c r="KAF44" s="6"/>
      <c r="KAG44" s="6"/>
      <c r="KAH44" s="6"/>
      <c r="KAI44" s="6"/>
      <c r="KAJ44" s="6"/>
      <c r="KAK44" s="6"/>
      <c r="KAL44" s="6"/>
      <c r="KAM44" s="6"/>
      <c r="KAN44" s="6"/>
      <c r="KAO44" s="6"/>
      <c r="KAP44" s="6"/>
      <c r="KAQ44" s="6"/>
      <c r="KAR44" s="6"/>
      <c r="KAS44" s="6"/>
      <c r="KAT44" s="6"/>
      <c r="KAU44" s="6"/>
      <c r="KAV44" s="6"/>
      <c r="KAW44" s="6"/>
      <c r="KAX44" s="6"/>
      <c r="KAY44" s="6"/>
      <c r="KAZ44" s="6"/>
      <c r="KBA44" s="6"/>
      <c r="KBB44" s="6"/>
      <c r="KBC44" s="6"/>
      <c r="KBD44" s="6"/>
      <c r="KBE44" s="6"/>
      <c r="KBF44" s="6"/>
      <c r="KBG44" s="6"/>
      <c r="KBH44" s="6"/>
      <c r="KBI44" s="6"/>
      <c r="KBJ44" s="6"/>
      <c r="KBK44" s="6"/>
      <c r="KBL44" s="6"/>
      <c r="KBM44" s="6"/>
      <c r="KBN44" s="6"/>
      <c r="KBO44" s="6"/>
      <c r="KBP44" s="6"/>
      <c r="KBQ44" s="6"/>
      <c r="KBR44" s="6"/>
      <c r="KBS44" s="6"/>
      <c r="KBT44" s="6"/>
      <c r="KBU44" s="6"/>
      <c r="KBV44" s="6"/>
      <c r="KBW44" s="6"/>
      <c r="KBX44" s="6"/>
      <c r="KBY44" s="6"/>
      <c r="KBZ44" s="6"/>
      <c r="KCA44" s="6"/>
      <c r="KCB44" s="6"/>
      <c r="KCC44" s="6"/>
      <c r="KCD44" s="6"/>
      <c r="KCE44" s="6"/>
      <c r="KCF44" s="6"/>
      <c r="KCG44" s="6"/>
      <c r="KCH44" s="6"/>
      <c r="KCI44" s="6"/>
      <c r="KCJ44" s="6"/>
      <c r="KCK44" s="6"/>
      <c r="KCL44" s="6"/>
      <c r="KCM44" s="6"/>
      <c r="KCN44" s="6"/>
      <c r="KCO44" s="6"/>
      <c r="KCP44" s="6"/>
      <c r="KCQ44" s="6"/>
      <c r="KCR44" s="6"/>
      <c r="KCS44" s="6"/>
      <c r="KCT44" s="6"/>
      <c r="KCU44" s="6"/>
      <c r="KCV44" s="6"/>
      <c r="KCW44" s="6"/>
      <c r="KCX44" s="6"/>
      <c r="KCY44" s="6"/>
      <c r="KCZ44" s="6"/>
      <c r="KDA44" s="6"/>
      <c r="KDB44" s="6"/>
      <c r="KDC44" s="6"/>
      <c r="KDD44" s="6"/>
      <c r="KDE44" s="6"/>
      <c r="KDF44" s="6"/>
      <c r="KDG44" s="6"/>
      <c r="KDH44" s="6"/>
      <c r="KDI44" s="6"/>
      <c r="KDJ44" s="6"/>
      <c r="KDK44" s="6"/>
      <c r="KDL44" s="6"/>
      <c r="KDM44" s="6"/>
      <c r="KDN44" s="6"/>
      <c r="KDO44" s="6"/>
      <c r="KDP44" s="6"/>
      <c r="KDQ44" s="6"/>
      <c r="KDR44" s="6"/>
      <c r="KDS44" s="6"/>
      <c r="KDT44" s="6"/>
      <c r="KDU44" s="6"/>
      <c r="KDV44" s="6"/>
      <c r="KDW44" s="6"/>
      <c r="KDX44" s="6"/>
      <c r="KDY44" s="6"/>
      <c r="KDZ44" s="6"/>
      <c r="KEA44" s="6"/>
      <c r="KEB44" s="6"/>
      <c r="KEC44" s="6"/>
      <c r="KED44" s="6"/>
      <c r="KEE44" s="6"/>
      <c r="KEF44" s="6"/>
      <c r="KEG44" s="6"/>
      <c r="KEH44" s="6"/>
      <c r="KEI44" s="6"/>
      <c r="KEJ44" s="6"/>
      <c r="KEK44" s="6"/>
      <c r="KEL44" s="6"/>
      <c r="KEM44" s="6"/>
      <c r="KEN44" s="6"/>
      <c r="KEO44" s="6"/>
      <c r="KEP44" s="6"/>
      <c r="KEQ44" s="6"/>
      <c r="KER44" s="6"/>
      <c r="KES44" s="6"/>
      <c r="KET44" s="6"/>
      <c r="KEU44" s="6"/>
      <c r="KEV44" s="6"/>
      <c r="KEW44" s="6"/>
      <c r="KEX44" s="6"/>
      <c r="KEY44" s="6"/>
      <c r="KEZ44" s="6"/>
      <c r="KFA44" s="6"/>
      <c r="KFB44" s="6"/>
      <c r="KFC44" s="6"/>
      <c r="KFD44" s="6"/>
      <c r="KFE44" s="6"/>
      <c r="KFF44" s="6"/>
      <c r="KFG44" s="6"/>
      <c r="KFH44" s="6"/>
      <c r="KFI44" s="6"/>
      <c r="KFJ44" s="6"/>
      <c r="KFK44" s="6"/>
      <c r="KFL44" s="6"/>
      <c r="KFM44" s="6"/>
      <c r="KFN44" s="6"/>
      <c r="KFO44" s="6"/>
      <c r="KFP44" s="6"/>
      <c r="KFQ44" s="6"/>
      <c r="KFR44" s="6"/>
      <c r="KFS44" s="6"/>
      <c r="KFT44" s="6"/>
      <c r="KFU44" s="6"/>
      <c r="KFV44" s="6"/>
      <c r="KFW44" s="6"/>
      <c r="KFX44" s="6"/>
      <c r="KFY44" s="6"/>
      <c r="KFZ44" s="6"/>
      <c r="KGA44" s="6"/>
      <c r="KGB44" s="6"/>
      <c r="KGC44" s="6"/>
      <c r="KGD44" s="6"/>
      <c r="KGE44" s="6"/>
      <c r="KGF44" s="6"/>
      <c r="KGG44" s="6"/>
      <c r="KGH44" s="6"/>
      <c r="KGI44" s="6"/>
      <c r="KGJ44" s="6"/>
      <c r="KGK44" s="6"/>
      <c r="KGL44" s="6"/>
      <c r="KGM44" s="6"/>
      <c r="KGN44" s="6"/>
      <c r="KGO44" s="6"/>
      <c r="KGP44" s="6"/>
      <c r="KGQ44" s="6"/>
      <c r="KGR44" s="6"/>
      <c r="KGS44" s="6"/>
      <c r="KGT44" s="6"/>
      <c r="KGU44" s="6"/>
      <c r="KGV44" s="6"/>
      <c r="KGW44" s="6"/>
      <c r="KGX44" s="6"/>
      <c r="KGY44" s="6"/>
      <c r="KGZ44" s="6"/>
      <c r="KHA44" s="6"/>
      <c r="KHB44" s="6"/>
      <c r="KHC44" s="6"/>
      <c r="KHD44" s="6"/>
      <c r="KHE44" s="6"/>
      <c r="KHF44" s="6"/>
      <c r="KHG44" s="6"/>
      <c r="KHH44" s="6"/>
      <c r="KHI44" s="6"/>
      <c r="KHJ44" s="6"/>
      <c r="KHK44" s="6"/>
      <c r="KHL44" s="6"/>
      <c r="KHM44" s="6"/>
      <c r="KHN44" s="6"/>
      <c r="KHO44" s="6"/>
      <c r="KHP44" s="6"/>
      <c r="KHQ44" s="6"/>
      <c r="KHR44" s="6"/>
      <c r="KHS44" s="6"/>
      <c r="KHT44" s="6"/>
      <c r="KHU44" s="6"/>
      <c r="KHV44" s="6"/>
      <c r="KHW44" s="6"/>
      <c r="KHX44" s="6"/>
      <c r="KHY44" s="6"/>
      <c r="KHZ44" s="6"/>
      <c r="KIA44" s="6"/>
      <c r="KIB44" s="6"/>
      <c r="KIC44" s="6"/>
      <c r="KID44" s="6"/>
      <c r="KIE44" s="6"/>
      <c r="KIF44" s="6"/>
      <c r="KIG44" s="6"/>
      <c r="KIH44" s="6"/>
      <c r="KII44" s="6"/>
      <c r="KIJ44" s="6"/>
      <c r="KIK44" s="6"/>
      <c r="KIL44" s="6"/>
      <c r="KIM44" s="6"/>
      <c r="KIN44" s="6"/>
      <c r="KIO44" s="6"/>
      <c r="KIP44" s="6"/>
      <c r="KIQ44" s="6"/>
      <c r="KIR44" s="6"/>
      <c r="KIS44" s="6"/>
      <c r="KIT44" s="6"/>
      <c r="KIU44" s="6"/>
      <c r="KIV44" s="6"/>
      <c r="KIW44" s="6"/>
      <c r="KIX44" s="6"/>
      <c r="KIY44" s="6"/>
      <c r="KIZ44" s="6"/>
      <c r="KJA44" s="6"/>
      <c r="KJB44" s="6"/>
      <c r="KJC44" s="6"/>
      <c r="KJD44" s="6"/>
      <c r="KJE44" s="6"/>
      <c r="KJF44" s="6"/>
      <c r="KJG44" s="6"/>
      <c r="KJH44" s="6"/>
      <c r="KJI44" s="6"/>
      <c r="KJJ44" s="6"/>
      <c r="KJK44" s="6"/>
      <c r="KJL44" s="6"/>
      <c r="KJM44" s="6"/>
      <c r="KJN44" s="6"/>
      <c r="KJO44" s="6"/>
      <c r="KJP44" s="6"/>
      <c r="KJQ44" s="6"/>
      <c r="KJR44" s="6"/>
      <c r="KJS44" s="6"/>
      <c r="KJT44" s="6"/>
      <c r="KJU44" s="6"/>
      <c r="KJV44" s="6"/>
      <c r="KJW44" s="6"/>
      <c r="KJX44" s="6"/>
      <c r="KJY44" s="6"/>
      <c r="KJZ44" s="6"/>
      <c r="KKA44" s="6"/>
      <c r="KKB44" s="6"/>
      <c r="KKC44" s="6"/>
      <c r="KKD44" s="6"/>
      <c r="KKE44" s="6"/>
      <c r="KKF44" s="6"/>
      <c r="KKG44" s="6"/>
      <c r="KKH44" s="6"/>
      <c r="KKI44" s="6"/>
      <c r="KKJ44" s="6"/>
      <c r="KKK44" s="6"/>
      <c r="KKL44" s="6"/>
      <c r="KKM44" s="6"/>
      <c r="KKN44" s="6"/>
      <c r="KKO44" s="6"/>
      <c r="KKP44" s="6"/>
      <c r="KKQ44" s="6"/>
      <c r="KKR44" s="6"/>
      <c r="KKS44" s="6"/>
      <c r="KKT44" s="6"/>
      <c r="KKU44" s="6"/>
      <c r="KKV44" s="6"/>
      <c r="KKW44" s="6"/>
      <c r="KKX44" s="6"/>
      <c r="KKY44" s="6"/>
      <c r="KKZ44" s="6"/>
      <c r="KLA44" s="6"/>
      <c r="KLB44" s="6"/>
      <c r="KLC44" s="6"/>
      <c r="KLD44" s="6"/>
      <c r="KLE44" s="6"/>
      <c r="KLF44" s="6"/>
      <c r="KLG44" s="6"/>
      <c r="KLH44" s="6"/>
      <c r="KLI44" s="6"/>
      <c r="KLJ44" s="6"/>
      <c r="KLK44" s="6"/>
      <c r="KLL44" s="6"/>
      <c r="KLM44" s="6"/>
      <c r="KLN44" s="6"/>
      <c r="KLO44" s="6"/>
      <c r="KLP44" s="6"/>
      <c r="KLQ44" s="6"/>
      <c r="KLR44" s="6"/>
      <c r="KLS44" s="6"/>
      <c r="KLT44" s="6"/>
      <c r="KLU44" s="6"/>
      <c r="KLV44" s="6"/>
      <c r="KLW44" s="6"/>
      <c r="KLX44" s="6"/>
      <c r="KLY44" s="6"/>
      <c r="KLZ44" s="6"/>
      <c r="KMA44" s="6"/>
      <c r="KMB44" s="6"/>
      <c r="KMC44" s="6"/>
      <c r="KMD44" s="6"/>
      <c r="KME44" s="6"/>
      <c r="KMF44" s="6"/>
      <c r="KMG44" s="6"/>
      <c r="KMH44" s="6"/>
      <c r="KMI44" s="6"/>
      <c r="KMJ44" s="6"/>
      <c r="KMK44" s="6"/>
      <c r="KML44" s="6"/>
      <c r="KMM44" s="6"/>
      <c r="KMN44" s="6"/>
      <c r="KMO44" s="6"/>
      <c r="KMP44" s="6"/>
      <c r="KMQ44" s="6"/>
      <c r="KMR44" s="6"/>
      <c r="KMS44" s="6"/>
      <c r="KMT44" s="6"/>
      <c r="KMU44" s="6"/>
      <c r="KMV44" s="6"/>
      <c r="KMW44" s="6"/>
      <c r="KMX44" s="6"/>
      <c r="KMY44" s="6"/>
      <c r="KMZ44" s="6"/>
      <c r="KNA44" s="6"/>
      <c r="KNB44" s="6"/>
      <c r="KNC44" s="6"/>
      <c r="KND44" s="6"/>
      <c r="KNE44" s="6"/>
      <c r="KNF44" s="6"/>
      <c r="KNG44" s="6"/>
      <c r="KNH44" s="6"/>
      <c r="KNI44" s="6"/>
      <c r="KNJ44" s="6"/>
      <c r="KNK44" s="6"/>
      <c r="KNL44" s="6"/>
      <c r="KNM44" s="6"/>
      <c r="KNN44" s="6"/>
      <c r="KNO44" s="6"/>
      <c r="KNP44" s="6"/>
      <c r="KNQ44" s="6"/>
      <c r="KNR44" s="6"/>
      <c r="KNS44" s="6"/>
      <c r="KNT44" s="6"/>
      <c r="KNU44" s="6"/>
      <c r="KNV44" s="6"/>
      <c r="KNW44" s="6"/>
      <c r="KNX44" s="6"/>
      <c r="KNY44" s="6"/>
      <c r="KNZ44" s="6"/>
      <c r="KOA44" s="6"/>
      <c r="KOB44" s="6"/>
      <c r="KOC44" s="6"/>
      <c r="KOD44" s="6"/>
      <c r="KOE44" s="6"/>
      <c r="KOF44" s="6"/>
      <c r="KOG44" s="6"/>
      <c r="KOH44" s="6"/>
      <c r="KOI44" s="6"/>
      <c r="KOJ44" s="6"/>
      <c r="KOK44" s="6"/>
      <c r="KOL44" s="6"/>
      <c r="KOM44" s="6"/>
      <c r="KON44" s="6"/>
      <c r="KOO44" s="6"/>
      <c r="KOP44" s="6"/>
      <c r="KOQ44" s="6"/>
      <c r="KOR44" s="6"/>
      <c r="KOS44" s="6"/>
      <c r="KOT44" s="6"/>
      <c r="KOU44" s="6"/>
      <c r="KOV44" s="6"/>
      <c r="KOW44" s="6"/>
      <c r="KOX44" s="6"/>
      <c r="KOY44" s="6"/>
      <c r="KOZ44" s="6"/>
      <c r="KPA44" s="6"/>
      <c r="KPB44" s="6"/>
      <c r="KPC44" s="6"/>
      <c r="KPD44" s="6"/>
      <c r="KPE44" s="6"/>
      <c r="KPF44" s="6"/>
      <c r="KPG44" s="6"/>
      <c r="KPH44" s="6"/>
      <c r="KPI44" s="6"/>
      <c r="KPJ44" s="6"/>
      <c r="KPK44" s="6"/>
      <c r="KPL44" s="6"/>
      <c r="KPM44" s="6"/>
      <c r="KPN44" s="6"/>
      <c r="KPO44" s="6"/>
      <c r="KPP44" s="6"/>
      <c r="KPQ44" s="6"/>
      <c r="KPR44" s="6"/>
      <c r="KPS44" s="6"/>
      <c r="KPT44" s="6"/>
      <c r="KPU44" s="6"/>
      <c r="KPV44" s="6"/>
      <c r="KPW44" s="6"/>
      <c r="KPX44" s="6"/>
      <c r="KPY44" s="6"/>
      <c r="KPZ44" s="6"/>
      <c r="KQA44" s="6"/>
      <c r="KQB44" s="6"/>
      <c r="KQC44" s="6"/>
      <c r="KQD44" s="6"/>
      <c r="KQE44" s="6"/>
      <c r="KQF44" s="6"/>
      <c r="KQG44" s="6"/>
      <c r="KQH44" s="6"/>
      <c r="KQI44" s="6"/>
      <c r="KQJ44" s="6"/>
      <c r="KQK44" s="6"/>
      <c r="KQL44" s="6"/>
      <c r="KQM44" s="6"/>
      <c r="KQN44" s="6"/>
      <c r="KQO44" s="6"/>
      <c r="KQP44" s="6"/>
      <c r="KQQ44" s="6"/>
      <c r="KQR44" s="6"/>
      <c r="KQS44" s="6"/>
      <c r="KQT44" s="6"/>
      <c r="KQU44" s="6"/>
      <c r="KQV44" s="6"/>
      <c r="KQW44" s="6"/>
      <c r="KQX44" s="6"/>
      <c r="KQY44" s="6"/>
      <c r="KQZ44" s="6"/>
      <c r="KRA44" s="6"/>
      <c r="KRB44" s="6"/>
      <c r="KRC44" s="6"/>
      <c r="KRD44" s="6"/>
      <c r="KRE44" s="6"/>
      <c r="KRF44" s="6"/>
      <c r="KRG44" s="6"/>
      <c r="KRH44" s="6"/>
      <c r="KRI44" s="6"/>
      <c r="KRJ44" s="6"/>
      <c r="KRK44" s="6"/>
      <c r="KRL44" s="6"/>
      <c r="KRM44" s="6"/>
      <c r="KRN44" s="6"/>
      <c r="KRO44" s="6"/>
      <c r="KRP44" s="6"/>
      <c r="KRQ44" s="6"/>
      <c r="KRR44" s="6"/>
      <c r="KRS44" s="6"/>
      <c r="KRT44" s="6"/>
      <c r="KRU44" s="6"/>
      <c r="KRV44" s="6"/>
      <c r="KRW44" s="6"/>
      <c r="KRX44" s="6"/>
      <c r="KRY44" s="6"/>
      <c r="KRZ44" s="6"/>
      <c r="KSA44" s="6"/>
      <c r="KSB44" s="6"/>
      <c r="KSC44" s="6"/>
      <c r="KSD44" s="6"/>
      <c r="KSE44" s="6"/>
      <c r="KSF44" s="6"/>
      <c r="KSG44" s="6"/>
      <c r="KSH44" s="6"/>
      <c r="KSI44" s="6"/>
      <c r="KSJ44" s="6"/>
      <c r="KSK44" s="6"/>
      <c r="KSL44" s="6"/>
      <c r="KSM44" s="6"/>
      <c r="KSN44" s="6"/>
      <c r="KSO44" s="6"/>
      <c r="KSP44" s="6"/>
      <c r="KSQ44" s="6"/>
      <c r="KSR44" s="6"/>
      <c r="KSS44" s="6"/>
      <c r="KST44" s="6"/>
      <c r="KSU44" s="6"/>
      <c r="KSV44" s="6"/>
      <c r="KSW44" s="6"/>
      <c r="KSX44" s="6"/>
      <c r="KSY44" s="6"/>
      <c r="KSZ44" s="6"/>
      <c r="KTA44" s="6"/>
      <c r="KTB44" s="6"/>
      <c r="KTC44" s="6"/>
      <c r="KTD44" s="6"/>
      <c r="KTE44" s="6"/>
      <c r="KTF44" s="6"/>
      <c r="KTG44" s="6"/>
      <c r="KTH44" s="6"/>
      <c r="KTI44" s="6"/>
      <c r="KTJ44" s="6"/>
      <c r="KTK44" s="6"/>
      <c r="KTL44" s="6"/>
      <c r="KTM44" s="6"/>
      <c r="KTN44" s="6"/>
      <c r="KTO44" s="6"/>
      <c r="KTP44" s="6"/>
      <c r="KTQ44" s="6"/>
      <c r="KTR44" s="6"/>
      <c r="KTS44" s="6"/>
      <c r="KTT44" s="6"/>
      <c r="KTU44" s="6"/>
      <c r="KTV44" s="6"/>
      <c r="KTW44" s="6"/>
      <c r="KTX44" s="6"/>
      <c r="KTY44" s="6"/>
      <c r="KTZ44" s="6"/>
      <c r="KUA44" s="6"/>
      <c r="KUB44" s="6"/>
      <c r="KUC44" s="6"/>
      <c r="KUD44" s="6"/>
      <c r="KUE44" s="6"/>
      <c r="KUF44" s="6"/>
      <c r="KUG44" s="6"/>
      <c r="KUH44" s="6"/>
      <c r="KUI44" s="6"/>
      <c r="KUJ44" s="6"/>
      <c r="KUK44" s="6"/>
      <c r="KUL44" s="6"/>
      <c r="KUM44" s="6"/>
      <c r="KUN44" s="6"/>
      <c r="KUO44" s="6"/>
      <c r="KUP44" s="6"/>
      <c r="KUQ44" s="6"/>
      <c r="KUR44" s="6"/>
      <c r="KUS44" s="6"/>
      <c r="KUT44" s="6"/>
      <c r="KUU44" s="6"/>
      <c r="KUV44" s="6"/>
      <c r="KUW44" s="6"/>
      <c r="KUX44" s="6"/>
      <c r="KUY44" s="6"/>
      <c r="KUZ44" s="6"/>
      <c r="KVA44" s="6"/>
      <c r="KVB44" s="6"/>
      <c r="KVC44" s="6"/>
      <c r="KVD44" s="6"/>
      <c r="KVE44" s="6"/>
      <c r="KVF44" s="6"/>
      <c r="KVG44" s="6"/>
      <c r="KVH44" s="6"/>
      <c r="KVI44" s="6"/>
      <c r="KVJ44" s="6"/>
      <c r="KVK44" s="6"/>
      <c r="KVL44" s="6"/>
      <c r="KVM44" s="6"/>
      <c r="KVN44" s="6"/>
      <c r="KVO44" s="6"/>
      <c r="KVP44" s="6"/>
      <c r="KVQ44" s="6"/>
      <c r="KVR44" s="6"/>
      <c r="KVS44" s="6"/>
      <c r="KVT44" s="6"/>
      <c r="KVU44" s="6"/>
      <c r="KVV44" s="6"/>
      <c r="KVW44" s="6"/>
      <c r="KVX44" s="6"/>
      <c r="KVY44" s="6"/>
      <c r="KVZ44" s="6"/>
      <c r="KWA44" s="6"/>
      <c r="KWB44" s="6"/>
      <c r="KWC44" s="6"/>
      <c r="KWD44" s="6"/>
      <c r="KWE44" s="6"/>
      <c r="KWF44" s="6"/>
      <c r="KWG44" s="6"/>
      <c r="KWH44" s="6"/>
      <c r="KWI44" s="6"/>
      <c r="KWJ44" s="6"/>
      <c r="KWK44" s="6"/>
      <c r="KWL44" s="6"/>
      <c r="KWM44" s="6"/>
      <c r="KWN44" s="6"/>
      <c r="KWO44" s="6"/>
      <c r="KWP44" s="6"/>
      <c r="KWQ44" s="6"/>
      <c r="KWR44" s="6"/>
      <c r="KWS44" s="6"/>
      <c r="KWT44" s="6"/>
      <c r="KWU44" s="6"/>
      <c r="KWV44" s="6"/>
      <c r="KWW44" s="6"/>
      <c r="KWX44" s="6"/>
      <c r="KWY44" s="6"/>
      <c r="KWZ44" s="6"/>
      <c r="KXA44" s="6"/>
      <c r="KXB44" s="6"/>
      <c r="KXC44" s="6"/>
      <c r="KXD44" s="6"/>
      <c r="KXE44" s="6"/>
      <c r="KXF44" s="6"/>
      <c r="KXG44" s="6"/>
      <c r="KXH44" s="6"/>
      <c r="KXI44" s="6"/>
      <c r="KXJ44" s="6"/>
      <c r="KXK44" s="6"/>
      <c r="KXL44" s="6"/>
      <c r="KXM44" s="6"/>
      <c r="KXN44" s="6"/>
      <c r="KXO44" s="6"/>
      <c r="KXP44" s="6"/>
      <c r="KXQ44" s="6"/>
      <c r="KXR44" s="6"/>
      <c r="KXS44" s="6"/>
      <c r="KXT44" s="6"/>
      <c r="KXU44" s="6"/>
      <c r="KXV44" s="6"/>
      <c r="KXW44" s="6"/>
      <c r="KXX44" s="6"/>
      <c r="KXY44" s="6"/>
      <c r="KXZ44" s="6"/>
      <c r="KYA44" s="6"/>
      <c r="KYB44" s="6"/>
      <c r="KYC44" s="6"/>
      <c r="KYD44" s="6"/>
      <c r="KYE44" s="6"/>
      <c r="KYF44" s="6"/>
      <c r="KYG44" s="6"/>
      <c r="KYH44" s="6"/>
      <c r="KYI44" s="6"/>
      <c r="KYJ44" s="6"/>
      <c r="KYK44" s="6"/>
      <c r="KYL44" s="6"/>
      <c r="KYM44" s="6"/>
      <c r="KYN44" s="6"/>
      <c r="KYO44" s="6"/>
      <c r="KYP44" s="6"/>
      <c r="KYQ44" s="6"/>
      <c r="KYR44" s="6"/>
      <c r="KYS44" s="6"/>
      <c r="KYT44" s="6"/>
      <c r="KYU44" s="6"/>
      <c r="KYV44" s="6"/>
      <c r="KYW44" s="6"/>
      <c r="KYX44" s="6"/>
      <c r="KYY44" s="6"/>
      <c r="KYZ44" s="6"/>
      <c r="KZA44" s="6"/>
      <c r="KZB44" s="6"/>
      <c r="KZC44" s="6"/>
      <c r="KZD44" s="6"/>
      <c r="KZE44" s="6"/>
      <c r="KZF44" s="6"/>
      <c r="KZG44" s="6"/>
      <c r="KZH44" s="6"/>
      <c r="KZI44" s="6"/>
      <c r="KZJ44" s="6"/>
      <c r="KZK44" s="6"/>
      <c r="KZL44" s="6"/>
      <c r="KZM44" s="6"/>
      <c r="KZN44" s="6"/>
      <c r="KZO44" s="6"/>
      <c r="KZP44" s="6"/>
      <c r="KZQ44" s="6"/>
      <c r="KZR44" s="6"/>
      <c r="KZS44" s="6"/>
      <c r="KZT44" s="6"/>
      <c r="KZU44" s="6"/>
      <c r="KZV44" s="6"/>
      <c r="KZW44" s="6"/>
      <c r="KZX44" s="6"/>
      <c r="KZY44" s="6"/>
      <c r="KZZ44" s="6"/>
      <c r="LAA44" s="6"/>
      <c r="LAB44" s="6"/>
      <c r="LAC44" s="6"/>
      <c r="LAD44" s="6"/>
      <c r="LAE44" s="6"/>
      <c r="LAF44" s="6"/>
      <c r="LAG44" s="6"/>
      <c r="LAH44" s="6"/>
      <c r="LAI44" s="6"/>
      <c r="LAJ44" s="6"/>
      <c r="LAK44" s="6"/>
      <c r="LAL44" s="6"/>
      <c r="LAM44" s="6"/>
      <c r="LAN44" s="6"/>
      <c r="LAO44" s="6"/>
      <c r="LAP44" s="6"/>
      <c r="LAQ44" s="6"/>
      <c r="LAR44" s="6"/>
      <c r="LAS44" s="6"/>
      <c r="LAT44" s="6"/>
      <c r="LAU44" s="6"/>
      <c r="LAV44" s="6"/>
      <c r="LAW44" s="6"/>
      <c r="LAX44" s="6"/>
      <c r="LAY44" s="6"/>
      <c r="LAZ44" s="6"/>
      <c r="LBA44" s="6"/>
      <c r="LBB44" s="6"/>
      <c r="LBC44" s="6"/>
      <c r="LBD44" s="6"/>
      <c r="LBE44" s="6"/>
      <c r="LBF44" s="6"/>
      <c r="LBG44" s="6"/>
      <c r="LBH44" s="6"/>
      <c r="LBI44" s="6"/>
      <c r="LBJ44" s="6"/>
      <c r="LBK44" s="6"/>
      <c r="LBL44" s="6"/>
      <c r="LBM44" s="6"/>
      <c r="LBN44" s="6"/>
      <c r="LBO44" s="6"/>
      <c r="LBP44" s="6"/>
      <c r="LBQ44" s="6"/>
      <c r="LBR44" s="6"/>
      <c r="LBS44" s="6"/>
      <c r="LBT44" s="6"/>
      <c r="LBU44" s="6"/>
      <c r="LBV44" s="6"/>
      <c r="LBW44" s="6"/>
      <c r="LBX44" s="6"/>
      <c r="LBY44" s="6"/>
      <c r="LBZ44" s="6"/>
      <c r="LCA44" s="6"/>
      <c r="LCB44" s="6"/>
      <c r="LCC44" s="6"/>
      <c r="LCD44" s="6"/>
      <c r="LCE44" s="6"/>
      <c r="LCF44" s="6"/>
      <c r="LCG44" s="6"/>
      <c r="LCH44" s="6"/>
      <c r="LCI44" s="6"/>
      <c r="LCJ44" s="6"/>
      <c r="LCK44" s="6"/>
      <c r="LCL44" s="6"/>
      <c r="LCM44" s="6"/>
      <c r="LCN44" s="6"/>
      <c r="LCO44" s="6"/>
      <c r="LCP44" s="6"/>
      <c r="LCQ44" s="6"/>
      <c r="LCR44" s="6"/>
      <c r="LCS44" s="6"/>
      <c r="LCT44" s="6"/>
      <c r="LCU44" s="6"/>
      <c r="LCV44" s="6"/>
      <c r="LCW44" s="6"/>
      <c r="LCX44" s="6"/>
      <c r="LCY44" s="6"/>
      <c r="LCZ44" s="6"/>
      <c r="LDA44" s="6"/>
      <c r="LDB44" s="6"/>
      <c r="LDC44" s="6"/>
      <c r="LDD44" s="6"/>
      <c r="LDE44" s="6"/>
      <c r="LDF44" s="6"/>
      <c r="LDG44" s="6"/>
      <c r="LDH44" s="6"/>
      <c r="LDI44" s="6"/>
      <c r="LDJ44" s="6"/>
      <c r="LDK44" s="6"/>
      <c r="LDL44" s="6"/>
      <c r="LDM44" s="6"/>
      <c r="LDN44" s="6"/>
      <c r="LDO44" s="6"/>
      <c r="LDP44" s="6"/>
      <c r="LDQ44" s="6"/>
      <c r="LDR44" s="6"/>
      <c r="LDS44" s="6"/>
      <c r="LDT44" s="6"/>
      <c r="LDU44" s="6"/>
      <c r="LDV44" s="6"/>
      <c r="LDW44" s="6"/>
      <c r="LDX44" s="6"/>
      <c r="LDY44" s="6"/>
      <c r="LDZ44" s="6"/>
      <c r="LEA44" s="6"/>
      <c r="LEB44" s="6"/>
      <c r="LEC44" s="6"/>
      <c r="LED44" s="6"/>
      <c r="LEE44" s="6"/>
      <c r="LEF44" s="6"/>
      <c r="LEG44" s="6"/>
      <c r="LEH44" s="6"/>
      <c r="LEI44" s="6"/>
      <c r="LEJ44" s="6"/>
      <c r="LEK44" s="6"/>
      <c r="LEL44" s="6"/>
      <c r="LEM44" s="6"/>
      <c r="LEN44" s="6"/>
      <c r="LEO44" s="6"/>
      <c r="LEP44" s="6"/>
      <c r="LEQ44" s="6"/>
      <c r="LER44" s="6"/>
      <c r="LES44" s="6"/>
      <c r="LET44" s="6"/>
      <c r="LEU44" s="6"/>
      <c r="LEV44" s="6"/>
      <c r="LEW44" s="6"/>
      <c r="LEX44" s="6"/>
      <c r="LEY44" s="6"/>
      <c r="LEZ44" s="6"/>
      <c r="LFA44" s="6"/>
      <c r="LFB44" s="6"/>
      <c r="LFC44" s="6"/>
      <c r="LFD44" s="6"/>
      <c r="LFE44" s="6"/>
      <c r="LFF44" s="6"/>
      <c r="LFG44" s="6"/>
      <c r="LFH44" s="6"/>
      <c r="LFI44" s="6"/>
      <c r="LFJ44" s="6"/>
      <c r="LFK44" s="6"/>
      <c r="LFL44" s="6"/>
      <c r="LFM44" s="6"/>
      <c r="LFN44" s="6"/>
      <c r="LFO44" s="6"/>
      <c r="LFP44" s="6"/>
      <c r="LFQ44" s="6"/>
      <c r="LFR44" s="6"/>
      <c r="LFS44" s="6"/>
      <c r="LFT44" s="6"/>
      <c r="LFU44" s="6"/>
      <c r="LFV44" s="6"/>
      <c r="LFW44" s="6"/>
      <c r="LFX44" s="6"/>
      <c r="LFY44" s="6"/>
      <c r="LFZ44" s="6"/>
      <c r="LGA44" s="6"/>
      <c r="LGB44" s="6"/>
      <c r="LGC44" s="6"/>
      <c r="LGD44" s="6"/>
      <c r="LGE44" s="6"/>
      <c r="LGF44" s="6"/>
      <c r="LGG44" s="6"/>
      <c r="LGH44" s="6"/>
      <c r="LGI44" s="6"/>
      <c r="LGJ44" s="6"/>
      <c r="LGK44" s="6"/>
      <c r="LGL44" s="6"/>
      <c r="LGM44" s="6"/>
      <c r="LGN44" s="6"/>
      <c r="LGO44" s="6"/>
      <c r="LGP44" s="6"/>
      <c r="LGQ44" s="6"/>
      <c r="LGR44" s="6"/>
      <c r="LGS44" s="6"/>
      <c r="LGT44" s="6"/>
      <c r="LGU44" s="6"/>
      <c r="LGV44" s="6"/>
      <c r="LGW44" s="6"/>
      <c r="LGX44" s="6"/>
      <c r="LGY44" s="6"/>
      <c r="LGZ44" s="6"/>
      <c r="LHA44" s="6"/>
      <c r="LHB44" s="6"/>
      <c r="LHC44" s="6"/>
      <c r="LHD44" s="6"/>
      <c r="LHE44" s="6"/>
      <c r="LHF44" s="6"/>
      <c r="LHG44" s="6"/>
      <c r="LHH44" s="6"/>
      <c r="LHI44" s="6"/>
      <c r="LHJ44" s="6"/>
      <c r="LHK44" s="6"/>
      <c r="LHL44" s="6"/>
      <c r="LHM44" s="6"/>
      <c r="LHN44" s="6"/>
      <c r="LHO44" s="6"/>
      <c r="LHP44" s="6"/>
      <c r="LHQ44" s="6"/>
      <c r="LHR44" s="6"/>
      <c r="LHS44" s="6"/>
      <c r="LHT44" s="6"/>
      <c r="LHU44" s="6"/>
      <c r="LHV44" s="6"/>
      <c r="LHW44" s="6"/>
      <c r="LHX44" s="6"/>
      <c r="LHY44" s="6"/>
      <c r="LHZ44" s="6"/>
      <c r="LIA44" s="6"/>
      <c r="LIB44" s="6"/>
      <c r="LIC44" s="6"/>
      <c r="LID44" s="6"/>
      <c r="LIE44" s="6"/>
      <c r="LIF44" s="6"/>
      <c r="LIG44" s="6"/>
      <c r="LIH44" s="6"/>
      <c r="LII44" s="6"/>
      <c r="LIJ44" s="6"/>
      <c r="LIK44" s="6"/>
      <c r="LIL44" s="6"/>
      <c r="LIM44" s="6"/>
      <c r="LIN44" s="6"/>
      <c r="LIO44" s="6"/>
      <c r="LIP44" s="6"/>
      <c r="LIQ44" s="6"/>
      <c r="LIR44" s="6"/>
      <c r="LIS44" s="6"/>
      <c r="LIT44" s="6"/>
      <c r="LIU44" s="6"/>
      <c r="LIV44" s="6"/>
      <c r="LIW44" s="6"/>
      <c r="LIX44" s="6"/>
      <c r="LIY44" s="6"/>
      <c r="LIZ44" s="6"/>
      <c r="LJA44" s="6"/>
      <c r="LJB44" s="6"/>
      <c r="LJC44" s="6"/>
      <c r="LJD44" s="6"/>
      <c r="LJE44" s="6"/>
      <c r="LJF44" s="6"/>
      <c r="LJG44" s="6"/>
      <c r="LJH44" s="6"/>
      <c r="LJI44" s="6"/>
      <c r="LJJ44" s="6"/>
      <c r="LJK44" s="6"/>
      <c r="LJL44" s="6"/>
      <c r="LJM44" s="6"/>
      <c r="LJN44" s="6"/>
      <c r="LJO44" s="6"/>
      <c r="LJP44" s="6"/>
      <c r="LJQ44" s="6"/>
      <c r="LJR44" s="6"/>
      <c r="LJS44" s="6"/>
      <c r="LJT44" s="6"/>
      <c r="LJU44" s="6"/>
      <c r="LJV44" s="6"/>
      <c r="LJW44" s="6"/>
      <c r="LJX44" s="6"/>
      <c r="LJY44" s="6"/>
      <c r="LJZ44" s="6"/>
      <c r="LKA44" s="6"/>
      <c r="LKB44" s="6"/>
      <c r="LKC44" s="6"/>
      <c r="LKD44" s="6"/>
      <c r="LKE44" s="6"/>
      <c r="LKF44" s="6"/>
      <c r="LKG44" s="6"/>
      <c r="LKH44" s="6"/>
      <c r="LKI44" s="6"/>
      <c r="LKJ44" s="6"/>
      <c r="LKK44" s="6"/>
      <c r="LKL44" s="6"/>
      <c r="LKM44" s="6"/>
      <c r="LKN44" s="6"/>
      <c r="LKO44" s="6"/>
      <c r="LKP44" s="6"/>
      <c r="LKQ44" s="6"/>
      <c r="LKR44" s="6"/>
      <c r="LKS44" s="6"/>
      <c r="LKT44" s="6"/>
      <c r="LKU44" s="6"/>
      <c r="LKV44" s="6"/>
      <c r="LKW44" s="6"/>
      <c r="LKX44" s="6"/>
      <c r="LKY44" s="6"/>
      <c r="LKZ44" s="6"/>
      <c r="LLA44" s="6"/>
      <c r="LLB44" s="6"/>
      <c r="LLC44" s="6"/>
      <c r="LLD44" s="6"/>
      <c r="LLE44" s="6"/>
      <c r="LLF44" s="6"/>
      <c r="LLG44" s="6"/>
      <c r="LLH44" s="6"/>
      <c r="LLI44" s="6"/>
      <c r="LLJ44" s="6"/>
      <c r="LLK44" s="6"/>
      <c r="LLL44" s="6"/>
      <c r="LLM44" s="6"/>
      <c r="LLN44" s="6"/>
      <c r="LLO44" s="6"/>
      <c r="LLP44" s="6"/>
      <c r="LLQ44" s="6"/>
      <c r="LLR44" s="6"/>
      <c r="LLS44" s="6"/>
      <c r="LLT44" s="6"/>
      <c r="LLU44" s="6"/>
      <c r="LLV44" s="6"/>
      <c r="LLW44" s="6"/>
      <c r="LLX44" s="6"/>
      <c r="LLY44" s="6"/>
      <c r="LLZ44" s="6"/>
      <c r="LMA44" s="6"/>
      <c r="LMB44" s="6"/>
      <c r="LMC44" s="6"/>
      <c r="LMD44" s="6"/>
      <c r="LME44" s="6"/>
      <c r="LMF44" s="6"/>
      <c r="LMG44" s="6"/>
      <c r="LMH44" s="6"/>
      <c r="LMI44" s="6"/>
      <c r="LMJ44" s="6"/>
      <c r="LMK44" s="6"/>
      <c r="LML44" s="6"/>
      <c r="LMM44" s="6"/>
      <c r="LMN44" s="6"/>
      <c r="LMO44" s="6"/>
      <c r="LMP44" s="6"/>
      <c r="LMQ44" s="6"/>
      <c r="LMR44" s="6"/>
      <c r="LMS44" s="6"/>
      <c r="LMT44" s="6"/>
      <c r="LMU44" s="6"/>
      <c r="LMV44" s="6"/>
      <c r="LMW44" s="6"/>
      <c r="LMX44" s="6"/>
      <c r="LMY44" s="6"/>
      <c r="LMZ44" s="6"/>
      <c r="LNA44" s="6"/>
      <c r="LNB44" s="6"/>
      <c r="LNC44" s="6"/>
      <c r="LND44" s="6"/>
      <c r="LNE44" s="6"/>
      <c r="LNF44" s="6"/>
      <c r="LNG44" s="6"/>
      <c r="LNH44" s="6"/>
      <c r="LNI44" s="6"/>
      <c r="LNJ44" s="6"/>
      <c r="LNK44" s="6"/>
      <c r="LNL44" s="6"/>
      <c r="LNM44" s="6"/>
      <c r="LNN44" s="6"/>
      <c r="LNO44" s="6"/>
      <c r="LNP44" s="6"/>
      <c r="LNQ44" s="6"/>
      <c r="LNR44" s="6"/>
      <c r="LNS44" s="6"/>
      <c r="LNT44" s="6"/>
      <c r="LNU44" s="6"/>
      <c r="LNV44" s="6"/>
      <c r="LNW44" s="6"/>
      <c r="LNX44" s="6"/>
      <c r="LNY44" s="6"/>
      <c r="LNZ44" s="6"/>
      <c r="LOA44" s="6"/>
      <c r="LOB44" s="6"/>
      <c r="LOC44" s="6"/>
      <c r="LOD44" s="6"/>
      <c r="LOE44" s="6"/>
      <c r="LOF44" s="6"/>
      <c r="LOG44" s="6"/>
      <c r="LOH44" s="6"/>
      <c r="LOI44" s="6"/>
      <c r="LOJ44" s="6"/>
      <c r="LOK44" s="6"/>
      <c r="LOL44" s="6"/>
      <c r="LOM44" s="6"/>
      <c r="LON44" s="6"/>
      <c r="LOO44" s="6"/>
      <c r="LOP44" s="6"/>
      <c r="LOQ44" s="6"/>
      <c r="LOR44" s="6"/>
      <c r="LOS44" s="6"/>
      <c r="LOT44" s="6"/>
      <c r="LOU44" s="6"/>
      <c r="LOV44" s="6"/>
      <c r="LOW44" s="6"/>
      <c r="LOX44" s="6"/>
      <c r="LOY44" s="6"/>
      <c r="LOZ44" s="6"/>
      <c r="LPA44" s="6"/>
      <c r="LPB44" s="6"/>
      <c r="LPC44" s="6"/>
      <c r="LPD44" s="6"/>
      <c r="LPE44" s="6"/>
      <c r="LPF44" s="6"/>
      <c r="LPG44" s="6"/>
      <c r="LPH44" s="6"/>
      <c r="LPI44" s="6"/>
      <c r="LPJ44" s="6"/>
      <c r="LPK44" s="6"/>
      <c r="LPL44" s="6"/>
      <c r="LPM44" s="6"/>
      <c r="LPN44" s="6"/>
      <c r="LPO44" s="6"/>
      <c r="LPP44" s="6"/>
      <c r="LPQ44" s="6"/>
      <c r="LPR44" s="6"/>
      <c r="LPS44" s="6"/>
      <c r="LPT44" s="6"/>
      <c r="LPU44" s="6"/>
      <c r="LPV44" s="6"/>
      <c r="LPW44" s="6"/>
      <c r="LPX44" s="6"/>
      <c r="LPY44" s="6"/>
      <c r="LPZ44" s="6"/>
      <c r="LQA44" s="6"/>
      <c r="LQB44" s="6"/>
      <c r="LQC44" s="6"/>
      <c r="LQD44" s="6"/>
      <c r="LQE44" s="6"/>
      <c r="LQF44" s="6"/>
      <c r="LQG44" s="6"/>
      <c r="LQH44" s="6"/>
      <c r="LQI44" s="6"/>
      <c r="LQJ44" s="6"/>
      <c r="LQK44" s="6"/>
      <c r="LQL44" s="6"/>
      <c r="LQM44" s="6"/>
      <c r="LQN44" s="6"/>
      <c r="LQO44" s="6"/>
      <c r="LQP44" s="6"/>
      <c r="LQQ44" s="6"/>
      <c r="LQR44" s="6"/>
      <c r="LQS44" s="6"/>
      <c r="LQT44" s="6"/>
      <c r="LQU44" s="6"/>
      <c r="LQV44" s="6"/>
      <c r="LQW44" s="6"/>
      <c r="LQX44" s="6"/>
      <c r="LQY44" s="6"/>
      <c r="LQZ44" s="6"/>
      <c r="LRA44" s="6"/>
      <c r="LRB44" s="6"/>
      <c r="LRC44" s="6"/>
      <c r="LRD44" s="6"/>
      <c r="LRE44" s="6"/>
      <c r="LRF44" s="6"/>
      <c r="LRG44" s="6"/>
      <c r="LRH44" s="6"/>
      <c r="LRI44" s="6"/>
      <c r="LRJ44" s="6"/>
      <c r="LRK44" s="6"/>
      <c r="LRL44" s="6"/>
      <c r="LRM44" s="6"/>
      <c r="LRN44" s="6"/>
      <c r="LRO44" s="6"/>
      <c r="LRP44" s="6"/>
      <c r="LRQ44" s="6"/>
      <c r="LRR44" s="6"/>
      <c r="LRS44" s="6"/>
      <c r="LRT44" s="6"/>
      <c r="LRU44" s="6"/>
      <c r="LRV44" s="6"/>
      <c r="LRW44" s="6"/>
      <c r="LRX44" s="6"/>
      <c r="LRY44" s="6"/>
      <c r="LRZ44" s="6"/>
      <c r="LSA44" s="6"/>
      <c r="LSB44" s="6"/>
      <c r="LSC44" s="6"/>
      <c r="LSD44" s="6"/>
      <c r="LSE44" s="6"/>
      <c r="LSF44" s="6"/>
      <c r="LSG44" s="6"/>
      <c r="LSH44" s="6"/>
      <c r="LSI44" s="6"/>
      <c r="LSJ44" s="6"/>
      <c r="LSK44" s="6"/>
      <c r="LSL44" s="6"/>
      <c r="LSM44" s="6"/>
      <c r="LSN44" s="6"/>
      <c r="LSO44" s="6"/>
      <c r="LSP44" s="6"/>
      <c r="LSQ44" s="6"/>
      <c r="LSR44" s="6"/>
      <c r="LSS44" s="6"/>
      <c r="LST44" s="6"/>
      <c r="LSU44" s="6"/>
      <c r="LSV44" s="6"/>
      <c r="LSW44" s="6"/>
      <c r="LSX44" s="6"/>
      <c r="LSY44" s="6"/>
      <c r="LSZ44" s="6"/>
      <c r="LTA44" s="6"/>
      <c r="LTB44" s="6"/>
      <c r="LTC44" s="6"/>
      <c r="LTD44" s="6"/>
      <c r="LTE44" s="6"/>
      <c r="LTF44" s="6"/>
      <c r="LTG44" s="6"/>
      <c r="LTH44" s="6"/>
      <c r="LTI44" s="6"/>
      <c r="LTJ44" s="6"/>
      <c r="LTK44" s="6"/>
      <c r="LTL44" s="6"/>
      <c r="LTM44" s="6"/>
      <c r="LTN44" s="6"/>
      <c r="LTO44" s="6"/>
      <c r="LTP44" s="6"/>
      <c r="LTQ44" s="6"/>
      <c r="LTR44" s="6"/>
      <c r="LTS44" s="6"/>
      <c r="LTT44" s="6"/>
      <c r="LTU44" s="6"/>
      <c r="LTV44" s="6"/>
      <c r="LTW44" s="6"/>
      <c r="LTX44" s="6"/>
      <c r="LTY44" s="6"/>
      <c r="LTZ44" s="6"/>
      <c r="LUA44" s="6"/>
      <c r="LUB44" s="6"/>
      <c r="LUC44" s="6"/>
      <c r="LUD44" s="6"/>
      <c r="LUE44" s="6"/>
      <c r="LUF44" s="6"/>
      <c r="LUG44" s="6"/>
      <c r="LUH44" s="6"/>
      <c r="LUI44" s="6"/>
      <c r="LUJ44" s="6"/>
      <c r="LUK44" s="6"/>
      <c r="LUL44" s="6"/>
      <c r="LUM44" s="6"/>
      <c r="LUN44" s="6"/>
      <c r="LUO44" s="6"/>
      <c r="LUP44" s="6"/>
      <c r="LUQ44" s="6"/>
      <c r="LUR44" s="6"/>
      <c r="LUS44" s="6"/>
      <c r="LUT44" s="6"/>
      <c r="LUU44" s="6"/>
      <c r="LUV44" s="6"/>
      <c r="LUW44" s="6"/>
      <c r="LUX44" s="6"/>
      <c r="LUY44" s="6"/>
      <c r="LUZ44" s="6"/>
      <c r="LVA44" s="6"/>
      <c r="LVB44" s="6"/>
      <c r="LVC44" s="6"/>
      <c r="LVD44" s="6"/>
      <c r="LVE44" s="6"/>
      <c r="LVF44" s="6"/>
      <c r="LVG44" s="6"/>
      <c r="LVH44" s="6"/>
      <c r="LVI44" s="6"/>
      <c r="LVJ44" s="6"/>
      <c r="LVK44" s="6"/>
      <c r="LVL44" s="6"/>
      <c r="LVM44" s="6"/>
      <c r="LVN44" s="6"/>
      <c r="LVO44" s="6"/>
      <c r="LVP44" s="6"/>
      <c r="LVQ44" s="6"/>
      <c r="LVR44" s="6"/>
      <c r="LVS44" s="6"/>
      <c r="LVT44" s="6"/>
      <c r="LVU44" s="6"/>
      <c r="LVV44" s="6"/>
      <c r="LVW44" s="6"/>
      <c r="LVX44" s="6"/>
      <c r="LVY44" s="6"/>
      <c r="LVZ44" s="6"/>
      <c r="LWA44" s="6"/>
      <c r="LWB44" s="6"/>
      <c r="LWC44" s="6"/>
      <c r="LWD44" s="6"/>
      <c r="LWE44" s="6"/>
      <c r="LWF44" s="6"/>
      <c r="LWG44" s="6"/>
      <c r="LWH44" s="6"/>
      <c r="LWI44" s="6"/>
      <c r="LWJ44" s="6"/>
      <c r="LWK44" s="6"/>
      <c r="LWL44" s="6"/>
      <c r="LWM44" s="6"/>
      <c r="LWN44" s="6"/>
      <c r="LWO44" s="6"/>
      <c r="LWP44" s="6"/>
      <c r="LWQ44" s="6"/>
      <c r="LWR44" s="6"/>
      <c r="LWS44" s="6"/>
      <c r="LWT44" s="6"/>
      <c r="LWU44" s="6"/>
      <c r="LWV44" s="6"/>
      <c r="LWW44" s="6"/>
      <c r="LWX44" s="6"/>
      <c r="LWY44" s="6"/>
      <c r="LWZ44" s="6"/>
      <c r="LXA44" s="6"/>
      <c r="LXB44" s="6"/>
      <c r="LXC44" s="6"/>
      <c r="LXD44" s="6"/>
      <c r="LXE44" s="6"/>
      <c r="LXF44" s="6"/>
      <c r="LXG44" s="6"/>
      <c r="LXH44" s="6"/>
      <c r="LXI44" s="6"/>
      <c r="LXJ44" s="6"/>
      <c r="LXK44" s="6"/>
      <c r="LXL44" s="6"/>
      <c r="LXM44" s="6"/>
      <c r="LXN44" s="6"/>
      <c r="LXO44" s="6"/>
      <c r="LXP44" s="6"/>
      <c r="LXQ44" s="6"/>
      <c r="LXR44" s="6"/>
      <c r="LXS44" s="6"/>
      <c r="LXT44" s="6"/>
      <c r="LXU44" s="6"/>
      <c r="LXV44" s="6"/>
      <c r="LXW44" s="6"/>
      <c r="LXX44" s="6"/>
      <c r="LXY44" s="6"/>
      <c r="LXZ44" s="6"/>
      <c r="LYA44" s="6"/>
      <c r="LYB44" s="6"/>
      <c r="LYC44" s="6"/>
      <c r="LYD44" s="6"/>
      <c r="LYE44" s="6"/>
      <c r="LYF44" s="6"/>
      <c r="LYG44" s="6"/>
      <c r="LYH44" s="6"/>
      <c r="LYI44" s="6"/>
      <c r="LYJ44" s="6"/>
      <c r="LYK44" s="6"/>
      <c r="LYL44" s="6"/>
      <c r="LYM44" s="6"/>
      <c r="LYN44" s="6"/>
      <c r="LYO44" s="6"/>
      <c r="LYP44" s="6"/>
      <c r="LYQ44" s="6"/>
      <c r="LYR44" s="6"/>
      <c r="LYS44" s="6"/>
      <c r="LYT44" s="6"/>
      <c r="LYU44" s="6"/>
      <c r="LYV44" s="6"/>
      <c r="LYW44" s="6"/>
      <c r="LYX44" s="6"/>
      <c r="LYY44" s="6"/>
      <c r="LYZ44" s="6"/>
      <c r="LZA44" s="6"/>
      <c r="LZB44" s="6"/>
      <c r="LZC44" s="6"/>
      <c r="LZD44" s="6"/>
      <c r="LZE44" s="6"/>
      <c r="LZF44" s="6"/>
      <c r="LZG44" s="6"/>
      <c r="LZH44" s="6"/>
      <c r="LZI44" s="6"/>
      <c r="LZJ44" s="6"/>
      <c r="LZK44" s="6"/>
      <c r="LZL44" s="6"/>
      <c r="LZM44" s="6"/>
      <c r="LZN44" s="6"/>
      <c r="LZO44" s="6"/>
      <c r="LZP44" s="6"/>
      <c r="LZQ44" s="6"/>
      <c r="LZR44" s="6"/>
      <c r="LZS44" s="6"/>
      <c r="LZT44" s="6"/>
      <c r="LZU44" s="6"/>
      <c r="LZV44" s="6"/>
      <c r="LZW44" s="6"/>
      <c r="LZX44" s="6"/>
      <c r="LZY44" s="6"/>
      <c r="LZZ44" s="6"/>
      <c r="MAA44" s="6"/>
      <c r="MAB44" s="6"/>
      <c r="MAC44" s="6"/>
      <c r="MAD44" s="6"/>
      <c r="MAE44" s="6"/>
      <c r="MAF44" s="6"/>
      <c r="MAG44" s="6"/>
      <c r="MAH44" s="6"/>
      <c r="MAI44" s="6"/>
      <c r="MAJ44" s="6"/>
      <c r="MAK44" s="6"/>
      <c r="MAL44" s="6"/>
      <c r="MAM44" s="6"/>
      <c r="MAN44" s="6"/>
      <c r="MAO44" s="6"/>
      <c r="MAP44" s="6"/>
      <c r="MAQ44" s="6"/>
      <c r="MAR44" s="6"/>
      <c r="MAS44" s="6"/>
      <c r="MAT44" s="6"/>
      <c r="MAU44" s="6"/>
      <c r="MAV44" s="6"/>
      <c r="MAW44" s="6"/>
      <c r="MAX44" s="6"/>
      <c r="MAY44" s="6"/>
      <c r="MAZ44" s="6"/>
      <c r="MBA44" s="6"/>
      <c r="MBB44" s="6"/>
      <c r="MBC44" s="6"/>
      <c r="MBD44" s="6"/>
      <c r="MBE44" s="6"/>
      <c r="MBF44" s="6"/>
      <c r="MBG44" s="6"/>
      <c r="MBH44" s="6"/>
      <c r="MBI44" s="6"/>
      <c r="MBJ44" s="6"/>
      <c r="MBK44" s="6"/>
      <c r="MBL44" s="6"/>
      <c r="MBM44" s="6"/>
      <c r="MBN44" s="6"/>
      <c r="MBO44" s="6"/>
      <c r="MBP44" s="6"/>
      <c r="MBQ44" s="6"/>
      <c r="MBR44" s="6"/>
      <c r="MBS44" s="6"/>
      <c r="MBT44" s="6"/>
      <c r="MBU44" s="6"/>
      <c r="MBV44" s="6"/>
      <c r="MBW44" s="6"/>
      <c r="MBX44" s="6"/>
      <c r="MBY44" s="6"/>
      <c r="MBZ44" s="6"/>
      <c r="MCA44" s="6"/>
      <c r="MCB44" s="6"/>
      <c r="MCC44" s="6"/>
      <c r="MCD44" s="6"/>
      <c r="MCE44" s="6"/>
      <c r="MCF44" s="6"/>
      <c r="MCG44" s="6"/>
      <c r="MCH44" s="6"/>
      <c r="MCI44" s="6"/>
      <c r="MCJ44" s="6"/>
      <c r="MCK44" s="6"/>
      <c r="MCL44" s="6"/>
      <c r="MCM44" s="6"/>
      <c r="MCN44" s="6"/>
      <c r="MCO44" s="6"/>
      <c r="MCP44" s="6"/>
      <c r="MCQ44" s="6"/>
      <c r="MCR44" s="6"/>
      <c r="MCS44" s="6"/>
      <c r="MCT44" s="6"/>
      <c r="MCU44" s="6"/>
      <c r="MCV44" s="6"/>
      <c r="MCW44" s="6"/>
      <c r="MCX44" s="6"/>
      <c r="MCY44" s="6"/>
      <c r="MCZ44" s="6"/>
      <c r="MDA44" s="6"/>
      <c r="MDB44" s="6"/>
      <c r="MDC44" s="6"/>
      <c r="MDD44" s="6"/>
      <c r="MDE44" s="6"/>
      <c r="MDF44" s="6"/>
      <c r="MDG44" s="6"/>
      <c r="MDH44" s="6"/>
      <c r="MDI44" s="6"/>
      <c r="MDJ44" s="6"/>
      <c r="MDK44" s="6"/>
      <c r="MDL44" s="6"/>
      <c r="MDM44" s="6"/>
      <c r="MDN44" s="6"/>
      <c r="MDO44" s="6"/>
      <c r="MDP44" s="6"/>
      <c r="MDQ44" s="6"/>
      <c r="MDR44" s="6"/>
      <c r="MDS44" s="6"/>
      <c r="MDT44" s="6"/>
      <c r="MDU44" s="6"/>
      <c r="MDV44" s="6"/>
      <c r="MDW44" s="6"/>
      <c r="MDX44" s="6"/>
      <c r="MDY44" s="6"/>
      <c r="MDZ44" s="6"/>
      <c r="MEA44" s="6"/>
      <c r="MEB44" s="6"/>
      <c r="MEC44" s="6"/>
      <c r="MED44" s="6"/>
      <c r="MEE44" s="6"/>
      <c r="MEF44" s="6"/>
      <c r="MEG44" s="6"/>
      <c r="MEH44" s="6"/>
      <c r="MEI44" s="6"/>
      <c r="MEJ44" s="6"/>
      <c r="MEK44" s="6"/>
      <c r="MEL44" s="6"/>
      <c r="MEM44" s="6"/>
      <c r="MEN44" s="6"/>
      <c r="MEO44" s="6"/>
      <c r="MEP44" s="6"/>
      <c r="MEQ44" s="6"/>
      <c r="MER44" s="6"/>
      <c r="MES44" s="6"/>
      <c r="MET44" s="6"/>
      <c r="MEU44" s="6"/>
      <c r="MEV44" s="6"/>
      <c r="MEW44" s="6"/>
      <c r="MEX44" s="6"/>
      <c r="MEY44" s="6"/>
      <c r="MEZ44" s="6"/>
      <c r="MFA44" s="6"/>
      <c r="MFB44" s="6"/>
      <c r="MFC44" s="6"/>
      <c r="MFD44" s="6"/>
      <c r="MFE44" s="6"/>
      <c r="MFF44" s="6"/>
      <c r="MFG44" s="6"/>
      <c r="MFH44" s="6"/>
      <c r="MFI44" s="6"/>
      <c r="MFJ44" s="6"/>
      <c r="MFK44" s="6"/>
      <c r="MFL44" s="6"/>
      <c r="MFM44" s="6"/>
      <c r="MFN44" s="6"/>
      <c r="MFO44" s="6"/>
      <c r="MFP44" s="6"/>
      <c r="MFQ44" s="6"/>
      <c r="MFR44" s="6"/>
      <c r="MFS44" s="6"/>
      <c r="MFT44" s="6"/>
      <c r="MFU44" s="6"/>
      <c r="MFV44" s="6"/>
      <c r="MFW44" s="6"/>
      <c r="MFX44" s="6"/>
      <c r="MFY44" s="6"/>
      <c r="MFZ44" s="6"/>
      <c r="MGA44" s="6"/>
      <c r="MGB44" s="6"/>
      <c r="MGC44" s="6"/>
      <c r="MGD44" s="6"/>
      <c r="MGE44" s="6"/>
      <c r="MGF44" s="6"/>
      <c r="MGG44" s="6"/>
      <c r="MGH44" s="6"/>
      <c r="MGI44" s="6"/>
      <c r="MGJ44" s="6"/>
      <c r="MGK44" s="6"/>
      <c r="MGL44" s="6"/>
      <c r="MGM44" s="6"/>
      <c r="MGN44" s="6"/>
      <c r="MGO44" s="6"/>
      <c r="MGP44" s="6"/>
      <c r="MGQ44" s="6"/>
      <c r="MGR44" s="6"/>
      <c r="MGS44" s="6"/>
      <c r="MGT44" s="6"/>
      <c r="MGU44" s="6"/>
      <c r="MGV44" s="6"/>
      <c r="MGW44" s="6"/>
      <c r="MGX44" s="6"/>
      <c r="MGY44" s="6"/>
      <c r="MGZ44" s="6"/>
      <c r="MHA44" s="6"/>
      <c r="MHB44" s="6"/>
      <c r="MHC44" s="6"/>
      <c r="MHD44" s="6"/>
      <c r="MHE44" s="6"/>
      <c r="MHF44" s="6"/>
      <c r="MHG44" s="6"/>
      <c r="MHH44" s="6"/>
      <c r="MHI44" s="6"/>
      <c r="MHJ44" s="6"/>
      <c r="MHK44" s="6"/>
      <c r="MHL44" s="6"/>
      <c r="MHM44" s="6"/>
      <c r="MHN44" s="6"/>
      <c r="MHO44" s="6"/>
      <c r="MHP44" s="6"/>
      <c r="MHQ44" s="6"/>
      <c r="MHR44" s="6"/>
      <c r="MHS44" s="6"/>
      <c r="MHT44" s="6"/>
      <c r="MHU44" s="6"/>
      <c r="MHV44" s="6"/>
      <c r="MHW44" s="6"/>
      <c r="MHX44" s="6"/>
      <c r="MHY44" s="6"/>
      <c r="MHZ44" s="6"/>
      <c r="MIA44" s="6"/>
      <c r="MIB44" s="6"/>
      <c r="MIC44" s="6"/>
      <c r="MID44" s="6"/>
      <c r="MIE44" s="6"/>
      <c r="MIF44" s="6"/>
      <c r="MIG44" s="6"/>
      <c r="MIH44" s="6"/>
      <c r="MII44" s="6"/>
      <c r="MIJ44" s="6"/>
      <c r="MIK44" s="6"/>
      <c r="MIL44" s="6"/>
      <c r="MIM44" s="6"/>
      <c r="MIN44" s="6"/>
      <c r="MIO44" s="6"/>
      <c r="MIP44" s="6"/>
      <c r="MIQ44" s="6"/>
      <c r="MIR44" s="6"/>
      <c r="MIS44" s="6"/>
      <c r="MIT44" s="6"/>
      <c r="MIU44" s="6"/>
      <c r="MIV44" s="6"/>
      <c r="MIW44" s="6"/>
      <c r="MIX44" s="6"/>
      <c r="MIY44" s="6"/>
      <c r="MIZ44" s="6"/>
      <c r="MJA44" s="6"/>
      <c r="MJB44" s="6"/>
      <c r="MJC44" s="6"/>
      <c r="MJD44" s="6"/>
      <c r="MJE44" s="6"/>
      <c r="MJF44" s="6"/>
      <c r="MJG44" s="6"/>
      <c r="MJH44" s="6"/>
      <c r="MJI44" s="6"/>
      <c r="MJJ44" s="6"/>
      <c r="MJK44" s="6"/>
      <c r="MJL44" s="6"/>
      <c r="MJM44" s="6"/>
      <c r="MJN44" s="6"/>
      <c r="MJO44" s="6"/>
      <c r="MJP44" s="6"/>
      <c r="MJQ44" s="6"/>
      <c r="MJR44" s="6"/>
      <c r="MJS44" s="6"/>
      <c r="MJT44" s="6"/>
      <c r="MJU44" s="6"/>
      <c r="MJV44" s="6"/>
      <c r="MJW44" s="6"/>
      <c r="MJX44" s="6"/>
      <c r="MJY44" s="6"/>
      <c r="MJZ44" s="6"/>
      <c r="MKA44" s="6"/>
      <c r="MKB44" s="6"/>
      <c r="MKC44" s="6"/>
      <c r="MKD44" s="6"/>
      <c r="MKE44" s="6"/>
      <c r="MKF44" s="6"/>
      <c r="MKG44" s="6"/>
      <c r="MKH44" s="6"/>
      <c r="MKI44" s="6"/>
      <c r="MKJ44" s="6"/>
      <c r="MKK44" s="6"/>
      <c r="MKL44" s="6"/>
      <c r="MKM44" s="6"/>
      <c r="MKN44" s="6"/>
      <c r="MKO44" s="6"/>
      <c r="MKP44" s="6"/>
      <c r="MKQ44" s="6"/>
      <c r="MKR44" s="6"/>
      <c r="MKS44" s="6"/>
      <c r="MKT44" s="6"/>
      <c r="MKU44" s="6"/>
      <c r="MKV44" s="6"/>
      <c r="MKW44" s="6"/>
      <c r="MKX44" s="6"/>
      <c r="MKY44" s="6"/>
      <c r="MKZ44" s="6"/>
      <c r="MLA44" s="6"/>
      <c r="MLB44" s="6"/>
      <c r="MLC44" s="6"/>
      <c r="MLD44" s="6"/>
      <c r="MLE44" s="6"/>
      <c r="MLF44" s="6"/>
      <c r="MLG44" s="6"/>
      <c r="MLH44" s="6"/>
      <c r="MLI44" s="6"/>
      <c r="MLJ44" s="6"/>
      <c r="MLK44" s="6"/>
      <c r="MLL44" s="6"/>
      <c r="MLM44" s="6"/>
      <c r="MLN44" s="6"/>
      <c r="MLO44" s="6"/>
      <c r="MLP44" s="6"/>
      <c r="MLQ44" s="6"/>
      <c r="MLR44" s="6"/>
      <c r="MLS44" s="6"/>
      <c r="MLT44" s="6"/>
      <c r="MLU44" s="6"/>
      <c r="MLV44" s="6"/>
      <c r="MLW44" s="6"/>
      <c r="MLX44" s="6"/>
      <c r="MLY44" s="6"/>
      <c r="MLZ44" s="6"/>
      <c r="MMA44" s="6"/>
      <c r="MMB44" s="6"/>
      <c r="MMC44" s="6"/>
      <c r="MMD44" s="6"/>
      <c r="MME44" s="6"/>
      <c r="MMF44" s="6"/>
      <c r="MMG44" s="6"/>
      <c r="MMH44" s="6"/>
      <c r="MMI44" s="6"/>
      <c r="MMJ44" s="6"/>
      <c r="MMK44" s="6"/>
      <c r="MML44" s="6"/>
      <c r="MMM44" s="6"/>
      <c r="MMN44" s="6"/>
      <c r="MMO44" s="6"/>
      <c r="MMP44" s="6"/>
      <c r="MMQ44" s="6"/>
      <c r="MMR44" s="6"/>
      <c r="MMS44" s="6"/>
      <c r="MMT44" s="6"/>
      <c r="MMU44" s="6"/>
      <c r="MMV44" s="6"/>
      <c r="MMW44" s="6"/>
      <c r="MMX44" s="6"/>
      <c r="MMY44" s="6"/>
      <c r="MMZ44" s="6"/>
      <c r="MNA44" s="6"/>
      <c r="MNB44" s="6"/>
      <c r="MNC44" s="6"/>
      <c r="MND44" s="6"/>
      <c r="MNE44" s="6"/>
      <c r="MNF44" s="6"/>
      <c r="MNG44" s="6"/>
      <c r="MNH44" s="6"/>
      <c r="MNI44" s="6"/>
      <c r="MNJ44" s="6"/>
      <c r="MNK44" s="6"/>
      <c r="MNL44" s="6"/>
      <c r="MNM44" s="6"/>
      <c r="MNN44" s="6"/>
      <c r="MNO44" s="6"/>
      <c r="MNP44" s="6"/>
      <c r="MNQ44" s="6"/>
      <c r="MNR44" s="6"/>
      <c r="MNS44" s="6"/>
      <c r="MNT44" s="6"/>
      <c r="MNU44" s="6"/>
      <c r="MNV44" s="6"/>
      <c r="MNW44" s="6"/>
      <c r="MNX44" s="6"/>
      <c r="MNY44" s="6"/>
      <c r="MNZ44" s="6"/>
      <c r="MOA44" s="6"/>
      <c r="MOB44" s="6"/>
      <c r="MOC44" s="6"/>
      <c r="MOD44" s="6"/>
      <c r="MOE44" s="6"/>
      <c r="MOF44" s="6"/>
      <c r="MOG44" s="6"/>
      <c r="MOH44" s="6"/>
      <c r="MOI44" s="6"/>
      <c r="MOJ44" s="6"/>
      <c r="MOK44" s="6"/>
      <c r="MOL44" s="6"/>
      <c r="MOM44" s="6"/>
      <c r="MON44" s="6"/>
      <c r="MOO44" s="6"/>
      <c r="MOP44" s="6"/>
      <c r="MOQ44" s="6"/>
      <c r="MOR44" s="6"/>
      <c r="MOS44" s="6"/>
      <c r="MOT44" s="6"/>
      <c r="MOU44" s="6"/>
      <c r="MOV44" s="6"/>
      <c r="MOW44" s="6"/>
      <c r="MOX44" s="6"/>
      <c r="MOY44" s="6"/>
      <c r="MOZ44" s="6"/>
      <c r="MPA44" s="6"/>
      <c r="MPB44" s="6"/>
      <c r="MPC44" s="6"/>
      <c r="MPD44" s="6"/>
      <c r="MPE44" s="6"/>
      <c r="MPF44" s="6"/>
      <c r="MPG44" s="6"/>
      <c r="MPH44" s="6"/>
      <c r="MPI44" s="6"/>
      <c r="MPJ44" s="6"/>
      <c r="MPK44" s="6"/>
      <c r="MPL44" s="6"/>
      <c r="MPM44" s="6"/>
      <c r="MPN44" s="6"/>
      <c r="MPO44" s="6"/>
      <c r="MPP44" s="6"/>
      <c r="MPQ44" s="6"/>
      <c r="MPR44" s="6"/>
      <c r="MPS44" s="6"/>
      <c r="MPT44" s="6"/>
      <c r="MPU44" s="6"/>
      <c r="MPV44" s="6"/>
      <c r="MPW44" s="6"/>
      <c r="MPX44" s="6"/>
      <c r="MPY44" s="6"/>
      <c r="MPZ44" s="6"/>
      <c r="MQA44" s="6"/>
      <c r="MQB44" s="6"/>
      <c r="MQC44" s="6"/>
      <c r="MQD44" s="6"/>
      <c r="MQE44" s="6"/>
      <c r="MQF44" s="6"/>
      <c r="MQG44" s="6"/>
      <c r="MQH44" s="6"/>
      <c r="MQI44" s="6"/>
      <c r="MQJ44" s="6"/>
      <c r="MQK44" s="6"/>
      <c r="MQL44" s="6"/>
      <c r="MQM44" s="6"/>
      <c r="MQN44" s="6"/>
      <c r="MQO44" s="6"/>
      <c r="MQP44" s="6"/>
      <c r="MQQ44" s="6"/>
      <c r="MQR44" s="6"/>
      <c r="MQS44" s="6"/>
      <c r="MQT44" s="6"/>
      <c r="MQU44" s="6"/>
      <c r="MQV44" s="6"/>
      <c r="MQW44" s="6"/>
      <c r="MQX44" s="6"/>
      <c r="MQY44" s="6"/>
      <c r="MQZ44" s="6"/>
      <c r="MRA44" s="6"/>
      <c r="MRB44" s="6"/>
      <c r="MRC44" s="6"/>
      <c r="MRD44" s="6"/>
      <c r="MRE44" s="6"/>
      <c r="MRF44" s="6"/>
      <c r="MRG44" s="6"/>
      <c r="MRH44" s="6"/>
      <c r="MRI44" s="6"/>
      <c r="MRJ44" s="6"/>
      <c r="MRK44" s="6"/>
      <c r="MRL44" s="6"/>
      <c r="MRM44" s="6"/>
      <c r="MRN44" s="6"/>
      <c r="MRO44" s="6"/>
      <c r="MRP44" s="6"/>
      <c r="MRQ44" s="6"/>
      <c r="MRR44" s="6"/>
      <c r="MRS44" s="6"/>
      <c r="MRT44" s="6"/>
      <c r="MRU44" s="6"/>
      <c r="MRV44" s="6"/>
      <c r="MRW44" s="6"/>
      <c r="MRX44" s="6"/>
      <c r="MRY44" s="6"/>
      <c r="MRZ44" s="6"/>
      <c r="MSA44" s="6"/>
      <c r="MSB44" s="6"/>
      <c r="MSC44" s="6"/>
      <c r="MSD44" s="6"/>
      <c r="MSE44" s="6"/>
      <c r="MSF44" s="6"/>
      <c r="MSG44" s="6"/>
      <c r="MSH44" s="6"/>
      <c r="MSI44" s="6"/>
      <c r="MSJ44" s="6"/>
      <c r="MSK44" s="6"/>
      <c r="MSL44" s="6"/>
      <c r="MSM44" s="6"/>
      <c r="MSN44" s="6"/>
      <c r="MSO44" s="6"/>
      <c r="MSP44" s="6"/>
      <c r="MSQ44" s="6"/>
      <c r="MSR44" s="6"/>
      <c r="MSS44" s="6"/>
      <c r="MST44" s="6"/>
      <c r="MSU44" s="6"/>
      <c r="MSV44" s="6"/>
      <c r="MSW44" s="6"/>
      <c r="MSX44" s="6"/>
      <c r="MSY44" s="6"/>
      <c r="MSZ44" s="6"/>
      <c r="MTA44" s="6"/>
      <c r="MTB44" s="6"/>
      <c r="MTC44" s="6"/>
      <c r="MTD44" s="6"/>
      <c r="MTE44" s="6"/>
      <c r="MTF44" s="6"/>
      <c r="MTG44" s="6"/>
      <c r="MTH44" s="6"/>
      <c r="MTI44" s="6"/>
      <c r="MTJ44" s="6"/>
      <c r="MTK44" s="6"/>
      <c r="MTL44" s="6"/>
      <c r="MTM44" s="6"/>
      <c r="MTN44" s="6"/>
      <c r="MTO44" s="6"/>
      <c r="MTP44" s="6"/>
      <c r="MTQ44" s="6"/>
      <c r="MTR44" s="6"/>
      <c r="MTS44" s="6"/>
      <c r="MTT44" s="6"/>
      <c r="MTU44" s="6"/>
      <c r="MTV44" s="6"/>
      <c r="MTW44" s="6"/>
      <c r="MTX44" s="6"/>
      <c r="MTY44" s="6"/>
      <c r="MTZ44" s="6"/>
      <c r="MUA44" s="6"/>
      <c r="MUB44" s="6"/>
      <c r="MUC44" s="6"/>
      <c r="MUD44" s="6"/>
      <c r="MUE44" s="6"/>
      <c r="MUF44" s="6"/>
      <c r="MUG44" s="6"/>
      <c r="MUH44" s="6"/>
      <c r="MUI44" s="6"/>
      <c r="MUJ44" s="6"/>
      <c r="MUK44" s="6"/>
      <c r="MUL44" s="6"/>
      <c r="MUM44" s="6"/>
      <c r="MUN44" s="6"/>
      <c r="MUO44" s="6"/>
      <c r="MUP44" s="6"/>
      <c r="MUQ44" s="6"/>
      <c r="MUR44" s="6"/>
      <c r="MUS44" s="6"/>
      <c r="MUT44" s="6"/>
      <c r="MUU44" s="6"/>
      <c r="MUV44" s="6"/>
      <c r="MUW44" s="6"/>
      <c r="MUX44" s="6"/>
      <c r="MUY44" s="6"/>
      <c r="MUZ44" s="6"/>
      <c r="MVA44" s="6"/>
      <c r="MVB44" s="6"/>
      <c r="MVC44" s="6"/>
      <c r="MVD44" s="6"/>
      <c r="MVE44" s="6"/>
      <c r="MVF44" s="6"/>
      <c r="MVG44" s="6"/>
      <c r="MVH44" s="6"/>
      <c r="MVI44" s="6"/>
      <c r="MVJ44" s="6"/>
      <c r="MVK44" s="6"/>
      <c r="MVL44" s="6"/>
      <c r="MVM44" s="6"/>
      <c r="MVN44" s="6"/>
      <c r="MVO44" s="6"/>
      <c r="MVP44" s="6"/>
      <c r="MVQ44" s="6"/>
      <c r="MVR44" s="6"/>
      <c r="MVS44" s="6"/>
      <c r="MVT44" s="6"/>
      <c r="MVU44" s="6"/>
      <c r="MVV44" s="6"/>
      <c r="MVW44" s="6"/>
      <c r="MVX44" s="6"/>
      <c r="MVY44" s="6"/>
      <c r="MVZ44" s="6"/>
      <c r="MWA44" s="6"/>
      <c r="MWB44" s="6"/>
      <c r="MWC44" s="6"/>
      <c r="MWD44" s="6"/>
      <c r="MWE44" s="6"/>
      <c r="MWF44" s="6"/>
      <c r="MWG44" s="6"/>
      <c r="MWH44" s="6"/>
      <c r="MWI44" s="6"/>
      <c r="MWJ44" s="6"/>
      <c r="MWK44" s="6"/>
      <c r="MWL44" s="6"/>
      <c r="MWM44" s="6"/>
      <c r="MWN44" s="6"/>
      <c r="MWO44" s="6"/>
      <c r="MWP44" s="6"/>
      <c r="MWQ44" s="6"/>
      <c r="MWR44" s="6"/>
      <c r="MWS44" s="6"/>
      <c r="MWT44" s="6"/>
      <c r="MWU44" s="6"/>
      <c r="MWV44" s="6"/>
      <c r="MWW44" s="6"/>
      <c r="MWX44" s="6"/>
      <c r="MWY44" s="6"/>
      <c r="MWZ44" s="6"/>
      <c r="MXA44" s="6"/>
      <c r="MXB44" s="6"/>
      <c r="MXC44" s="6"/>
      <c r="MXD44" s="6"/>
      <c r="MXE44" s="6"/>
      <c r="MXF44" s="6"/>
      <c r="MXG44" s="6"/>
      <c r="MXH44" s="6"/>
      <c r="MXI44" s="6"/>
      <c r="MXJ44" s="6"/>
      <c r="MXK44" s="6"/>
      <c r="MXL44" s="6"/>
      <c r="MXM44" s="6"/>
      <c r="MXN44" s="6"/>
      <c r="MXO44" s="6"/>
      <c r="MXP44" s="6"/>
      <c r="MXQ44" s="6"/>
      <c r="MXR44" s="6"/>
      <c r="MXS44" s="6"/>
      <c r="MXT44" s="6"/>
      <c r="MXU44" s="6"/>
      <c r="MXV44" s="6"/>
      <c r="MXW44" s="6"/>
      <c r="MXX44" s="6"/>
      <c r="MXY44" s="6"/>
      <c r="MXZ44" s="6"/>
      <c r="MYA44" s="6"/>
      <c r="MYB44" s="6"/>
      <c r="MYC44" s="6"/>
      <c r="MYD44" s="6"/>
      <c r="MYE44" s="6"/>
      <c r="MYF44" s="6"/>
      <c r="MYG44" s="6"/>
      <c r="MYH44" s="6"/>
      <c r="MYI44" s="6"/>
      <c r="MYJ44" s="6"/>
      <c r="MYK44" s="6"/>
      <c r="MYL44" s="6"/>
      <c r="MYM44" s="6"/>
      <c r="MYN44" s="6"/>
      <c r="MYO44" s="6"/>
      <c r="MYP44" s="6"/>
      <c r="MYQ44" s="6"/>
      <c r="MYR44" s="6"/>
      <c r="MYS44" s="6"/>
      <c r="MYT44" s="6"/>
      <c r="MYU44" s="6"/>
      <c r="MYV44" s="6"/>
      <c r="MYW44" s="6"/>
      <c r="MYX44" s="6"/>
      <c r="MYY44" s="6"/>
      <c r="MYZ44" s="6"/>
      <c r="MZA44" s="6"/>
      <c r="MZB44" s="6"/>
      <c r="MZC44" s="6"/>
      <c r="MZD44" s="6"/>
      <c r="MZE44" s="6"/>
      <c r="MZF44" s="6"/>
      <c r="MZG44" s="6"/>
      <c r="MZH44" s="6"/>
      <c r="MZI44" s="6"/>
      <c r="MZJ44" s="6"/>
      <c r="MZK44" s="6"/>
      <c r="MZL44" s="6"/>
      <c r="MZM44" s="6"/>
      <c r="MZN44" s="6"/>
      <c r="MZO44" s="6"/>
      <c r="MZP44" s="6"/>
      <c r="MZQ44" s="6"/>
      <c r="MZR44" s="6"/>
      <c r="MZS44" s="6"/>
      <c r="MZT44" s="6"/>
      <c r="MZU44" s="6"/>
      <c r="MZV44" s="6"/>
      <c r="MZW44" s="6"/>
      <c r="MZX44" s="6"/>
      <c r="MZY44" s="6"/>
      <c r="MZZ44" s="6"/>
      <c r="NAA44" s="6"/>
      <c r="NAB44" s="6"/>
      <c r="NAC44" s="6"/>
      <c r="NAD44" s="6"/>
      <c r="NAE44" s="6"/>
      <c r="NAF44" s="6"/>
      <c r="NAG44" s="6"/>
      <c r="NAH44" s="6"/>
      <c r="NAI44" s="6"/>
      <c r="NAJ44" s="6"/>
      <c r="NAK44" s="6"/>
      <c r="NAL44" s="6"/>
      <c r="NAM44" s="6"/>
      <c r="NAN44" s="6"/>
      <c r="NAO44" s="6"/>
      <c r="NAP44" s="6"/>
      <c r="NAQ44" s="6"/>
      <c r="NAR44" s="6"/>
      <c r="NAS44" s="6"/>
      <c r="NAT44" s="6"/>
      <c r="NAU44" s="6"/>
      <c r="NAV44" s="6"/>
      <c r="NAW44" s="6"/>
      <c r="NAX44" s="6"/>
      <c r="NAY44" s="6"/>
      <c r="NAZ44" s="6"/>
      <c r="NBA44" s="6"/>
      <c r="NBB44" s="6"/>
      <c r="NBC44" s="6"/>
      <c r="NBD44" s="6"/>
      <c r="NBE44" s="6"/>
      <c r="NBF44" s="6"/>
      <c r="NBG44" s="6"/>
      <c r="NBH44" s="6"/>
      <c r="NBI44" s="6"/>
      <c r="NBJ44" s="6"/>
      <c r="NBK44" s="6"/>
      <c r="NBL44" s="6"/>
      <c r="NBM44" s="6"/>
      <c r="NBN44" s="6"/>
      <c r="NBO44" s="6"/>
      <c r="NBP44" s="6"/>
      <c r="NBQ44" s="6"/>
      <c r="NBR44" s="6"/>
      <c r="NBS44" s="6"/>
      <c r="NBT44" s="6"/>
      <c r="NBU44" s="6"/>
      <c r="NBV44" s="6"/>
      <c r="NBW44" s="6"/>
      <c r="NBX44" s="6"/>
      <c r="NBY44" s="6"/>
      <c r="NBZ44" s="6"/>
      <c r="NCA44" s="6"/>
      <c r="NCB44" s="6"/>
      <c r="NCC44" s="6"/>
      <c r="NCD44" s="6"/>
      <c r="NCE44" s="6"/>
      <c r="NCF44" s="6"/>
      <c r="NCG44" s="6"/>
      <c r="NCH44" s="6"/>
      <c r="NCI44" s="6"/>
      <c r="NCJ44" s="6"/>
      <c r="NCK44" s="6"/>
      <c r="NCL44" s="6"/>
      <c r="NCM44" s="6"/>
      <c r="NCN44" s="6"/>
      <c r="NCO44" s="6"/>
      <c r="NCP44" s="6"/>
      <c r="NCQ44" s="6"/>
      <c r="NCR44" s="6"/>
      <c r="NCS44" s="6"/>
      <c r="NCT44" s="6"/>
      <c r="NCU44" s="6"/>
      <c r="NCV44" s="6"/>
      <c r="NCW44" s="6"/>
      <c r="NCX44" s="6"/>
      <c r="NCY44" s="6"/>
      <c r="NCZ44" s="6"/>
      <c r="NDA44" s="6"/>
      <c r="NDB44" s="6"/>
      <c r="NDC44" s="6"/>
      <c r="NDD44" s="6"/>
      <c r="NDE44" s="6"/>
      <c r="NDF44" s="6"/>
      <c r="NDG44" s="6"/>
      <c r="NDH44" s="6"/>
      <c r="NDI44" s="6"/>
      <c r="NDJ44" s="6"/>
      <c r="NDK44" s="6"/>
      <c r="NDL44" s="6"/>
      <c r="NDM44" s="6"/>
      <c r="NDN44" s="6"/>
      <c r="NDO44" s="6"/>
      <c r="NDP44" s="6"/>
      <c r="NDQ44" s="6"/>
      <c r="NDR44" s="6"/>
      <c r="NDS44" s="6"/>
      <c r="NDT44" s="6"/>
      <c r="NDU44" s="6"/>
      <c r="NDV44" s="6"/>
      <c r="NDW44" s="6"/>
      <c r="NDX44" s="6"/>
      <c r="NDY44" s="6"/>
      <c r="NDZ44" s="6"/>
      <c r="NEA44" s="6"/>
      <c r="NEB44" s="6"/>
      <c r="NEC44" s="6"/>
      <c r="NED44" s="6"/>
      <c r="NEE44" s="6"/>
      <c r="NEF44" s="6"/>
      <c r="NEG44" s="6"/>
      <c r="NEH44" s="6"/>
      <c r="NEI44" s="6"/>
      <c r="NEJ44" s="6"/>
      <c r="NEK44" s="6"/>
      <c r="NEL44" s="6"/>
      <c r="NEM44" s="6"/>
      <c r="NEN44" s="6"/>
      <c r="NEO44" s="6"/>
      <c r="NEP44" s="6"/>
      <c r="NEQ44" s="6"/>
      <c r="NER44" s="6"/>
      <c r="NES44" s="6"/>
      <c r="NET44" s="6"/>
      <c r="NEU44" s="6"/>
      <c r="NEV44" s="6"/>
      <c r="NEW44" s="6"/>
      <c r="NEX44" s="6"/>
      <c r="NEY44" s="6"/>
      <c r="NEZ44" s="6"/>
      <c r="NFA44" s="6"/>
      <c r="NFB44" s="6"/>
      <c r="NFC44" s="6"/>
      <c r="NFD44" s="6"/>
      <c r="NFE44" s="6"/>
      <c r="NFF44" s="6"/>
      <c r="NFG44" s="6"/>
      <c r="NFH44" s="6"/>
      <c r="NFI44" s="6"/>
      <c r="NFJ44" s="6"/>
      <c r="NFK44" s="6"/>
      <c r="NFL44" s="6"/>
      <c r="NFM44" s="6"/>
      <c r="NFN44" s="6"/>
      <c r="NFO44" s="6"/>
      <c r="NFP44" s="6"/>
      <c r="NFQ44" s="6"/>
      <c r="NFR44" s="6"/>
      <c r="NFS44" s="6"/>
      <c r="NFT44" s="6"/>
      <c r="NFU44" s="6"/>
      <c r="NFV44" s="6"/>
      <c r="NFW44" s="6"/>
      <c r="NFX44" s="6"/>
      <c r="NFY44" s="6"/>
      <c r="NFZ44" s="6"/>
      <c r="NGA44" s="6"/>
      <c r="NGB44" s="6"/>
      <c r="NGC44" s="6"/>
      <c r="NGD44" s="6"/>
      <c r="NGE44" s="6"/>
      <c r="NGF44" s="6"/>
      <c r="NGG44" s="6"/>
      <c r="NGH44" s="6"/>
      <c r="NGI44" s="6"/>
      <c r="NGJ44" s="6"/>
      <c r="NGK44" s="6"/>
      <c r="NGL44" s="6"/>
      <c r="NGM44" s="6"/>
      <c r="NGN44" s="6"/>
      <c r="NGO44" s="6"/>
      <c r="NGP44" s="6"/>
      <c r="NGQ44" s="6"/>
      <c r="NGR44" s="6"/>
      <c r="NGS44" s="6"/>
      <c r="NGT44" s="6"/>
      <c r="NGU44" s="6"/>
      <c r="NGV44" s="6"/>
      <c r="NGW44" s="6"/>
      <c r="NGX44" s="6"/>
      <c r="NGY44" s="6"/>
      <c r="NGZ44" s="6"/>
      <c r="NHA44" s="6"/>
      <c r="NHB44" s="6"/>
      <c r="NHC44" s="6"/>
      <c r="NHD44" s="6"/>
      <c r="NHE44" s="6"/>
      <c r="NHF44" s="6"/>
      <c r="NHG44" s="6"/>
      <c r="NHH44" s="6"/>
      <c r="NHI44" s="6"/>
      <c r="NHJ44" s="6"/>
      <c r="NHK44" s="6"/>
      <c r="NHL44" s="6"/>
      <c r="NHM44" s="6"/>
      <c r="NHN44" s="6"/>
      <c r="NHO44" s="6"/>
      <c r="NHP44" s="6"/>
      <c r="NHQ44" s="6"/>
      <c r="NHR44" s="6"/>
      <c r="NHS44" s="6"/>
      <c r="NHT44" s="6"/>
      <c r="NHU44" s="6"/>
      <c r="NHV44" s="6"/>
      <c r="NHW44" s="6"/>
      <c r="NHX44" s="6"/>
      <c r="NHY44" s="6"/>
      <c r="NHZ44" s="6"/>
      <c r="NIA44" s="6"/>
      <c r="NIB44" s="6"/>
      <c r="NIC44" s="6"/>
      <c r="NID44" s="6"/>
      <c r="NIE44" s="6"/>
      <c r="NIF44" s="6"/>
      <c r="NIG44" s="6"/>
      <c r="NIH44" s="6"/>
      <c r="NII44" s="6"/>
      <c r="NIJ44" s="6"/>
      <c r="NIK44" s="6"/>
      <c r="NIL44" s="6"/>
      <c r="NIM44" s="6"/>
      <c r="NIN44" s="6"/>
      <c r="NIO44" s="6"/>
      <c r="NIP44" s="6"/>
      <c r="NIQ44" s="6"/>
      <c r="NIR44" s="6"/>
      <c r="NIS44" s="6"/>
      <c r="NIT44" s="6"/>
      <c r="NIU44" s="6"/>
      <c r="NIV44" s="6"/>
      <c r="NIW44" s="6"/>
      <c r="NIX44" s="6"/>
      <c r="NIY44" s="6"/>
      <c r="NIZ44" s="6"/>
      <c r="NJA44" s="6"/>
      <c r="NJB44" s="6"/>
      <c r="NJC44" s="6"/>
      <c r="NJD44" s="6"/>
      <c r="NJE44" s="6"/>
      <c r="NJF44" s="6"/>
      <c r="NJG44" s="6"/>
      <c r="NJH44" s="6"/>
      <c r="NJI44" s="6"/>
      <c r="NJJ44" s="6"/>
      <c r="NJK44" s="6"/>
      <c r="NJL44" s="6"/>
      <c r="NJM44" s="6"/>
      <c r="NJN44" s="6"/>
      <c r="NJO44" s="6"/>
      <c r="NJP44" s="6"/>
      <c r="NJQ44" s="6"/>
      <c r="NJR44" s="6"/>
      <c r="NJS44" s="6"/>
      <c r="NJT44" s="6"/>
      <c r="NJU44" s="6"/>
      <c r="NJV44" s="6"/>
      <c r="NJW44" s="6"/>
      <c r="NJX44" s="6"/>
      <c r="NJY44" s="6"/>
      <c r="NJZ44" s="6"/>
      <c r="NKA44" s="6"/>
      <c r="NKB44" s="6"/>
      <c r="NKC44" s="6"/>
      <c r="NKD44" s="6"/>
      <c r="NKE44" s="6"/>
      <c r="NKF44" s="6"/>
      <c r="NKG44" s="6"/>
      <c r="NKH44" s="6"/>
      <c r="NKI44" s="6"/>
      <c r="NKJ44" s="6"/>
      <c r="NKK44" s="6"/>
      <c r="NKL44" s="6"/>
      <c r="NKM44" s="6"/>
      <c r="NKN44" s="6"/>
      <c r="NKO44" s="6"/>
      <c r="NKP44" s="6"/>
      <c r="NKQ44" s="6"/>
      <c r="NKR44" s="6"/>
      <c r="NKS44" s="6"/>
      <c r="NKT44" s="6"/>
      <c r="NKU44" s="6"/>
      <c r="NKV44" s="6"/>
      <c r="NKW44" s="6"/>
      <c r="NKX44" s="6"/>
      <c r="NKY44" s="6"/>
      <c r="NKZ44" s="6"/>
      <c r="NLA44" s="6"/>
      <c r="NLB44" s="6"/>
      <c r="NLC44" s="6"/>
      <c r="NLD44" s="6"/>
      <c r="NLE44" s="6"/>
      <c r="NLF44" s="6"/>
      <c r="NLG44" s="6"/>
      <c r="NLH44" s="6"/>
      <c r="NLI44" s="6"/>
      <c r="NLJ44" s="6"/>
      <c r="NLK44" s="6"/>
      <c r="NLL44" s="6"/>
      <c r="NLM44" s="6"/>
      <c r="NLN44" s="6"/>
      <c r="NLO44" s="6"/>
      <c r="NLP44" s="6"/>
      <c r="NLQ44" s="6"/>
      <c r="NLR44" s="6"/>
      <c r="NLS44" s="6"/>
      <c r="NLT44" s="6"/>
      <c r="NLU44" s="6"/>
      <c r="NLV44" s="6"/>
      <c r="NLW44" s="6"/>
      <c r="NLX44" s="6"/>
      <c r="NLY44" s="6"/>
      <c r="NLZ44" s="6"/>
      <c r="NMA44" s="6"/>
      <c r="NMB44" s="6"/>
      <c r="NMC44" s="6"/>
      <c r="NMD44" s="6"/>
      <c r="NME44" s="6"/>
      <c r="NMF44" s="6"/>
      <c r="NMG44" s="6"/>
      <c r="NMH44" s="6"/>
      <c r="NMI44" s="6"/>
      <c r="NMJ44" s="6"/>
      <c r="NMK44" s="6"/>
      <c r="NML44" s="6"/>
      <c r="NMM44" s="6"/>
      <c r="NMN44" s="6"/>
      <c r="NMO44" s="6"/>
      <c r="NMP44" s="6"/>
      <c r="NMQ44" s="6"/>
      <c r="NMR44" s="6"/>
      <c r="NMS44" s="6"/>
      <c r="NMT44" s="6"/>
      <c r="NMU44" s="6"/>
      <c r="NMV44" s="6"/>
      <c r="NMW44" s="6"/>
      <c r="NMX44" s="6"/>
      <c r="NMY44" s="6"/>
      <c r="NMZ44" s="6"/>
      <c r="NNA44" s="6"/>
      <c r="NNB44" s="6"/>
      <c r="NNC44" s="6"/>
      <c r="NND44" s="6"/>
      <c r="NNE44" s="6"/>
      <c r="NNF44" s="6"/>
      <c r="NNG44" s="6"/>
      <c r="NNH44" s="6"/>
      <c r="NNI44" s="6"/>
      <c r="NNJ44" s="6"/>
      <c r="NNK44" s="6"/>
      <c r="NNL44" s="6"/>
      <c r="NNM44" s="6"/>
      <c r="NNN44" s="6"/>
      <c r="NNO44" s="6"/>
      <c r="NNP44" s="6"/>
      <c r="NNQ44" s="6"/>
      <c r="NNR44" s="6"/>
      <c r="NNS44" s="6"/>
      <c r="NNT44" s="6"/>
      <c r="NNU44" s="6"/>
      <c r="NNV44" s="6"/>
      <c r="NNW44" s="6"/>
      <c r="NNX44" s="6"/>
      <c r="NNY44" s="6"/>
      <c r="NNZ44" s="6"/>
      <c r="NOA44" s="6"/>
      <c r="NOB44" s="6"/>
      <c r="NOC44" s="6"/>
      <c r="NOD44" s="6"/>
      <c r="NOE44" s="6"/>
      <c r="NOF44" s="6"/>
      <c r="NOG44" s="6"/>
      <c r="NOH44" s="6"/>
      <c r="NOI44" s="6"/>
      <c r="NOJ44" s="6"/>
      <c r="NOK44" s="6"/>
      <c r="NOL44" s="6"/>
      <c r="NOM44" s="6"/>
      <c r="NON44" s="6"/>
      <c r="NOO44" s="6"/>
      <c r="NOP44" s="6"/>
      <c r="NOQ44" s="6"/>
      <c r="NOR44" s="6"/>
      <c r="NOS44" s="6"/>
      <c r="NOT44" s="6"/>
      <c r="NOU44" s="6"/>
      <c r="NOV44" s="6"/>
      <c r="NOW44" s="6"/>
      <c r="NOX44" s="6"/>
      <c r="NOY44" s="6"/>
      <c r="NOZ44" s="6"/>
      <c r="NPA44" s="6"/>
      <c r="NPB44" s="6"/>
      <c r="NPC44" s="6"/>
      <c r="NPD44" s="6"/>
      <c r="NPE44" s="6"/>
      <c r="NPF44" s="6"/>
      <c r="NPG44" s="6"/>
      <c r="NPH44" s="6"/>
      <c r="NPI44" s="6"/>
      <c r="NPJ44" s="6"/>
      <c r="NPK44" s="6"/>
      <c r="NPL44" s="6"/>
      <c r="NPM44" s="6"/>
      <c r="NPN44" s="6"/>
      <c r="NPO44" s="6"/>
      <c r="NPP44" s="6"/>
      <c r="NPQ44" s="6"/>
      <c r="NPR44" s="6"/>
      <c r="NPS44" s="6"/>
      <c r="NPT44" s="6"/>
      <c r="NPU44" s="6"/>
      <c r="NPV44" s="6"/>
      <c r="NPW44" s="6"/>
      <c r="NPX44" s="6"/>
      <c r="NPY44" s="6"/>
      <c r="NPZ44" s="6"/>
      <c r="NQA44" s="6"/>
      <c r="NQB44" s="6"/>
      <c r="NQC44" s="6"/>
      <c r="NQD44" s="6"/>
      <c r="NQE44" s="6"/>
      <c r="NQF44" s="6"/>
      <c r="NQG44" s="6"/>
      <c r="NQH44" s="6"/>
      <c r="NQI44" s="6"/>
      <c r="NQJ44" s="6"/>
      <c r="NQK44" s="6"/>
      <c r="NQL44" s="6"/>
      <c r="NQM44" s="6"/>
      <c r="NQN44" s="6"/>
      <c r="NQO44" s="6"/>
      <c r="NQP44" s="6"/>
      <c r="NQQ44" s="6"/>
      <c r="NQR44" s="6"/>
      <c r="NQS44" s="6"/>
      <c r="NQT44" s="6"/>
      <c r="NQU44" s="6"/>
      <c r="NQV44" s="6"/>
      <c r="NQW44" s="6"/>
      <c r="NQX44" s="6"/>
      <c r="NQY44" s="6"/>
      <c r="NQZ44" s="6"/>
      <c r="NRA44" s="6"/>
      <c r="NRB44" s="6"/>
      <c r="NRC44" s="6"/>
      <c r="NRD44" s="6"/>
      <c r="NRE44" s="6"/>
      <c r="NRF44" s="6"/>
      <c r="NRG44" s="6"/>
      <c r="NRH44" s="6"/>
      <c r="NRI44" s="6"/>
      <c r="NRJ44" s="6"/>
      <c r="NRK44" s="6"/>
      <c r="NRL44" s="6"/>
      <c r="NRM44" s="6"/>
      <c r="NRN44" s="6"/>
      <c r="NRO44" s="6"/>
      <c r="NRP44" s="6"/>
      <c r="NRQ44" s="6"/>
      <c r="NRR44" s="6"/>
      <c r="NRS44" s="6"/>
      <c r="NRT44" s="6"/>
      <c r="NRU44" s="6"/>
      <c r="NRV44" s="6"/>
      <c r="NRW44" s="6"/>
      <c r="NRX44" s="6"/>
      <c r="NRY44" s="6"/>
      <c r="NRZ44" s="6"/>
      <c r="NSA44" s="6"/>
      <c r="NSB44" s="6"/>
      <c r="NSC44" s="6"/>
      <c r="NSD44" s="6"/>
      <c r="NSE44" s="6"/>
      <c r="NSF44" s="6"/>
      <c r="NSG44" s="6"/>
      <c r="NSH44" s="6"/>
      <c r="NSI44" s="6"/>
      <c r="NSJ44" s="6"/>
      <c r="NSK44" s="6"/>
      <c r="NSL44" s="6"/>
      <c r="NSM44" s="6"/>
      <c r="NSN44" s="6"/>
      <c r="NSO44" s="6"/>
      <c r="NSP44" s="6"/>
      <c r="NSQ44" s="6"/>
      <c r="NSR44" s="6"/>
      <c r="NSS44" s="6"/>
      <c r="NST44" s="6"/>
      <c r="NSU44" s="6"/>
      <c r="NSV44" s="6"/>
      <c r="NSW44" s="6"/>
      <c r="NSX44" s="6"/>
      <c r="NSY44" s="6"/>
      <c r="NSZ44" s="6"/>
      <c r="NTA44" s="6"/>
      <c r="NTB44" s="6"/>
      <c r="NTC44" s="6"/>
      <c r="NTD44" s="6"/>
      <c r="NTE44" s="6"/>
      <c r="NTF44" s="6"/>
      <c r="NTG44" s="6"/>
      <c r="NTH44" s="6"/>
      <c r="NTI44" s="6"/>
      <c r="NTJ44" s="6"/>
      <c r="NTK44" s="6"/>
      <c r="NTL44" s="6"/>
      <c r="NTM44" s="6"/>
      <c r="NTN44" s="6"/>
      <c r="NTO44" s="6"/>
      <c r="NTP44" s="6"/>
      <c r="NTQ44" s="6"/>
      <c r="NTR44" s="6"/>
      <c r="NTS44" s="6"/>
      <c r="NTT44" s="6"/>
      <c r="NTU44" s="6"/>
      <c r="NTV44" s="6"/>
      <c r="NTW44" s="6"/>
      <c r="NTX44" s="6"/>
      <c r="NTY44" s="6"/>
      <c r="NTZ44" s="6"/>
      <c r="NUA44" s="6"/>
      <c r="NUB44" s="6"/>
      <c r="NUC44" s="6"/>
      <c r="NUD44" s="6"/>
      <c r="NUE44" s="6"/>
      <c r="NUF44" s="6"/>
      <c r="NUG44" s="6"/>
      <c r="NUH44" s="6"/>
      <c r="NUI44" s="6"/>
      <c r="NUJ44" s="6"/>
      <c r="NUK44" s="6"/>
      <c r="NUL44" s="6"/>
      <c r="NUM44" s="6"/>
      <c r="NUN44" s="6"/>
      <c r="NUO44" s="6"/>
      <c r="NUP44" s="6"/>
      <c r="NUQ44" s="6"/>
      <c r="NUR44" s="6"/>
      <c r="NUS44" s="6"/>
      <c r="NUT44" s="6"/>
      <c r="NUU44" s="6"/>
      <c r="NUV44" s="6"/>
      <c r="NUW44" s="6"/>
      <c r="NUX44" s="6"/>
      <c r="NUY44" s="6"/>
      <c r="NUZ44" s="6"/>
      <c r="NVA44" s="6"/>
      <c r="NVB44" s="6"/>
      <c r="NVC44" s="6"/>
      <c r="NVD44" s="6"/>
      <c r="NVE44" s="6"/>
      <c r="NVF44" s="6"/>
      <c r="NVG44" s="6"/>
      <c r="NVH44" s="6"/>
      <c r="NVI44" s="6"/>
      <c r="NVJ44" s="6"/>
      <c r="NVK44" s="6"/>
      <c r="NVL44" s="6"/>
      <c r="NVM44" s="6"/>
      <c r="NVN44" s="6"/>
      <c r="NVO44" s="6"/>
      <c r="NVP44" s="6"/>
      <c r="NVQ44" s="6"/>
      <c r="NVR44" s="6"/>
      <c r="NVS44" s="6"/>
      <c r="NVT44" s="6"/>
      <c r="NVU44" s="6"/>
      <c r="NVV44" s="6"/>
      <c r="NVW44" s="6"/>
      <c r="NVX44" s="6"/>
      <c r="NVY44" s="6"/>
      <c r="NVZ44" s="6"/>
      <c r="NWA44" s="6"/>
      <c r="NWB44" s="6"/>
      <c r="NWC44" s="6"/>
      <c r="NWD44" s="6"/>
      <c r="NWE44" s="6"/>
      <c r="NWF44" s="6"/>
      <c r="NWG44" s="6"/>
      <c r="NWH44" s="6"/>
      <c r="NWI44" s="6"/>
      <c r="NWJ44" s="6"/>
      <c r="NWK44" s="6"/>
      <c r="NWL44" s="6"/>
      <c r="NWM44" s="6"/>
      <c r="NWN44" s="6"/>
      <c r="NWO44" s="6"/>
      <c r="NWP44" s="6"/>
      <c r="NWQ44" s="6"/>
      <c r="NWR44" s="6"/>
      <c r="NWS44" s="6"/>
      <c r="NWT44" s="6"/>
      <c r="NWU44" s="6"/>
      <c r="NWV44" s="6"/>
      <c r="NWW44" s="6"/>
      <c r="NWX44" s="6"/>
      <c r="NWY44" s="6"/>
      <c r="NWZ44" s="6"/>
      <c r="NXA44" s="6"/>
      <c r="NXB44" s="6"/>
      <c r="NXC44" s="6"/>
      <c r="NXD44" s="6"/>
      <c r="NXE44" s="6"/>
      <c r="NXF44" s="6"/>
      <c r="NXG44" s="6"/>
      <c r="NXH44" s="6"/>
      <c r="NXI44" s="6"/>
      <c r="NXJ44" s="6"/>
      <c r="NXK44" s="6"/>
      <c r="NXL44" s="6"/>
      <c r="NXM44" s="6"/>
      <c r="NXN44" s="6"/>
      <c r="NXO44" s="6"/>
      <c r="NXP44" s="6"/>
      <c r="NXQ44" s="6"/>
      <c r="NXR44" s="6"/>
      <c r="NXS44" s="6"/>
      <c r="NXT44" s="6"/>
      <c r="NXU44" s="6"/>
      <c r="NXV44" s="6"/>
      <c r="NXW44" s="6"/>
      <c r="NXX44" s="6"/>
      <c r="NXY44" s="6"/>
      <c r="NXZ44" s="6"/>
      <c r="NYA44" s="6"/>
      <c r="NYB44" s="6"/>
      <c r="NYC44" s="6"/>
      <c r="NYD44" s="6"/>
      <c r="NYE44" s="6"/>
      <c r="NYF44" s="6"/>
      <c r="NYG44" s="6"/>
      <c r="NYH44" s="6"/>
      <c r="NYI44" s="6"/>
      <c r="NYJ44" s="6"/>
      <c r="NYK44" s="6"/>
      <c r="NYL44" s="6"/>
      <c r="NYM44" s="6"/>
      <c r="NYN44" s="6"/>
      <c r="NYO44" s="6"/>
      <c r="NYP44" s="6"/>
      <c r="NYQ44" s="6"/>
      <c r="NYR44" s="6"/>
      <c r="NYS44" s="6"/>
      <c r="NYT44" s="6"/>
      <c r="NYU44" s="6"/>
      <c r="NYV44" s="6"/>
      <c r="NYW44" s="6"/>
      <c r="NYX44" s="6"/>
      <c r="NYY44" s="6"/>
      <c r="NYZ44" s="6"/>
      <c r="NZA44" s="6"/>
      <c r="NZB44" s="6"/>
      <c r="NZC44" s="6"/>
      <c r="NZD44" s="6"/>
      <c r="NZE44" s="6"/>
      <c r="NZF44" s="6"/>
      <c r="NZG44" s="6"/>
      <c r="NZH44" s="6"/>
      <c r="NZI44" s="6"/>
      <c r="NZJ44" s="6"/>
      <c r="NZK44" s="6"/>
      <c r="NZL44" s="6"/>
      <c r="NZM44" s="6"/>
      <c r="NZN44" s="6"/>
      <c r="NZO44" s="6"/>
      <c r="NZP44" s="6"/>
      <c r="NZQ44" s="6"/>
      <c r="NZR44" s="6"/>
      <c r="NZS44" s="6"/>
      <c r="NZT44" s="6"/>
      <c r="NZU44" s="6"/>
      <c r="NZV44" s="6"/>
      <c r="NZW44" s="6"/>
      <c r="NZX44" s="6"/>
      <c r="NZY44" s="6"/>
      <c r="NZZ44" s="6"/>
      <c r="OAA44" s="6"/>
      <c r="OAB44" s="6"/>
      <c r="OAC44" s="6"/>
      <c r="OAD44" s="6"/>
      <c r="OAE44" s="6"/>
      <c r="OAF44" s="6"/>
      <c r="OAG44" s="6"/>
      <c r="OAH44" s="6"/>
      <c r="OAI44" s="6"/>
      <c r="OAJ44" s="6"/>
      <c r="OAK44" s="6"/>
      <c r="OAL44" s="6"/>
      <c r="OAM44" s="6"/>
      <c r="OAN44" s="6"/>
      <c r="OAO44" s="6"/>
      <c r="OAP44" s="6"/>
      <c r="OAQ44" s="6"/>
      <c r="OAR44" s="6"/>
      <c r="OAS44" s="6"/>
      <c r="OAT44" s="6"/>
      <c r="OAU44" s="6"/>
      <c r="OAV44" s="6"/>
      <c r="OAW44" s="6"/>
      <c r="OAX44" s="6"/>
      <c r="OAY44" s="6"/>
      <c r="OAZ44" s="6"/>
      <c r="OBA44" s="6"/>
      <c r="OBB44" s="6"/>
      <c r="OBC44" s="6"/>
      <c r="OBD44" s="6"/>
      <c r="OBE44" s="6"/>
      <c r="OBF44" s="6"/>
      <c r="OBG44" s="6"/>
      <c r="OBH44" s="6"/>
      <c r="OBI44" s="6"/>
      <c r="OBJ44" s="6"/>
      <c r="OBK44" s="6"/>
      <c r="OBL44" s="6"/>
      <c r="OBM44" s="6"/>
      <c r="OBN44" s="6"/>
      <c r="OBO44" s="6"/>
      <c r="OBP44" s="6"/>
      <c r="OBQ44" s="6"/>
      <c r="OBR44" s="6"/>
      <c r="OBS44" s="6"/>
      <c r="OBT44" s="6"/>
      <c r="OBU44" s="6"/>
      <c r="OBV44" s="6"/>
      <c r="OBW44" s="6"/>
      <c r="OBX44" s="6"/>
      <c r="OBY44" s="6"/>
      <c r="OBZ44" s="6"/>
      <c r="OCA44" s="6"/>
      <c r="OCB44" s="6"/>
      <c r="OCC44" s="6"/>
      <c r="OCD44" s="6"/>
      <c r="OCE44" s="6"/>
      <c r="OCF44" s="6"/>
      <c r="OCG44" s="6"/>
      <c r="OCH44" s="6"/>
      <c r="OCI44" s="6"/>
      <c r="OCJ44" s="6"/>
      <c r="OCK44" s="6"/>
      <c r="OCL44" s="6"/>
      <c r="OCM44" s="6"/>
      <c r="OCN44" s="6"/>
      <c r="OCO44" s="6"/>
      <c r="OCP44" s="6"/>
      <c r="OCQ44" s="6"/>
      <c r="OCR44" s="6"/>
      <c r="OCS44" s="6"/>
      <c r="OCT44" s="6"/>
      <c r="OCU44" s="6"/>
      <c r="OCV44" s="6"/>
      <c r="OCW44" s="6"/>
      <c r="OCX44" s="6"/>
      <c r="OCY44" s="6"/>
      <c r="OCZ44" s="6"/>
      <c r="ODA44" s="6"/>
      <c r="ODB44" s="6"/>
      <c r="ODC44" s="6"/>
      <c r="ODD44" s="6"/>
      <c r="ODE44" s="6"/>
      <c r="ODF44" s="6"/>
      <c r="ODG44" s="6"/>
      <c r="ODH44" s="6"/>
      <c r="ODI44" s="6"/>
      <c r="ODJ44" s="6"/>
      <c r="ODK44" s="6"/>
      <c r="ODL44" s="6"/>
      <c r="ODM44" s="6"/>
      <c r="ODN44" s="6"/>
      <c r="ODO44" s="6"/>
      <c r="ODP44" s="6"/>
      <c r="ODQ44" s="6"/>
      <c r="ODR44" s="6"/>
      <c r="ODS44" s="6"/>
      <c r="ODT44" s="6"/>
      <c r="ODU44" s="6"/>
      <c r="ODV44" s="6"/>
      <c r="ODW44" s="6"/>
      <c r="ODX44" s="6"/>
      <c r="ODY44" s="6"/>
      <c r="ODZ44" s="6"/>
      <c r="OEA44" s="6"/>
      <c r="OEB44" s="6"/>
      <c r="OEC44" s="6"/>
      <c r="OED44" s="6"/>
      <c r="OEE44" s="6"/>
      <c r="OEF44" s="6"/>
      <c r="OEG44" s="6"/>
      <c r="OEH44" s="6"/>
      <c r="OEI44" s="6"/>
      <c r="OEJ44" s="6"/>
      <c r="OEK44" s="6"/>
      <c r="OEL44" s="6"/>
      <c r="OEM44" s="6"/>
      <c r="OEN44" s="6"/>
      <c r="OEO44" s="6"/>
      <c r="OEP44" s="6"/>
      <c r="OEQ44" s="6"/>
      <c r="OER44" s="6"/>
      <c r="OES44" s="6"/>
      <c r="OET44" s="6"/>
      <c r="OEU44" s="6"/>
      <c r="OEV44" s="6"/>
      <c r="OEW44" s="6"/>
      <c r="OEX44" s="6"/>
      <c r="OEY44" s="6"/>
      <c r="OEZ44" s="6"/>
      <c r="OFA44" s="6"/>
      <c r="OFB44" s="6"/>
      <c r="OFC44" s="6"/>
      <c r="OFD44" s="6"/>
      <c r="OFE44" s="6"/>
      <c r="OFF44" s="6"/>
      <c r="OFG44" s="6"/>
      <c r="OFH44" s="6"/>
      <c r="OFI44" s="6"/>
      <c r="OFJ44" s="6"/>
      <c r="OFK44" s="6"/>
      <c r="OFL44" s="6"/>
      <c r="OFM44" s="6"/>
      <c r="OFN44" s="6"/>
      <c r="OFO44" s="6"/>
      <c r="OFP44" s="6"/>
      <c r="OFQ44" s="6"/>
      <c r="OFR44" s="6"/>
      <c r="OFS44" s="6"/>
      <c r="OFT44" s="6"/>
      <c r="OFU44" s="6"/>
      <c r="OFV44" s="6"/>
      <c r="OFW44" s="6"/>
      <c r="OFX44" s="6"/>
      <c r="OFY44" s="6"/>
      <c r="OFZ44" s="6"/>
      <c r="OGA44" s="6"/>
      <c r="OGB44" s="6"/>
      <c r="OGC44" s="6"/>
      <c r="OGD44" s="6"/>
      <c r="OGE44" s="6"/>
      <c r="OGF44" s="6"/>
      <c r="OGG44" s="6"/>
      <c r="OGH44" s="6"/>
      <c r="OGI44" s="6"/>
      <c r="OGJ44" s="6"/>
      <c r="OGK44" s="6"/>
      <c r="OGL44" s="6"/>
      <c r="OGM44" s="6"/>
      <c r="OGN44" s="6"/>
      <c r="OGO44" s="6"/>
      <c r="OGP44" s="6"/>
      <c r="OGQ44" s="6"/>
      <c r="OGR44" s="6"/>
      <c r="OGS44" s="6"/>
      <c r="OGT44" s="6"/>
      <c r="OGU44" s="6"/>
      <c r="OGV44" s="6"/>
      <c r="OGW44" s="6"/>
      <c r="OGX44" s="6"/>
      <c r="OGY44" s="6"/>
      <c r="OGZ44" s="6"/>
      <c r="OHA44" s="6"/>
      <c r="OHB44" s="6"/>
      <c r="OHC44" s="6"/>
      <c r="OHD44" s="6"/>
      <c r="OHE44" s="6"/>
      <c r="OHF44" s="6"/>
      <c r="OHG44" s="6"/>
      <c r="OHH44" s="6"/>
      <c r="OHI44" s="6"/>
      <c r="OHJ44" s="6"/>
      <c r="OHK44" s="6"/>
      <c r="OHL44" s="6"/>
      <c r="OHM44" s="6"/>
      <c r="OHN44" s="6"/>
      <c r="OHO44" s="6"/>
      <c r="OHP44" s="6"/>
      <c r="OHQ44" s="6"/>
      <c r="OHR44" s="6"/>
      <c r="OHS44" s="6"/>
      <c r="OHT44" s="6"/>
      <c r="OHU44" s="6"/>
      <c r="OHV44" s="6"/>
      <c r="OHW44" s="6"/>
      <c r="OHX44" s="6"/>
      <c r="OHY44" s="6"/>
      <c r="OHZ44" s="6"/>
      <c r="OIA44" s="6"/>
      <c r="OIB44" s="6"/>
      <c r="OIC44" s="6"/>
      <c r="OID44" s="6"/>
      <c r="OIE44" s="6"/>
      <c r="OIF44" s="6"/>
      <c r="OIG44" s="6"/>
      <c r="OIH44" s="6"/>
      <c r="OII44" s="6"/>
      <c r="OIJ44" s="6"/>
      <c r="OIK44" s="6"/>
      <c r="OIL44" s="6"/>
      <c r="OIM44" s="6"/>
      <c r="OIN44" s="6"/>
      <c r="OIO44" s="6"/>
      <c r="OIP44" s="6"/>
      <c r="OIQ44" s="6"/>
      <c r="OIR44" s="6"/>
      <c r="OIS44" s="6"/>
      <c r="OIT44" s="6"/>
      <c r="OIU44" s="6"/>
      <c r="OIV44" s="6"/>
      <c r="OIW44" s="6"/>
      <c r="OIX44" s="6"/>
      <c r="OIY44" s="6"/>
      <c r="OIZ44" s="6"/>
      <c r="OJA44" s="6"/>
      <c r="OJB44" s="6"/>
      <c r="OJC44" s="6"/>
      <c r="OJD44" s="6"/>
      <c r="OJE44" s="6"/>
      <c r="OJF44" s="6"/>
      <c r="OJG44" s="6"/>
      <c r="OJH44" s="6"/>
      <c r="OJI44" s="6"/>
      <c r="OJJ44" s="6"/>
      <c r="OJK44" s="6"/>
      <c r="OJL44" s="6"/>
      <c r="OJM44" s="6"/>
      <c r="OJN44" s="6"/>
      <c r="OJO44" s="6"/>
      <c r="OJP44" s="6"/>
      <c r="OJQ44" s="6"/>
      <c r="OJR44" s="6"/>
      <c r="OJS44" s="6"/>
      <c r="OJT44" s="6"/>
      <c r="OJU44" s="6"/>
      <c r="OJV44" s="6"/>
      <c r="OJW44" s="6"/>
      <c r="OJX44" s="6"/>
      <c r="OJY44" s="6"/>
      <c r="OJZ44" s="6"/>
      <c r="OKA44" s="6"/>
      <c r="OKB44" s="6"/>
      <c r="OKC44" s="6"/>
      <c r="OKD44" s="6"/>
      <c r="OKE44" s="6"/>
      <c r="OKF44" s="6"/>
      <c r="OKG44" s="6"/>
      <c r="OKH44" s="6"/>
      <c r="OKI44" s="6"/>
      <c r="OKJ44" s="6"/>
      <c r="OKK44" s="6"/>
      <c r="OKL44" s="6"/>
      <c r="OKM44" s="6"/>
      <c r="OKN44" s="6"/>
      <c r="OKO44" s="6"/>
      <c r="OKP44" s="6"/>
      <c r="OKQ44" s="6"/>
      <c r="OKR44" s="6"/>
      <c r="OKS44" s="6"/>
      <c r="OKT44" s="6"/>
      <c r="OKU44" s="6"/>
      <c r="OKV44" s="6"/>
      <c r="OKW44" s="6"/>
      <c r="OKX44" s="6"/>
      <c r="OKY44" s="6"/>
      <c r="OKZ44" s="6"/>
      <c r="OLA44" s="6"/>
      <c r="OLB44" s="6"/>
      <c r="OLC44" s="6"/>
      <c r="OLD44" s="6"/>
      <c r="OLE44" s="6"/>
      <c r="OLF44" s="6"/>
      <c r="OLG44" s="6"/>
      <c r="OLH44" s="6"/>
      <c r="OLI44" s="6"/>
      <c r="OLJ44" s="6"/>
      <c r="OLK44" s="6"/>
      <c r="OLL44" s="6"/>
      <c r="OLM44" s="6"/>
      <c r="OLN44" s="6"/>
      <c r="OLO44" s="6"/>
      <c r="OLP44" s="6"/>
      <c r="OLQ44" s="6"/>
      <c r="OLR44" s="6"/>
      <c r="OLS44" s="6"/>
      <c r="OLT44" s="6"/>
      <c r="OLU44" s="6"/>
      <c r="OLV44" s="6"/>
      <c r="OLW44" s="6"/>
      <c r="OLX44" s="6"/>
      <c r="OLY44" s="6"/>
      <c r="OLZ44" s="6"/>
      <c r="OMA44" s="6"/>
      <c r="OMB44" s="6"/>
      <c r="OMC44" s="6"/>
      <c r="OMD44" s="6"/>
      <c r="OME44" s="6"/>
      <c r="OMF44" s="6"/>
      <c r="OMG44" s="6"/>
      <c r="OMH44" s="6"/>
      <c r="OMI44" s="6"/>
      <c r="OMJ44" s="6"/>
      <c r="OMK44" s="6"/>
      <c r="OML44" s="6"/>
      <c r="OMM44" s="6"/>
      <c r="OMN44" s="6"/>
      <c r="OMO44" s="6"/>
      <c r="OMP44" s="6"/>
      <c r="OMQ44" s="6"/>
      <c r="OMR44" s="6"/>
      <c r="OMS44" s="6"/>
      <c r="OMT44" s="6"/>
      <c r="OMU44" s="6"/>
      <c r="OMV44" s="6"/>
      <c r="OMW44" s="6"/>
      <c r="OMX44" s="6"/>
      <c r="OMY44" s="6"/>
      <c r="OMZ44" s="6"/>
      <c r="ONA44" s="6"/>
      <c r="ONB44" s="6"/>
      <c r="ONC44" s="6"/>
      <c r="OND44" s="6"/>
      <c r="ONE44" s="6"/>
      <c r="ONF44" s="6"/>
      <c r="ONG44" s="6"/>
      <c r="ONH44" s="6"/>
      <c r="ONI44" s="6"/>
      <c r="ONJ44" s="6"/>
      <c r="ONK44" s="6"/>
      <c r="ONL44" s="6"/>
      <c r="ONM44" s="6"/>
      <c r="ONN44" s="6"/>
      <c r="ONO44" s="6"/>
      <c r="ONP44" s="6"/>
      <c r="ONQ44" s="6"/>
      <c r="ONR44" s="6"/>
      <c r="ONS44" s="6"/>
      <c r="ONT44" s="6"/>
      <c r="ONU44" s="6"/>
      <c r="ONV44" s="6"/>
      <c r="ONW44" s="6"/>
      <c r="ONX44" s="6"/>
      <c r="ONY44" s="6"/>
      <c r="ONZ44" s="6"/>
      <c r="OOA44" s="6"/>
      <c r="OOB44" s="6"/>
      <c r="OOC44" s="6"/>
      <c r="OOD44" s="6"/>
      <c r="OOE44" s="6"/>
      <c r="OOF44" s="6"/>
      <c r="OOG44" s="6"/>
      <c r="OOH44" s="6"/>
      <c r="OOI44" s="6"/>
      <c r="OOJ44" s="6"/>
      <c r="OOK44" s="6"/>
      <c r="OOL44" s="6"/>
      <c r="OOM44" s="6"/>
      <c r="OON44" s="6"/>
      <c r="OOO44" s="6"/>
      <c r="OOP44" s="6"/>
      <c r="OOQ44" s="6"/>
      <c r="OOR44" s="6"/>
      <c r="OOS44" s="6"/>
      <c r="OOT44" s="6"/>
      <c r="OOU44" s="6"/>
      <c r="OOV44" s="6"/>
      <c r="OOW44" s="6"/>
      <c r="OOX44" s="6"/>
      <c r="OOY44" s="6"/>
      <c r="OOZ44" s="6"/>
      <c r="OPA44" s="6"/>
      <c r="OPB44" s="6"/>
      <c r="OPC44" s="6"/>
      <c r="OPD44" s="6"/>
      <c r="OPE44" s="6"/>
      <c r="OPF44" s="6"/>
      <c r="OPG44" s="6"/>
      <c r="OPH44" s="6"/>
      <c r="OPI44" s="6"/>
      <c r="OPJ44" s="6"/>
      <c r="OPK44" s="6"/>
      <c r="OPL44" s="6"/>
      <c r="OPM44" s="6"/>
      <c r="OPN44" s="6"/>
      <c r="OPO44" s="6"/>
      <c r="OPP44" s="6"/>
      <c r="OPQ44" s="6"/>
      <c r="OPR44" s="6"/>
      <c r="OPS44" s="6"/>
      <c r="OPT44" s="6"/>
      <c r="OPU44" s="6"/>
      <c r="OPV44" s="6"/>
      <c r="OPW44" s="6"/>
      <c r="OPX44" s="6"/>
      <c r="OPY44" s="6"/>
      <c r="OPZ44" s="6"/>
      <c r="OQA44" s="6"/>
      <c r="OQB44" s="6"/>
      <c r="OQC44" s="6"/>
      <c r="OQD44" s="6"/>
      <c r="OQE44" s="6"/>
      <c r="OQF44" s="6"/>
      <c r="OQG44" s="6"/>
      <c r="OQH44" s="6"/>
      <c r="OQI44" s="6"/>
      <c r="OQJ44" s="6"/>
      <c r="OQK44" s="6"/>
      <c r="OQL44" s="6"/>
      <c r="OQM44" s="6"/>
      <c r="OQN44" s="6"/>
      <c r="OQO44" s="6"/>
      <c r="OQP44" s="6"/>
      <c r="OQQ44" s="6"/>
      <c r="OQR44" s="6"/>
      <c r="OQS44" s="6"/>
      <c r="OQT44" s="6"/>
      <c r="OQU44" s="6"/>
      <c r="OQV44" s="6"/>
      <c r="OQW44" s="6"/>
      <c r="OQX44" s="6"/>
      <c r="OQY44" s="6"/>
      <c r="OQZ44" s="6"/>
      <c r="ORA44" s="6"/>
      <c r="ORB44" s="6"/>
      <c r="ORC44" s="6"/>
      <c r="ORD44" s="6"/>
      <c r="ORE44" s="6"/>
      <c r="ORF44" s="6"/>
      <c r="ORG44" s="6"/>
      <c r="ORH44" s="6"/>
      <c r="ORI44" s="6"/>
      <c r="ORJ44" s="6"/>
      <c r="ORK44" s="6"/>
      <c r="ORL44" s="6"/>
      <c r="ORM44" s="6"/>
      <c r="ORN44" s="6"/>
      <c r="ORO44" s="6"/>
      <c r="ORP44" s="6"/>
      <c r="ORQ44" s="6"/>
      <c r="ORR44" s="6"/>
      <c r="ORS44" s="6"/>
      <c r="ORT44" s="6"/>
      <c r="ORU44" s="6"/>
      <c r="ORV44" s="6"/>
      <c r="ORW44" s="6"/>
      <c r="ORX44" s="6"/>
      <c r="ORY44" s="6"/>
      <c r="ORZ44" s="6"/>
      <c r="OSA44" s="6"/>
      <c r="OSB44" s="6"/>
      <c r="OSC44" s="6"/>
      <c r="OSD44" s="6"/>
      <c r="OSE44" s="6"/>
      <c r="OSF44" s="6"/>
      <c r="OSG44" s="6"/>
      <c r="OSH44" s="6"/>
      <c r="OSI44" s="6"/>
      <c r="OSJ44" s="6"/>
      <c r="OSK44" s="6"/>
      <c r="OSL44" s="6"/>
      <c r="OSM44" s="6"/>
      <c r="OSN44" s="6"/>
      <c r="OSO44" s="6"/>
      <c r="OSP44" s="6"/>
      <c r="OSQ44" s="6"/>
      <c r="OSR44" s="6"/>
      <c r="OSS44" s="6"/>
      <c r="OST44" s="6"/>
      <c r="OSU44" s="6"/>
      <c r="OSV44" s="6"/>
      <c r="OSW44" s="6"/>
      <c r="OSX44" s="6"/>
      <c r="OSY44" s="6"/>
      <c r="OSZ44" s="6"/>
      <c r="OTA44" s="6"/>
      <c r="OTB44" s="6"/>
      <c r="OTC44" s="6"/>
      <c r="OTD44" s="6"/>
      <c r="OTE44" s="6"/>
      <c r="OTF44" s="6"/>
      <c r="OTG44" s="6"/>
      <c r="OTH44" s="6"/>
      <c r="OTI44" s="6"/>
      <c r="OTJ44" s="6"/>
      <c r="OTK44" s="6"/>
      <c r="OTL44" s="6"/>
      <c r="OTM44" s="6"/>
      <c r="OTN44" s="6"/>
      <c r="OTO44" s="6"/>
      <c r="OTP44" s="6"/>
      <c r="OTQ44" s="6"/>
      <c r="OTR44" s="6"/>
      <c r="OTS44" s="6"/>
      <c r="OTT44" s="6"/>
      <c r="OTU44" s="6"/>
      <c r="OTV44" s="6"/>
      <c r="OTW44" s="6"/>
      <c r="OTX44" s="6"/>
      <c r="OTY44" s="6"/>
      <c r="OTZ44" s="6"/>
      <c r="OUA44" s="6"/>
      <c r="OUB44" s="6"/>
      <c r="OUC44" s="6"/>
      <c r="OUD44" s="6"/>
      <c r="OUE44" s="6"/>
      <c r="OUF44" s="6"/>
      <c r="OUG44" s="6"/>
      <c r="OUH44" s="6"/>
      <c r="OUI44" s="6"/>
      <c r="OUJ44" s="6"/>
      <c r="OUK44" s="6"/>
      <c r="OUL44" s="6"/>
      <c r="OUM44" s="6"/>
      <c r="OUN44" s="6"/>
      <c r="OUO44" s="6"/>
      <c r="OUP44" s="6"/>
      <c r="OUQ44" s="6"/>
      <c r="OUR44" s="6"/>
      <c r="OUS44" s="6"/>
      <c r="OUT44" s="6"/>
      <c r="OUU44" s="6"/>
      <c r="OUV44" s="6"/>
      <c r="OUW44" s="6"/>
      <c r="OUX44" s="6"/>
      <c r="OUY44" s="6"/>
      <c r="OUZ44" s="6"/>
      <c r="OVA44" s="6"/>
      <c r="OVB44" s="6"/>
      <c r="OVC44" s="6"/>
      <c r="OVD44" s="6"/>
      <c r="OVE44" s="6"/>
      <c r="OVF44" s="6"/>
      <c r="OVG44" s="6"/>
      <c r="OVH44" s="6"/>
      <c r="OVI44" s="6"/>
      <c r="OVJ44" s="6"/>
      <c r="OVK44" s="6"/>
      <c r="OVL44" s="6"/>
      <c r="OVM44" s="6"/>
      <c r="OVN44" s="6"/>
      <c r="OVO44" s="6"/>
      <c r="OVP44" s="6"/>
      <c r="OVQ44" s="6"/>
      <c r="OVR44" s="6"/>
      <c r="OVS44" s="6"/>
      <c r="OVT44" s="6"/>
      <c r="OVU44" s="6"/>
      <c r="OVV44" s="6"/>
      <c r="OVW44" s="6"/>
      <c r="OVX44" s="6"/>
      <c r="OVY44" s="6"/>
      <c r="OVZ44" s="6"/>
      <c r="OWA44" s="6"/>
      <c r="OWB44" s="6"/>
      <c r="OWC44" s="6"/>
      <c r="OWD44" s="6"/>
      <c r="OWE44" s="6"/>
      <c r="OWF44" s="6"/>
      <c r="OWG44" s="6"/>
      <c r="OWH44" s="6"/>
      <c r="OWI44" s="6"/>
      <c r="OWJ44" s="6"/>
      <c r="OWK44" s="6"/>
      <c r="OWL44" s="6"/>
      <c r="OWM44" s="6"/>
      <c r="OWN44" s="6"/>
      <c r="OWO44" s="6"/>
      <c r="OWP44" s="6"/>
      <c r="OWQ44" s="6"/>
      <c r="OWR44" s="6"/>
      <c r="OWS44" s="6"/>
      <c r="OWT44" s="6"/>
      <c r="OWU44" s="6"/>
      <c r="OWV44" s="6"/>
      <c r="OWW44" s="6"/>
      <c r="OWX44" s="6"/>
      <c r="OWY44" s="6"/>
      <c r="OWZ44" s="6"/>
      <c r="OXA44" s="6"/>
      <c r="OXB44" s="6"/>
      <c r="OXC44" s="6"/>
      <c r="OXD44" s="6"/>
      <c r="OXE44" s="6"/>
      <c r="OXF44" s="6"/>
      <c r="OXG44" s="6"/>
      <c r="OXH44" s="6"/>
      <c r="OXI44" s="6"/>
      <c r="OXJ44" s="6"/>
      <c r="OXK44" s="6"/>
      <c r="OXL44" s="6"/>
      <c r="OXM44" s="6"/>
      <c r="OXN44" s="6"/>
      <c r="OXO44" s="6"/>
      <c r="OXP44" s="6"/>
      <c r="OXQ44" s="6"/>
      <c r="OXR44" s="6"/>
      <c r="OXS44" s="6"/>
      <c r="OXT44" s="6"/>
      <c r="OXU44" s="6"/>
      <c r="OXV44" s="6"/>
      <c r="OXW44" s="6"/>
      <c r="OXX44" s="6"/>
      <c r="OXY44" s="6"/>
      <c r="OXZ44" s="6"/>
      <c r="OYA44" s="6"/>
      <c r="OYB44" s="6"/>
      <c r="OYC44" s="6"/>
      <c r="OYD44" s="6"/>
      <c r="OYE44" s="6"/>
      <c r="OYF44" s="6"/>
      <c r="OYG44" s="6"/>
      <c r="OYH44" s="6"/>
      <c r="OYI44" s="6"/>
      <c r="OYJ44" s="6"/>
      <c r="OYK44" s="6"/>
      <c r="OYL44" s="6"/>
      <c r="OYM44" s="6"/>
      <c r="OYN44" s="6"/>
      <c r="OYO44" s="6"/>
      <c r="OYP44" s="6"/>
      <c r="OYQ44" s="6"/>
      <c r="OYR44" s="6"/>
      <c r="OYS44" s="6"/>
      <c r="OYT44" s="6"/>
      <c r="OYU44" s="6"/>
      <c r="OYV44" s="6"/>
      <c r="OYW44" s="6"/>
      <c r="OYX44" s="6"/>
      <c r="OYY44" s="6"/>
      <c r="OYZ44" s="6"/>
      <c r="OZA44" s="6"/>
      <c r="OZB44" s="6"/>
      <c r="OZC44" s="6"/>
      <c r="OZD44" s="6"/>
      <c r="OZE44" s="6"/>
      <c r="OZF44" s="6"/>
      <c r="OZG44" s="6"/>
      <c r="OZH44" s="6"/>
      <c r="OZI44" s="6"/>
      <c r="OZJ44" s="6"/>
      <c r="OZK44" s="6"/>
      <c r="OZL44" s="6"/>
      <c r="OZM44" s="6"/>
      <c r="OZN44" s="6"/>
      <c r="OZO44" s="6"/>
      <c r="OZP44" s="6"/>
      <c r="OZQ44" s="6"/>
      <c r="OZR44" s="6"/>
      <c r="OZS44" s="6"/>
      <c r="OZT44" s="6"/>
      <c r="OZU44" s="6"/>
      <c r="OZV44" s="6"/>
      <c r="OZW44" s="6"/>
      <c r="OZX44" s="6"/>
      <c r="OZY44" s="6"/>
      <c r="OZZ44" s="6"/>
      <c r="PAA44" s="6"/>
      <c r="PAB44" s="6"/>
      <c r="PAC44" s="6"/>
      <c r="PAD44" s="6"/>
      <c r="PAE44" s="6"/>
      <c r="PAF44" s="6"/>
      <c r="PAG44" s="6"/>
      <c r="PAH44" s="6"/>
      <c r="PAI44" s="6"/>
      <c r="PAJ44" s="6"/>
      <c r="PAK44" s="6"/>
      <c r="PAL44" s="6"/>
      <c r="PAM44" s="6"/>
      <c r="PAN44" s="6"/>
      <c r="PAO44" s="6"/>
      <c r="PAP44" s="6"/>
      <c r="PAQ44" s="6"/>
      <c r="PAR44" s="6"/>
      <c r="PAS44" s="6"/>
      <c r="PAT44" s="6"/>
      <c r="PAU44" s="6"/>
      <c r="PAV44" s="6"/>
      <c r="PAW44" s="6"/>
      <c r="PAX44" s="6"/>
      <c r="PAY44" s="6"/>
      <c r="PAZ44" s="6"/>
      <c r="PBA44" s="6"/>
      <c r="PBB44" s="6"/>
      <c r="PBC44" s="6"/>
      <c r="PBD44" s="6"/>
      <c r="PBE44" s="6"/>
      <c r="PBF44" s="6"/>
      <c r="PBG44" s="6"/>
      <c r="PBH44" s="6"/>
      <c r="PBI44" s="6"/>
      <c r="PBJ44" s="6"/>
      <c r="PBK44" s="6"/>
      <c r="PBL44" s="6"/>
      <c r="PBM44" s="6"/>
      <c r="PBN44" s="6"/>
      <c r="PBO44" s="6"/>
      <c r="PBP44" s="6"/>
      <c r="PBQ44" s="6"/>
      <c r="PBR44" s="6"/>
      <c r="PBS44" s="6"/>
      <c r="PBT44" s="6"/>
      <c r="PBU44" s="6"/>
      <c r="PBV44" s="6"/>
      <c r="PBW44" s="6"/>
      <c r="PBX44" s="6"/>
      <c r="PBY44" s="6"/>
      <c r="PBZ44" s="6"/>
      <c r="PCA44" s="6"/>
      <c r="PCB44" s="6"/>
      <c r="PCC44" s="6"/>
      <c r="PCD44" s="6"/>
      <c r="PCE44" s="6"/>
      <c r="PCF44" s="6"/>
      <c r="PCG44" s="6"/>
      <c r="PCH44" s="6"/>
      <c r="PCI44" s="6"/>
      <c r="PCJ44" s="6"/>
      <c r="PCK44" s="6"/>
      <c r="PCL44" s="6"/>
      <c r="PCM44" s="6"/>
      <c r="PCN44" s="6"/>
      <c r="PCO44" s="6"/>
      <c r="PCP44" s="6"/>
      <c r="PCQ44" s="6"/>
      <c r="PCR44" s="6"/>
      <c r="PCS44" s="6"/>
      <c r="PCT44" s="6"/>
      <c r="PCU44" s="6"/>
      <c r="PCV44" s="6"/>
      <c r="PCW44" s="6"/>
      <c r="PCX44" s="6"/>
      <c r="PCY44" s="6"/>
      <c r="PCZ44" s="6"/>
      <c r="PDA44" s="6"/>
      <c r="PDB44" s="6"/>
      <c r="PDC44" s="6"/>
      <c r="PDD44" s="6"/>
      <c r="PDE44" s="6"/>
      <c r="PDF44" s="6"/>
      <c r="PDG44" s="6"/>
      <c r="PDH44" s="6"/>
      <c r="PDI44" s="6"/>
      <c r="PDJ44" s="6"/>
      <c r="PDK44" s="6"/>
      <c r="PDL44" s="6"/>
      <c r="PDM44" s="6"/>
      <c r="PDN44" s="6"/>
      <c r="PDO44" s="6"/>
      <c r="PDP44" s="6"/>
      <c r="PDQ44" s="6"/>
      <c r="PDR44" s="6"/>
      <c r="PDS44" s="6"/>
      <c r="PDT44" s="6"/>
      <c r="PDU44" s="6"/>
      <c r="PDV44" s="6"/>
      <c r="PDW44" s="6"/>
      <c r="PDX44" s="6"/>
      <c r="PDY44" s="6"/>
      <c r="PDZ44" s="6"/>
      <c r="PEA44" s="6"/>
      <c r="PEB44" s="6"/>
      <c r="PEC44" s="6"/>
      <c r="PED44" s="6"/>
      <c r="PEE44" s="6"/>
      <c r="PEF44" s="6"/>
      <c r="PEG44" s="6"/>
      <c r="PEH44" s="6"/>
      <c r="PEI44" s="6"/>
      <c r="PEJ44" s="6"/>
      <c r="PEK44" s="6"/>
      <c r="PEL44" s="6"/>
      <c r="PEM44" s="6"/>
      <c r="PEN44" s="6"/>
      <c r="PEO44" s="6"/>
      <c r="PEP44" s="6"/>
      <c r="PEQ44" s="6"/>
      <c r="PER44" s="6"/>
      <c r="PES44" s="6"/>
      <c r="PET44" s="6"/>
      <c r="PEU44" s="6"/>
      <c r="PEV44" s="6"/>
      <c r="PEW44" s="6"/>
      <c r="PEX44" s="6"/>
      <c r="PEY44" s="6"/>
      <c r="PEZ44" s="6"/>
      <c r="PFA44" s="6"/>
      <c r="PFB44" s="6"/>
      <c r="PFC44" s="6"/>
      <c r="PFD44" s="6"/>
      <c r="PFE44" s="6"/>
      <c r="PFF44" s="6"/>
      <c r="PFG44" s="6"/>
      <c r="PFH44" s="6"/>
      <c r="PFI44" s="6"/>
      <c r="PFJ44" s="6"/>
      <c r="PFK44" s="6"/>
      <c r="PFL44" s="6"/>
      <c r="PFM44" s="6"/>
      <c r="PFN44" s="6"/>
      <c r="PFO44" s="6"/>
      <c r="PFP44" s="6"/>
      <c r="PFQ44" s="6"/>
      <c r="PFR44" s="6"/>
      <c r="PFS44" s="6"/>
      <c r="PFT44" s="6"/>
      <c r="PFU44" s="6"/>
      <c r="PFV44" s="6"/>
      <c r="PFW44" s="6"/>
      <c r="PFX44" s="6"/>
      <c r="PFY44" s="6"/>
      <c r="PFZ44" s="6"/>
      <c r="PGA44" s="6"/>
      <c r="PGB44" s="6"/>
      <c r="PGC44" s="6"/>
      <c r="PGD44" s="6"/>
      <c r="PGE44" s="6"/>
      <c r="PGF44" s="6"/>
      <c r="PGG44" s="6"/>
      <c r="PGH44" s="6"/>
      <c r="PGI44" s="6"/>
      <c r="PGJ44" s="6"/>
      <c r="PGK44" s="6"/>
      <c r="PGL44" s="6"/>
      <c r="PGM44" s="6"/>
      <c r="PGN44" s="6"/>
      <c r="PGO44" s="6"/>
      <c r="PGP44" s="6"/>
      <c r="PGQ44" s="6"/>
      <c r="PGR44" s="6"/>
      <c r="PGS44" s="6"/>
      <c r="PGT44" s="6"/>
      <c r="PGU44" s="6"/>
      <c r="PGV44" s="6"/>
      <c r="PGW44" s="6"/>
      <c r="PGX44" s="6"/>
      <c r="PGY44" s="6"/>
      <c r="PGZ44" s="6"/>
      <c r="PHA44" s="6"/>
      <c r="PHB44" s="6"/>
      <c r="PHC44" s="6"/>
      <c r="PHD44" s="6"/>
      <c r="PHE44" s="6"/>
      <c r="PHF44" s="6"/>
      <c r="PHG44" s="6"/>
      <c r="PHH44" s="6"/>
      <c r="PHI44" s="6"/>
      <c r="PHJ44" s="6"/>
      <c r="PHK44" s="6"/>
      <c r="PHL44" s="6"/>
      <c r="PHM44" s="6"/>
      <c r="PHN44" s="6"/>
      <c r="PHO44" s="6"/>
      <c r="PHP44" s="6"/>
      <c r="PHQ44" s="6"/>
      <c r="PHR44" s="6"/>
      <c r="PHS44" s="6"/>
      <c r="PHT44" s="6"/>
      <c r="PHU44" s="6"/>
      <c r="PHV44" s="6"/>
      <c r="PHW44" s="6"/>
      <c r="PHX44" s="6"/>
      <c r="PHY44" s="6"/>
      <c r="PHZ44" s="6"/>
      <c r="PIA44" s="6"/>
      <c r="PIB44" s="6"/>
      <c r="PIC44" s="6"/>
      <c r="PID44" s="6"/>
      <c r="PIE44" s="6"/>
      <c r="PIF44" s="6"/>
      <c r="PIG44" s="6"/>
      <c r="PIH44" s="6"/>
      <c r="PII44" s="6"/>
      <c r="PIJ44" s="6"/>
      <c r="PIK44" s="6"/>
      <c r="PIL44" s="6"/>
      <c r="PIM44" s="6"/>
      <c r="PIN44" s="6"/>
      <c r="PIO44" s="6"/>
      <c r="PIP44" s="6"/>
      <c r="PIQ44" s="6"/>
      <c r="PIR44" s="6"/>
      <c r="PIS44" s="6"/>
      <c r="PIT44" s="6"/>
      <c r="PIU44" s="6"/>
      <c r="PIV44" s="6"/>
      <c r="PIW44" s="6"/>
      <c r="PIX44" s="6"/>
      <c r="PIY44" s="6"/>
      <c r="PIZ44" s="6"/>
      <c r="PJA44" s="6"/>
      <c r="PJB44" s="6"/>
      <c r="PJC44" s="6"/>
      <c r="PJD44" s="6"/>
      <c r="PJE44" s="6"/>
      <c r="PJF44" s="6"/>
      <c r="PJG44" s="6"/>
      <c r="PJH44" s="6"/>
      <c r="PJI44" s="6"/>
      <c r="PJJ44" s="6"/>
      <c r="PJK44" s="6"/>
      <c r="PJL44" s="6"/>
      <c r="PJM44" s="6"/>
      <c r="PJN44" s="6"/>
      <c r="PJO44" s="6"/>
      <c r="PJP44" s="6"/>
      <c r="PJQ44" s="6"/>
      <c r="PJR44" s="6"/>
      <c r="PJS44" s="6"/>
      <c r="PJT44" s="6"/>
      <c r="PJU44" s="6"/>
      <c r="PJV44" s="6"/>
      <c r="PJW44" s="6"/>
      <c r="PJX44" s="6"/>
      <c r="PJY44" s="6"/>
      <c r="PJZ44" s="6"/>
      <c r="PKA44" s="6"/>
      <c r="PKB44" s="6"/>
      <c r="PKC44" s="6"/>
      <c r="PKD44" s="6"/>
      <c r="PKE44" s="6"/>
      <c r="PKF44" s="6"/>
      <c r="PKG44" s="6"/>
      <c r="PKH44" s="6"/>
      <c r="PKI44" s="6"/>
      <c r="PKJ44" s="6"/>
      <c r="PKK44" s="6"/>
      <c r="PKL44" s="6"/>
      <c r="PKM44" s="6"/>
      <c r="PKN44" s="6"/>
      <c r="PKO44" s="6"/>
      <c r="PKP44" s="6"/>
      <c r="PKQ44" s="6"/>
      <c r="PKR44" s="6"/>
      <c r="PKS44" s="6"/>
      <c r="PKT44" s="6"/>
      <c r="PKU44" s="6"/>
      <c r="PKV44" s="6"/>
      <c r="PKW44" s="6"/>
      <c r="PKX44" s="6"/>
      <c r="PKY44" s="6"/>
      <c r="PKZ44" s="6"/>
      <c r="PLA44" s="6"/>
      <c r="PLB44" s="6"/>
      <c r="PLC44" s="6"/>
      <c r="PLD44" s="6"/>
      <c r="PLE44" s="6"/>
      <c r="PLF44" s="6"/>
      <c r="PLG44" s="6"/>
      <c r="PLH44" s="6"/>
      <c r="PLI44" s="6"/>
      <c r="PLJ44" s="6"/>
      <c r="PLK44" s="6"/>
      <c r="PLL44" s="6"/>
      <c r="PLM44" s="6"/>
      <c r="PLN44" s="6"/>
      <c r="PLO44" s="6"/>
      <c r="PLP44" s="6"/>
      <c r="PLQ44" s="6"/>
      <c r="PLR44" s="6"/>
      <c r="PLS44" s="6"/>
      <c r="PLT44" s="6"/>
      <c r="PLU44" s="6"/>
      <c r="PLV44" s="6"/>
      <c r="PLW44" s="6"/>
      <c r="PLX44" s="6"/>
      <c r="PLY44" s="6"/>
      <c r="PLZ44" s="6"/>
      <c r="PMA44" s="6"/>
      <c r="PMB44" s="6"/>
      <c r="PMC44" s="6"/>
      <c r="PMD44" s="6"/>
      <c r="PME44" s="6"/>
      <c r="PMF44" s="6"/>
      <c r="PMG44" s="6"/>
      <c r="PMH44" s="6"/>
      <c r="PMI44" s="6"/>
      <c r="PMJ44" s="6"/>
      <c r="PMK44" s="6"/>
      <c r="PML44" s="6"/>
      <c r="PMM44" s="6"/>
      <c r="PMN44" s="6"/>
      <c r="PMO44" s="6"/>
      <c r="PMP44" s="6"/>
      <c r="PMQ44" s="6"/>
      <c r="PMR44" s="6"/>
      <c r="PMS44" s="6"/>
      <c r="PMT44" s="6"/>
      <c r="PMU44" s="6"/>
      <c r="PMV44" s="6"/>
      <c r="PMW44" s="6"/>
      <c r="PMX44" s="6"/>
      <c r="PMY44" s="6"/>
      <c r="PMZ44" s="6"/>
      <c r="PNA44" s="6"/>
      <c r="PNB44" s="6"/>
      <c r="PNC44" s="6"/>
      <c r="PND44" s="6"/>
      <c r="PNE44" s="6"/>
      <c r="PNF44" s="6"/>
      <c r="PNG44" s="6"/>
      <c r="PNH44" s="6"/>
      <c r="PNI44" s="6"/>
      <c r="PNJ44" s="6"/>
      <c r="PNK44" s="6"/>
      <c r="PNL44" s="6"/>
      <c r="PNM44" s="6"/>
      <c r="PNN44" s="6"/>
      <c r="PNO44" s="6"/>
      <c r="PNP44" s="6"/>
      <c r="PNQ44" s="6"/>
      <c r="PNR44" s="6"/>
      <c r="PNS44" s="6"/>
      <c r="PNT44" s="6"/>
      <c r="PNU44" s="6"/>
      <c r="PNV44" s="6"/>
      <c r="PNW44" s="6"/>
      <c r="PNX44" s="6"/>
      <c r="PNY44" s="6"/>
      <c r="PNZ44" s="6"/>
      <c r="POA44" s="6"/>
      <c r="POB44" s="6"/>
      <c r="POC44" s="6"/>
      <c r="POD44" s="6"/>
      <c r="POE44" s="6"/>
      <c r="POF44" s="6"/>
      <c r="POG44" s="6"/>
      <c r="POH44" s="6"/>
      <c r="POI44" s="6"/>
      <c r="POJ44" s="6"/>
      <c r="POK44" s="6"/>
      <c r="POL44" s="6"/>
      <c r="POM44" s="6"/>
      <c r="PON44" s="6"/>
      <c r="POO44" s="6"/>
      <c r="POP44" s="6"/>
      <c r="POQ44" s="6"/>
      <c r="POR44" s="6"/>
      <c r="POS44" s="6"/>
      <c r="POT44" s="6"/>
      <c r="POU44" s="6"/>
      <c r="POV44" s="6"/>
      <c r="POW44" s="6"/>
      <c r="POX44" s="6"/>
      <c r="POY44" s="6"/>
      <c r="POZ44" s="6"/>
      <c r="PPA44" s="6"/>
      <c r="PPB44" s="6"/>
      <c r="PPC44" s="6"/>
      <c r="PPD44" s="6"/>
      <c r="PPE44" s="6"/>
      <c r="PPF44" s="6"/>
      <c r="PPG44" s="6"/>
      <c r="PPH44" s="6"/>
      <c r="PPI44" s="6"/>
      <c r="PPJ44" s="6"/>
      <c r="PPK44" s="6"/>
      <c r="PPL44" s="6"/>
      <c r="PPM44" s="6"/>
      <c r="PPN44" s="6"/>
      <c r="PPO44" s="6"/>
      <c r="PPP44" s="6"/>
      <c r="PPQ44" s="6"/>
      <c r="PPR44" s="6"/>
      <c r="PPS44" s="6"/>
      <c r="PPT44" s="6"/>
      <c r="PPU44" s="6"/>
      <c r="PPV44" s="6"/>
      <c r="PPW44" s="6"/>
      <c r="PPX44" s="6"/>
      <c r="PPY44" s="6"/>
      <c r="PPZ44" s="6"/>
      <c r="PQA44" s="6"/>
      <c r="PQB44" s="6"/>
      <c r="PQC44" s="6"/>
      <c r="PQD44" s="6"/>
      <c r="PQE44" s="6"/>
      <c r="PQF44" s="6"/>
      <c r="PQG44" s="6"/>
      <c r="PQH44" s="6"/>
      <c r="PQI44" s="6"/>
      <c r="PQJ44" s="6"/>
      <c r="PQK44" s="6"/>
      <c r="PQL44" s="6"/>
      <c r="PQM44" s="6"/>
      <c r="PQN44" s="6"/>
      <c r="PQO44" s="6"/>
      <c r="PQP44" s="6"/>
      <c r="PQQ44" s="6"/>
      <c r="PQR44" s="6"/>
      <c r="PQS44" s="6"/>
      <c r="PQT44" s="6"/>
      <c r="PQU44" s="6"/>
      <c r="PQV44" s="6"/>
      <c r="PQW44" s="6"/>
      <c r="PQX44" s="6"/>
      <c r="PQY44" s="6"/>
      <c r="PQZ44" s="6"/>
      <c r="PRA44" s="6"/>
      <c r="PRB44" s="6"/>
      <c r="PRC44" s="6"/>
      <c r="PRD44" s="6"/>
      <c r="PRE44" s="6"/>
      <c r="PRF44" s="6"/>
      <c r="PRG44" s="6"/>
      <c r="PRH44" s="6"/>
      <c r="PRI44" s="6"/>
      <c r="PRJ44" s="6"/>
      <c r="PRK44" s="6"/>
      <c r="PRL44" s="6"/>
      <c r="PRM44" s="6"/>
      <c r="PRN44" s="6"/>
      <c r="PRO44" s="6"/>
      <c r="PRP44" s="6"/>
      <c r="PRQ44" s="6"/>
      <c r="PRR44" s="6"/>
      <c r="PRS44" s="6"/>
      <c r="PRT44" s="6"/>
      <c r="PRU44" s="6"/>
      <c r="PRV44" s="6"/>
      <c r="PRW44" s="6"/>
      <c r="PRX44" s="6"/>
      <c r="PRY44" s="6"/>
      <c r="PRZ44" s="6"/>
      <c r="PSA44" s="6"/>
      <c r="PSB44" s="6"/>
      <c r="PSC44" s="6"/>
      <c r="PSD44" s="6"/>
      <c r="PSE44" s="6"/>
      <c r="PSF44" s="6"/>
      <c r="PSG44" s="6"/>
      <c r="PSH44" s="6"/>
      <c r="PSI44" s="6"/>
      <c r="PSJ44" s="6"/>
      <c r="PSK44" s="6"/>
      <c r="PSL44" s="6"/>
      <c r="PSM44" s="6"/>
      <c r="PSN44" s="6"/>
      <c r="PSO44" s="6"/>
      <c r="PSP44" s="6"/>
      <c r="PSQ44" s="6"/>
      <c r="PSR44" s="6"/>
      <c r="PSS44" s="6"/>
      <c r="PST44" s="6"/>
      <c r="PSU44" s="6"/>
      <c r="PSV44" s="6"/>
      <c r="PSW44" s="6"/>
      <c r="PSX44" s="6"/>
      <c r="PSY44" s="6"/>
      <c r="PSZ44" s="6"/>
      <c r="PTA44" s="6"/>
      <c r="PTB44" s="6"/>
      <c r="PTC44" s="6"/>
      <c r="PTD44" s="6"/>
      <c r="PTE44" s="6"/>
      <c r="PTF44" s="6"/>
      <c r="PTG44" s="6"/>
      <c r="PTH44" s="6"/>
      <c r="PTI44" s="6"/>
      <c r="PTJ44" s="6"/>
      <c r="PTK44" s="6"/>
      <c r="PTL44" s="6"/>
      <c r="PTM44" s="6"/>
      <c r="PTN44" s="6"/>
      <c r="PTO44" s="6"/>
      <c r="PTP44" s="6"/>
      <c r="PTQ44" s="6"/>
      <c r="PTR44" s="6"/>
      <c r="PTS44" s="6"/>
      <c r="PTT44" s="6"/>
      <c r="PTU44" s="6"/>
      <c r="PTV44" s="6"/>
      <c r="PTW44" s="6"/>
      <c r="PTX44" s="6"/>
      <c r="PTY44" s="6"/>
      <c r="PTZ44" s="6"/>
      <c r="PUA44" s="6"/>
      <c r="PUB44" s="6"/>
      <c r="PUC44" s="6"/>
      <c r="PUD44" s="6"/>
      <c r="PUE44" s="6"/>
      <c r="PUF44" s="6"/>
      <c r="PUG44" s="6"/>
      <c r="PUH44" s="6"/>
      <c r="PUI44" s="6"/>
      <c r="PUJ44" s="6"/>
      <c r="PUK44" s="6"/>
      <c r="PUL44" s="6"/>
      <c r="PUM44" s="6"/>
      <c r="PUN44" s="6"/>
      <c r="PUO44" s="6"/>
      <c r="PUP44" s="6"/>
      <c r="PUQ44" s="6"/>
      <c r="PUR44" s="6"/>
      <c r="PUS44" s="6"/>
      <c r="PUT44" s="6"/>
      <c r="PUU44" s="6"/>
      <c r="PUV44" s="6"/>
      <c r="PUW44" s="6"/>
      <c r="PUX44" s="6"/>
      <c r="PUY44" s="6"/>
      <c r="PUZ44" s="6"/>
      <c r="PVA44" s="6"/>
      <c r="PVB44" s="6"/>
      <c r="PVC44" s="6"/>
      <c r="PVD44" s="6"/>
      <c r="PVE44" s="6"/>
      <c r="PVF44" s="6"/>
      <c r="PVG44" s="6"/>
      <c r="PVH44" s="6"/>
      <c r="PVI44" s="6"/>
      <c r="PVJ44" s="6"/>
      <c r="PVK44" s="6"/>
      <c r="PVL44" s="6"/>
      <c r="PVM44" s="6"/>
      <c r="PVN44" s="6"/>
      <c r="PVO44" s="6"/>
      <c r="PVP44" s="6"/>
      <c r="PVQ44" s="6"/>
      <c r="PVR44" s="6"/>
      <c r="PVS44" s="6"/>
      <c r="PVT44" s="6"/>
      <c r="PVU44" s="6"/>
      <c r="PVV44" s="6"/>
      <c r="PVW44" s="6"/>
      <c r="PVX44" s="6"/>
      <c r="PVY44" s="6"/>
      <c r="PVZ44" s="6"/>
      <c r="PWA44" s="6"/>
      <c r="PWB44" s="6"/>
      <c r="PWC44" s="6"/>
      <c r="PWD44" s="6"/>
      <c r="PWE44" s="6"/>
      <c r="PWF44" s="6"/>
      <c r="PWG44" s="6"/>
      <c r="PWH44" s="6"/>
      <c r="PWI44" s="6"/>
      <c r="PWJ44" s="6"/>
      <c r="PWK44" s="6"/>
      <c r="PWL44" s="6"/>
      <c r="PWM44" s="6"/>
      <c r="PWN44" s="6"/>
      <c r="PWO44" s="6"/>
      <c r="PWP44" s="6"/>
      <c r="PWQ44" s="6"/>
      <c r="PWR44" s="6"/>
      <c r="PWS44" s="6"/>
      <c r="PWT44" s="6"/>
      <c r="PWU44" s="6"/>
      <c r="PWV44" s="6"/>
      <c r="PWW44" s="6"/>
      <c r="PWX44" s="6"/>
      <c r="PWY44" s="6"/>
      <c r="PWZ44" s="6"/>
      <c r="PXA44" s="6"/>
      <c r="PXB44" s="6"/>
      <c r="PXC44" s="6"/>
      <c r="PXD44" s="6"/>
      <c r="PXE44" s="6"/>
      <c r="PXF44" s="6"/>
      <c r="PXG44" s="6"/>
      <c r="PXH44" s="6"/>
      <c r="PXI44" s="6"/>
      <c r="PXJ44" s="6"/>
      <c r="PXK44" s="6"/>
      <c r="PXL44" s="6"/>
      <c r="PXM44" s="6"/>
      <c r="PXN44" s="6"/>
      <c r="PXO44" s="6"/>
      <c r="PXP44" s="6"/>
      <c r="PXQ44" s="6"/>
      <c r="PXR44" s="6"/>
      <c r="PXS44" s="6"/>
      <c r="PXT44" s="6"/>
      <c r="PXU44" s="6"/>
      <c r="PXV44" s="6"/>
      <c r="PXW44" s="6"/>
      <c r="PXX44" s="6"/>
      <c r="PXY44" s="6"/>
      <c r="PXZ44" s="6"/>
      <c r="PYA44" s="6"/>
      <c r="PYB44" s="6"/>
      <c r="PYC44" s="6"/>
      <c r="PYD44" s="6"/>
      <c r="PYE44" s="6"/>
      <c r="PYF44" s="6"/>
      <c r="PYG44" s="6"/>
      <c r="PYH44" s="6"/>
      <c r="PYI44" s="6"/>
      <c r="PYJ44" s="6"/>
      <c r="PYK44" s="6"/>
      <c r="PYL44" s="6"/>
      <c r="PYM44" s="6"/>
      <c r="PYN44" s="6"/>
      <c r="PYO44" s="6"/>
      <c r="PYP44" s="6"/>
      <c r="PYQ44" s="6"/>
      <c r="PYR44" s="6"/>
      <c r="PYS44" s="6"/>
      <c r="PYT44" s="6"/>
      <c r="PYU44" s="6"/>
      <c r="PYV44" s="6"/>
      <c r="PYW44" s="6"/>
      <c r="PYX44" s="6"/>
      <c r="PYY44" s="6"/>
      <c r="PYZ44" s="6"/>
      <c r="PZA44" s="6"/>
      <c r="PZB44" s="6"/>
      <c r="PZC44" s="6"/>
      <c r="PZD44" s="6"/>
      <c r="PZE44" s="6"/>
      <c r="PZF44" s="6"/>
      <c r="PZG44" s="6"/>
      <c r="PZH44" s="6"/>
      <c r="PZI44" s="6"/>
      <c r="PZJ44" s="6"/>
      <c r="PZK44" s="6"/>
      <c r="PZL44" s="6"/>
      <c r="PZM44" s="6"/>
      <c r="PZN44" s="6"/>
      <c r="PZO44" s="6"/>
      <c r="PZP44" s="6"/>
      <c r="PZQ44" s="6"/>
      <c r="PZR44" s="6"/>
      <c r="PZS44" s="6"/>
      <c r="PZT44" s="6"/>
      <c r="PZU44" s="6"/>
      <c r="PZV44" s="6"/>
      <c r="PZW44" s="6"/>
      <c r="PZX44" s="6"/>
      <c r="PZY44" s="6"/>
      <c r="PZZ44" s="6"/>
      <c r="QAA44" s="6"/>
      <c r="QAB44" s="6"/>
      <c r="QAC44" s="6"/>
      <c r="QAD44" s="6"/>
      <c r="QAE44" s="6"/>
      <c r="QAF44" s="6"/>
      <c r="QAG44" s="6"/>
      <c r="QAH44" s="6"/>
      <c r="QAI44" s="6"/>
      <c r="QAJ44" s="6"/>
      <c r="QAK44" s="6"/>
      <c r="QAL44" s="6"/>
      <c r="QAM44" s="6"/>
      <c r="QAN44" s="6"/>
      <c r="QAO44" s="6"/>
      <c r="QAP44" s="6"/>
      <c r="QAQ44" s="6"/>
      <c r="QAR44" s="6"/>
      <c r="QAS44" s="6"/>
      <c r="QAT44" s="6"/>
      <c r="QAU44" s="6"/>
      <c r="QAV44" s="6"/>
      <c r="QAW44" s="6"/>
      <c r="QAX44" s="6"/>
      <c r="QAY44" s="6"/>
      <c r="QAZ44" s="6"/>
      <c r="QBA44" s="6"/>
      <c r="QBB44" s="6"/>
      <c r="QBC44" s="6"/>
      <c r="QBD44" s="6"/>
      <c r="QBE44" s="6"/>
      <c r="QBF44" s="6"/>
      <c r="QBG44" s="6"/>
      <c r="QBH44" s="6"/>
      <c r="QBI44" s="6"/>
      <c r="QBJ44" s="6"/>
      <c r="QBK44" s="6"/>
      <c r="QBL44" s="6"/>
      <c r="QBM44" s="6"/>
      <c r="QBN44" s="6"/>
      <c r="QBO44" s="6"/>
      <c r="QBP44" s="6"/>
      <c r="QBQ44" s="6"/>
      <c r="QBR44" s="6"/>
      <c r="QBS44" s="6"/>
      <c r="QBT44" s="6"/>
      <c r="QBU44" s="6"/>
      <c r="QBV44" s="6"/>
      <c r="QBW44" s="6"/>
      <c r="QBX44" s="6"/>
      <c r="QBY44" s="6"/>
      <c r="QBZ44" s="6"/>
      <c r="QCA44" s="6"/>
      <c r="QCB44" s="6"/>
      <c r="QCC44" s="6"/>
      <c r="QCD44" s="6"/>
      <c r="QCE44" s="6"/>
      <c r="QCF44" s="6"/>
      <c r="QCG44" s="6"/>
      <c r="QCH44" s="6"/>
      <c r="QCI44" s="6"/>
      <c r="QCJ44" s="6"/>
      <c r="QCK44" s="6"/>
      <c r="QCL44" s="6"/>
      <c r="QCM44" s="6"/>
      <c r="QCN44" s="6"/>
      <c r="QCO44" s="6"/>
      <c r="QCP44" s="6"/>
      <c r="QCQ44" s="6"/>
      <c r="QCR44" s="6"/>
      <c r="QCS44" s="6"/>
      <c r="QCT44" s="6"/>
      <c r="QCU44" s="6"/>
      <c r="QCV44" s="6"/>
      <c r="QCW44" s="6"/>
      <c r="QCX44" s="6"/>
      <c r="QCY44" s="6"/>
      <c r="QCZ44" s="6"/>
      <c r="QDA44" s="6"/>
      <c r="QDB44" s="6"/>
      <c r="QDC44" s="6"/>
      <c r="QDD44" s="6"/>
      <c r="QDE44" s="6"/>
      <c r="QDF44" s="6"/>
      <c r="QDG44" s="6"/>
      <c r="QDH44" s="6"/>
      <c r="QDI44" s="6"/>
      <c r="QDJ44" s="6"/>
      <c r="QDK44" s="6"/>
      <c r="QDL44" s="6"/>
      <c r="QDM44" s="6"/>
      <c r="QDN44" s="6"/>
      <c r="QDO44" s="6"/>
      <c r="QDP44" s="6"/>
      <c r="QDQ44" s="6"/>
      <c r="QDR44" s="6"/>
      <c r="QDS44" s="6"/>
      <c r="QDT44" s="6"/>
      <c r="QDU44" s="6"/>
      <c r="QDV44" s="6"/>
      <c r="QDW44" s="6"/>
      <c r="QDX44" s="6"/>
      <c r="QDY44" s="6"/>
      <c r="QDZ44" s="6"/>
      <c r="QEA44" s="6"/>
      <c r="QEB44" s="6"/>
      <c r="QEC44" s="6"/>
      <c r="QED44" s="6"/>
      <c r="QEE44" s="6"/>
      <c r="QEF44" s="6"/>
      <c r="QEG44" s="6"/>
      <c r="QEH44" s="6"/>
      <c r="QEI44" s="6"/>
      <c r="QEJ44" s="6"/>
      <c r="QEK44" s="6"/>
      <c r="QEL44" s="6"/>
      <c r="QEM44" s="6"/>
      <c r="QEN44" s="6"/>
      <c r="QEO44" s="6"/>
      <c r="QEP44" s="6"/>
      <c r="QEQ44" s="6"/>
      <c r="QER44" s="6"/>
      <c r="QES44" s="6"/>
      <c r="QET44" s="6"/>
      <c r="QEU44" s="6"/>
      <c r="QEV44" s="6"/>
      <c r="QEW44" s="6"/>
      <c r="QEX44" s="6"/>
      <c r="QEY44" s="6"/>
      <c r="QEZ44" s="6"/>
      <c r="QFA44" s="6"/>
      <c r="QFB44" s="6"/>
      <c r="QFC44" s="6"/>
      <c r="QFD44" s="6"/>
      <c r="QFE44" s="6"/>
      <c r="QFF44" s="6"/>
      <c r="QFG44" s="6"/>
      <c r="QFH44" s="6"/>
      <c r="QFI44" s="6"/>
      <c r="QFJ44" s="6"/>
      <c r="QFK44" s="6"/>
      <c r="QFL44" s="6"/>
      <c r="QFM44" s="6"/>
      <c r="QFN44" s="6"/>
      <c r="QFO44" s="6"/>
      <c r="QFP44" s="6"/>
      <c r="QFQ44" s="6"/>
      <c r="QFR44" s="6"/>
      <c r="QFS44" s="6"/>
      <c r="QFT44" s="6"/>
      <c r="QFU44" s="6"/>
      <c r="QFV44" s="6"/>
      <c r="QFW44" s="6"/>
      <c r="QFX44" s="6"/>
      <c r="QFY44" s="6"/>
      <c r="QFZ44" s="6"/>
      <c r="QGA44" s="6"/>
      <c r="QGB44" s="6"/>
      <c r="QGC44" s="6"/>
      <c r="QGD44" s="6"/>
      <c r="QGE44" s="6"/>
      <c r="QGF44" s="6"/>
      <c r="QGG44" s="6"/>
      <c r="QGH44" s="6"/>
      <c r="QGI44" s="6"/>
      <c r="QGJ44" s="6"/>
      <c r="QGK44" s="6"/>
      <c r="QGL44" s="6"/>
      <c r="QGM44" s="6"/>
      <c r="QGN44" s="6"/>
      <c r="QGO44" s="6"/>
      <c r="QGP44" s="6"/>
      <c r="QGQ44" s="6"/>
      <c r="QGR44" s="6"/>
      <c r="QGS44" s="6"/>
      <c r="QGT44" s="6"/>
      <c r="QGU44" s="6"/>
      <c r="QGV44" s="6"/>
      <c r="QGW44" s="6"/>
      <c r="QGX44" s="6"/>
      <c r="QGY44" s="6"/>
      <c r="QGZ44" s="6"/>
      <c r="QHA44" s="6"/>
      <c r="QHB44" s="6"/>
      <c r="QHC44" s="6"/>
      <c r="QHD44" s="6"/>
      <c r="QHE44" s="6"/>
      <c r="QHF44" s="6"/>
      <c r="QHG44" s="6"/>
      <c r="QHH44" s="6"/>
      <c r="QHI44" s="6"/>
      <c r="QHJ44" s="6"/>
      <c r="QHK44" s="6"/>
      <c r="QHL44" s="6"/>
      <c r="QHM44" s="6"/>
      <c r="QHN44" s="6"/>
      <c r="QHO44" s="6"/>
      <c r="QHP44" s="6"/>
      <c r="QHQ44" s="6"/>
      <c r="QHR44" s="6"/>
      <c r="QHS44" s="6"/>
      <c r="QHT44" s="6"/>
      <c r="QHU44" s="6"/>
      <c r="QHV44" s="6"/>
      <c r="QHW44" s="6"/>
      <c r="QHX44" s="6"/>
      <c r="QHY44" s="6"/>
      <c r="QHZ44" s="6"/>
      <c r="QIA44" s="6"/>
      <c r="QIB44" s="6"/>
      <c r="QIC44" s="6"/>
      <c r="QID44" s="6"/>
      <c r="QIE44" s="6"/>
      <c r="QIF44" s="6"/>
      <c r="QIG44" s="6"/>
      <c r="QIH44" s="6"/>
      <c r="QII44" s="6"/>
      <c r="QIJ44" s="6"/>
      <c r="QIK44" s="6"/>
      <c r="QIL44" s="6"/>
      <c r="QIM44" s="6"/>
      <c r="QIN44" s="6"/>
      <c r="QIO44" s="6"/>
      <c r="QIP44" s="6"/>
      <c r="QIQ44" s="6"/>
      <c r="QIR44" s="6"/>
      <c r="QIS44" s="6"/>
      <c r="QIT44" s="6"/>
      <c r="QIU44" s="6"/>
      <c r="QIV44" s="6"/>
      <c r="QIW44" s="6"/>
      <c r="QIX44" s="6"/>
      <c r="QIY44" s="6"/>
      <c r="QIZ44" s="6"/>
      <c r="QJA44" s="6"/>
      <c r="QJB44" s="6"/>
      <c r="QJC44" s="6"/>
      <c r="QJD44" s="6"/>
      <c r="QJE44" s="6"/>
      <c r="QJF44" s="6"/>
      <c r="QJG44" s="6"/>
      <c r="QJH44" s="6"/>
      <c r="QJI44" s="6"/>
      <c r="QJJ44" s="6"/>
      <c r="QJK44" s="6"/>
      <c r="QJL44" s="6"/>
      <c r="QJM44" s="6"/>
      <c r="QJN44" s="6"/>
      <c r="QJO44" s="6"/>
      <c r="QJP44" s="6"/>
      <c r="QJQ44" s="6"/>
      <c r="QJR44" s="6"/>
      <c r="QJS44" s="6"/>
      <c r="QJT44" s="6"/>
      <c r="QJU44" s="6"/>
      <c r="QJV44" s="6"/>
      <c r="QJW44" s="6"/>
      <c r="QJX44" s="6"/>
      <c r="QJY44" s="6"/>
      <c r="QJZ44" s="6"/>
      <c r="QKA44" s="6"/>
      <c r="QKB44" s="6"/>
      <c r="QKC44" s="6"/>
      <c r="QKD44" s="6"/>
      <c r="QKE44" s="6"/>
      <c r="QKF44" s="6"/>
      <c r="QKG44" s="6"/>
      <c r="QKH44" s="6"/>
      <c r="QKI44" s="6"/>
      <c r="QKJ44" s="6"/>
      <c r="QKK44" s="6"/>
      <c r="QKL44" s="6"/>
      <c r="QKM44" s="6"/>
      <c r="QKN44" s="6"/>
      <c r="QKO44" s="6"/>
      <c r="QKP44" s="6"/>
      <c r="QKQ44" s="6"/>
      <c r="QKR44" s="6"/>
      <c r="QKS44" s="6"/>
      <c r="QKT44" s="6"/>
      <c r="QKU44" s="6"/>
      <c r="QKV44" s="6"/>
      <c r="QKW44" s="6"/>
      <c r="QKX44" s="6"/>
      <c r="QKY44" s="6"/>
      <c r="QKZ44" s="6"/>
      <c r="QLA44" s="6"/>
      <c r="QLB44" s="6"/>
      <c r="QLC44" s="6"/>
      <c r="QLD44" s="6"/>
      <c r="QLE44" s="6"/>
      <c r="QLF44" s="6"/>
      <c r="QLG44" s="6"/>
      <c r="QLH44" s="6"/>
      <c r="QLI44" s="6"/>
      <c r="QLJ44" s="6"/>
      <c r="QLK44" s="6"/>
      <c r="QLL44" s="6"/>
      <c r="QLM44" s="6"/>
      <c r="QLN44" s="6"/>
      <c r="QLO44" s="6"/>
      <c r="QLP44" s="6"/>
      <c r="QLQ44" s="6"/>
      <c r="QLR44" s="6"/>
      <c r="QLS44" s="6"/>
      <c r="QLT44" s="6"/>
      <c r="QLU44" s="6"/>
      <c r="QLV44" s="6"/>
      <c r="QLW44" s="6"/>
      <c r="QLX44" s="6"/>
      <c r="QLY44" s="6"/>
      <c r="QLZ44" s="6"/>
      <c r="QMA44" s="6"/>
      <c r="QMB44" s="6"/>
      <c r="QMC44" s="6"/>
      <c r="QMD44" s="6"/>
      <c r="QME44" s="6"/>
      <c r="QMF44" s="6"/>
      <c r="QMG44" s="6"/>
      <c r="QMH44" s="6"/>
      <c r="QMI44" s="6"/>
      <c r="QMJ44" s="6"/>
      <c r="QMK44" s="6"/>
      <c r="QML44" s="6"/>
      <c r="QMM44" s="6"/>
      <c r="QMN44" s="6"/>
      <c r="QMO44" s="6"/>
      <c r="QMP44" s="6"/>
      <c r="QMQ44" s="6"/>
      <c r="QMR44" s="6"/>
      <c r="QMS44" s="6"/>
      <c r="QMT44" s="6"/>
      <c r="QMU44" s="6"/>
      <c r="QMV44" s="6"/>
      <c r="QMW44" s="6"/>
      <c r="QMX44" s="6"/>
      <c r="QMY44" s="6"/>
      <c r="QMZ44" s="6"/>
      <c r="QNA44" s="6"/>
      <c r="QNB44" s="6"/>
      <c r="QNC44" s="6"/>
      <c r="QND44" s="6"/>
      <c r="QNE44" s="6"/>
      <c r="QNF44" s="6"/>
      <c r="QNG44" s="6"/>
      <c r="QNH44" s="6"/>
      <c r="QNI44" s="6"/>
      <c r="QNJ44" s="6"/>
      <c r="QNK44" s="6"/>
      <c r="QNL44" s="6"/>
      <c r="QNM44" s="6"/>
      <c r="QNN44" s="6"/>
      <c r="QNO44" s="6"/>
      <c r="QNP44" s="6"/>
      <c r="QNQ44" s="6"/>
      <c r="QNR44" s="6"/>
      <c r="QNS44" s="6"/>
      <c r="QNT44" s="6"/>
      <c r="QNU44" s="6"/>
      <c r="QNV44" s="6"/>
      <c r="QNW44" s="6"/>
      <c r="QNX44" s="6"/>
      <c r="QNY44" s="6"/>
      <c r="QNZ44" s="6"/>
      <c r="QOA44" s="6"/>
      <c r="QOB44" s="6"/>
      <c r="QOC44" s="6"/>
      <c r="QOD44" s="6"/>
      <c r="QOE44" s="6"/>
      <c r="QOF44" s="6"/>
      <c r="QOG44" s="6"/>
      <c r="QOH44" s="6"/>
      <c r="QOI44" s="6"/>
      <c r="QOJ44" s="6"/>
      <c r="QOK44" s="6"/>
      <c r="QOL44" s="6"/>
      <c r="QOM44" s="6"/>
      <c r="QON44" s="6"/>
      <c r="QOO44" s="6"/>
      <c r="QOP44" s="6"/>
      <c r="QOQ44" s="6"/>
      <c r="QOR44" s="6"/>
      <c r="QOS44" s="6"/>
      <c r="QOT44" s="6"/>
      <c r="QOU44" s="6"/>
      <c r="QOV44" s="6"/>
      <c r="QOW44" s="6"/>
      <c r="QOX44" s="6"/>
      <c r="QOY44" s="6"/>
      <c r="QOZ44" s="6"/>
      <c r="QPA44" s="6"/>
      <c r="QPB44" s="6"/>
      <c r="QPC44" s="6"/>
      <c r="QPD44" s="6"/>
      <c r="QPE44" s="6"/>
      <c r="QPF44" s="6"/>
      <c r="QPG44" s="6"/>
      <c r="QPH44" s="6"/>
      <c r="QPI44" s="6"/>
      <c r="QPJ44" s="6"/>
      <c r="QPK44" s="6"/>
      <c r="QPL44" s="6"/>
      <c r="QPM44" s="6"/>
      <c r="QPN44" s="6"/>
      <c r="QPO44" s="6"/>
      <c r="QPP44" s="6"/>
      <c r="QPQ44" s="6"/>
      <c r="QPR44" s="6"/>
      <c r="QPS44" s="6"/>
      <c r="QPT44" s="6"/>
      <c r="QPU44" s="6"/>
      <c r="QPV44" s="6"/>
      <c r="QPW44" s="6"/>
      <c r="QPX44" s="6"/>
      <c r="QPY44" s="6"/>
      <c r="QPZ44" s="6"/>
      <c r="QQA44" s="6"/>
      <c r="QQB44" s="6"/>
      <c r="QQC44" s="6"/>
      <c r="QQD44" s="6"/>
      <c r="QQE44" s="6"/>
      <c r="QQF44" s="6"/>
      <c r="QQG44" s="6"/>
      <c r="QQH44" s="6"/>
      <c r="QQI44" s="6"/>
      <c r="QQJ44" s="6"/>
      <c r="QQK44" s="6"/>
      <c r="QQL44" s="6"/>
      <c r="QQM44" s="6"/>
      <c r="QQN44" s="6"/>
      <c r="QQO44" s="6"/>
      <c r="QQP44" s="6"/>
      <c r="QQQ44" s="6"/>
      <c r="QQR44" s="6"/>
      <c r="QQS44" s="6"/>
      <c r="QQT44" s="6"/>
      <c r="QQU44" s="6"/>
      <c r="QQV44" s="6"/>
      <c r="QQW44" s="6"/>
      <c r="QQX44" s="6"/>
      <c r="QQY44" s="6"/>
      <c r="QQZ44" s="6"/>
      <c r="QRA44" s="6"/>
      <c r="QRB44" s="6"/>
      <c r="QRC44" s="6"/>
      <c r="QRD44" s="6"/>
      <c r="QRE44" s="6"/>
      <c r="QRF44" s="6"/>
      <c r="QRG44" s="6"/>
      <c r="QRH44" s="6"/>
      <c r="QRI44" s="6"/>
      <c r="QRJ44" s="6"/>
      <c r="QRK44" s="6"/>
      <c r="QRL44" s="6"/>
      <c r="QRM44" s="6"/>
      <c r="QRN44" s="6"/>
      <c r="QRO44" s="6"/>
      <c r="QRP44" s="6"/>
      <c r="QRQ44" s="6"/>
      <c r="QRR44" s="6"/>
      <c r="QRS44" s="6"/>
      <c r="QRT44" s="6"/>
      <c r="QRU44" s="6"/>
      <c r="QRV44" s="6"/>
      <c r="QRW44" s="6"/>
      <c r="QRX44" s="6"/>
      <c r="QRY44" s="6"/>
      <c r="QRZ44" s="6"/>
      <c r="QSA44" s="6"/>
      <c r="QSB44" s="6"/>
      <c r="QSC44" s="6"/>
      <c r="QSD44" s="6"/>
      <c r="QSE44" s="6"/>
      <c r="QSF44" s="6"/>
      <c r="QSG44" s="6"/>
      <c r="QSH44" s="6"/>
      <c r="QSI44" s="6"/>
      <c r="QSJ44" s="6"/>
      <c r="QSK44" s="6"/>
      <c r="QSL44" s="6"/>
      <c r="QSM44" s="6"/>
      <c r="QSN44" s="6"/>
      <c r="QSO44" s="6"/>
      <c r="QSP44" s="6"/>
      <c r="QSQ44" s="6"/>
      <c r="QSR44" s="6"/>
      <c r="QSS44" s="6"/>
      <c r="QST44" s="6"/>
      <c r="QSU44" s="6"/>
      <c r="QSV44" s="6"/>
      <c r="QSW44" s="6"/>
      <c r="QSX44" s="6"/>
      <c r="QSY44" s="6"/>
      <c r="QSZ44" s="6"/>
      <c r="QTA44" s="6"/>
      <c r="QTB44" s="6"/>
      <c r="QTC44" s="6"/>
      <c r="QTD44" s="6"/>
      <c r="QTE44" s="6"/>
      <c r="QTF44" s="6"/>
      <c r="QTG44" s="6"/>
      <c r="QTH44" s="6"/>
      <c r="QTI44" s="6"/>
      <c r="QTJ44" s="6"/>
      <c r="QTK44" s="6"/>
      <c r="QTL44" s="6"/>
      <c r="QTM44" s="6"/>
      <c r="QTN44" s="6"/>
      <c r="QTO44" s="6"/>
      <c r="QTP44" s="6"/>
      <c r="QTQ44" s="6"/>
      <c r="QTR44" s="6"/>
      <c r="QTS44" s="6"/>
      <c r="QTT44" s="6"/>
      <c r="QTU44" s="6"/>
      <c r="QTV44" s="6"/>
      <c r="QTW44" s="6"/>
      <c r="QTX44" s="6"/>
      <c r="QTY44" s="6"/>
      <c r="QTZ44" s="6"/>
      <c r="QUA44" s="6"/>
      <c r="QUB44" s="6"/>
      <c r="QUC44" s="6"/>
      <c r="QUD44" s="6"/>
      <c r="QUE44" s="6"/>
      <c r="QUF44" s="6"/>
      <c r="QUG44" s="6"/>
      <c r="QUH44" s="6"/>
      <c r="QUI44" s="6"/>
      <c r="QUJ44" s="6"/>
      <c r="QUK44" s="6"/>
      <c r="QUL44" s="6"/>
      <c r="QUM44" s="6"/>
      <c r="QUN44" s="6"/>
      <c r="QUO44" s="6"/>
      <c r="QUP44" s="6"/>
      <c r="QUQ44" s="6"/>
      <c r="QUR44" s="6"/>
      <c r="QUS44" s="6"/>
      <c r="QUT44" s="6"/>
      <c r="QUU44" s="6"/>
      <c r="QUV44" s="6"/>
      <c r="QUW44" s="6"/>
      <c r="QUX44" s="6"/>
      <c r="QUY44" s="6"/>
      <c r="QUZ44" s="6"/>
      <c r="QVA44" s="6"/>
      <c r="QVB44" s="6"/>
      <c r="QVC44" s="6"/>
      <c r="QVD44" s="6"/>
      <c r="QVE44" s="6"/>
      <c r="QVF44" s="6"/>
      <c r="QVG44" s="6"/>
      <c r="QVH44" s="6"/>
      <c r="QVI44" s="6"/>
      <c r="QVJ44" s="6"/>
      <c r="QVK44" s="6"/>
      <c r="QVL44" s="6"/>
      <c r="QVM44" s="6"/>
      <c r="QVN44" s="6"/>
      <c r="QVO44" s="6"/>
      <c r="QVP44" s="6"/>
      <c r="QVQ44" s="6"/>
      <c r="QVR44" s="6"/>
      <c r="QVS44" s="6"/>
      <c r="QVT44" s="6"/>
      <c r="QVU44" s="6"/>
      <c r="QVV44" s="6"/>
      <c r="QVW44" s="6"/>
      <c r="QVX44" s="6"/>
      <c r="QVY44" s="6"/>
      <c r="QVZ44" s="6"/>
      <c r="QWA44" s="6"/>
      <c r="QWB44" s="6"/>
      <c r="QWC44" s="6"/>
      <c r="QWD44" s="6"/>
      <c r="QWE44" s="6"/>
      <c r="QWF44" s="6"/>
      <c r="QWG44" s="6"/>
      <c r="QWH44" s="6"/>
      <c r="QWI44" s="6"/>
      <c r="QWJ44" s="6"/>
      <c r="QWK44" s="6"/>
      <c r="QWL44" s="6"/>
      <c r="QWM44" s="6"/>
      <c r="QWN44" s="6"/>
      <c r="QWO44" s="6"/>
      <c r="QWP44" s="6"/>
      <c r="QWQ44" s="6"/>
      <c r="QWR44" s="6"/>
      <c r="QWS44" s="6"/>
      <c r="QWT44" s="6"/>
      <c r="QWU44" s="6"/>
      <c r="QWV44" s="6"/>
      <c r="QWW44" s="6"/>
      <c r="QWX44" s="6"/>
      <c r="QWY44" s="6"/>
      <c r="QWZ44" s="6"/>
      <c r="QXA44" s="6"/>
      <c r="QXB44" s="6"/>
      <c r="QXC44" s="6"/>
      <c r="QXD44" s="6"/>
      <c r="QXE44" s="6"/>
      <c r="QXF44" s="6"/>
      <c r="QXG44" s="6"/>
      <c r="QXH44" s="6"/>
      <c r="QXI44" s="6"/>
      <c r="QXJ44" s="6"/>
      <c r="QXK44" s="6"/>
      <c r="QXL44" s="6"/>
      <c r="QXM44" s="6"/>
      <c r="QXN44" s="6"/>
      <c r="QXO44" s="6"/>
      <c r="QXP44" s="6"/>
      <c r="QXQ44" s="6"/>
      <c r="QXR44" s="6"/>
      <c r="QXS44" s="6"/>
      <c r="QXT44" s="6"/>
      <c r="QXU44" s="6"/>
      <c r="QXV44" s="6"/>
      <c r="QXW44" s="6"/>
      <c r="QXX44" s="6"/>
      <c r="QXY44" s="6"/>
      <c r="QXZ44" s="6"/>
      <c r="QYA44" s="6"/>
      <c r="QYB44" s="6"/>
      <c r="QYC44" s="6"/>
      <c r="QYD44" s="6"/>
      <c r="QYE44" s="6"/>
      <c r="QYF44" s="6"/>
      <c r="QYG44" s="6"/>
      <c r="QYH44" s="6"/>
      <c r="QYI44" s="6"/>
      <c r="QYJ44" s="6"/>
      <c r="QYK44" s="6"/>
      <c r="QYL44" s="6"/>
      <c r="QYM44" s="6"/>
      <c r="QYN44" s="6"/>
      <c r="QYO44" s="6"/>
      <c r="QYP44" s="6"/>
      <c r="QYQ44" s="6"/>
      <c r="QYR44" s="6"/>
      <c r="QYS44" s="6"/>
      <c r="QYT44" s="6"/>
      <c r="QYU44" s="6"/>
      <c r="QYV44" s="6"/>
      <c r="QYW44" s="6"/>
      <c r="QYX44" s="6"/>
      <c r="QYY44" s="6"/>
      <c r="QYZ44" s="6"/>
      <c r="QZA44" s="6"/>
      <c r="QZB44" s="6"/>
      <c r="QZC44" s="6"/>
      <c r="QZD44" s="6"/>
      <c r="QZE44" s="6"/>
      <c r="QZF44" s="6"/>
      <c r="QZG44" s="6"/>
      <c r="QZH44" s="6"/>
      <c r="QZI44" s="6"/>
      <c r="QZJ44" s="6"/>
      <c r="QZK44" s="6"/>
      <c r="QZL44" s="6"/>
      <c r="QZM44" s="6"/>
      <c r="QZN44" s="6"/>
      <c r="QZO44" s="6"/>
      <c r="QZP44" s="6"/>
      <c r="QZQ44" s="6"/>
      <c r="QZR44" s="6"/>
      <c r="QZS44" s="6"/>
      <c r="QZT44" s="6"/>
      <c r="QZU44" s="6"/>
      <c r="QZV44" s="6"/>
      <c r="QZW44" s="6"/>
      <c r="QZX44" s="6"/>
      <c r="QZY44" s="6"/>
      <c r="QZZ44" s="6"/>
      <c r="RAA44" s="6"/>
      <c r="RAB44" s="6"/>
      <c r="RAC44" s="6"/>
      <c r="RAD44" s="6"/>
      <c r="RAE44" s="6"/>
      <c r="RAF44" s="6"/>
      <c r="RAG44" s="6"/>
      <c r="RAH44" s="6"/>
      <c r="RAI44" s="6"/>
      <c r="RAJ44" s="6"/>
      <c r="RAK44" s="6"/>
      <c r="RAL44" s="6"/>
      <c r="RAM44" s="6"/>
      <c r="RAN44" s="6"/>
      <c r="RAO44" s="6"/>
      <c r="RAP44" s="6"/>
      <c r="RAQ44" s="6"/>
      <c r="RAR44" s="6"/>
      <c r="RAS44" s="6"/>
      <c r="RAT44" s="6"/>
      <c r="RAU44" s="6"/>
      <c r="RAV44" s="6"/>
      <c r="RAW44" s="6"/>
      <c r="RAX44" s="6"/>
      <c r="RAY44" s="6"/>
      <c r="RAZ44" s="6"/>
      <c r="RBA44" s="6"/>
      <c r="RBB44" s="6"/>
      <c r="RBC44" s="6"/>
      <c r="RBD44" s="6"/>
      <c r="RBE44" s="6"/>
      <c r="RBF44" s="6"/>
      <c r="RBG44" s="6"/>
      <c r="RBH44" s="6"/>
      <c r="RBI44" s="6"/>
      <c r="RBJ44" s="6"/>
      <c r="RBK44" s="6"/>
      <c r="RBL44" s="6"/>
      <c r="RBM44" s="6"/>
      <c r="RBN44" s="6"/>
      <c r="RBO44" s="6"/>
      <c r="RBP44" s="6"/>
      <c r="RBQ44" s="6"/>
      <c r="RBR44" s="6"/>
      <c r="RBS44" s="6"/>
      <c r="RBT44" s="6"/>
      <c r="RBU44" s="6"/>
      <c r="RBV44" s="6"/>
      <c r="RBW44" s="6"/>
      <c r="RBX44" s="6"/>
      <c r="RBY44" s="6"/>
      <c r="RBZ44" s="6"/>
      <c r="RCA44" s="6"/>
      <c r="RCB44" s="6"/>
      <c r="RCC44" s="6"/>
      <c r="RCD44" s="6"/>
      <c r="RCE44" s="6"/>
      <c r="RCF44" s="6"/>
      <c r="RCG44" s="6"/>
      <c r="RCH44" s="6"/>
      <c r="RCI44" s="6"/>
      <c r="RCJ44" s="6"/>
      <c r="RCK44" s="6"/>
      <c r="RCL44" s="6"/>
      <c r="RCM44" s="6"/>
      <c r="RCN44" s="6"/>
      <c r="RCO44" s="6"/>
      <c r="RCP44" s="6"/>
      <c r="RCQ44" s="6"/>
      <c r="RCR44" s="6"/>
      <c r="RCS44" s="6"/>
      <c r="RCT44" s="6"/>
      <c r="RCU44" s="6"/>
      <c r="RCV44" s="6"/>
      <c r="RCW44" s="6"/>
      <c r="RCX44" s="6"/>
      <c r="RCY44" s="6"/>
      <c r="RCZ44" s="6"/>
      <c r="RDA44" s="6"/>
      <c r="RDB44" s="6"/>
      <c r="RDC44" s="6"/>
      <c r="RDD44" s="6"/>
      <c r="RDE44" s="6"/>
      <c r="RDF44" s="6"/>
      <c r="RDG44" s="6"/>
      <c r="RDH44" s="6"/>
      <c r="RDI44" s="6"/>
      <c r="RDJ44" s="6"/>
      <c r="RDK44" s="6"/>
      <c r="RDL44" s="6"/>
      <c r="RDM44" s="6"/>
      <c r="RDN44" s="6"/>
      <c r="RDO44" s="6"/>
      <c r="RDP44" s="6"/>
      <c r="RDQ44" s="6"/>
      <c r="RDR44" s="6"/>
      <c r="RDS44" s="6"/>
      <c r="RDT44" s="6"/>
      <c r="RDU44" s="6"/>
      <c r="RDV44" s="6"/>
      <c r="RDW44" s="6"/>
      <c r="RDX44" s="6"/>
      <c r="RDY44" s="6"/>
      <c r="RDZ44" s="6"/>
      <c r="REA44" s="6"/>
      <c r="REB44" s="6"/>
      <c r="REC44" s="6"/>
      <c r="RED44" s="6"/>
      <c r="REE44" s="6"/>
      <c r="REF44" s="6"/>
      <c r="REG44" s="6"/>
      <c r="REH44" s="6"/>
      <c r="REI44" s="6"/>
      <c r="REJ44" s="6"/>
      <c r="REK44" s="6"/>
      <c r="REL44" s="6"/>
      <c r="REM44" s="6"/>
      <c r="REN44" s="6"/>
      <c r="REO44" s="6"/>
      <c r="REP44" s="6"/>
      <c r="REQ44" s="6"/>
      <c r="RER44" s="6"/>
      <c r="RES44" s="6"/>
      <c r="RET44" s="6"/>
      <c r="REU44" s="6"/>
      <c r="REV44" s="6"/>
      <c r="REW44" s="6"/>
      <c r="REX44" s="6"/>
      <c r="REY44" s="6"/>
      <c r="REZ44" s="6"/>
      <c r="RFA44" s="6"/>
      <c r="RFB44" s="6"/>
      <c r="RFC44" s="6"/>
      <c r="RFD44" s="6"/>
      <c r="RFE44" s="6"/>
      <c r="RFF44" s="6"/>
      <c r="RFG44" s="6"/>
      <c r="RFH44" s="6"/>
      <c r="RFI44" s="6"/>
      <c r="RFJ44" s="6"/>
      <c r="RFK44" s="6"/>
      <c r="RFL44" s="6"/>
      <c r="RFM44" s="6"/>
      <c r="RFN44" s="6"/>
      <c r="RFO44" s="6"/>
      <c r="RFP44" s="6"/>
      <c r="RFQ44" s="6"/>
      <c r="RFR44" s="6"/>
      <c r="RFS44" s="6"/>
      <c r="RFT44" s="6"/>
      <c r="RFU44" s="6"/>
      <c r="RFV44" s="6"/>
      <c r="RFW44" s="6"/>
      <c r="RFX44" s="6"/>
      <c r="RFY44" s="6"/>
      <c r="RFZ44" s="6"/>
      <c r="RGA44" s="6"/>
      <c r="RGB44" s="6"/>
      <c r="RGC44" s="6"/>
      <c r="RGD44" s="6"/>
      <c r="RGE44" s="6"/>
      <c r="RGF44" s="6"/>
      <c r="RGG44" s="6"/>
      <c r="RGH44" s="6"/>
      <c r="RGI44" s="6"/>
      <c r="RGJ44" s="6"/>
      <c r="RGK44" s="6"/>
      <c r="RGL44" s="6"/>
      <c r="RGM44" s="6"/>
      <c r="RGN44" s="6"/>
      <c r="RGO44" s="6"/>
      <c r="RGP44" s="6"/>
      <c r="RGQ44" s="6"/>
      <c r="RGR44" s="6"/>
      <c r="RGS44" s="6"/>
      <c r="RGT44" s="6"/>
      <c r="RGU44" s="6"/>
      <c r="RGV44" s="6"/>
      <c r="RGW44" s="6"/>
      <c r="RGX44" s="6"/>
      <c r="RGY44" s="6"/>
      <c r="RGZ44" s="6"/>
      <c r="RHA44" s="6"/>
      <c r="RHB44" s="6"/>
      <c r="RHC44" s="6"/>
      <c r="RHD44" s="6"/>
      <c r="RHE44" s="6"/>
      <c r="RHF44" s="6"/>
      <c r="RHG44" s="6"/>
      <c r="RHH44" s="6"/>
      <c r="RHI44" s="6"/>
      <c r="RHJ44" s="6"/>
      <c r="RHK44" s="6"/>
      <c r="RHL44" s="6"/>
      <c r="RHM44" s="6"/>
      <c r="RHN44" s="6"/>
      <c r="RHO44" s="6"/>
      <c r="RHP44" s="6"/>
      <c r="RHQ44" s="6"/>
      <c r="RHR44" s="6"/>
      <c r="RHS44" s="6"/>
      <c r="RHT44" s="6"/>
      <c r="RHU44" s="6"/>
      <c r="RHV44" s="6"/>
      <c r="RHW44" s="6"/>
      <c r="RHX44" s="6"/>
      <c r="RHY44" s="6"/>
      <c r="RHZ44" s="6"/>
      <c r="RIA44" s="6"/>
      <c r="RIB44" s="6"/>
      <c r="RIC44" s="6"/>
      <c r="RID44" s="6"/>
      <c r="RIE44" s="6"/>
      <c r="RIF44" s="6"/>
      <c r="RIG44" s="6"/>
      <c r="RIH44" s="6"/>
      <c r="RII44" s="6"/>
      <c r="RIJ44" s="6"/>
      <c r="RIK44" s="6"/>
      <c r="RIL44" s="6"/>
      <c r="RIM44" s="6"/>
      <c r="RIN44" s="6"/>
      <c r="RIO44" s="6"/>
      <c r="RIP44" s="6"/>
      <c r="RIQ44" s="6"/>
      <c r="RIR44" s="6"/>
      <c r="RIS44" s="6"/>
      <c r="RIT44" s="6"/>
      <c r="RIU44" s="6"/>
      <c r="RIV44" s="6"/>
      <c r="RIW44" s="6"/>
      <c r="RIX44" s="6"/>
      <c r="RIY44" s="6"/>
      <c r="RIZ44" s="6"/>
      <c r="RJA44" s="6"/>
      <c r="RJB44" s="6"/>
      <c r="RJC44" s="6"/>
      <c r="RJD44" s="6"/>
      <c r="RJE44" s="6"/>
      <c r="RJF44" s="6"/>
      <c r="RJG44" s="6"/>
      <c r="RJH44" s="6"/>
      <c r="RJI44" s="6"/>
      <c r="RJJ44" s="6"/>
      <c r="RJK44" s="6"/>
      <c r="RJL44" s="6"/>
      <c r="RJM44" s="6"/>
      <c r="RJN44" s="6"/>
      <c r="RJO44" s="6"/>
      <c r="RJP44" s="6"/>
      <c r="RJQ44" s="6"/>
      <c r="RJR44" s="6"/>
      <c r="RJS44" s="6"/>
      <c r="RJT44" s="6"/>
      <c r="RJU44" s="6"/>
      <c r="RJV44" s="6"/>
      <c r="RJW44" s="6"/>
      <c r="RJX44" s="6"/>
      <c r="RJY44" s="6"/>
      <c r="RJZ44" s="6"/>
      <c r="RKA44" s="6"/>
      <c r="RKB44" s="6"/>
      <c r="RKC44" s="6"/>
      <c r="RKD44" s="6"/>
      <c r="RKE44" s="6"/>
      <c r="RKF44" s="6"/>
      <c r="RKG44" s="6"/>
      <c r="RKH44" s="6"/>
      <c r="RKI44" s="6"/>
      <c r="RKJ44" s="6"/>
      <c r="RKK44" s="6"/>
      <c r="RKL44" s="6"/>
      <c r="RKM44" s="6"/>
      <c r="RKN44" s="6"/>
      <c r="RKO44" s="6"/>
      <c r="RKP44" s="6"/>
      <c r="RKQ44" s="6"/>
      <c r="RKR44" s="6"/>
      <c r="RKS44" s="6"/>
      <c r="RKT44" s="6"/>
      <c r="RKU44" s="6"/>
      <c r="RKV44" s="6"/>
      <c r="RKW44" s="6"/>
      <c r="RKX44" s="6"/>
      <c r="RKY44" s="6"/>
      <c r="RKZ44" s="6"/>
      <c r="RLA44" s="6"/>
      <c r="RLB44" s="6"/>
      <c r="RLC44" s="6"/>
      <c r="RLD44" s="6"/>
      <c r="RLE44" s="6"/>
      <c r="RLF44" s="6"/>
      <c r="RLG44" s="6"/>
      <c r="RLH44" s="6"/>
      <c r="RLI44" s="6"/>
      <c r="RLJ44" s="6"/>
      <c r="RLK44" s="6"/>
      <c r="RLL44" s="6"/>
      <c r="RLM44" s="6"/>
      <c r="RLN44" s="6"/>
      <c r="RLO44" s="6"/>
      <c r="RLP44" s="6"/>
      <c r="RLQ44" s="6"/>
      <c r="RLR44" s="6"/>
      <c r="RLS44" s="6"/>
      <c r="RLT44" s="6"/>
      <c r="RLU44" s="6"/>
      <c r="RLV44" s="6"/>
      <c r="RLW44" s="6"/>
      <c r="RLX44" s="6"/>
      <c r="RLY44" s="6"/>
      <c r="RLZ44" s="6"/>
      <c r="RMA44" s="6"/>
      <c r="RMB44" s="6"/>
      <c r="RMC44" s="6"/>
      <c r="RMD44" s="6"/>
      <c r="RME44" s="6"/>
      <c r="RMF44" s="6"/>
      <c r="RMG44" s="6"/>
      <c r="RMH44" s="6"/>
      <c r="RMI44" s="6"/>
      <c r="RMJ44" s="6"/>
      <c r="RMK44" s="6"/>
      <c r="RML44" s="6"/>
      <c r="RMM44" s="6"/>
      <c r="RMN44" s="6"/>
      <c r="RMO44" s="6"/>
      <c r="RMP44" s="6"/>
      <c r="RMQ44" s="6"/>
      <c r="RMR44" s="6"/>
      <c r="RMS44" s="6"/>
      <c r="RMT44" s="6"/>
      <c r="RMU44" s="6"/>
      <c r="RMV44" s="6"/>
      <c r="RMW44" s="6"/>
      <c r="RMX44" s="6"/>
      <c r="RMY44" s="6"/>
      <c r="RMZ44" s="6"/>
      <c r="RNA44" s="6"/>
      <c r="RNB44" s="6"/>
      <c r="RNC44" s="6"/>
      <c r="RND44" s="6"/>
      <c r="RNE44" s="6"/>
      <c r="RNF44" s="6"/>
      <c r="RNG44" s="6"/>
      <c r="RNH44" s="6"/>
      <c r="RNI44" s="6"/>
      <c r="RNJ44" s="6"/>
      <c r="RNK44" s="6"/>
      <c r="RNL44" s="6"/>
      <c r="RNM44" s="6"/>
      <c r="RNN44" s="6"/>
      <c r="RNO44" s="6"/>
      <c r="RNP44" s="6"/>
      <c r="RNQ44" s="6"/>
      <c r="RNR44" s="6"/>
      <c r="RNS44" s="6"/>
      <c r="RNT44" s="6"/>
      <c r="RNU44" s="6"/>
      <c r="RNV44" s="6"/>
      <c r="RNW44" s="6"/>
      <c r="RNX44" s="6"/>
      <c r="RNY44" s="6"/>
      <c r="RNZ44" s="6"/>
      <c r="ROA44" s="6"/>
      <c r="ROB44" s="6"/>
      <c r="ROC44" s="6"/>
      <c r="ROD44" s="6"/>
      <c r="ROE44" s="6"/>
      <c r="ROF44" s="6"/>
      <c r="ROG44" s="6"/>
      <c r="ROH44" s="6"/>
      <c r="ROI44" s="6"/>
      <c r="ROJ44" s="6"/>
      <c r="ROK44" s="6"/>
      <c r="ROL44" s="6"/>
      <c r="ROM44" s="6"/>
      <c r="RON44" s="6"/>
      <c r="ROO44" s="6"/>
      <c r="ROP44" s="6"/>
      <c r="ROQ44" s="6"/>
      <c r="ROR44" s="6"/>
      <c r="ROS44" s="6"/>
      <c r="ROT44" s="6"/>
      <c r="ROU44" s="6"/>
      <c r="ROV44" s="6"/>
      <c r="ROW44" s="6"/>
      <c r="ROX44" s="6"/>
      <c r="ROY44" s="6"/>
      <c r="ROZ44" s="6"/>
      <c r="RPA44" s="6"/>
      <c r="RPB44" s="6"/>
      <c r="RPC44" s="6"/>
      <c r="RPD44" s="6"/>
      <c r="RPE44" s="6"/>
      <c r="RPF44" s="6"/>
      <c r="RPG44" s="6"/>
      <c r="RPH44" s="6"/>
      <c r="RPI44" s="6"/>
      <c r="RPJ44" s="6"/>
      <c r="RPK44" s="6"/>
      <c r="RPL44" s="6"/>
      <c r="RPM44" s="6"/>
      <c r="RPN44" s="6"/>
      <c r="RPO44" s="6"/>
      <c r="RPP44" s="6"/>
      <c r="RPQ44" s="6"/>
      <c r="RPR44" s="6"/>
      <c r="RPS44" s="6"/>
      <c r="RPT44" s="6"/>
      <c r="RPU44" s="6"/>
      <c r="RPV44" s="6"/>
      <c r="RPW44" s="6"/>
      <c r="RPX44" s="6"/>
      <c r="RPY44" s="6"/>
      <c r="RPZ44" s="6"/>
      <c r="RQA44" s="6"/>
      <c r="RQB44" s="6"/>
      <c r="RQC44" s="6"/>
      <c r="RQD44" s="6"/>
      <c r="RQE44" s="6"/>
      <c r="RQF44" s="6"/>
      <c r="RQG44" s="6"/>
      <c r="RQH44" s="6"/>
      <c r="RQI44" s="6"/>
      <c r="RQJ44" s="6"/>
      <c r="RQK44" s="6"/>
      <c r="RQL44" s="6"/>
      <c r="RQM44" s="6"/>
      <c r="RQN44" s="6"/>
      <c r="RQO44" s="6"/>
      <c r="RQP44" s="6"/>
      <c r="RQQ44" s="6"/>
      <c r="RQR44" s="6"/>
      <c r="RQS44" s="6"/>
      <c r="RQT44" s="6"/>
      <c r="RQU44" s="6"/>
      <c r="RQV44" s="6"/>
      <c r="RQW44" s="6"/>
      <c r="RQX44" s="6"/>
      <c r="RQY44" s="6"/>
      <c r="RQZ44" s="6"/>
      <c r="RRA44" s="6"/>
      <c r="RRB44" s="6"/>
      <c r="RRC44" s="6"/>
      <c r="RRD44" s="6"/>
      <c r="RRE44" s="6"/>
      <c r="RRF44" s="6"/>
      <c r="RRG44" s="6"/>
      <c r="RRH44" s="6"/>
      <c r="RRI44" s="6"/>
      <c r="RRJ44" s="6"/>
      <c r="RRK44" s="6"/>
      <c r="RRL44" s="6"/>
      <c r="RRM44" s="6"/>
      <c r="RRN44" s="6"/>
      <c r="RRO44" s="6"/>
      <c r="RRP44" s="6"/>
      <c r="RRQ44" s="6"/>
      <c r="RRR44" s="6"/>
      <c r="RRS44" s="6"/>
      <c r="RRT44" s="6"/>
      <c r="RRU44" s="6"/>
      <c r="RRV44" s="6"/>
      <c r="RRW44" s="6"/>
      <c r="RRX44" s="6"/>
      <c r="RRY44" s="6"/>
      <c r="RRZ44" s="6"/>
      <c r="RSA44" s="6"/>
      <c r="RSB44" s="6"/>
      <c r="RSC44" s="6"/>
      <c r="RSD44" s="6"/>
      <c r="RSE44" s="6"/>
      <c r="RSF44" s="6"/>
      <c r="RSG44" s="6"/>
      <c r="RSH44" s="6"/>
      <c r="RSI44" s="6"/>
      <c r="RSJ44" s="6"/>
      <c r="RSK44" s="6"/>
      <c r="RSL44" s="6"/>
      <c r="RSM44" s="6"/>
      <c r="RSN44" s="6"/>
      <c r="RSO44" s="6"/>
      <c r="RSP44" s="6"/>
      <c r="RSQ44" s="6"/>
      <c r="RSR44" s="6"/>
      <c r="RSS44" s="6"/>
      <c r="RST44" s="6"/>
      <c r="RSU44" s="6"/>
      <c r="RSV44" s="6"/>
      <c r="RSW44" s="6"/>
      <c r="RSX44" s="6"/>
      <c r="RSY44" s="6"/>
      <c r="RSZ44" s="6"/>
      <c r="RTA44" s="6"/>
      <c r="RTB44" s="6"/>
      <c r="RTC44" s="6"/>
      <c r="RTD44" s="6"/>
      <c r="RTE44" s="6"/>
      <c r="RTF44" s="6"/>
      <c r="RTG44" s="6"/>
      <c r="RTH44" s="6"/>
      <c r="RTI44" s="6"/>
      <c r="RTJ44" s="6"/>
      <c r="RTK44" s="6"/>
      <c r="RTL44" s="6"/>
      <c r="RTM44" s="6"/>
      <c r="RTN44" s="6"/>
      <c r="RTO44" s="6"/>
      <c r="RTP44" s="6"/>
      <c r="RTQ44" s="6"/>
      <c r="RTR44" s="6"/>
      <c r="RTS44" s="6"/>
      <c r="RTT44" s="6"/>
      <c r="RTU44" s="6"/>
      <c r="RTV44" s="6"/>
      <c r="RTW44" s="6"/>
      <c r="RTX44" s="6"/>
      <c r="RTY44" s="6"/>
      <c r="RTZ44" s="6"/>
      <c r="RUA44" s="6"/>
      <c r="RUB44" s="6"/>
      <c r="RUC44" s="6"/>
      <c r="RUD44" s="6"/>
      <c r="RUE44" s="6"/>
      <c r="RUF44" s="6"/>
      <c r="RUG44" s="6"/>
      <c r="RUH44" s="6"/>
      <c r="RUI44" s="6"/>
      <c r="RUJ44" s="6"/>
      <c r="RUK44" s="6"/>
      <c r="RUL44" s="6"/>
      <c r="RUM44" s="6"/>
      <c r="RUN44" s="6"/>
      <c r="RUO44" s="6"/>
      <c r="RUP44" s="6"/>
      <c r="RUQ44" s="6"/>
      <c r="RUR44" s="6"/>
      <c r="RUS44" s="6"/>
      <c r="RUT44" s="6"/>
      <c r="RUU44" s="6"/>
      <c r="RUV44" s="6"/>
      <c r="RUW44" s="6"/>
      <c r="RUX44" s="6"/>
      <c r="RUY44" s="6"/>
      <c r="RUZ44" s="6"/>
      <c r="RVA44" s="6"/>
      <c r="RVB44" s="6"/>
      <c r="RVC44" s="6"/>
      <c r="RVD44" s="6"/>
      <c r="RVE44" s="6"/>
      <c r="RVF44" s="6"/>
      <c r="RVG44" s="6"/>
      <c r="RVH44" s="6"/>
      <c r="RVI44" s="6"/>
      <c r="RVJ44" s="6"/>
      <c r="RVK44" s="6"/>
      <c r="RVL44" s="6"/>
      <c r="RVM44" s="6"/>
      <c r="RVN44" s="6"/>
      <c r="RVO44" s="6"/>
      <c r="RVP44" s="6"/>
      <c r="RVQ44" s="6"/>
      <c r="RVR44" s="6"/>
      <c r="RVS44" s="6"/>
      <c r="RVT44" s="6"/>
      <c r="RVU44" s="6"/>
      <c r="RVV44" s="6"/>
      <c r="RVW44" s="6"/>
      <c r="RVX44" s="6"/>
      <c r="RVY44" s="6"/>
      <c r="RVZ44" s="6"/>
      <c r="RWA44" s="6"/>
      <c r="RWB44" s="6"/>
      <c r="RWC44" s="6"/>
      <c r="RWD44" s="6"/>
      <c r="RWE44" s="6"/>
      <c r="RWF44" s="6"/>
      <c r="RWG44" s="6"/>
      <c r="RWH44" s="6"/>
      <c r="RWI44" s="6"/>
      <c r="RWJ44" s="6"/>
      <c r="RWK44" s="6"/>
      <c r="RWL44" s="6"/>
      <c r="RWM44" s="6"/>
      <c r="RWN44" s="6"/>
      <c r="RWO44" s="6"/>
      <c r="RWP44" s="6"/>
      <c r="RWQ44" s="6"/>
      <c r="RWR44" s="6"/>
      <c r="RWS44" s="6"/>
      <c r="RWT44" s="6"/>
      <c r="RWU44" s="6"/>
      <c r="RWV44" s="6"/>
      <c r="RWW44" s="6"/>
      <c r="RWX44" s="6"/>
      <c r="RWY44" s="6"/>
      <c r="RWZ44" s="6"/>
      <c r="RXA44" s="6"/>
      <c r="RXB44" s="6"/>
      <c r="RXC44" s="6"/>
      <c r="RXD44" s="6"/>
      <c r="RXE44" s="6"/>
      <c r="RXF44" s="6"/>
      <c r="RXG44" s="6"/>
      <c r="RXH44" s="6"/>
      <c r="RXI44" s="6"/>
      <c r="RXJ44" s="6"/>
      <c r="RXK44" s="6"/>
      <c r="RXL44" s="6"/>
      <c r="RXM44" s="6"/>
      <c r="RXN44" s="6"/>
      <c r="RXO44" s="6"/>
      <c r="RXP44" s="6"/>
      <c r="RXQ44" s="6"/>
      <c r="RXR44" s="6"/>
      <c r="RXS44" s="6"/>
      <c r="RXT44" s="6"/>
      <c r="RXU44" s="6"/>
      <c r="RXV44" s="6"/>
      <c r="RXW44" s="6"/>
      <c r="RXX44" s="6"/>
      <c r="RXY44" s="6"/>
      <c r="RXZ44" s="6"/>
      <c r="RYA44" s="6"/>
      <c r="RYB44" s="6"/>
      <c r="RYC44" s="6"/>
      <c r="RYD44" s="6"/>
      <c r="RYE44" s="6"/>
      <c r="RYF44" s="6"/>
      <c r="RYG44" s="6"/>
      <c r="RYH44" s="6"/>
      <c r="RYI44" s="6"/>
      <c r="RYJ44" s="6"/>
      <c r="RYK44" s="6"/>
      <c r="RYL44" s="6"/>
      <c r="RYM44" s="6"/>
      <c r="RYN44" s="6"/>
      <c r="RYO44" s="6"/>
      <c r="RYP44" s="6"/>
      <c r="RYQ44" s="6"/>
      <c r="RYR44" s="6"/>
      <c r="RYS44" s="6"/>
      <c r="RYT44" s="6"/>
      <c r="RYU44" s="6"/>
      <c r="RYV44" s="6"/>
      <c r="RYW44" s="6"/>
      <c r="RYX44" s="6"/>
      <c r="RYY44" s="6"/>
      <c r="RYZ44" s="6"/>
      <c r="RZA44" s="6"/>
      <c r="RZB44" s="6"/>
      <c r="RZC44" s="6"/>
      <c r="RZD44" s="6"/>
      <c r="RZE44" s="6"/>
      <c r="RZF44" s="6"/>
      <c r="RZG44" s="6"/>
      <c r="RZH44" s="6"/>
      <c r="RZI44" s="6"/>
      <c r="RZJ44" s="6"/>
      <c r="RZK44" s="6"/>
      <c r="RZL44" s="6"/>
      <c r="RZM44" s="6"/>
      <c r="RZN44" s="6"/>
      <c r="RZO44" s="6"/>
      <c r="RZP44" s="6"/>
      <c r="RZQ44" s="6"/>
      <c r="RZR44" s="6"/>
      <c r="RZS44" s="6"/>
      <c r="RZT44" s="6"/>
      <c r="RZU44" s="6"/>
      <c r="RZV44" s="6"/>
      <c r="RZW44" s="6"/>
      <c r="RZX44" s="6"/>
      <c r="RZY44" s="6"/>
      <c r="RZZ44" s="6"/>
      <c r="SAA44" s="6"/>
      <c r="SAB44" s="6"/>
      <c r="SAC44" s="6"/>
      <c r="SAD44" s="6"/>
      <c r="SAE44" s="6"/>
      <c r="SAF44" s="6"/>
      <c r="SAG44" s="6"/>
      <c r="SAH44" s="6"/>
      <c r="SAI44" s="6"/>
      <c r="SAJ44" s="6"/>
      <c r="SAK44" s="6"/>
      <c r="SAL44" s="6"/>
      <c r="SAM44" s="6"/>
      <c r="SAN44" s="6"/>
      <c r="SAO44" s="6"/>
      <c r="SAP44" s="6"/>
      <c r="SAQ44" s="6"/>
      <c r="SAR44" s="6"/>
      <c r="SAS44" s="6"/>
      <c r="SAT44" s="6"/>
      <c r="SAU44" s="6"/>
      <c r="SAV44" s="6"/>
      <c r="SAW44" s="6"/>
      <c r="SAX44" s="6"/>
      <c r="SAY44" s="6"/>
      <c r="SAZ44" s="6"/>
      <c r="SBA44" s="6"/>
      <c r="SBB44" s="6"/>
      <c r="SBC44" s="6"/>
      <c r="SBD44" s="6"/>
      <c r="SBE44" s="6"/>
      <c r="SBF44" s="6"/>
      <c r="SBG44" s="6"/>
      <c r="SBH44" s="6"/>
      <c r="SBI44" s="6"/>
      <c r="SBJ44" s="6"/>
      <c r="SBK44" s="6"/>
      <c r="SBL44" s="6"/>
      <c r="SBM44" s="6"/>
      <c r="SBN44" s="6"/>
      <c r="SBO44" s="6"/>
      <c r="SBP44" s="6"/>
      <c r="SBQ44" s="6"/>
      <c r="SBR44" s="6"/>
      <c r="SBS44" s="6"/>
      <c r="SBT44" s="6"/>
      <c r="SBU44" s="6"/>
      <c r="SBV44" s="6"/>
      <c r="SBW44" s="6"/>
      <c r="SBX44" s="6"/>
      <c r="SBY44" s="6"/>
      <c r="SBZ44" s="6"/>
      <c r="SCA44" s="6"/>
      <c r="SCB44" s="6"/>
      <c r="SCC44" s="6"/>
      <c r="SCD44" s="6"/>
      <c r="SCE44" s="6"/>
      <c r="SCF44" s="6"/>
      <c r="SCG44" s="6"/>
      <c r="SCH44" s="6"/>
      <c r="SCI44" s="6"/>
      <c r="SCJ44" s="6"/>
      <c r="SCK44" s="6"/>
      <c r="SCL44" s="6"/>
      <c r="SCM44" s="6"/>
      <c r="SCN44" s="6"/>
      <c r="SCO44" s="6"/>
      <c r="SCP44" s="6"/>
      <c r="SCQ44" s="6"/>
      <c r="SCR44" s="6"/>
      <c r="SCS44" s="6"/>
      <c r="SCT44" s="6"/>
      <c r="SCU44" s="6"/>
      <c r="SCV44" s="6"/>
      <c r="SCW44" s="6"/>
      <c r="SCX44" s="6"/>
      <c r="SCY44" s="6"/>
      <c r="SCZ44" s="6"/>
      <c r="SDA44" s="6"/>
      <c r="SDB44" s="6"/>
      <c r="SDC44" s="6"/>
      <c r="SDD44" s="6"/>
      <c r="SDE44" s="6"/>
      <c r="SDF44" s="6"/>
      <c r="SDG44" s="6"/>
      <c r="SDH44" s="6"/>
      <c r="SDI44" s="6"/>
      <c r="SDJ44" s="6"/>
      <c r="SDK44" s="6"/>
      <c r="SDL44" s="6"/>
      <c r="SDM44" s="6"/>
      <c r="SDN44" s="6"/>
      <c r="SDO44" s="6"/>
      <c r="SDP44" s="6"/>
      <c r="SDQ44" s="6"/>
      <c r="SDR44" s="6"/>
      <c r="SDS44" s="6"/>
      <c r="SDT44" s="6"/>
      <c r="SDU44" s="6"/>
      <c r="SDV44" s="6"/>
      <c r="SDW44" s="6"/>
      <c r="SDX44" s="6"/>
      <c r="SDY44" s="6"/>
      <c r="SDZ44" s="6"/>
      <c r="SEA44" s="6"/>
      <c r="SEB44" s="6"/>
      <c r="SEC44" s="6"/>
      <c r="SED44" s="6"/>
      <c r="SEE44" s="6"/>
      <c r="SEF44" s="6"/>
      <c r="SEG44" s="6"/>
      <c r="SEH44" s="6"/>
      <c r="SEI44" s="6"/>
      <c r="SEJ44" s="6"/>
      <c r="SEK44" s="6"/>
      <c r="SEL44" s="6"/>
      <c r="SEM44" s="6"/>
      <c r="SEN44" s="6"/>
      <c r="SEO44" s="6"/>
      <c r="SEP44" s="6"/>
      <c r="SEQ44" s="6"/>
      <c r="SER44" s="6"/>
      <c r="SES44" s="6"/>
      <c r="SET44" s="6"/>
      <c r="SEU44" s="6"/>
      <c r="SEV44" s="6"/>
      <c r="SEW44" s="6"/>
      <c r="SEX44" s="6"/>
      <c r="SEY44" s="6"/>
      <c r="SEZ44" s="6"/>
      <c r="SFA44" s="6"/>
      <c r="SFB44" s="6"/>
      <c r="SFC44" s="6"/>
      <c r="SFD44" s="6"/>
      <c r="SFE44" s="6"/>
      <c r="SFF44" s="6"/>
      <c r="SFG44" s="6"/>
      <c r="SFH44" s="6"/>
      <c r="SFI44" s="6"/>
      <c r="SFJ44" s="6"/>
      <c r="SFK44" s="6"/>
      <c r="SFL44" s="6"/>
      <c r="SFM44" s="6"/>
      <c r="SFN44" s="6"/>
      <c r="SFO44" s="6"/>
      <c r="SFP44" s="6"/>
      <c r="SFQ44" s="6"/>
      <c r="SFR44" s="6"/>
      <c r="SFS44" s="6"/>
      <c r="SFT44" s="6"/>
      <c r="SFU44" s="6"/>
      <c r="SFV44" s="6"/>
      <c r="SFW44" s="6"/>
      <c r="SFX44" s="6"/>
      <c r="SFY44" s="6"/>
      <c r="SFZ44" s="6"/>
      <c r="SGA44" s="6"/>
      <c r="SGB44" s="6"/>
      <c r="SGC44" s="6"/>
      <c r="SGD44" s="6"/>
      <c r="SGE44" s="6"/>
      <c r="SGF44" s="6"/>
      <c r="SGG44" s="6"/>
      <c r="SGH44" s="6"/>
      <c r="SGI44" s="6"/>
      <c r="SGJ44" s="6"/>
      <c r="SGK44" s="6"/>
      <c r="SGL44" s="6"/>
      <c r="SGM44" s="6"/>
      <c r="SGN44" s="6"/>
      <c r="SGO44" s="6"/>
      <c r="SGP44" s="6"/>
      <c r="SGQ44" s="6"/>
      <c r="SGR44" s="6"/>
      <c r="SGS44" s="6"/>
      <c r="SGT44" s="6"/>
      <c r="SGU44" s="6"/>
      <c r="SGV44" s="6"/>
      <c r="SGW44" s="6"/>
      <c r="SGX44" s="6"/>
      <c r="SGY44" s="6"/>
      <c r="SGZ44" s="6"/>
      <c r="SHA44" s="6"/>
      <c r="SHB44" s="6"/>
      <c r="SHC44" s="6"/>
      <c r="SHD44" s="6"/>
      <c r="SHE44" s="6"/>
      <c r="SHF44" s="6"/>
      <c r="SHG44" s="6"/>
      <c r="SHH44" s="6"/>
      <c r="SHI44" s="6"/>
      <c r="SHJ44" s="6"/>
      <c r="SHK44" s="6"/>
      <c r="SHL44" s="6"/>
      <c r="SHM44" s="6"/>
      <c r="SHN44" s="6"/>
      <c r="SHO44" s="6"/>
      <c r="SHP44" s="6"/>
      <c r="SHQ44" s="6"/>
      <c r="SHR44" s="6"/>
      <c r="SHS44" s="6"/>
      <c r="SHT44" s="6"/>
      <c r="SHU44" s="6"/>
      <c r="SHV44" s="6"/>
      <c r="SHW44" s="6"/>
      <c r="SHX44" s="6"/>
      <c r="SHY44" s="6"/>
      <c r="SHZ44" s="6"/>
      <c r="SIA44" s="6"/>
      <c r="SIB44" s="6"/>
      <c r="SIC44" s="6"/>
      <c r="SID44" s="6"/>
      <c r="SIE44" s="6"/>
      <c r="SIF44" s="6"/>
      <c r="SIG44" s="6"/>
      <c r="SIH44" s="6"/>
      <c r="SII44" s="6"/>
      <c r="SIJ44" s="6"/>
      <c r="SIK44" s="6"/>
      <c r="SIL44" s="6"/>
      <c r="SIM44" s="6"/>
      <c r="SIN44" s="6"/>
      <c r="SIO44" s="6"/>
      <c r="SIP44" s="6"/>
      <c r="SIQ44" s="6"/>
      <c r="SIR44" s="6"/>
      <c r="SIS44" s="6"/>
      <c r="SIT44" s="6"/>
      <c r="SIU44" s="6"/>
      <c r="SIV44" s="6"/>
      <c r="SIW44" s="6"/>
      <c r="SIX44" s="6"/>
      <c r="SIY44" s="6"/>
      <c r="SIZ44" s="6"/>
      <c r="SJA44" s="6"/>
      <c r="SJB44" s="6"/>
      <c r="SJC44" s="6"/>
      <c r="SJD44" s="6"/>
      <c r="SJE44" s="6"/>
      <c r="SJF44" s="6"/>
      <c r="SJG44" s="6"/>
      <c r="SJH44" s="6"/>
      <c r="SJI44" s="6"/>
      <c r="SJJ44" s="6"/>
      <c r="SJK44" s="6"/>
      <c r="SJL44" s="6"/>
      <c r="SJM44" s="6"/>
      <c r="SJN44" s="6"/>
      <c r="SJO44" s="6"/>
      <c r="SJP44" s="6"/>
      <c r="SJQ44" s="6"/>
      <c r="SJR44" s="6"/>
      <c r="SJS44" s="6"/>
      <c r="SJT44" s="6"/>
      <c r="SJU44" s="6"/>
      <c r="SJV44" s="6"/>
      <c r="SJW44" s="6"/>
      <c r="SJX44" s="6"/>
      <c r="SJY44" s="6"/>
      <c r="SJZ44" s="6"/>
      <c r="SKA44" s="6"/>
      <c r="SKB44" s="6"/>
      <c r="SKC44" s="6"/>
      <c r="SKD44" s="6"/>
      <c r="SKE44" s="6"/>
      <c r="SKF44" s="6"/>
      <c r="SKG44" s="6"/>
      <c r="SKH44" s="6"/>
      <c r="SKI44" s="6"/>
      <c r="SKJ44" s="6"/>
      <c r="SKK44" s="6"/>
      <c r="SKL44" s="6"/>
      <c r="SKM44" s="6"/>
      <c r="SKN44" s="6"/>
      <c r="SKO44" s="6"/>
      <c r="SKP44" s="6"/>
      <c r="SKQ44" s="6"/>
      <c r="SKR44" s="6"/>
      <c r="SKS44" s="6"/>
      <c r="SKT44" s="6"/>
      <c r="SKU44" s="6"/>
      <c r="SKV44" s="6"/>
      <c r="SKW44" s="6"/>
      <c r="SKX44" s="6"/>
      <c r="SKY44" s="6"/>
      <c r="SKZ44" s="6"/>
      <c r="SLA44" s="6"/>
      <c r="SLB44" s="6"/>
      <c r="SLC44" s="6"/>
      <c r="SLD44" s="6"/>
      <c r="SLE44" s="6"/>
      <c r="SLF44" s="6"/>
      <c r="SLG44" s="6"/>
      <c r="SLH44" s="6"/>
      <c r="SLI44" s="6"/>
      <c r="SLJ44" s="6"/>
      <c r="SLK44" s="6"/>
      <c r="SLL44" s="6"/>
      <c r="SLM44" s="6"/>
      <c r="SLN44" s="6"/>
      <c r="SLO44" s="6"/>
      <c r="SLP44" s="6"/>
      <c r="SLQ44" s="6"/>
      <c r="SLR44" s="6"/>
      <c r="SLS44" s="6"/>
      <c r="SLT44" s="6"/>
      <c r="SLU44" s="6"/>
      <c r="SLV44" s="6"/>
      <c r="SLW44" s="6"/>
      <c r="SLX44" s="6"/>
      <c r="SLY44" s="6"/>
      <c r="SLZ44" s="6"/>
      <c r="SMA44" s="6"/>
      <c r="SMB44" s="6"/>
      <c r="SMC44" s="6"/>
      <c r="SMD44" s="6"/>
      <c r="SME44" s="6"/>
      <c r="SMF44" s="6"/>
      <c r="SMG44" s="6"/>
      <c r="SMH44" s="6"/>
      <c r="SMI44" s="6"/>
      <c r="SMJ44" s="6"/>
      <c r="SMK44" s="6"/>
      <c r="SML44" s="6"/>
      <c r="SMM44" s="6"/>
      <c r="SMN44" s="6"/>
      <c r="SMO44" s="6"/>
      <c r="SMP44" s="6"/>
      <c r="SMQ44" s="6"/>
      <c r="SMR44" s="6"/>
      <c r="SMS44" s="6"/>
      <c r="SMT44" s="6"/>
      <c r="SMU44" s="6"/>
      <c r="SMV44" s="6"/>
      <c r="SMW44" s="6"/>
      <c r="SMX44" s="6"/>
      <c r="SMY44" s="6"/>
      <c r="SMZ44" s="6"/>
      <c r="SNA44" s="6"/>
      <c r="SNB44" s="6"/>
      <c r="SNC44" s="6"/>
      <c r="SND44" s="6"/>
      <c r="SNE44" s="6"/>
      <c r="SNF44" s="6"/>
      <c r="SNG44" s="6"/>
      <c r="SNH44" s="6"/>
      <c r="SNI44" s="6"/>
      <c r="SNJ44" s="6"/>
      <c r="SNK44" s="6"/>
      <c r="SNL44" s="6"/>
      <c r="SNM44" s="6"/>
      <c r="SNN44" s="6"/>
      <c r="SNO44" s="6"/>
      <c r="SNP44" s="6"/>
      <c r="SNQ44" s="6"/>
      <c r="SNR44" s="6"/>
      <c r="SNS44" s="6"/>
      <c r="SNT44" s="6"/>
      <c r="SNU44" s="6"/>
      <c r="SNV44" s="6"/>
      <c r="SNW44" s="6"/>
      <c r="SNX44" s="6"/>
      <c r="SNY44" s="6"/>
      <c r="SNZ44" s="6"/>
      <c r="SOA44" s="6"/>
      <c r="SOB44" s="6"/>
      <c r="SOC44" s="6"/>
      <c r="SOD44" s="6"/>
      <c r="SOE44" s="6"/>
      <c r="SOF44" s="6"/>
      <c r="SOG44" s="6"/>
      <c r="SOH44" s="6"/>
      <c r="SOI44" s="6"/>
      <c r="SOJ44" s="6"/>
      <c r="SOK44" s="6"/>
      <c r="SOL44" s="6"/>
      <c r="SOM44" s="6"/>
      <c r="SON44" s="6"/>
      <c r="SOO44" s="6"/>
      <c r="SOP44" s="6"/>
      <c r="SOQ44" s="6"/>
      <c r="SOR44" s="6"/>
      <c r="SOS44" s="6"/>
      <c r="SOT44" s="6"/>
      <c r="SOU44" s="6"/>
      <c r="SOV44" s="6"/>
      <c r="SOW44" s="6"/>
      <c r="SOX44" s="6"/>
      <c r="SOY44" s="6"/>
      <c r="SOZ44" s="6"/>
      <c r="SPA44" s="6"/>
      <c r="SPB44" s="6"/>
      <c r="SPC44" s="6"/>
      <c r="SPD44" s="6"/>
      <c r="SPE44" s="6"/>
      <c r="SPF44" s="6"/>
      <c r="SPG44" s="6"/>
      <c r="SPH44" s="6"/>
      <c r="SPI44" s="6"/>
      <c r="SPJ44" s="6"/>
      <c r="SPK44" s="6"/>
      <c r="SPL44" s="6"/>
      <c r="SPM44" s="6"/>
      <c r="SPN44" s="6"/>
      <c r="SPO44" s="6"/>
      <c r="SPP44" s="6"/>
      <c r="SPQ44" s="6"/>
      <c r="SPR44" s="6"/>
      <c r="SPS44" s="6"/>
      <c r="SPT44" s="6"/>
      <c r="SPU44" s="6"/>
      <c r="SPV44" s="6"/>
      <c r="SPW44" s="6"/>
      <c r="SPX44" s="6"/>
      <c r="SPY44" s="6"/>
      <c r="SPZ44" s="6"/>
      <c r="SQA44" s="6"/>
      <c r="SQB44" s="6"/>
      <c r="SQC44" s="6"/>
      <c r="SQD44" s="6"/>
      <c r="SQE44" s="6"/>
      <c r="SQF44" s="6"/>
      <c r="SQG44" s="6"/>
      <c r="SQH44" s="6"/>
      <c r="SQI44" s="6"/>
      <c r="SQJ44" s="6"/>
      <c r="SQK44" s="6"/>
      <c r="SQL44" s="6"/>
      <c r="SQM44" s="6"/>
      <c r="SQN44" s="6"/>
      <c r="SQO44" s="6"/>
      <c r="SQP44" s="6"/>
      <c r="SQQ44" s="6"/>
      <c r="SQR44" s="6"/>
      <c r="SQS44" s="6"/>
      <c r="SQT44" s="6"/>
      <c r="SQU44" s="6"/>
      <c r="SQV44" s="6"/>
      <c r="SQW44" s="6"/>
      <c r="SQX44" s="6"/>
      <c r="SQY44" s="6"/>
      <c r="SQZ44" s="6"/>
      <c r="SRA44" s="6"/>
      <c r="SRB44" s="6"/>
      <c r="SRC44" s="6"/>
      <c r="SRD44" s="6"/>
      <c r="SRE44" s="6"/>
      <c r="SRF44" s="6"/>
      <c r="SRG44" s="6"/>
      <c r="SRH44" s="6"/>
      <c r="SRI44" s="6"/>
      <c r="SRJ44" s="6"/>
      <c r="SRK44" s="6"/>
      <c r="SRL44" s="6"/>
      <c r="SRM44" s="6"/>
      <c r="SRN44" s="6"/>
      <c r="SRO44" s="6"/>
      <c r="SRP44" s="6"/>
      <c r="SRQ44" s="6"/>
      <c r="SRR44" s="6"/>
      <c r="SRS44" s="6"/>
      <c r="SRT44" s="6"/>
      <c r="SRU44" s="6"/>
      <c r="SRV44" s="6"/>
      <c r="SRW44" s="6"/>
      <c r="SRX44" s="6"/>
      <c r="SRY44" s="6"/>
      <c r="SRZ44" s="6"/>
      <c r="SSA44" s="6"/>
      <c r="SSB44" s="6"/>
      <c r="SSC44" s="6"/>
      <c r="SSD44" s="6"/>
      <c r="SSE44" s="6"/>
      <c r="SSF44" s="6"/>
      <c r="SSG44" s="6"/>
      <c r="SSH44" s="6"/>
      <c r="SSI44" s="6"/>
      <c r="SSJ44" s="6"/>
      <c r="SSK44" s="6"/>
      <c r="SSL44" s="6"/>
      <c r="SSM44" s="6"/>
      <c r="SSN44" s="6"/>
      <c r="SSO44" s="6"/>
      <c r="SSP44" s="6"/>
      <c r="SSQ44" s="6"/>
      <c r="SSR44" s="6"/>
      <c r="SSS44" s="6"/>
      <c r="SST44" s="6"/>
      <c r="SSU44" s="6"/>
      <c r="SSV44" s="6"/>
      <c r="SSW44" s="6"/>
      <c r="SSX44" s="6"/>
      <c r="SSY44" s="6"/>
      <c r="SSZ44" s="6"/>
      <c r="STA44" s="6"/>
      <c r="STB44" s="6"/>
      <c r="STC44" s="6"/>
      <c r="STD44" s="6"/>
      <c r="STE44" s="6"/>
      <c r="STF44" s="6"/>
      <c r="STG44" s="6"/>
      <c r="STH44" s="6"/>
      <c r="STI44" s="6"/>
      <c r="STJ44" s="6"/>
      <c r="STK44" s="6"/>
      <c r="STL44" s="6"/>
      <c r="STM44" s="6"/>
      <c r="STN44" s="6"/>
      <c r="STO44" s="6"/>
      <c r="STP44" s="6"/>
      <c r="STQ44" s="6"/>
      <c r="STR44" s="6"/>
      <c r="STS44" s="6"/>
      <c r="STT44" s="6"/>
      <c r="STU44" s="6"/>
      <c r="STV44" s="6"/>
      <c r="STW44" s="6"/>
      <c r="STX44" s="6"/>
      <c r="STY44" s="6"/>
      <c r="STZ44" s="6"/>
      <c r="SUA44" s="6"/>
      <c r="SUB44" s="6"/>
      <c r="SUC44" s="6"/>
      <c r="SUD44" s="6"/>
      <c r="SUE44" s="6"/>
      <c r="SUF44" s="6"/>
      <c r="SUG44" s="6"/>
      <c r="SUH44" s="6"/>
      <c r="SUI44" s="6"/>
      <c r="SUJ44" s="6"/>
      <c r="SUK44" s="6"/>
      <c r="SUL44" s="6"/>
      <c r="SUM44" s="6"/>
      <c r="SUN44" s="6"/>
      <c r="SUO44" s="6"/>
      <c r="SUP44" s="6"/>
      <c r="SUQ44" s="6"/>
      <c r="SUR44" s="6"/>
      <c r="SUS44" s="6"/>
      <c r="SUT44" s="6"/>
      <c r="SUU44" s="6"/>
      <c r="SUV44" s="6"/>
      <c r="SUW44" s="6"/>
      <c r="SUX44" s="6"/>
      <c r="SUY44" s="6"/>
      <c r="SUZ44" s="6"/>
      <c r="SVA44" s="6"/>
      <c r="SVB44" s="6"/>
      <c r="SVC44" s="6"/>
      <c r="SVD44" s="6"/>
      <c r="SVE44" s="6"/>
      <c r="SVF44" s="6"/>
      <c r="SVG44" s="6"/>
      <c r="SVH44" s="6"/>
      <c r="SVI44" s="6"/>
      <c r="SVJ44" s="6"/>
      <c r="SVK44" s="6"/>
      <c r="SVL44" s="6"/>
      <c r="SVM44" s="6"/>
      <c r="SVN44" s="6"/>
      <c r="SVO44" s="6"/>
      <c r="SVP44" s="6"/>
      <c r="SVQ44" s="6"/>
      <c r="SVR44" s="6"/>
      <c r="SVS44" s="6"/>
      <c r="SVT44" s="6"/>
      <c r="SVU44" s="6"/>
      <c r="SVV44" s="6"/>
      <c r="SVW44" s="6"/>
      <c r="SVX44" s="6"/>
      <c r="SVY44" s="6"/>
      <c r="SVZ44" s="6"/>
      <c r="SWA44" s="6"/>
      <c r="SWB44" s="6"/>
      <c r="SWC44" s="6"/>
      <c r="SWD44" s="6"/>
      <c r="SWE44" s="6"/>
      <c r="SWF44" s="6"/>
      <c r="SWG44" s="6"/>
      <c r="SWH44" s="6"/>
      <c r="SWI44" s="6"/>
      <c r="SWJ44" s="6"/>
      <c r="SWK44" s="6"/>
      <c r="SWL44" s="6"/>
      <c r="SWM44" s="6"/>
      <c r="SWN44" s="6"/>
      <c r="SWO44" s="6"/>
      <c r="SWP44" s="6"/>
      <c r="SWQ44" s="6"/>
      <c r="SWR44" s="6"/>
      <c r="SWS44" s="6"/>
      <c r="SWT44" s="6"/>
      <c r="SWU44" s="6"/>
      <c r="SWV44" s="6"/>
      <c r="SWW44" s="6"/>
      <c r="SWX44" s="6"/>
      <c r="SWY44" s="6"/>
      <c r="SWZ44" s="6"/>
      <c r="SXA44" s="6"/>
      <c r="SXB44" s="6"/>
      <c r="SXC44" s="6"/>
      <c r="SXD44" s="6"/>
      <c r="SXE44" s="6"/>
      <c r="SXF44" s="6"/>
      <c r="SXG44" s="6"/>
      <c r="SXH44" s="6"/>
      <c r="SXI44" s="6"/>
      <c r="SXJ44" s="6"/>
      <c r="SXK44" s="6"/>
      <c r="SXL44" s="6"/>
      <c r="SXM44" s="6"/>
      <c r="SXN44" s="6"/>
      <c r="SXO44" s="6"/>
      <c r="SXP44" s="6"/>
      <c r="SXQ44" s="6"/>
      <c r="SXR44" s="6"/>
      <c r="SXS44" s="6"/>
      <c r="SXT44" s="6"/>
      <c r="SXU44" s="6"/>
      <c r="SXV44" s="6"/>
      <c r="SXW44" s="6"/>
      <c r="SXX44" s="6"/>
      <c r="SXY44" s="6"/>
      <c r="SXZ44" s="6"/>
      <c r="SYA44" s="6"/>
      <c r="SYB44" s="6"/>
      <c r="SYC44" s="6"/>
      <c r="SYD44" s="6"/>
      <c r="SYE44" s="6"/>
      <c r="SYF44" s="6"/>
      <c r="SYG44" s="6"/>
      <c r="SYH44" s="6"/>
      <c r="SYI44" s="6"/>
      <c r="SYJ44" s="6"/>
      <c r="SYK44" s="6"/>
      <c r="SYL44" s="6"/>
      <c r="SYM44" s="6"/>
      <c r="SYN44" s="6"/>
      <c r="SYO44" s="6"/>
      <c r="SYP44" s="6"/>
      <c r="SYQ44" s="6"/>
      <c r="SYR44" s="6"/>
      <c r="SYS44" s="6"/>
      <c r="SYT44" s="6"/>
      <c r="SYU44" s="6"/>
      <c r="SYV44" s="6"/>
      <c r="SYW44" s="6"/>
      <c r="SYX44" s="6"/>
      <c r="SYY44" s="6"/>
      <c r="SYZ44" s="6"/>
      <c r="SZA44" s="6"/>
      <c r="SZB44" s="6"/>
      <c r="SZC44" s="6"/>
      <c r="SZD44" s="6"/>
      <c r="SZE44" s="6"/>
      <c r="SZF44" s="6"/>
      <c r="SZG44" s="6"/>
      <c r="SZH44" s="6"/>
      <c r="SZI44" s="6"/>
      <c r="SZJ44" s="6"/>
      <c r="SZK44" s="6"/>
      <c r="SZL44" s="6"/>
      <c r="SZM44" s="6"/>
      <c r="SZN44" s="6"/>
      <c r="SZO44" s="6"/>
      <c r="SZP44" s="6"/>
      <c r="SZQ44" s="6"/>
      <c r="SZR44" s="6"/>
      <c r="SZS44" s="6"/>
      <c r="SZT44" s="6"/>
      <c r="SZU44" s="6"/>
      <c r="SZV44" s="6"/>
      <c r="SZW44" s="6"/>
      <c r="SZX44" s="6"/>
      <c r="SZY44" s="6"/>
      <c r="SZZ44" s="6"/>
      <c r="TAA44" s="6"/>
      <c r="TAB44" s="6"/>
      <c r="TAC44" s="6"/>
      <c r="TAD44" s="6"/>
      <c r="TAE44" s="6"/>
      <c r="TAF44" s="6"/>
      <c r="TAG44" s="6"/>
      <c r="TAH44" s="6"/>
      <c r="TAI44" s="6"/>
      <c r="TAJ44" s="6"/>
      <c r="TAK44" s="6"/>
      <c r="TAL44" s="6"/>
      <c r="TAM44" s="6"/>
      <c r="TAN44" s="6"/>
      <c r="TAO44" s="6"/>
      <c r="TAP44" s="6"/>
      <c r="TAQ44" s="6"/>
      <c r="TAR44" s="6"/>
      <c r="TAS44" s="6"/>
      <c r="TAT44" s="6"/>
      <c r="TAU44" s="6"/>
      <c r="TAV44" s="6"/>
      <c r="TAW44" s="6"/>
      <c r="TAX44" s="6"/>
      <c r="TAY44" s="6"/>
      <c r="TAZ44" s="6"/>
      <c r="TBA44" s="6"/>
      <c r="TBB44" s="6"/>
      <c r="TBC44" s="6"/>
      <c r="TBD44" s="6"/>
      <c r="TBE44" s="6"/>
      <c r="TBF44" s="6"/>
      <c r="TBG44" s="6"/>
      <c r="TBH44" s="6"/>
      <c r="TBI44" s="6"/>
      <c r="TBJ44" s="6"/>
      <c r="TBK44" s="6"/>
      <c r="TBL44" s="6"/>
      <c r="TBM44" s="6"/>
      <c r="TBN44" s="6"/>
      <c r="TBO44" s="6"/>
      <c r="TBP44" s="6"/>
      <c r="TBQ44" s="6"/>
      <c r="TBR44" s="6"/>
      <c r="TBS44" s="6"/>
      <c r="TBT44" s="6"/>
      <c r="TBU44" s="6"/>
      <c r="TBV44" s="6"/>
      <c r="TBW44" s="6"/>
      <c r="TBX44" s="6"/>
      <c r="TBY44" s="6"/>
      <c r="TBZ44" s="6"/>
      <c r="TCA44" s="6"/>
      <c r="TCB44" s="6"/>
      <c r="TCC44" s="6"/>
      <c r="TCD44" s="6"/>
      <c r="TCE44" s="6"/>
      <c r="TCF44" s="6"/>
      <c r="TCG44" s="6"/>
      <c r="TCH44" s="6"/>
      <c r="TCI44" s="6"/>
      <c r="TCJ44" s="6"/>
      <c r="TCK44" s="6"/>
      <c r="TCL44" s="6"/>
      <c r="TCM44" s="6"/>
      <c r="TCN44" s="6"/>
      <c r="TCO44" s="6"/>
      <c r="TCP44" s="6"/>
      <c r="TCQ44" s="6"/>
      <c r="TCR44" s="6"/>
      <c r="TCS44" s="6"/>
      <c r="TCT44" s="6"/>
      <c r="TCU44" s="6"/>
      <c r="TCV44" s="6"/>
      <c r="TCW44" s="6"/>
      <c r="TCX44" s="6"/>
      <c r="TCY44" s="6"/>
      <c r="TCZ44" s="6"/>
      <c r="TDA44" s="6"/>
      <c r="TDB44" s="6"/>
      <c r="TDC44" s="6"/>
      <c r="TDD44" s="6"/>
      <c r="TDE44" s="6"/>
      <c r="TDF44" s="6"/>
      <c r="TDG44" s="6"/>
      <c r="TDH44" s="6"/>
      <c r="TDI44" s="6"/>
      <c r="TDJ44" s="6"/>
      <c r="TDK44" s="6"/>
      <c r="TDL44" s="6"/>
      <c r="TDM44" s="6"/>
      <c r="TDN44" s="6"/>
      <c r="TDO44" s="6"/>
      <c r="TDP44" s="6"/>
      <c r="TDQ44" s="6"/>
      <c r="TDR44" s="6"/>
      <c r="TDS44" s="6"/>
      <c r="TDT44" s="6"/>
      <c r="TDU44" s="6"/>
      <c r="TDV44" s="6"/>
      <c r="TDW44" s="6"/>
      <c r="TDX44" s="6"/>
      <c r="TDY44" s="6"/>
      <c r="TDZ44" s="6"/>
      <c r="TEA44" s="6"/>
      <c r="TEB44" s="6"/>
      <c r="TEC44" s="6"/>
      <c r="TED44" s="6"/>
      <c r="TEE44" s="6"/>
      <c r="TEF44" s="6"/>
      <c r="TEG44" s="6"/>
      <c r="TEH44" s="6"/>
      <c r="TEI44" s="6"/>
      <c r="TEJ44" s="6"/>
      <c r="TEK44" s="6"/>
      <c r="TEL44" s="6"/>
      <c r="TEM44" s="6"/>
      <c r="TEN44" s="6"/>
      <c r="TEO44" s="6"/>
      <c r="TEP44" s="6"/>
      <c r="TEQ44" s="6"/>
      <c r="TER44" s="6"/>
      <c r="TES44" s="6"/>
      <c r="TET44" s="6"/>
      <c r="TEU44" s="6"/>
      <c r="TEV44" s="6"/>
      <c r="TEW44" s="6"/>
      <c r="TEX44" s="6"/>
      <c r="TEY44" s="6"/>
      <c r="TEZ44" s="6"/>
      <c r="TFA44" s="6"/>
      <c r="TFB44" s="6"/>
      <c r="TFC44" s="6"/>
      <c r="TFD44" s="6"/>
      <c r="TFE44" s="6"/>
      <c r="TFF44" s="6"/>
      <c r="TFG44" s="6"/>
      <c r="TFH44" s="6"/>
      <c r="TFI44" s="6"/>
      <c r="TFJ44" s="6"/>
      <c r="TFK44" s="6"/>
      <c r="TFL44" s="6"/>
      <c r="TFM44" s="6"/>
      <c r="TFN44" s="6"/>
      <c r="TFO44" s="6"/>
      <c r="TFP44" s="6"/>
      <c r="TFQ44" s="6"/>
      <c r="TFR44" s="6"/>
      <c r="TFS44" s="6"/>
      <c r="TFT44" s="6"/>
      <c r="TFU44" s="6"/>
      <c r="TFV44" s="6"/>
      <c r="TFW44" s="6"/>
      <c r="TFX44" s="6"/>
      <c r="TFY44" s="6"/>
      <c r="TFZ44" s="6"/>
      <c r="TGA44" s="6"/>
      <c r="TGB44" s="6"/>
      <c r="TGC44" s="6"/>
      <c r="TGD44" s="6"/>
      <c r="TGE44" s="6"/>
      <c r="TGF44" s="6"/>
      <c r="TGG44" s="6"/>
      <c r="TGH44" s="6"/>
      <c r="TGI44" s="6"/>
      <c r="TGJ44" s="6"/>
      <c r="TGK44" s="6"/>
      <c r="TGL44" s="6"/>
      <c r="TGM44" s="6"/>
      <c r="TGN44" s="6"/>
      <c r="TGO44" s="6"/>
      <c r="TGP44" s="6"/>
      <c r="TGQ44" s="6"/>
      <c r="TGR44" s="6"/>
      <c r="TGS44" s="6"/>
      <c r="TGT44" s="6"/>
      <c r="TGU44" s="6"/>
      <c r="TGV44" s="6"/>
      <c r="TGW44" s="6"/>
      <c r="TGX44" s="6"/>
      <c r="TGY44" s="6"/>
      <c r="TGZ44" s="6"/>
      <c r="THA44" s="6"/>
      <c r="THB44" s="6"/>
      <c r="THC44" s="6"/>
      <c r="THD44" s="6"/>
      <c r="THE44" s="6"/>
      <c r="THF44" s="6"/>
      <c r="THG44" s="6"/>
      <c r="THH44" s="6"/>
      <c r="THI44" s="6"/>
      <c r="THJ44" s="6"/>
      <c r="THK44" s="6"/>
      <c r="THL44" s="6"/>
      <c r="THM44" s="6"/>
      <c r="THN44" s="6"/>
      <c r="THO44" s="6"/>
      <c r="THP44" s="6"/>
      <c r="THQ44" s="6"/>
      <c r="THR44" s="6"/>
      <c r="THS44" s="6"/>
      <c r="THT44" s="6"/>
      <c r="THU44" s="6"/>
      <c r="THV44" s="6"/>
      <c r="THW44" s="6"/>
      <c r="THX44" s="6"/>
      <c r="THY44" s="6"/>
      <c r="THZ44" s="6"/>
      <c r="TIA44" s="6"/>
      <c r="TIB44" s="6"/>
      <c r="TIC44" s="6"/>
      <c r="TID44" s="6"/>
      <c r="TIE44" s="6"/>
      <c r="TIF44" s="6"/>
      <c r="TIG44" s="6"/>
      <c r="TIH44" s="6"/>
      <c r="TII44" s="6"/>
      <c r="TIJ44" s="6"/>
      <c r="TIK44" s="6"/>
      <c r="TIL44" s="6"/>
      <c r="TIM44" s="6"/>
      <c r="TIN44" s="6"/>
      <c r="TIO44" s="6"/>
      <c r="TIP44" s="6"/>
      <c r="TIQ44" s="6"/>
      <c r="TIR44" s="6"/>
      <c r="TIS44" s="6"/>
      <c r="TIT44" s="6"/>
      <c r="TIU44" s="6"/>
      <c r="TIV44" s="6"/>
      <c r="TIW44" s="6"/>
      <c r="TIX44" s="6"/>
      <c r="TIY44" s="6"/>
      <c r="TIZ44" s="6"/>
      <c r="TJA44" s="6"/>
      <c r="TJB44" s="6"/>
      <c r="TJC44" s="6"/>
      <c r="TJD44" s="6"/>
      <c r="TJE44" s="6"/>
      <c r="TJF44" s="6"/>
      <c r="TJG44" s="6"/>
      <c r="TJH44" s="6"/>
      <c r="TJI44" s="6"/>
      <c r="TJJ44" s="6"/>
      <c r="TJK44" s="6"/>
      <c r="TJL44" s="6"/>
      <c r="TJM44" s="6"/>
      <c r="TJN44" s="6"/>
      <c r="TJO44" s="6"/>
      <c r="TJP44" s="6"/>
      <c r="TJQ44" s="6"/>
      <c r="TJR44" s="6"/>
      <c r="TJS44" s="6"/>
      <c r="TJT44" s="6"/>
      <c r="TJU44" s="6"/>
      <c r="TJV44" s="6"/>
      <c r="TJW44" s="6"/>
      <c r="TJX44" s="6"/>
      <c r="TJY44" s="6"/>
      <c r="TJZ44" s="6"/>
      <c r="TKA44" s="6"/>
      <c r="TKB44" s="6"/>
      <c r="TKC44" s="6"/>
      <c r="TKD44" s="6"/>
      <c r="TKE44" s="6"/>
      <c r="TKF44" s="6"/>
      <c r="TKG44" s="6"/>
      <c r="TKH44" s="6"/>
      <c r="TKI44" s="6"/>
      <c r="TKJ44" s="6"/>
      <c r="TKK44" s="6"/>
      <c r="TKL44" s="6"/>
      <c r="TKM44" s="6"/>
      <c r="TKN44" s="6"/>
      <c r="TKO44" s="6"/>
      <c r="TKP44" s="6"/>
      <c r="TKQ44" s="6"/>
      <c r="TKR44" s="6"/>
      <c r="TKS44" s="6"/>
      <c r="TKT44" s="6"/>
      <c r="TKU44" s="6"/>
      <c r="TKV44" s="6"/>
      <c r="TKW44" s="6"/>
      <c r="TKX44" s="6"/>
      <c r="TKY44" s="6"/>
      <c r="TKZ44" s="6"/>
      <c r="TLA44" s="6"/>
      <c r="TLB44" s="6"/>
      <c r="TLC44" s="6"/>
      <c r="TLD44" s="6"/>
      <c r="TLE44" s="6"/>
      <c r="TLF44" s="6"/>
      <c r="TLG44" s="6"/>
      <c r="TLH44" s="6"/>
      <c r="TLI44" s="6"/>
      <c r="TLJ44" s="6"/>
      <c r="TLK44" s="6"/>
      <c r="TLL44" s="6"/>
      <c r="TLM44" s="6"/>
      <c r="TLN44" s="6"/>
      <c r="TLO44" s="6"/>
      <c r="TLP44" s="6"/>
      <c r="TLQ44" s="6"/>
      <c r="TLR44" s="6"/>
      <c r="TLS44" s="6"/>
      <c r="TLT44" s="6"/>
      <c r="TLU44" s="6"/>
      <c r="TLV44" s="6"/>
      <c r="TLW44" s="6"/>
      <c r="TLX44" s="6"/>
      <c r="TLY44" s="6"/>
      <c r="TLZ44" s="6"/>
      <c r="TMA44" s="6"/>
      <c r="TMB44" s="6"/>
      <c r="TMC44" s="6"/>
      <c r="TMD44" s="6"/>
      <c r="TME44" s="6"/>
      <c r="TMF44" s="6"/>
      <c r="TMG44" s="6"/>
      <c r="TMH44" s="6"/>
      <c r="TMI44" s="6"/>
      <c r="TMJ44" s="6"/>
      <c r="TMK44" s="6"/>
      <c r="TML44" s="6"/>
      <c r="TMM44" s="6"/>
      <c r="TMN44" s="6"/>
      <c r="TMO44" s="6"/>
      <c r="TMP44" s="6"/>
      <c r="TMQ44" s="6"/>
      <c r="TMR44" s="6"/>
      <c r="TMS44" s="6"/>
      <c r="TMT44" s="6"/>
      <c r="TMU44" s="6"/>
      <c r="TMV44" s="6"/>
      <c r="TMW44" s="6"/>
      <c r="TMX44" s="6"/>
      <c r="TMY44" s="6"/>
      <c r="TMZ44" s="6"/>
      <c r="TNA44" s="6"/>
      <c r="TNB44" s="6"/>
      <c r="TNC44" s="6"/>
      <c r="TND44" s="6"/>
      <c r="TNE44" s="6"/>
      <c r="TNF44" s="6"/>
      <c r="TNG44" s="6"/>
      <c r="TNH44" s="6"/>
      <c r="TNI44" s="6"/>
      <c r="TNJ44" s="6"/>
      <c r="TNK44" s="6"/>
      <c r="TNL44" s="6"/>
      <c r="TNM44" s="6"/>
      <c r="TNN44" s="6"/>
      <c r="TNO44" s="6"/>
      <c r="TNP44" s="6"/>
      <c r="TNQ44" s="6"/>
      <c r="TNR44" s="6"/>
      <c r="TNS44" s="6"/>
      <c r="TNT44" s="6"/>
      <c r="TNU44" s="6"/>
      <c r="TNV44" s="6"/>
      <c r="TNW44" s="6"/>
      <c r="TNX44" s="6"/>
      <c r="TNY44" s="6"/>
      <c r="TNZ44" s="6"/>
      <c r="TOA44" s="6"/>
      <c r="TOB44" s="6"/>
      <c r="TOC44" s="6"/>
      <c r="TOD44" s="6"/>
      <c r="TOE44" s="6"/>
      <c r="TOF44" s="6"/>
      <c r="TOG44" s="6"/>
      <c r="TOH44" s="6"/>
      <c r="TOI44" s="6"/>
      <c r="TOJ44" s="6"/>
      <c r="TOK44" s="6"/>
      <c r="TOL44" s="6"/>
      <c r="TOM44" s="6"/>
      <c r="TON44" s="6"/>
      <c r="TOO44" s="6"/>
      <c r="TOP44" s="6"/>
      <c r="TOQ44" s="6"/>
      <c r="TOR44" s="6"/>
      <c r="TOS44" s="6"/>
      <c r="TOT44" s="6"/>
      <c r="TOU44" s="6"/>
      <c r="TOV44" s="6"/>
      <c r="TOW44" s="6"/>
      <c r="TOX44" s="6"/>
      <c r="TOY44" s="6"/>
      <c r="TOZ44" s="6"/>
      <c r="TPA44" s="6"/>
      <c r="TPB44" s="6"/>
      <c r="TPC44" s="6"/>
      <c r="TPD44" s="6"/>
      <c r="TPE44" s="6"/>
      <c r="TPF44" s="6"/>
      <c r="TPG44" s="6"/>
      <c r="TPH44" s="6"/>
      <c r="TPI44" s="6"/>
      <c r="TPJ44" s="6"/>
      <c r="TPK44" s="6"/>
      <c r="TPL44" s="6"/>
      <c r="TPM44" s="6"/>
      <c r="TPN44" s="6"/>
      <c r="TPO44" s="6"/>
      <c r="TPP44" s="6"/>
      <c r="TPQ44" s="6"/>
      <c r="TPR44" s="6"/>
      <c r="TPS44" s="6"/>
      <c r="TPT44" s="6"/>
      <c r="TPU44" s="6"/>
      <c r="TPV44" s="6"/>
      <c r="TPW44" s="6"/>
      <c r="TPX44" s="6"/>
      <c r="TPY44" s="6"/>
      <c r="TPZ44" s="6"/>
      <c r="TQA44" s="6"/>
      <c r="TQB44" s="6"/>
      <c r="TQC44" s="6"/>
      <c r="TQD44" s="6"/>
      <c r="TQE44" s="6"/>
      <c r="TQF44" s="6"/>
      <c r="TQG44" s="6"/>
      <c r="TQH44" s="6"/>
      <c r="TQI44" s="6"/>
      <c r="TQJ44" s="6"/>
      <c r="TQK44" s="6"/>
      <c r="TQL44" s="6"/>
      <c r="TQM44" s="6"/>
      <c r="TQN44" s="6"/>
      <c r="TQO44" s="6"/>
      <c r="TQP44" s="6"/>
      <c r="TQQ44" s="6"/>
      <c r="TQR44" s="6"/>
      <c r="TQS44" s="6"/>
      <c r="TQT44" s="6"/>
      <c r="TQU44" s="6"/>
      <c r="TQV44" s="6"/>
      <c r="TQW44" s="6"/>
      <c r="TQX44" s="6"/>
      <c r="TQY44" s="6"/>
      <c r="TQZ44" s="6"/>
      <c r="TRA44" s="6"/>
      <c r="TRB44" s="6"/>
      <c r="TRC44" s="6"/>
      <c r="TRD44" s="6"/>
      <c r="TRE44" s="6"/>
      <c r="TRF44" s="6"/>
      <c r="TRG44" s="6"/>
      <c r="TRH44" s="6"/>
      <c r="TRI44" s="6"/>
      <c r="TRJ44" s="6"/>
      <c r="TRK44" s="6"/>
      <c r="TRL44" s="6"/>
      <c r="TRM44" s="6"/>
      <c r="TRN44" s="6"/>
      <c r="TRO44" s="6"/>
      <c r="TRP44" s="6"/>
      <c r="TRQ44" s="6"/>
      <c r="TRR44" s="6"/>
      <c r="TRS44" s="6"/>
      <c r="TRT44" s="6"/>
      <c r="TRU44" s="6"/>
      <c r="TRV44" s="6"/>
      <c r="TRW44" s="6"/>
      <c r="TRX44" s="6"/>
      <c r="TRY44" s="6"/>
      <c r="TRZ44" s="6"/>
      <c r="TSA44" s="6"/>
      <c r="TSB44" s="6"/>
      <c r="TSC44" s="6"/>
      <c r="TSD44" s="6"/>
      <c r="TSE44" s="6"/>
      <c r="TSF44" s="6"/>
      <c r="TSG44" s="6"/>
      <c r="TSH44" s="6"/>
      <c r="TSI44" s="6"/>
      <c r="TSJ44" s="6"/>
      <c r="TSK44" s="6"/>
      <c r="TSL44" s="6"/>
      <c r="TSM44" s="6"/>
      <c r="TSN44" s="6"/>
      <c r="TSO44" s="6"/>
      <c r="TSP44" s="6"/>
      <c r="TSQ44" s="6"/>
      <c r="TSR44" s="6"/>
      <c r="TSS44" s="6"/>
      <c r="TST44" s="6"/>
      <c r="TSU44" s="6"/>
      <c r="TSV44" s="6"/>
      <c r="TSW44" s="6"/>
      <c r="TSX44" s="6"/>
      <c r="TSY44" s="6"/>
      <c r="TSZ44" s="6"/>
      <c r="TTA44" s="6"/>
      <c r="TTB44" s="6"/>
      <c r="TTC44" s="6"/>
      <c r="TTD44" s="6"/>
      <c r="TTE44" s="6"/>
      <c r="TTF44" s="6"/>
      <c r="TTG44" s="6"/>
      <c r="TTH44" s="6"/>
      <c r="TTI44" s="6"/>
      <c r="TTJ44" s="6"/>
      <c r="TTK44" s="6"/>
      <c r="TTL44" s="6"/>
      <c r="TTM44" s="6"/>
      <c r="TTN44" s="6"/>
      <c r="TTO44" s="6"/>
      <c r="TTP44" s="6"/>
      <c r="TTQ44" s="6"/>
      <c r="TTR44" s="6"/>
      <c r="TTS44" s="6"/>
      <c r="TTT44" s="6"/>
      <c r="TTU44" s="6"/>
      <c r="TTV44" s="6"/>
      <c r="TTW44" s="6"/>
      <c r="TTX44" s="6"/>
      <c r="TTY44" s="6"/>
      <c r="TTZ44" s="6"/>
      <c r="TUA44" s="6"/>
      <c r="TUB44" s="6"/>
      <c r="TUC44" s="6"/>
      <c r="TUD44" s="6"/>
      <c r="TUE44" s="6"/>
      <c r="TUF44" s="6"/>
      <c r="TUG44" s="6"/>
      <c r="TUH44" s="6"/>
      <c r="TUI44" s="6"/>
      <c r="TUJ44" s="6"/>
      <c r="TUK44" s="6"/>
      <c r="TUL44" s="6"/>
      <c r="TUM44" s="6"/>
      <c r="TUN44" s="6"/>
      <c r="TUO44" s="6"/>
      <c r="TUP44" s="6"/>
      <c r="TUQ44" s="6"/>
      <c r="TUR44" s="6"/>
      <c r="TUS44" s="6"/>
      <c r="TUT44" s="6"/>
      <c r="TUU44" s="6"/>
      <c r="TUV44" s="6"/>
      <c r="TUW44" s="6"/>
      <c r="TUX44" s="6"/>
      <c r="TUY44" s="6"/>
      <c r="TUZ44" s="6"/>
      <c r="TVA44" s="6"/>
      <c r="TVB44" s="6"/>
      <c r="TVC44" s="6"/>
      <c r="TVD44" s="6"/>
      <c r="TVE44" s="6"/>
      <c r="TVF44" s="6"/>
      <c r="TVG44" s="6"/>
      <c r="TVH44" s="6"/>
      <c r="TVI44" s="6"/>
      <c r="TVJ44" s="6"/>
      <c r="TVK44" s="6"/>
      <c r="TVL44" s="6"/>
      <c r="TVM44" s="6"/>
      <c r="TVN44" s="6"/>
      <c r="TVO44" s="6"/>
      <c r="TVP44" s="6"/>
      <c r="TVQ44" s="6"/>
      <c r="TVR44" s="6"/>
      <c r="TVS44" s="6"/>
      <c r="TVT44" s="6"/>
      <c r="TVU44" s="6"/>
      <c r="TVV44" s="6"/>
      <c r="TVW44" s="6"/>
      <c r="TVX44" s="6"/>
      <c r="TVY44" s="6"/>
      <c r="TVZ44" s="6"/>
      <c r="TWA44" s="6"/>
      <c r="TWB44" s="6"/>
      <c r="TWC44" s="6"/>
      <c r="TWD44" s="6"/>
      <c r="TWE44" s="6"/>
      <c r="TWF44" s="6"/>
      <c r="TWG44" s="6"/>
      <c r="TWH44" s="6"/>
      <c r="TWI44" s="6"/>
      <c r="TWJ44" s="6"/>
      <c r="TWK44" s="6"/>
      <c r="TWL44" s="6"/>
      <c r="TWM44" s="6"/>
      <c r="TWN44" s="6"/>
      <c r="TWO44" s="6"/>
      <c r="TWP44" s="6"/>
      <c r="TWQ44" s="6"/>
      <c r="TWR44" s="6"/>
      <c r="TWS44" s="6"/>
      <c r="TWT44" s="6"/>
      <c r="TWU44" s="6"/>
      <c r="TWV44" s="6"/>
      <c r="TWW44" s="6"/>
      <c r="TWX44" s="6"/>
      <c r="TWY44" s="6"/>
      <c r="TWZ44" s="6"/>
      <c r="TXA44" s="6"/>
      <c r="TXB44" s="6"/>
      <c r="TXC44" s="6"/>
      <c r="TXD44" s="6"/>
      <c r="TXE44" s="6"/>
      <c r="TXF44" s="6"/>
      <c r="TXG44" s="6"/>
      <c r="TXH44" s="6"/>
      <c r="TXI44" s="6"/>
      <c r="TXJ44" s="6"/>
      <c r="TXK44" s="6"/>
      <c r="TXL44" s="6"/>
      <c r="TXM44" s="6"/>
      <c r="TXN44" s="6"/>
      <c r="TXO44" s="6"/>
      <c r="TXP44" s="6"/>
      <c r="TXQ44" s="6"/>
      <c r="TXR44" s="6"/>
      <c r="TXS44" s="6"/>
      <c r="TXT44" s="6"/>
      <c r="TXU44" s="6"/>
      <c r="TXV44" s="6"/>
      <c r="TXW44" s="6"/>
      <c r="TXX44" s="6"/>
      <c r="TXY44" s="6"/>
      <c r="TXZ44" s="6"/>
      <c r="TYA44" s="6"/>
      <c r="TYB44" s="6"/>
      <c r="TYC44" s="6"/>
      <c r="TYD44" s="6"/>
      <c r="TYE44" s="6"/>
      <c r="TYF44" s="6"/>
      <c r="TYG44" s="6"/>
      <c r="TYH44" s="6"/>
      <c r="TYI44" s="6"/>
      <c r="TYJ44" s="6"/>
      <c r="TYK44" s="6"/>
      <c r="TYL44" s="6"/>
      <c r="TYM44" s="6"/>
      <c r="TYN44" s="6"/>
      <c r="TYO44" s="6"/>
      <c r="TYP44" s="6"/>
      <c r="TYQ44" s="6"/>
      <c r="TYR44" s="6"/>
      <c r="TYS44" s="6"/>
      <c r="TYT44" s="6"/>
      <c r="TYU44" s="6"/>
      <c r="TYV44" s="6"/>
      <c r="TYW44" s="6"/>
      <c r="TYX44" s="6"/>
      <c r="TYY44" s="6"/>
      <c r="TYZ44" s="6"/>
      <c r="TZA44" s="6"/>
      <c r="TZB44" s="6"/>
      <c r="TZC44" s="6"/>
      <c r="TZD44" s="6"/>
      <c r="TZE44" s="6"/>
      <c r="TZF44" s="6"/>
      <c r="TZG44" s="6"/>
      <c r="TZH44" s="6"/>
      <c r="TZI44" s="6"/>
      <c r="TZJ44" s="6"/>
      <c r="TZK44" s="6"/>
      <c r="TZL44" s="6"/>
      <c r="TZM44" s="6"/>
      <c r="TZN44" s="6"/>
      <c r="TZO44" s="6"/>
      <c r="TZP44" s="6"/>
      <c r="TZQ44" s="6"/>
      <c r="TZR44" s="6"/>
      <c r="TZS44" s="6"/>
      <c r="TZT44" s="6"/>
      <c r="TZU44" s="6"/>
      <c r="TZV44" s="6"/>
      <c r="TZW44" s="6"/>
      <c r="TZX44" s="6"/>
      <c r="TZY44" s="6"/>
      <c r="TZZ44" s="6"/>
      <c r="UAA44" s="6"/>
      <c r="UAB44" s="6"/>
      <c r="UAC44" s="6"/>
      <c r="UAD44" s="6"/>
      <c r="UAE44" s="6"/>
      <c r="UAF44" s="6"/>
      <c r="UAG44" s="6"/>
      <c r="UAH44" s="6"/>
      <c r="UAI44" s="6"/>
      <c r="UAJ44" s="6"/>
      <c r="UAK44" s="6"/>
      <c r="UAL44" s="6"/>
      <c r="UAM44" s="6"/>
      <c r="UAN44" s="6"/>
      <c r="UAO44" s="6"/>
      <c r="UAP44" s="6"/>
      <c r="UAQ44" s="6"/>
      <c r="UAR44" s="6"/>
      <c r="UAS44" s="6"/>
      <c r="UAT44" s="6"/>
      <c r="UAU44" s="6"/>
      <c r="UAV44" s="6"/>
      <c r="UAW44" s="6"/>
      <c r="UAX44" s="6"/>
      <c r="UAY44" s="6"/>
      <c r="UAZ44" s="6"/>
      <c r="UBA44" s="6"/>
      <c r="UBB44" s="6"/>
      <c r="UBC44" s="6"/>
      <c r="UBD44" s="6"/>
      <c r="UBE44" s="6"/>
      <c r="UBF44" s="6"/>
      <c r="UBG44" s="6"/>
      <c r="UBH44" s="6"/>
      <c r="UBI44" s="6"/>
      <c r="UBJ44" s="6"/>
      <c r="UBK44" s="6"/>
      <c r="UBL44" s="6"/>
      <c r="UBM44" s="6"/>
      <c r="UBN44" s="6"/>
      <c r="UBO44" s="6"/>
      <c r="UBP44" s="6"/>
      <c r="UBQ44" s="6"/>
      <c r="UBR44" s="6"/>
      <c r="UBS44" s="6"/>
      <c r="UBT44" s="6"/>
      <c r="UBU44" s="6"/>
      <c r="UBV44" s="6"/>
      <c r="UBW44" s="6"/>
      <c r="UBX44" s="6"/>
      <c r="UBY44" s="6"/>
      <c r="UBZ44" s="6"/>
      <c r="UCA44" s="6"/>
      <c r="UCB44" s="6"/>
      <c r="UCC44" s="6"/>
      <c r="UCD44" s="6"/>
      <c r="UCE44" s="6"/>
      <c r="UCF44" s="6"/>
      <c r="UCG44" s="6"/>
      <c r="UCH44" s="6"/>
      <c r="UCI44" s="6"/>
      <c r="UCJ44" s="6"/>
      <c r="UCK44" s="6"/>
      <c r="UCL44" s="6"/>
      <c r="UCM44" s="6"/>
      <c r="UCN44" s="6"/>
      <c r="UCO44" s="6"/>
      <c r="UCP44" s="6"/>
      <c r="UCQ44" s="6"/>
      <c r="UCR44" s="6"/>
      <c r="UCS44" s="6"/>
      <c r="UCT44" s="6"/>
      <c r="UCU44" s="6"/>
      <c r="UCV44" s="6"/>
      <c r="UCW44" s="6"/>
      <c r="UCX44" s="6"/>
      <c r="UCY44" s="6"/>
      <c r="UCZ44" s="6"/>
      <c r="UDA44" s="6"/>
      <c r="UDB44" s="6"/>
      <c r="UDC44" s="6"/>
      <c r="UDD44" s="6"/>
      <c r="UDE44" s="6"/>
      <c r="UDF44" s="6"/>
      <c r="UDG44" s="6"/>
      <c r="UDH44" s="6"/>
      <c r="UDI44" s="6"/>
      <c r="UDJ44" s="6"/>
      <c r="UDK44" s="6"/>
      <c r="UDL44" s="6"/>
      <c r="UDM44" s="6"/>
      <c r="UDN44" s="6"/>
      <c r="UDO44" s="6"/>
      <c r="UDP44" s="6"/>
      <c r="UDQ44" s="6"/>
      <c r="UDR44" s="6"/>
      <c r="UDS44" s="6"/>
      <c r="UDT44" s="6"/>
      <c r="UDU44" s="6"/>
      <c r="UDV44" s="6"/>
      <c r="UDW44" s="6"/>
      <c r="UDX44" s="6"/>
      <c r="UDY44" s="6"/>
      <c r="UDZ44" s="6"/>
      <c r="UEA44" s="6"/>
      <c r="UEB44" s="6"/>
      <c r="UEC44" s="6"/>
      <c r="UED44" s="6"/>
      <c r="UEE44" s="6"/>
      <c r="UEF44" s="6"/>
      <c r="UEG44" s="6"/>
      <c r="UEH44" s="6"/>
      <c r="UEI44" s="6"/>
      <c r="UEJ44" s="6"/>
      <c r="UEK44" s="6"/>
      <c r="UEL44" s="6"/>
      <c r="UEM44" s="6"/>
      <c r="UEN44" s="6"/>
      <c r="UEO44" s="6"/>
      <c r="UEP44" s="6"/>
      <c r="UEQ44" s="6"/>
      <c r="UER44" s="6"/>
      <c r="UES44" s="6"/>
      <c r="UET44" s="6"/>
      <c r="UEU44" s="6"/>
      <c r="UEV44" s="6"/>
      <c r="UEW44" s="6"/>
      <c r="UEX44" s="6"/>
      <c r="UEY44" s="6"/>
      <c r="UEZ44" s="6"/>
      <c r="UFA44" s="6"/>
      <c r="UFB44" s="6"/>
      <c r="UFC44" s="6"/>
      <c r="UFD44" s="6"/>
      <c r="UFE44" s="6"/>
      <c r="UFF44" s="6"/>
      <c r="UFG44" s="6"/>
      <c r="UFH44" s="6"/>
      <c r="UFI44" s="6"/>
      <c r="UFJ44" s="6"/>
      <c r="UFK44" s="6"/>
      <c r="UFL44" s="6"/>
      <c r="UFM44" s="6"/>
      <c r="UFN44" s="6"/>
      <c r="UFO44" s="6"/>
      <c r="UFP44" s="6"/>
      <c r="UFQ44" s="6"/>
      <c r="UFR44" s="6"/>
      <c r="UFS44" s="6"/>
      <c r="UFT44" s="6"/>
      <c r="UFU44" s="6"/>
      <c r="UFV44" s="6"/>
      <c r="UFW44" s="6"/>
      <c r="UFX44" s="6"/>
      <c r="UFY44" s="6"/>
      <c r="UFZ44" s="6"/>
      <c r="UGA44" s="6"/>
      <c r="UGB44" s="6"/>
      <c r="UGC44" s="6"/>
      <c r="UGD44" s="6"/>
      <c r="UGE44" s="6"/>
      <c r="UGF44" s="6"/>
      <c r="UGG44" s="6"/>
      <c r="UGH44" s="6"/>
      <c r="UGI44" s="6"/>
      <c r="UGJ44" s="6"/>
      <c r="UGK44" s="6"/>
      <c r="UGL44" s="6"/>
      <c r="UGM44" s="6"/>
      <c r="UGN44" s="6"/>
      <c r="UGO44" s="6"/>
      <c r="UGP44" s="6"/>
      <c r="UGQ44" s="6"/>
      <c r="UGR44" s="6"/>
      <c r="UGS44" s="6"/>
      <c r="UGT44" s="6"/>
      <c r="UGU44" s="6"/>
      <c r="UGV44" s="6"/>
      <c r="UGW44" s="6"/>
      <c r="UGX44" s="6"/>
      <c r="UGY44" s="6"/>
      <c r="UGZ44" s="6"/>
      <c r="UHA44" s="6"/>
      <c r="UHB44" s="6"/>
      <c r="UHC44" s="6"/>
      <c r="UHD44" s="6"/>
      <c r="UHE44" s="6"/>
      <c r="UHF44" s="6"/>
      <c r="UHG44" s="6"/>
      <c r="UHH44" s="6"/>
      <c r="UHI44" s="6"/>
      <c r="UHJ44" s="6"/>
      <c r="UHK44" s="6"/>
      <c r="UHL44" s="6"/>
      <c r="UHM44" s="6"/>
      <c r="UHN44" s="6"/>
      <c r="UHO44" s="6"/>
      <c r="UHP44" s="6"/>
      <c r="UHQ44" s="6"/>
      <c r="UHR44" s="6"/>
      <c r="UHS44" s="6"/>
      <c r="UHT44" s="6"/>
      <c r="UHU44" s="6"/>
      <c r="UHV44" s="6"/>
      <c r="UHW44" s="6"/>
      <c r="UHX44" s="6"/>
      <c r="UHY44" s="6"/>
      <c r="UHZ44" s="6"/>
      <c r="UIA44" s="6"/>
      <c r="UIB44" s="6"/>
      <c r="UIC44" s="6"/>
      <c r="UID44" s="6"/>
      <c r="UIE44" s="6"/>
      <c r="UIF44" s="6"/>
      <c r="UIG44" s="6"/>
      <c r="UIH44" s="6"/>
      <c r="UII44" s="6"/>
      <c r="UIJ44" s="6"/>
      <c r="UIK44" s="6"/>
      <c r="UIL44" s="6"/>
      <c r="UIM44" s="6"/>
      <c r="UIN44" s="6"/>
      <c r="UIO44" s="6"/>
      <c r="UIP44" s="6"/>
      <c r="UIQ44" s="6"/>
      <c r="UIR44" s="6"/>
      <c r="UIS44" s="6"/>
      <c r="UIT44" s="6"/>
      <c r="UIU44" s="6"/>
      <c r="UIV44" s="6"/>
      <c r="UIW44" s="6"/>
      <c r="UIX44" s="6"/>
      <c r="UIY44" s="6"/>
      <c r="UIZ44" s="6"/>
      <c r="UJA44" s="6"/>
      <c r="UJB44" s="6"/>
      <c r="UJC44" s="6"/>
      <c r="UJD44" s="6"/>
      <c r="UJE44" s="6"/>
      <c r="UJF44" s="6"/>
      <c r="UJG44" s="6"/>
      <c r="UJH44" s="6"/>
      <c r="UJI44" s="6"/>
      <c r="UJJ44" s="6"/>
      <c r="UJK44" s="6"/>
      <c r="UJL44" s="6"/>
      <c r="UJM44" s="6"/>
      <c r="UJN44" s="6"/>
      <c r="UJO44" s="6"/>
      <c r="UJP44" s="6"/>
      <c r="UJQ44" s="6"/>
      <c r="UJR44" s="6"/>
      <c r="UJS44" s="6"/>
      <c r="UJT44" s="6"/>
      <c r="UJU44" s="6"/>
      <c r="UJV44" s="6"/>
      <c r="UJW44" s="6"/>
      <c r="UJX44" s="6"/>
      <c r="UJY44" s="6"/>
      <c r="UJZ44" s="6"/>
      <c r="UKA44" s="6"/>
      <c r="UKB44" s="6"/>
      <c r="UKC44" s="6"/>
      <c r="UKD44" s="6"/>
      <c r="UKE44" s="6"/>
      <c r="UKF44" s="6"/>
      <c r="UKG44" s="6"/>
      <c r="UKH44" s="6"/>
      <c r="UKI44" s="6"/>
      <c r="UKJ44" s="6"/>
      <c r="UKK44" s="6"/>
      <c r="UKL44" s="6"/>
      <c r="UKM44" s="6"/>
      <c r="UKN44" s="6"/>
      <c r="UKO44" s="6"/>
      <c r="UKP44" s="6"/>
      <c r="UKQ44" s="6"/>
      <c r="UKR44" s="6"/>
      <c r="UKS44" s="6"/>
      <c r="UKT44" s="6"/>
      <c r="UKU44" s="6"/>
      <c r="UKV44" s="6"/>
      <c r="UKW44" s="6"/>
      <c r="UKX44" s="6"/>
      <c r="UKY44" s="6"/>
      <c r="UKZ44" s="6"/>
      <c r="ULA44" s="6"/>
      <c r="ULB44" s="6"/>
      <c r="ULC44" s="6"/>
      <c r="ULD44" s="6"/>
      <c r="ULE44" s="6"/>
      <c r="ULF44" s="6"/>
      <c r="ULG44" s="6"/>
      <c r="ULH44" s="6"/>
      <c r="ULI44" s="6"/>
      <c r="ULJ44" s="6"/>
      <c r="ULK44" s="6"/>
      <c r="ULL44" s="6"/>
      <c r="ULM44" s="6"/>
      <c r="ULN44" s="6"/>
      <c r="ULO44" s="6"/>
      <c r="ULP44" s="6"/>
      <c r="ULQ44" s="6"/>
      <c r="ULR44" s="6"/>
      <c r="ULS44" s="6"/>
      <c r="ULT44" s="6"/>
      <c r="ULU44" s="6"/>
      <c r="ULV44" s="6"/>
      <c r="ULW44" s="6"/>
      <c r="ULX44" s="6"/>
      <c r="ULY44" s="6"/>
      <c r="ULZ44" s="6"/>
      <c r="UMA44" s="6"/>
      <c r="UMB44" s="6"/>
      <c r="UMC44" s="6"/>
      <c r="UMD44" s="6"/>
      <c r="UME44" s="6"/>
      <c r="UMF44" s="6"/>
      <c r="UMG44" s="6"/>
      <c r="UMH44" s="6"/>
      <c r="UMI44" s="6"/>
      <c r="UMJ44" s="6"/>
      <c r="UMK44" s="6"/>
      <c r="UML44" s="6"/>
      <c r="UMM44" s="6"/>
      <c r="UMN44" s="6"/>
      <c r="UMO44" s="6"/>
      <c r="UMP44" s="6"/>
      <c r="UMQ44" s="6"/>
      <c r="UMR44" s="6"/>
      <c r="UMS44" s="6"/>
      <c r="UMT44" s="6"/>
      <c r="UMU44" s="6"/>
      <c r="UMV44" s="6"/>
      <c r="UMW44" s="6"/>
      <c r="UMX44" s="6"/>
      <c r="UMY44" s="6"/>
      <c r="UMZ44" s="6"/>
      <c r="UNA44" s="6"/>
      <c r="UNB44" s="6"/>
      <c r="UNC44" s="6"/>
      <c r="UND44" s="6"/>
      <c r="UNE44" s="6"/>
      <c r="UNF44" s="6"/>
      <c r="UNG44" s="6"/>
      <c r="UNH44" s="6"/>
      <c r="UNI44" s="6"/>
      <c r="UNJ44" s="6"/>
      <c r="UNK44" s="6"/>
      <c r="UNL44" s="6"/>
      <c r="UNM44" s="6"/>
      <c r="UNN44" s="6"/>
      <c r="UNO44" s="6"/>
      <c r="UNP44" s="6"/>
      <c r="UNQ44" s="6"/>
      <c r="UNR44" s="6"/>
      <c r="UNS44" s="6"/>
      <c r="UNT44" s="6"/>
      <c r="UNU44" s="6"/>
      <c r="UNV44" s="6"/>
      <c r="UNW44" s="6"/>
      <c r="UNX44" s="6"/>
      <c r="UNY44" s="6"/>
      <c r="UNZ44" s="6"/>
      <c r="UOA44" s="6"/>
      <c r="UOB44" s="6"/>
      <c r="UOC44" s="6"/>
      <c r="UOD44" s="6"/>
      <c r="UOE44" s="6"/>
      <c r="UOF44" s="6"/>
      <c r="UOG44" s="6"/>
      <c r="UOH44" s="6"/>
      <c r="UOI44" s="6"/>
      <c r="UOJ44" s="6"/>
      <c r="UOK44" s="6"/>
      <c r="UOL44" s="6"/>
      <c r="UOM44" s="6"/>
      <c r="UON44" s="6"/>
      <c r="UOO44" s="6"/>
      <c r="UOP44" s="6"/>
      <c r="UOQ44" s="6"/>
      <c r="UOR44" s="6"/>
      <c r="UOS44" s="6"/>
      <c r="UOT44" s="6"/>
      <c r="UOU44" s="6"/>
      <c r="UOV44" s="6"/>
      <c r="UOW44" s="6"/>
      <c r="UOX44" s="6"/>
      <c r="UOY44" s="6"/>
      <c r="UOZ44" s="6"/>
      <c r="UPA44" s="6"/>
      <c r="UPB44" s="6"/>
      <c r="UPC44" s="6"/>
      <c r="UPD44" s="6"/>
      <c r="UPE44" s="6"/>
      <c r="UPF44" s="6"/>
      <c r="UPG44" s="6"/>
      <c r="UPH44" s="6"/>
      <c r="UPI44" s="6"/>
      <c r="UPJ44" s="6"/>
      <c r="UPK44" s="6"/>
      <c r="UPL44" s="6"/>
      <c r="UPM44" s="6"/>
      <c r="UPN44" s="6"/>
      <c r="UPO44" s="6"/>
      <c r="UPP44" s="6"/>
      <c r="UPQ44" s="6"/>
      <c r="UPR44" s="6"/>
      <c r="UPS44" s="6"/>
      <c r="UPT44" s="6"/>
      <c r="UPU44" s="6"/>
      <c r="UPV44" s="6"/>
      <c r="UPW44" s="6"/>
      <c r="UPX44" s="6"/>
      <c r="UPY44" s="6"/>
      <c r="UPZ44" s="6"/>
      <c r="UQA44" s="6"/>
      <c r="UQB44" s="6"/>
      <c r="UQC44" s="6"/>
      <c r="UQD44" s="6"/>
      <c r="UQE44" s="6"/>
      <c r="UQF44" s="6"/>
      <c r="UQG44" s="6"/>
      <c r="UQH44" s="6"/>
      <c r="UQI44" s="6"/>
      <c r="UQJ44" s="6"/>
      <c r="UQK44" s="6"/>
      <c r="UQL44" s="6"/>
      <c r="UQM44" s="6"/>
      <c r="UQN44" s="6"/>
      <c r="UQO44" s="6"/>
      <c r="UQP44" s="6"/>
      <c r="UQQ44" s="6"/>
      <c r="UQR44" s="6"/>
      <c r="UQS44" s="6"/>
      <c r="UQT44" s="6"/>
      <c r="UQU44" s="6"/>
      <c r="UQV44" s="6"/>
      <c r="UQW44" s="6"/>
      <c r="UQX44" s="6"/>
      <c r="UQY44" s="6"/>
      <c r="UQZ44" s="6"/>
      <c r="URA44" s="6"/>
      <c r="URB44" s="6"/>
      <c r="URC44" s="6"/>
      <c r="URD44" s="6"/>
      <c r="URE44" s="6"/>
      <c r="URF44" s="6"/>
      <c r="URG44" s="6"/>
      <c r="URH44" s="6"/>
      <c r="URI44" s="6"/>
      <c r="URJ44" s="6"/>
      <c r="URK44" s="6"/>
      <c r="URL44" s="6"/>
      <c r="URM44" s="6"/>
      <c r="URN44" s="6"/>
      <c r="URO44" s="6"/>
      <c r="URP44" s="6"/>
      <c r="URQ44" s="6"/>
      <c r="URR44" s="6"/>
      <c r="URS44" s="6"/>
      <c r="URT44" s="6"/>
      <c r="URU44" s="6"/>
      <c r="URV44" s="6"/>
      <c r="URW44" s="6"/>
      <c r="URX44" s="6"/>
      <c r="URY44" s="6"/>
      <c r="URZ44" s="6"/>
      <c r="USA44" s="6"/>
      <c r="USB44" s="6"/>
      <c r="USC44" s="6"/>
      <c r="USD44" s="6"/>
      <c r="USE44" s="6"/>
      <c r="USF44" s="6"/>
      <c r="USG44" s="6"/>
      <c r="USH44" s="6"/>
      <c r="USI44" s="6"/>
      <c r="USJ44" s="6"/>
      <c r="USK44" s="6"/>
      <c r="USL44" s="6"/>
      <c r="USM44" s="6"/>
      <c r="USN44" s="6"/>
      <c r="USO44" s="6"/>
      <c r="USP44" s="6"/>
      <c r="USQ44" s="6"/>
      <c r="USR44" s="6"/>
      <c r="USS44" s="6"/>
      <c r="UST44" s="6"/>
      <c r="USU44" s="6"/>
      <c r="USV44" s="6"/>
      <c r="USW44" s="6"/>
      <c r="USX44" s="6"/>
      <c r="USY44" s="6"/>
      <c r="USZ44" s="6"/>
      <c r="UTA44" s="6"/>
      <c r="UTB44" s="6"/>
      <c r="UTC44" s="6"/>
      <c r="UTD44" s="6"/>
      <c r="UTE44" s="6"/>
      <c r="UTF44" s="6"/>
      <c r="UTG44" s="6"/>
      <c r="UTH44" s="6"/>
      <c r="UTI44" s="6"/>
      <c r="UTJ44" s="6"/>
      <c r="UTK44" s="6"/>
      <c r="UTL44" s="6"/>
      <c r="UTM44" s="6"/>
      <c r="UTN44" s="6"/>
      <c r="UTO44" s="6"/>
      <c r="UTP44" s="6"/>
      <c r="UTQ44" s="6"/>
      <c r="UTR44" s="6"/>
      <c r="UTS44" s="6"/>
      <c r="UTT44" s="6"/>
      <c r="UTU44" s="6"/>
      <c r="UTV44" s="6"/>
      <c r="UTW44" s="6"/>
      <c r="UTX44" s="6"/>
      <c r="UTY44" s="6"/>
      <c r="UTZ44" s="6"/>
      <c r="UUA44" s="6"/>
      <c r="UUB44" s="6"/>
      <c r="UUC44" s="6"/>
      <c r="UUD44" s="6"/>
      <c r="UUE44" s="6"/>
      <c r="UUF44" s="6"/>
      <c r="UUG44" s="6"/>
      <c r="UUH44" s="6"/>
      <c r="UUI44" s="6"/>
      <c r="UUJ44" s="6"/>
      <c r="UUK44" s="6"/>
      <c r="UUL44" s="6"/>
      <c r="UUM44" s="6"/>
      <c r="UUN44" s="6"/>
      <c r="UUO44" s="6"/>
      <c r="UUP44" s="6"/>
      <c r="UUQ44" s="6"/>
      <c r="UUR44" s="6"/>
      <c r="UUS44" s="6"/>
      <c r="UUT44" s="6"/>
      <c r="UUU44" s="6"/>
      <c r="UUV44" s="6"/>
      <c r="UUW44" s="6"/>
      <c r="UUX44" s="6"/>
      <c r="UUY44" s="6"/>
      <c r="UUZ44" s="6"/>
      <c r="UVA44" s="6"/>
      <c r="UVB44" s="6"/>
      <c r="UVC44" s="6"/>
      <c r="UVD44" s="6"/>
      <c r="UVE44" s="6"/>
      <c r="UVF44" s="6"/>
      <c r="UVG44" s="6"/>
      <c r="UVH44" s="6"/>
      <c r="UVI44" s="6"/>
      <c r="UVJ44" s="6"/>
      <c r="UVK44" s="6"/>
      <c r="UVL44" s="6"/>
      <c r="UVM44" s="6"/>
      <c r="UVN44" s="6"/>
      <c r="UVO44" s="6"/>
      <c r="UVP44" s="6"/>
      <c r="UVQ44" s="6"/>
      <c r="UVR44" s="6"/>
      <c r="UVS44" s="6"/>
      <c r="UVT44" s="6"/>
      <c r="UVU44" s="6"/>
      <c r="UVV44" s="6"/>
      <c r="UVW44" s="6"/>
      <c r="UVX44" s="6"/>
      <c r="UVY44" s="6"/>
      <c r="UVZ44" s="6"/>
      <c r="UWA44" s="6"/>
      <c r="UWB44" s="6"/>
      <c r="UWC44" s="6"/>
      <c r="UWD44" s="6"/>
      <c r="UWE44" s="6"/>
      <c r="UWF44" s="6"/>
      <c r="UWG44" s="6"/>
      <c r="UWH44" s="6"/>
      <c r="UWI44" s="6"/>
      <c r="UWJ44" s="6"/>
      <c r="UWK44" s="6"/>
      <c r="UWL44" s="6"/>
      <c r="UWM44" s="6"/>
      <c r="UWN44" s="6"/>
      <c r="UWO44" s="6"/>
      <c r="UWP44" s="6"/>
      <c r="UWQ44" s="6"/>
      <c r="UWR44" s="6"/>
      <c r="UWS44" s="6"/>
      <c r="UWT44" s="6"/>
      <c r="UWU44" s="6"/>
      <c r="UWV44" s="6"/>
      <c r="UWW44" s="6"/>
      <c r="UWX44" s="6"/>
      <c r="UWY44" s="6"/>
      <c r="UWZ44" s="6"/>
      <c r="UXA44" s="6"/>
      <c r="UXB44" s="6"/>
      <c r="UXC44" s="6"/>
      <c r="UXD44" s="6"/>
      <c r="UXE44" s="6"/>
      <c r="UXF44" s="6"/>
      <c r="UXG44" s="6"/>
      <c r="UXH44" s="6"/>
      <c r="UXI44" s="6"/>
      <c r="UXJ44" s="6"/>
      <c r="UXK44" s="6"/>
      <c r="UXL44" s="6"/>
      <c r="UXM44" s="6"/>
      <c r="UXN44" s="6"/>
      <c r="UXO44" s="6"/>
      <c r="UXP44" s="6"/>
      <c r="UXQ44" s="6"/>
      <c r="UXR44" s="6"/>
      <c r="UXS44" s="6"/>
      <c r="UXT44" s="6"/>
      <c r="UXU44" s="6"/>
      <c r="UXV44" s="6"/>
      <c r="UXW44" s="6"/>
      <c r="UXX44" s="6"/>
      <c r="UXY44" s="6"/>
      <c r="UXZ44" s="6"/>
      <c r="UYA44" s="6"/>
      <c r="UYB44" s="6"/>
      <c r="UYC44" s="6"/>
      <c r="UYD44" s="6"/>
      <c r="UYE44" s="6"/>
      <c r="UYF44" s="6"/>
      <c r="UYG44" s="6"/>
      <c r="UYH44" s="6"/>
      <c r="UYI44" s="6"/>
      <c r="UYJ44" s="6"/>
      <c r="UYK44" s="6"/>
      <c r="UYL44" s="6"/>
      <c r="UYM44" s="6"/>
      <c r="UYN44" s="6"/>
      <c r="UYO44" s="6"/>
      <c r="UYP44" s="6"/>
      <c r="UYQ44" s="6"/>
      <c r="UYR44" s="6"/>
      <c r="UYS44" s="6"/>
      <c r="UYT44" s="6"/>
      <c r="UYU44" s="6"/>
      <c r="UYV44" s="6"/>
      <c r="UYW44" s="6"/>
      <c r="UYX44" s="6"/>
      <c r="UYY44" s="6"/>
      <c r="UYZ44" s="6"/>
      <c r="UZA44" s="6"/>
      <c r="UZB44" s="6"/>
      <c r="UZC44" s="6"/>
      <c r="UZD44" s="6"/>
      <c r="UZE44" s="6"/>
      <c r="UZF44" s="6"/>
      <c r="UZG44" s="6"/>
      <c r="UZH44" s="6"/>
      <c r="UZI44" s="6"/>
      <c r="UZJ44" s="6"/>
      <c r="UZK44" s="6"/>
      <c r="UZL44" s="6"/>
      <c r="UZM44" s="6"/>
      <c r="UZN44" s="6"/>
      <c r="UZO44" s="6"/>
      <c r="UZP44" s="6"/>
      <c r="UZQ44" s="6"/>
      <c r="UZR44" s="6"/>
      <c r="UZS44" s="6"/>
      <c r="UZT44" s="6"/>
      <c r="UZU44" s="6"/>
      <c r="UZV44" s="6"/>
      <c r="UZW44" s="6"/>
      <c r="UZX44" s="6"/>
      <c r="UZY44" s="6"/>
      <c r="UZZ44" s="6"/>
      <c r="VAA44" s="6"/>
      <c r="VAB44" s="6"/>
      <c r="VAC44" s="6"/>
      <c r="VAD44" s="6"/>
      <c r="VAE44" s="6"/>
      <c r="VAF44" s="6"/>
      <c r="VAG44" s="6"/>
      <c r="VAH44" s="6"/>
      <c r="VAI44" s="6"/>
      <c r="VAJ44" s="6"/>
      <c r="VAK44" s="6"/>
      <c r="VAL44" s="6"/>
      <c r="VAM44" s="6"/>
      <c r="VAN44" s="6"/>
      <c r="VAO44" s="6"/>
      <c r="VAP44" s="6"/>
      <c r="VAQ44" s="6"/>
      <c r="VAR44" s="6"/>
      <c r="VAS44" s="6"/>
      <c r="VAT44" s="6"/>
      <c r="VAU44" s="6"/>
      <c r="VAV44" s="6"/>
      <c r="VAW44" s="6"/>
      <c r="VAX44" s="6"/>
      <c r="VAY44" s="6"/>
      <c r="VAZ44" s="6"/>
      <c r="VBA44" s="6"/>
      <c r="VBB44" s="6"/>
      <c r="VBC44" s="6"/>
      <c r="VBD44" s="6"/>
      <c r="VBE44" s="6"/>
      <c r="VBF44" s="6"/>
      <c r="VBG44" s="6"/>
      <c r="VBH44" s="6"/>
      <c r="VBI44" s="6"/>
      <c r="VBJ44" s="6"/>
      <c r="VBK44" s="6"/>
      <c r="VBL44" s="6"/>
      <c r="VBM44" s="6"/>
      <c r="VBN44" s="6"/>
      <c r="VBO44" s="6"/>
      <c r="VBP44" s="6"/>
      <c r="VBQ44" s="6"/>
      <c r="VBR44" s="6"/>
      <c r="VBS44" s="6"/>
      <c r="VBT44" s="6"/>
      <c r="VBU44" s="6"/>
      <c r="VBV44" s="6"/>
      <c r="VBW44" s="6"/>
      <c r="VBX44" s="6"/>
      <c r="VBY44" s="6"/>
      <c r="VBZ44" s="6"/>
      <c r="VCA44" s="6"/>
      <c r="VCB44" s="6"/>
      <c r="VCC44" s="6"/>
      <c r="VCD44" s="6"/>
      <c r="VCE44" s="6"/>
      <c r="VCF44" s="6"/>
      <c r="VCG44" s="6"/>
      <c r="VCH44" s="6"/>
      <c r="VCI44" s="6"/>
      <c r="VCJ44" s="6"/>
      <c r="VCK44" s="6"/>
      <c r="VCL44" s="6"/>
      <c r="VCM44" s="6"/>
      <c r="VCN44" s="6"/>
      <c r="VCO44" s="6"/>
      <c r="VCP44" s="6"/>
      <c r="VCQ44" s="6"/>
      <c r="VCR44" s="6"/>
      <c r="VCS44" s="6"/>
      <c r="VCT44" s="6"/>
      <c r="VCU44" s="6"/>
      <c r="VCV44" s="6"/>
      <c r="VCW44" s="6"/>
      <c r="VCX44" s="6"/>
      <c r="VCY44" s="6"/>
      <c r="VCZ44" s="6"/>
      <c r="VDA44" s="6"/>
      <c r="VDB44" s="6"/>
      <c r="VDC44" s="6"/>
      <c r="VDD44" s="6"/>
      <c r="VDE44" s="6"/>
      <c r="VDF44" s="6"/>
      <c r="VDG44" s="6"/>
      <c r="VDH44" s="6"/>
      <c r="VDI44" s="6"/>
      <c r="VDJ44" s="6"/>
      <c r="VDK44" s="6"/>
      <c r="VDL44" s="6"/>
      <c r="VDM44" s="6"/>
      <c r="VDN44" s="6"/>
      <c r="VDO44" s="6"/>
      <c r="VDP44" s="6"/>
      <c r="VDQ44" s="6"/>
      <c r="VDR44" s="6"/>
      <c r="VDS44" s="6"/>
      <c r="VDT44" s="6"/>
      <c r="VDU44" s="6"/>
      <c r="VDV44" s="6"/>
      <c r="VDW44" s="6"/>
      <c r="VDX44" s="6"/>
      <c r="VDY44" s="6"/>
      <c r="VDZ44" s="6"/>
      <c r="VEA44" s="6"/>
      <c r="VEB44" s="6"/>
      <c r="VEC44" s="6"/>
      <c r="VED44" s="6"/>
      <c r="VEE44" s="6"/>
      <c r="VEF44" s="6"/>
      <c r="VEG44" s="6"/>
      <c r="VEH44" s="6"/>
      <c r="VEI44" s="6"/>
      <c r="VEJ44" s="6"/>
      <c r="VEK44" s="6"/>
      <c r="VEL44" s="6"/>
      <c r="VEM44" s="6"/>
      <c r="VEN44" s="6"/>
      <c r="VEO44" s="6"/>
      <c r="VEP44" s="6"/>
      <c r="VEQ44" s="6"/>
      <c r="VER44" s="6"/>
      <c r="VES44" s="6"/>
      <c r="VET44" s="6"/>
      <c r="VEU44" s="6"/>
      <c r="VEV44" s="6"/>
      <c r="VEW44" s="6"/>
      <c r="VEX44" s="6"/>
      <c r="VEY44" s="6"/>
      <c r="VEZ44" s="6"/>
      <c r="VFA44" s="6"/>
      <c r="VFB44" s="6"/>
      <c r="VFC44" s="6"/>
      <c r="VFD44" s="6"/>
      <c r="VFE44" s="6"/>
      <c r="VFF44" s="6"/>
      <c r="VFG44" s="6"/>
      <c r="VFH44" s="6"/>
      <c r="VFI44" s="6"/>
    </row>
    <row r="45" spans="1:15085" s="1" customFormat="1" ht="13.8">
      <c r="B45" s="50"/>
      <c r="C45" s="177" t="s">
        <v>40</v>
      </c>
      <c r="D45" s="229">
        <f>SUM(D46:D47)</f>
        <v>0</v>
      </c>
      <c r="E45" s="178" t="s">
        <v>9</v>
      </c>
      <c r="F45" s="44">
        <f>SUM(F46:F47)</f>
        <v>100800.0000000065</v>
      </c>
      <c r="G45" s="44">
        <f t="shared" ref="G45:AH45" si="25">SUM(G46:G47)</f>
        <v>0</v>
      </c>
      <c r="H45" s="44">
        <f t="shared" si="25"/>
        <v>0</v>
      </c>
      <c r="I45" s="44">
        <f t="shared" si="25"/>
        <v>0</v>
      </c>
      <c r="J45" s="44">
        <f t="shared" si="25"/>
        <v>177399.9999999865</v>
      </c>
      <c r="K45" s="44">
        <f t="shared" si="25"/>
        <v>115199.9999999971</v>
      </c>
      <c r="L45" s="44">
        <f t="shared" si="25"/>
        <v>0</v>
      </c>
      <c r="M45" s="44">
        <f t="shared" si="25"/>
        <v>0</v>
      </c>
      <c r="N45" s="44">
        <f t="shared" si="25"/>
        <v>0</v>
      </c>
      <c r="O45" s="44">
        <f t="shared" si="25"/>
        <v>0</v>
      </c>
      <c r="P45" s="44">
        <f t="shared" si="25"/>
        <v>0</v>
      </c>
      <c r="Q45" s="44">
        <f t="shared" si="25"/>
        <v>0</v>
      </c>
      <c r="R45" s="44">
        <f t="shared" si="25"/>
        <v>0</v>
      </c>
      <c r="S45" s="44">
        <f t="shared" si="25"/>
        <v>0</v>
      </c>
      <c r="T45" s="44">
        <f t="shared" si="25"/>
        <v>0</v>
      </c>
      <c r="U45" s="44">
        <f t="shared" si="25"/>
        <v>0</v>
      </c>
      <c r="V45" s="44">
        <f t="shared" si="25"/>
        <v>0</v>
      </c>
      <c r="W45" s="44">
        <f t="shared" si="25"/>
        <v>0</v>
      </c>
      <c r="X45" s="44">
        <f t="shared" si="25"/>
        <v>0</v>
      </c>
      <c r="Y45" s="44">
        <f t="shared" si="25"/>
        <v>0</v>
      </c>
      <c r="Z45" s="44">
        <f t="shared" si="25"/>
        <v>0</v>
      </c>
      <c r="AA45" s="44">
        <f t="shared" si="25"/>
        <v>0</v>
      </c>
      <c r="AB45" s="44">
        <f t="shared" si="25"/>
        <v>0</v>
      </c>
      <c r="AC45" s="44">
        <f t="shared" si="25"/>
        <v>0</v>
      </c>
      <c r="AD45" s="44">
        <f t="shared" si="25"/>
        <v>0</v>
      </c>
      <c r="AE45" s="44">
        <f t="shared" si="25"/>
        <v>0</v>
      </c>
      <c r="AF45" s="44">
        <f t="shared" si="25"/>
        <v>0</v>
      </c>
      <c r="AG45" s="44">
        <f t="shared" si="25"/>
        <v>0</v>
      </c>
      <c r="AH45" s="44">
        <f t="shared" si="25"/>
        <v>0</v>
      </c>
      <c r="AI45" s="44">
        <f t="shared" ref="AI45" si="26">SUM(AI46:AI47)</f>
        <v>0</v>
      </c>
      <c r="AJ45" s="97"/>
      <c r="AK45" s="105">
        <f>SUM(F45:AI45)</f>
        <v>393399.9999999901</v>
      </c>
      <c r="AL45" s="203"/>
      <c r="AM45" s="98"/>
      <c r="EA45" s="203"/>
      <c r="EB45" s="203"/>
      <c r="FH45" s="203"/>
      <c r="GO45" s="5"/>
      <c r="GP45" s="7"/>
      <c r="GQ45" s="219"/>
      <c r="GR45" s="219"/>
      <c r="GS45" s="219"/>
      <c r="GT45" s="203"/>
      <c r="IW45" s="203"/>
      <c r="MR45" s="203"/>
      <c r="MS45" s="203"/>
      <c r="MT45" s="203"/>
      <c r="MU45" s="203"/>
      <c r="RY45" s="203"/>
      <c r="RZ45" s="203"/>
      <c r="SA45" s="206"/>
      <c r="SB45" s="203"/>
      <c r="SP45" s="206">
        <f>SUM(SP42:SP43)</f>
        <v>40.442639999999997</v>
      </c>
      <c r="ST45" s="203"/>
      <c r="UW45" s="206"/>
    </row>
    <row r="46" spans="1:15085" s="1" customFormat="1" ht="13.8">
      <c r="B46" s="50"/>
      <c r="C46" s="177" t="s">
        <v>41</v>
      </c>
      <c r="D46" s="229"/>
      <c r="E46" s="178" t="s">
        <v>9</v>
      </c>
      <c r="F46" s="44">
        <f>70.6000000000058*1000</f>
        <v>70600.000000005806</v>
      </c>
      <c r="G46" s="44">
        <v>0</v>
      </c>
      <c r="H46" s="44">
        <v>0</v>
      </c>
      <c r="I46" s="44">
        <v>0</v>
      </c>
      <c r="J46" s="44">
        <f>125.299999999988*1000</f>
        <v>125299.99999998801</v>
      </c>
      <c r="K46" s="44">
        <f>80.6999999999971*1000</f>
        <v>80699.999999997104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97"/>
      <c r="AK46" s="107">
        <f>SUM(F46:AI46)</f>
        <v>276599.99999999092</v>
      </c>
      <c r="AL46" s="203"/>
      <c r="AM46" s="206"/>
      <c r="AO46" s="204">
        <f>AO41-AO42</f>
        <v>29143.68263473055</v>
      </c>
      <c r="EA46" s="203"/>
      <c r="EB46" s="203"/>
      <c r="FH46" s="203"/>
      <c r="GP46" s="7"/>
      <c r="GQ46" s="206"/>
      <c r="GR46" s="206"/>
      <c r="GS46" s="206"/>
      <c r="GT46" s="203"/>
      <c r="IW46" s="203"/>
      <c r="MR46" s="203"/>
      <c r="MS46" s="203"/>
      <c r="MT46" s="203"/>
      <c r="MU46" s="203"/>
      <c r="RY46" s="203"/>
      <c r="RZ46" s="203"/>
      <c r="SA46" s="206"/>
      <c r="SB46" s="203"/>
      <c r="SP46" s="206"/>
      <c r="ST46" s="203"/>
      <c r="UW46" s="206"/>
    </row>
    <row r="47" spans="1:15085" s="1" customFormat="1" ht="13.8">
      <c r="B47" s="50"/>
      <c r="C47" s="41" t="s">
        <v>37</v>
      </c>
      <c r="D47" s="229"/>
      <c r="E47" s="178" t="s">
        <v>9</v>
      </c>
      <c r="F47" s="44">
        <f>30.2000000000007*1000</f>
        <v>30200.000000000698</v>
      </c>
      <c r="G47" s="44">
        <v>0</v>
      </c>
      <c r="H47" s="44">
        <v>0</v>
      </c>
      <c r="I47" s="44">
        <v>0</v>
      </c>
      <c r="J47" s="44">
        <f>52.0999999999985*1000</f>
        <v>52099.999999998501</v>
      </c>
      <c r="K47" s="44">
        <v>34500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97"/>
      <c r="AK47" s="105">
        <f>SUM(F47:AI47)</f>
        <v>116799.9999999992</v>
      </c>
      <c r="AL47" s="206"/>
      <c r="AM47" s="206"/>
      <c r="AO47" s="203">
        <f>AO36</f>
        <v>19</v>
      </c>
      <c r="EA47" s="203"/>
      <c r="EB47" s="203"/>
      <c r="FH47" s="203"/>
      <c r="GP47" s="7"/>
      <c r="GQ47" s="203"/>
      <c r="GR47" s="203"/>
      <c r="GS47" s="203"/>
      <c r="GT47" s="203"/>
      <c r="IW47" s="203"/>
      <c r="MR47" s="203"/>
      <c r="MS47" s="203"/>
      <c r="MT47" s="203"/>
      <c r="MU47" s="203"/>
      <c r="RY47" s="203"/>
      <c r="RZ47" s="203"/>
      <c r="SB47" s="203"/>
      <c r="SP47" s="206"/>
      <c r="ST47" s="203"/>
      <c r="UW47" s="206"/>
    </row>
    <row r="48" spans="1:15085">
      <c r="B48" s="50"/>
      <c r="C48" s="56" t="s">
        <v>42</v>
      </c>
      <c r="D48" s="230"/>
      <c r="E48" s="58"/>
      <c r="F48" s="39"/>
      <c r="G48" s="39"/>
      <c r="H48" s="39"/>
      <c r="I48" s="7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84"/>
      <c r="AE48" s="84"/>
      <c r="AF48" s="84"/>
      <c r="AG48" s="84"/>
      <c r="AH48" s="84"/>
      <c r="AI48" s="84"/>
      <c r="AJ48" s="97"/>
      <c r="AK48" s="103" t="s">
        <v>43</v>
      </c>
      <c r="AM48" s="240"/>
      <c r="AO48" s="204">
        <f>AO46/AO47</f>
        <v>1533.8780334068711</v>
      </c>
      <c r="SC48" s="1" t="s">
        <v>173</v>
      </c>
    </row>
    <row r="49" spans="1:15037" s="3" customFormat="1" hidden="1">
      <c r="A49" s="6"/>
      <c r="B49" s="22"/>
      <c r="C49" s="59" t="s">
        <v>24</v>
      </c>
      <c r="D49" s="231"/>
      <c r="E49" s="60" t="s">
        <v>9</v>
      </c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85"/>
      <c r="AE49" s="85"/>
      <c r="AF49" s="85"/>
      <c r="AG49" s="85"/>
      <c r="AH49" s="85"/>
      <c r="AI49" s="85"/>
      <c r="AJ49" s="104"/>
      <c r="AK49" s="111">
        <f>SUM(F49:AI49)</f>
        <v>0</v>
      </c>
      <c r="AL49" s="6"/>
      <c r="AM49" s="10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210"/>
      <c r="BK49" s="210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205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210"/>
      <c r="EB49" s="210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210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245"/>
      <c r="GQ49" s="210"/>
      <c r="GR49" s="210"/>
      <c r="GS49" s="210"/>
      <c r="GT49" s="210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210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210"/>
      <c r="MS49" s="210"/>
      <c r="MT49" s="210"/>
      <c r="MU49" s="210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210"/>
      <c r="RZ49" s="210"/>
      <c r="SA49" s="6"/>
      <c r="SB49" s="210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292"/>
      <c r="SQ49" s="6"/>
      <c r="SR49" s="6"/>
      <c r="SS49" s="6"/>
      <c r="ST49" s="210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292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</row>
    <row r="50" spans="1:15037" s="1" customFormat="1" ht="13.8">
      <c r="B50" s="50"/>
      <c r="C50" s="177" t="s">
        <v>40</v>
      </c>
      <c r="D50" s="229">
        <f>SUM(D52:D53)</f>
        <v>0</v>
      </c>
      <c r="E50" s="178" t="s">
        <v>9</v>
      </c>
      <c r="F50" s="44">
        <f>SUM(F52:F53)</f>
        <v>0</v>
      </c>
      <c r="G50" s="44">
        <f t="shared" ref="G50:AH50" si="27">SUM(G52:G53)</f>
        <v>0</v>
      </c>
      <c r="H50" s="44">
        <f t="shared" si="27"/>
        <v>0</v>
      </c>
      <c r="I50" s="44">
        <f t="shared" si="27"/>
        <v>0</v>
      </c>
      <c r="J50" s="44">
        <f t="shared" si="27"/>
        <v>0</v>
      </c>
      <c r="K50" s="44">
        <f t="shared" si="27"/>
        <v>0</v>
      </c>
      <c r="L50" s="44">
        <f t="shared" si="27"/>
        <v>0</v>
      </c>
      <c r="M50" s="44">
        <f t="shared" si="27"/>
        <v>0</v>
      </c>
      <c r="N50" s="44">
        <f t="shared" si="27"/>
        <v>0</v>
      </c>
      <c r="O50" s="44">
        <f t="shared" si="27"/>
        <v>0</v>
      </c>
      <c r="P50" s="44">
        <f t="shared" si="27"/>
        <v>0</v>
      </c>
      <c r="Q50" s="44">
        <f t="shared" si="27"/>
        <v>0</v>
      </c>
      <c r="R50" s="44">
        <f t="shared" si="27"/>
        <v>0</v>
      </c>
      <c r="S50" s="44">
        <f t="shared" si="27"/>
        <v>0</v>
      </c>
      <c r="T50" s="44">
        <f t="shared" si="27"/>
        <v>0</v>
      </c>
      <c r="U50" s="44">
        <f t="shared" si="27"/>
        <v>0</v>
      </c>
      <c r="V50" s="44">
        <f t="shared" si="27"/>
        <v>0</v>
      </c>
      <c r="W50" s="44">
        <f t="shared" si="27"/>
        <v>0</v>
      </c>
      <c r="X50" s="44">
        <f t="shared" si="27"/>
        <v>0</v>
      </c>
      <c r="Y50" s="44">
        <f t="shared" si="27"/>
        <v>0</v>
      </c>
      <c r="Z50" s="44">
        <f t="shared" si="27"/>
        <v>0</v>
      </c>
      <c r="AA50" s="44">
        <f t="shared" si="27"/>
        <v>0</v>
      </c>
      <c r="AB50" s="44">
        <f t="shared" si="27"/>
        <v>0</v>
      </c>
      <c r="AC50" s="44">
        <f t="shared" si="27"/>
        <v>0</v>
      </c>
      <c r="AD50" s="44">
        <f t="shared" si="27"/>
        <v>0</v>
      </c>
      <c r="AE50" s="44">
        <f t="shared" si="27"/>
        <v>0</v>
      </c>
      <c r="AF50" s="44">
        <f t="shared" si="27"/>
        <v>0</v>
      </c>
      <c r="AG50" s="44">
        <f t="shared" si="27"/>
        <v>0</v>
      </c>
      <c r="AH50" s="44">
        <f t="shared" si="27"/>
        <v>0</v>
      </c>
      <c r="AI50" s="44">
        <f t="shared" ref="AI50" si="28">SUM(AI52:AI53)</f>
        <v>0</v>
      </c>
      <c r="AJ50" s="97"/>
      <c r="AK50" s="96">
        <f>SUM(F50:AI50)</f>
        <v>0</v>
      </c>
      <c r="AM50" s="98"/>
      <c r="BJ50" s="203"/>
      <c r="BK50" s="210"/>
      <c r="CO50" s="206"/>
      <c r="EA50" s="203"/>
      <c r="EB50" s="203"/>
      <c r="FH50" s="203"/>
      <c r="GP50" s="7"/>
      <c r="GQ50" s="203">
        <v>2136</v>
      </c>
      <c r="GR50" s="203"/>
      <c r="GS50" s="203"/>
      <c r="GT50" s="203"/>
      <c r="IW50" s="203"/>
      <c r="MR50" s="203"/>
      <c r="MS50" s="203"/>
      <c r="MT50" s="203"/>
      <c r="MU50" s="203"/>
      <c r="RY50" s="203"/>
      <c r="RZ50" s="203"/>
      <c r="SB50" s="203"/>
      <c r="SC50" s="1" t="s">
        <v>167</v>
      </c>
      <c r="SO50" s="1" t="s">
        <v>171</v>
      </c>
      <c r="SP50" s="206"/>
      <c r="ST50" s="203"/>
      <c r="UW50" s="206"/>
    </row>
    <row r="51" spans="1:15037" s="1" customFormat="1" ht="13.8" hidden="1">
      <c r="B51" s="50"/>
      <c r="C51" s="177" t="s">
        <v>44</v>
      </c>
      <c r="D51" s="229"/>
      <c r="E51" s="178" t="s">
        <v>9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97"/>
      <c r="AK51" s="96">
        <f>SUM(F51:AI51)</f>
        <v>0</v>
      </c>
      <c r="AM51" s="98"/>
      <c r="BJ51" s="203"/>
      <c r="BK51" s="203"/>
      <c r="EA51" s="203"/>
      <c r="EB51" s="203"/>
      <c r="FH51" s="203"/>
      <c r="GP51" s="7"/>
      <c r="GQ51" s="203"/>
      <c r="GR51" s="203"/>
      <c r="GS51" s="203"/>
      <c r="GT51" s="203"/>
      <c r="IW51" s="203"/>
      <c r="MR51" s="203"/>
      <c r="MS51" s="203"/>
      <c r="MT51" s="203"/>
      <c r="MU51" s="203"/>
      <c r="RY51" s="203"/>
      <c r="RZ51" s="203"/>
      <c r="SB51" s="203"/>
      <c r="SP51" s="206"/>
      <c r="ST51" s="203"/>
      <c r="UW51" s="206"/>
    </row>
    <row r="52" spans="1:15037" s="1" customFormat="1" ht="13.8">
      <c r="B52" s="50"/>
      <c r="C52" s="177" t="s">
        <v>45</v>
      </c>
      <c r="D52" s="229"/>
      <c r="E52" s="178" t="s">
        <v>9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97"/>
      <c r="AK52" s="96">
        <f>SUM(F52:AI52)</f>
        <v>0</v>
      </c>
      <c r="AM52" s="98"/>
      <c r="BJ52" s="203"/>
      <c r="BK52" s="213"/>
      <c r="CO52" s="203"/>
      <c r="EA52" s="203"/>
      <c r="EB52" s="203"/>
      <c r="EC52" s="87">
        <f>AM52/1000</f>
        <v>0</v>
      </c>
      <c r="FH52" s="203"/>
      <c r="GP52" s="7"/>
      <c r="GQ52" s="203">
        <v>1796</v>
      </c>
      <c r="GR52" s="203"/>
      <c r="GS52" s="203"/>
      <c r="GT52" s="203"/>
      <c r="IW52" s="203"/>
      <c r="MR52" s="203"/>
      <c r="MS52" s="203"/>
      <c r="MT52" s="203"/>
      <c r="MU52" s="203"/>
      <c r="RY52" s="203"/>
      <c r="RZ52" s="203"/>
      <c r="SB52" s="203"/>
      <c r="SC52" s="1" t="s">
        <v>168</v>
      </c>
      <c r="SO52" s="1" t="s">
        <v>172</v>
      </c>
      <c r="SP52" s="206"/>
      <c r="ST52" s="203"/>
      <c r="UW52" s="206"/>
    </row>
    <row r="53" spans="1:15037" s="1" customFormat="1" ht="13.8">
      <c r="B53" s="50"/>
      <c r="C53" s="177" t="s">
        <v>46</v>
      </c>
      <c r="D53" s="229"/>
      <c r="E53" s="178" t="s">
        <v>9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97"/>
      <c r="AK53" s="96">
        <f>SUM(F53:AI53)</f>
        <v>0</v>
      </c>
      <c r="AM53" s="98"/>
      <c r="AO53" s="203"/>
      <c r="EA53" s="203"/>
      <c r="EB53" s="203"/>
      <c r="EC53" s="87">
        <f>AM53/1000</f>
        <v>0</v>
      </c>
      <c r="FH53" s="203"/>
      <c r="GP53" s="7"/>
      <c r="GQ53" s="203">
        <f>GQ50/GQ52*100</f>
        <v>118.93095768374164</v>
      </c>
      <c r="GR53" s="203"/>
      <c r="GS53" s="203"/>
      <c r="GT53" s="203"/>
      <c r="IW53" s="203"/>
      <c r="MR53" s="203"/>
      <c r="MS53" s="203"/>
      <c r="MT53" s="203"/>
      <c r="MU53" s="203"/>
      <c r="RY53" s="203"/>
      <c r="RZ53" s="203"/>
      <c r="SB53" s="203"/>
      <c r="SC53" s="1" t="s">
        <v>169</v>
      </c>
      <c r="SO53" s="1" t="s">
        <v>170</v>
      </c>
      <c r="SP53" s="206"/>
      <c r="ST53" s="203"/>
      <c r="UW53" s="206"/>
    </row>
    <row r="54" spans="1:15037">
      <c r="B54" s="37"/>
      <c r="C54" s="179" t="s">
        <v>47</v>
      </c>
      <c r="D54" s="62"/>
      <c r="E54" s="62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97"/>
      <c r="AK54" s="180" t="s">
        <v>48</v>
      </c>
      <c r="AO54" s="219">
        <v>1375600</v>
      </c>
      <c r="RZ54" s="219">
        <v>678</v>
      </c>
    </row>
    <row r="55" spans="1:15037">
      <c r="B55" s="50"/>
      <c r="C55" s="181" t="s">
        <v>49</v>
      </c>
      <c r="D55" s="49">
        <v>94.2</v>
      </c>
      <c r="E55" s="182" t="s">
        <v>12</v>
      </c>
      <c r="F55" s="64">
        <f t="shared" ref="F55:M55" si="29">(F37/(F31+F32))*100</f>
        <v>95.129611712952595</v>
      </c>
      <c r="G55" s="64">
        <f t="shared" si="29"/>
        <v>95.051654583441646</v>
      </c>
      <c r="H55" s="64">
        <f t="shared" si="29"/>
        <v>94.983196731218413</v>
      </c>
      <c r="I55" s="64">
        <f t="shared" si="29"/>
        <v>95.167466995133665</v>
      </c>
      <c r="J55" s="64">
        <f t="shared" si="29"/>
        <v>95.139774898619919</v>
      </c>
      <c r="K55" s="64">
        <f t="shared" si="29"/>
        <v>95.071848841831283</v>
      </c>
      <c r="L55" s="64">
        <f t="shared" si="29"/>
        <v>95.24331461682435</v>
      </c>
      <c r="M55" s="64">
        <f t="shared" si="29"/>
        <v>95.148821152011479</v>
      </c>
      <c r="N55" s="64">
        <f t="shared" ref="N55:AH55" si="30">(N37/(N31+N32))*100</f>
        <v>95.121509355832188</v>
      </c>
      <c r="O55" s="64">
        <f t="shared" si="30"/>
        <v>95.267576075549485</v>
      </c>
      <c r="P55" s="64">
        <f t="shared" si="30"/>
        <v>95.315393023653613</v>
      </c>
      <c r="Q55" s="64">
        <f t="shared" si="30"/>
        <v>95.17099362656252</v>
      </c>
      <c r="R55" s="64">
        <f t="shared" si="30"/>
        <v>95.282172179376204</v>
      </c>
      <c r="S55" s="64" t="e">
        <f t="shared" si="30"/>
        <v>#DIV/0!</v>
      </c>
      <c r="T55" s="64" t="e">
        <f t="shared" si="30"/>
        <v>#DIV/0!</v>
      </c>
      <c r="U55" s="64" t="e">
        <f t="shared" si="30"/>
        <v>#DIV/0!</v>
      </c>
      <c r="V55" s="64" t="e">
        <f t="shared" si="30"/>
        <v>#DIV/0!</v>
      </c>
      <c r="W55" s="64" t="e">
        <f>(W37/(W31+W32))*100</f>
        <v>#DIV/0!</v>
      </c>
      <c r="X55" s="64" t="e">
        <f t="shared" si="30"/>
        <v>#DIV/0!</v>
      </c>
      <c r="Y55" s="64" t="e">
        <f t="shared" si="30"/>
        <v>#DIV/0!</v>
      </c>
      <c r="Z55" s="64" t="e">
        <f t="shared" si="30"/>
        <v>#DIV/0!</v>
      </c>
      <c r="AA55" s="64" t="e">
        <f t="shared" si="30"/>
        <v>#DIV/0!</v>
      </c>
      <c r="AB55" s="64" t="e">
        <f t="shared" si="30"/>
        <v>#DIV/0!</v>
      </c>
      <c r="AC55" s="64" t="e">
        <f t="shared" si="30"/>
        <v>#DIV/0!</v>
      </c>
      <c r="AD55" s="64" t="e">
        <f t="shared" si="30"/>
        <v>#DIV/0!</v>
      </c>
      <c r="AE55" s="64" t="e">
        <f t="shared" ref="AE55:AG55" si="31">(AE37/(AE31+AE32))*100</f>
        <v>#DIV/0!</v>
      </c>
      <c r="AF55" s="64" t="e">
        <f t="shared" si="31"/>
        <v>#DIV/0!</v>
      </c>
      <c r="AG55" s="64" t="e">
        <f t="shared" si="31"/>
        <v>#DIV/0!</v>
      </c>
      <c r="AH55" s="64" t="e">
        <f t="shared" si="30"/>
        <v>#DIV/0!</v>
      </c>
      <c r="AI55" s="64" t="e">
        <f t="shared" ref="AI55" si="32">(AI37/(AI31+AI32))*100</f>
        <v>#DIV/0!</v>
      </c>
      <c r="AJ55" s="101"/>
      <c r="AK55" s="109">
        <f>AK37/(SUM(AK31:AK32))*100</f>
        <v>95.154086034868897</v>
      </c>
      <c r="AL55" s="214"/>
      <c r="AO55" s="219">
        <f>AO54/1000</f>
        <v>1375.6</v>
      </c>
      <c r="RZ55" s="219">
        <v>420</v>
      </c>
      <c r="SB55" s="240">
        <f>RZ55/RZ54*100</f>
        <v>61.946902654867252</v>
      </c>
    </row>
    <row r="56" spans="1:15037">
      <c r="B56" s="50"/>
      <c r="C56" s="181" t="s">
        <v>32</v>
      </c>
      <c r="D56" s="49">
        <v>5</v>
      </c>
      <c r="E56" s="182" t="s">
        <v>12</v>
      </c>
      <c r="F56" s="64">
        <f t="shared" ref="F56:M56" si="33">(F38/(F31+F32))*100</f>
        <v>4.1688312307274504</v>
      </c>
      <c r="G56" s="64">
        <f t="shared" si="33"/>
        <v>4.1819512242088086</v>
      </c>
      <c r="H56" s="64">
        <f t="shared" si="33"/>
        <v>4.2630739102053079</v>
      </c>
      <c r="I56" s="64">
        <f t="shared" si="33"/>
        <v>4.1434941862349497</v>
      </c>
      <c r="J56" s="64">
        <f t="shared" si="33"/>
        <v>4.1138804530779414</v>
      </c>
      <c r="K56" s="64">
        <f t="shared" si="33"/>
        <v>4.2385048262424014</v>
      </c>
      <c r="L56" s="64">
        <f t="shared" si="33"/>
        <v>4.1003256159783348</v>
      </c>
      <c r="M56" s="64">
        <f t="shared" si="33"/>
        <v>4.1991455673906453</v>
      </c>
      <c r="N56" s="64">
        <f t="shared" ref="N56:AH56" si="34">(N38/(N31+N32))*100</f>
        <v>4.2295349258520538</v>
      </c>
      <c r="O56" s="64">
        <f t="shared" si="34"/>
        <v>4.0720531654425258</v>
      </c>
      <c r="P56" s="64">
        <f t="shared" si="34"/>
        <v>4.0503260635172094</v>
      </c>
      <c r="Q56" s="64">
        <f t="shared" si="34"/>
        <v>4.202724665798824</v>
      </c>
      <c r="R56" s="64">
        <f t="shared" si="34"/>
        <v>4.099722963749997</v>
      </c>
      <c r="S56" s="64" t="e">
        <f t="shared" si="34"/>
        <v>#DIV/0!</v>
      </c>
      <c r="T56" s="64" t="e">
        <f t="shared" si="34"/>
        <v>#DIV/0!</v>
      </c>
      <c r="U56" s="64" t="e">
        <f t="shared" si="34"/>
        <v>#DIV/0!</v>
      </c>
      <c r="V56" s="64" t="e">
        <f t="shared" si="34"/>
        <v>#DIV/0!</v>
      </c>
      <c r="W56" s="64" t="e">
        <f t="shared" si="34"/>
        <v>#DIV/0!</v>
      </c>
      <c r="X56" s="64" t="e">
        <f t="shared" si="34"/>
        <v>#DIV/0!</v>
      </c>
      <c r="Y56" s="64" t="e">
        <f t="shared" si="34"/>
        <v>#DIV/0!</v>
      </c>
      <c r="Z56" s="64" t="e">
        <f t="shared" si="34"/>
        <v>#DIV/0!</v>
      </c>
      <c r="AA56" s="64" t="e">
        <f t="shared" si="34"/>
        <v>#DIV/0!</v>
      </c>
      <c r="AB56" s="64" t="e">
        <f t="shared" si="34"/>
        <v>#DIV/0!</v>
      </c>
      <c r="AC56" s="64" t="e">
        <f t="shared" si="34"/>
        <v>#DIV/0!</v>
      </c>
      <c r="AD56" s="64" t="e">
        <f t="shared" si="34"/>
        <v>#DIV/0!</v>
      </c>
      <c r="AE56" s="64" t="e">
        <f t="shared" ref="AE56:AG56" si="35">(AE38/(AE31+AE32))*100</f>
        <v>#DIV/0!</v>
      </c>
      <c r="AF56" s="64" t="e">
        <f t="shared" si="35"/>
        <v>#DIV/0!</v>
      </c>
      <c r="AG56" s="64" t="e">
        <f t="shared" si="35"/>
        <v>#DIV/0!</v>
      </c>
      <c r="AH56" s="64" t="e">
        <f t="shared" si="34"/>
        <v>#DIV/0!</v>
      </c>
      <c r="AI56" s="64" t="e">
        <f t="shared" ref="AI56" si="36">(AI38/(AI31+AI32))*100</f>
        <v>#DIV/0!</v>
      </c>
      <c r="AJ56" s="101"/>
      <c r="AK56" s="109">
        <f>AK38/(AK31+AK32)*100</f>
        <v>4.160344467763311</v>
      </c>
      <c r="CK56" s="87"/>
      <c r="RZ56" s="219">
        <f>RZ54-RZ55</f>
        <v>258</v>
      </c>
      <c r="SB56" s="240">
        <f>RZ56/RZ54*100</f>
        <v>38.053097345132741</v>
      </c>
    </row>
    <row r="57" spans="1:15037">
      <c r="B57" s="50"/>
      <c r="C57" s="181" t="s">
        <v>34</v>
      </c>
      <c r="D57" s="49">
        <v>82</v>
      </c>
      <c r="E57" s="182" t="s">
        <v>12</v>
      </c>
      <c r="F57" s="64">
        <f t="shared" ref="F57:M57" si="37">(F41/F40)*100</f>
        <v>82.102017217011323</v>
      </c>
      <c r="G57" s="64">
        <f t="shared" si="37"/>
        <v>83.539016517941945</v>
      </c>
      <c r="H57" s="64">
        <f t="shared" si="37"/>
        <v>82.823724989609971</v>
      </c>
      <c r="I57" s="64">
        <f t="shared" si="37"/>
        <v>82.996894409937894</v>
      </c>
      <c r="J57" s="64">
        <f t="shared" si="37"/>
        <v>81.997966916182079</v>
      </c>
      <c r="K57" s="64">
        <f t="shared" si="37"/>
        <v>81.616396670544901</v>
      </c>
      <c r="L57" s="64">
        <f t="shared" si="37"/>
        <v>83.345609899823273</v>
      </c>
      <c r="M57" s="64">
        <f t="shared" si="37"/>
        <v>81.047353760445702</v>
      </c>
      <c r="N57" s="64">
        <f t="shared" ref="N57:AH57" si="38">(N41/N40)*100</f>
        <v>84.790134141064414</v>
      </c>
      <c r="O57" s="64">
        <f t="shared" si="38"/>
        <v>81.83329869050057</v>
      </c>
      <c r="P57" s="64">
        <f t="shared" si="38"/>
        <v>84.950720242608298</v>
      </c>
      <c r="Q57" s="64">
        <f t="shared" si="38"/>
        <v>82.593510590356132</v>
      </c>
      <c r="R57" s="64">
        <f t="shared" si="38"/>
        <v>83.105091927063555</v>
      </c>
      <c r="S57" s="64">
        <f t="shared" si="38"/>
        <v>68.386243386243379</v>
      </c>
      <c r="T57" s="64" t="e">
        <f t="shared" si="38"/>
        <v>#DIV/0!</v>
      </c>
      <c r="U57" s="64" t="e">
        <f t="shared" si="38"/>
        <v>#DIV/0!</v>
      </c>
      <c r="V57" s="64" t="e">
        <f t="shared" si="38"/>
        <v>#DIV/0!</v>
      </c>
      <c r="W57" s="64" t="e">
        <f t="shared" si="38"/>
        <v>#DIV/0!</v>
      </c>
      <c r="X57" s="64" t="e">
        <f t="shared" si="38"/>
        <v>#DIV/0!</v>
      </c>
      <c r="Y57" s="64" t="e">
        <f t="shared" si="38"/>
        <v>#DIV/0!</v>
      </c>
      <c r="Z57" s="64" t="e">
        <f t="shared" si="38"/>
        <v>#DIV/0!</v>
      </c>
      <c r="AA57" s="64" t="e">
        <f t="shared" si="38"/>
        <v>#DIV/0!</v>
      </c>
      <c r="AB57" s="64" t="e">
        <f t="shared" si="38"/>
        <v>#DIV/0!</v>
      </c>
      <c r="AC57" s="64" t="e">
        <f t="shared" si="38"/>
        <v>#DIV/0!</v>
      </c>
      <c r="AD57" s="64" t="e">
        <f t="shared" si="38"/>
        <v>#DIV/0!</v>
      </c>
      <c r="AE57" s="64" t="e">
        <f t="shared" ref="AE57:AG57" si="39">(AE41/AE40)*100</f>
        <v>#DIV/0!</v>
      </c>
      <c r="AF57" s="64" t="e">
        <f t="shared" si="39"/>
        <v>#DIV/0!</v>
      </c>
      <c r="AG57" s="64" t="e">
        <f t="shared" si="39"/>
        <v>#DIV/0!</v>
      </c>
      <c r="AH57" s="64" t="e">
        <f t="shared" si="38"/>
        <v>#DIV/0!</v>
      </c>
      <c r="AI57" s="64" t="e">
        <f t="shared" ref="AI57" si="40">(AI41/AI40)*100</f>
        <v>#DIV/0!</v>
      </c>
      <c r="AJ57" s="101"/>
      <c r="AK57" s="109">
        <f>AK41/AK40*100</f>
        <v>82.62384730859965</v>
      </c>
    </row>
    <row r="58" spans="1:15037">
      <c r="B58" s="50"/>
      <c r="C58" s="181" t="s">
        <v>50</v>
      </c>
      <c r="D58" s="49">
        <v>18</v>
      </c>
      <c r="E58" s="182" t="s">
        <v>12</v>
      </c>
      <c r="F58" s="64">
        <f t="shared" ref="F58:M58" si="41">(F42/F40)*100</f>
        <v>17.897982782988674</v>
      </c>
      <c r="G58" s="64">
        <f t="shared" si="41"/>
        <v>16.460983482058058</v>
      </c>
      <c r="H58" s="64">
        <f t="shared" si="41"/>
        <v>17.176275010390025</v>
      </c>
      <c r="I58" s="64">
        <f t="shared" si="41"/>
        <v>17.003105590062113</v>
      </c>
      <c r="J58" s="64">
        <f t="shared" si="41"/>
        <v>18.002033083817913</v>
      </c>
      <c r="K58" s="64">
        <f t="shared" si="41"/>
        <v>18.383603329455109</v>
      </c>
      <c r="L58" s="64">
        <f t="shared" si="41"/>
        <v>16.654390100176723</v>
      </c>
      <c r="M58" s="64">
        <f t="shared" si="41"/>
        <v>18.952646239554312</v>
      </c>
      <c r="N58" s="64">
        <f t="shared" ref="N58:AH58" si="42">(N42/N40)*100</f>
        <v>15.209865858935595</v>
      </c>
      <c r="O58" s="64">
        <f t="shared" si="42"/>
        <v>18.166701309499434</v>
      </c>
      <c r="P58" s="64">
        <f t="shared" si="42"/>
        <v>15.049279757391695</v>
      </c>
      <c r="Q58" s="64">
        <f t="shared" si="42"/>
        <v>17.406489409643868</v>
      </c>
      <c r="R58" s="64">
        <f t="shared" si="42"/>
        <v>16.894908072936431</v>
      </c>
      <c r="S58" s="64">
        <f t="shared" si="42"/>
        <v>31.613756613756617</v>
      </c>
      <c r="T58" s="64" t="e">
        <f t="shared" si="42"/>
        <v>#DIV/0!</v>
      </c>
      <c r="U58" s="64" t="e">
        <f t="shared" si="42"/>
        <v>#DIV/0!</v>
      </c>
      <c r="V58" s="64" t="e">
        <f t="shared" si="42"/>
        <v>#DIV/0!</v>
      </c>
      <c r="W58" s="64" t="e">
        <f t="shared" si="42"/>
        <v>#DIV/0!</v>
      </c>
      <c r="X58" s="64" t="e">
        <f t="shared" si="42"/>
        <v>#DIV/0!</v>
      </c>
      <c r="Y58" s="64" t="e">
        <f t="shared" si="42"/>
        <v>#DIV/0!</v>
      </c>
      <c r="Z58" s="64" t="e">
        <f t="shared" si="42"/>
        <v>#DIV/0!</v>
      </c>
      <c r="AA58" s="64" t="e">
        <f t="shared" si="42"/>
        <v>#DIV/0!</v>
      </c>
      <c r="AB58" s="64" t="e">
        <f t="shared" si="42"/>
        <v>#DIV/0!</v>
      </c>
      <c r="AC58" s="64" t="e">
        <f t="shared" si="42"/>
        <v>#DIV/0!</v>
      </c>
      <c r="AD58" s="64" t="e">
        <f t="shared" si="42"/>
        <v>#DIV/0!</v>
      </c>
      <c r="AE58" s="64" t="e">
        <f t="shared" ref="AE58:AG58" si="43">(AE42/AE40)*100</f>
        <v>#DIV/0!</v>
      </c>
      <c r="AF58" s="64" t="e">
        <f t="shared" si="43"/>
        <v>#DIV/0!</v>
      </c>
      <c r="AG58" s="64" t="e">
        <f t="shared" si="43"/>
        <v>#DIV/0!</v>
      </c>
      <c r="AH58" s="64" t="e">
        <f t="shared" si="42"/>
        <v>#DIV/0!</v>
      </c>
      <c r="AI58" s="64" t="e">
        <f t="shared" ref="AI58" si="44">(AI42/AI40)*100</f>
        <v>#DIV/0!</v>
      </c>
      <c r="AJ58" s="101"/>
      <c r="AK58" s="109">
        <f>AK42/AK40*100</f>
        <v>17.37615269140036</v>
      </c>
    </row>
    <row r="59" spans="1:15037">
      <c r="B59" s="50"/>
      <c r="C59" s="181" t="s">
        <v>39</v>
      </c>
      <c r="D59" s="49">
        <v>70</v>
      </c>
      <c r="E59" s="182" t="s">
        <v>12</v>
      </c>
      <c r="F59" s="64">
        <f t="shared" ref="F59:AC59" si="45">F46/F45*100</f>
        <v>70.039682539683781</v>
      </c>
      <c r="G59" s="64" t="e">
        <f t="shared" si="45"/>
        <v>#DIV/0!</v>
      </c>
      <c r="H59" s="64" t="e">
        <f t="shared" si="45"/>
        <v>#DIV/0!</v>
      </c>
      <c r="I59" s="64" t="e">
        <f t="shared" si="45"/>
        <v>#DIV/0!</v>
      </c>
      <c r="J59" s="64">
        <f t="shared" si="45"/>
        <v>70.631341600900527</v>
      </c>
      <c r="K59" s="64">
        <f t="shared" si="45"/>
        <v>70.052083333332575</v>
      </c>
      <c r="L59" s="64" t="e">
        <f t="shared" si="45"/>
        <v>#DIV/0!</v>
      </c>
      <c r="M59" s="64" t="e">
        <f t="shared" si="45"/>
        <v>#DIV/0!</v>
      </c>
      <c r="N59" s="64" t="e">
        <f t="shared" si="45"/>
        <v>#DIV/0!</v>
      </c>
      <c r="O59" s="64" t="e">
        <f t="shared" si="45"/>
        <v>#DIV/0!</v>
      </c>
      <c r="P59" s="64" t="e">
        <f t="shared" si="45"/>
        <v>#DIV/0!</v>
      </c>
      <c r="Q59" s="64" t="e">
        <f t="shared" si="45"/>
        <v>#DIV/0!</v>
      </c>
      <c r="R59" s="64" t="e">
        <f t="shared" si="45"/>
        <v>#DIV/0!</v>
      </c>
      <c r="S59" s="64" t="e">
        <f t="shared" si="45"/>
        <v>#DIV/0!</v>
      </c>
      <c r="T59" s="64" t="e">
        <f t="shared" si="45"/>
        <v>#DIV/0!</v>
      </c>
      <c r="U59" s="64" t="e">
        <f t="shared" si="45"/>
        <v>#DIV/0!</v>
      </c>
      <c r="V59" s="64" t="e">
        <f t="shared" si="45"/>
        <v>#DIV/0!</v>
      </c>
      <c r="W59" s="64" t="e">
        <f t="shared" si="45"/>
        <v>#DIV/0!</v>
      </c>
      <c r="X59" s="64" t="e">
        <f t="shared" si="45"/>
        <v>#DIV/0!</v>
      </c>
      <c r="Y59" s="64" t="e">
        <f t="shared" si="45"/>
        <v>#DIV/0!</v>
      </c>
      <c r="Z59" s="64" t="e">
        <f t="shared" si="45"/>
        <v>#DIV/0!</v>
      </c>
      <c r="AA59" s="64" t="e">
        <f t="shared" si="45"/>
        <v>#DIV/0!</v>
      </c>
      <c r="AB59" s="64" t="e">
        <f t="shared" si="45"/>
        <v>#DIV/0!</v>
      </c>
      <c r="AC59" s="64" t="e">
        <f t="shared" si="45"/>
        <v>#DIV/0!</v>
      </c>
      <c r="AD59" s="64" t="e">
        <f t="shared" ref="AD59:AH59" si="46">AD49/AD48*100</f>
        <v>#DIV/0!</v>
      </c>
      <c r="AE59" s="64" t="e">
        <f t="shared" ref="AE59:AG59" si="47">AE49/AE48*100</f>
        <v>#DIV/0!</v>
      </c>
      <c r="AF59" s="64" t="e">
        <f t="shared" si="47"/>
        <v>#DIV/0!</v>
      </c>
      <c r="AG59" s="64" t="e">
        <f t="shared" si="47"/>
        <v>#DIV/0!</v>
      </c>
      <c r="AH59" s="64" t="e">
        <f t="shared" si="46"/>
        <v>#DIV/0!</v>
      </c>
      <c r="AI59" s="64" t="e">
        <f t="shared" ref="AI59" si="48">AI49/AI48*100</f>
        <v>#DIV/0!</v>
      </c>
      <c r="AJ59" s="101"/>
      <c r="AK59" s="109">
        <f>AK46/AK45*100</f>
        <v>70.310116929333461</v>
      </c>
      <c r="CK59" s="87"/>
    </row>
    <row r="60" spans="1:15037">
      <c r="B60" s="50"/>
      <c r="C60" s="181" t="s">
        <v>50</v>
      </c>
      <c r="D60" s="49">
        <v>30</v>
      </c>
      <c r="E60" s="182" t="s">
        <v>12</v>
      </c>
      <c r="F60" s="64">
        <f t="shared" ref="F60:AC60" si="49">F47/F45*100</f>
        <v>29.960317460316222</v>
      </c>
      <c r="G60" s="64" t="e">
        <f t="shared" si="49"/>
        <v>#DIV/0!</v>
      </c>
      <c r="H60" s="64" t="e">
        <f t="shared" si="49"/>
        <v>#DIV/0!</v>
      </c>
      <c r="I60" s="64" t="e">
        <f t="shared" si="49"/>
        <v>#DIV/0!</v>
      </c>
      <c r="J60" s="64">
        <f t="shared" si="49"/>
        <v>29.368658399099473</v>
      </c>
      <c r="K60" s="64">
        <f t="shared" si="49"/>
        <v>29.947916666667417</v>
      </c>
      <c r="L60" s="64" t="e">
        <f t="shared" si="49"/>
        <v>#DIV/0!</v>
      </c>
      <c r="M60" s="64" t="e">
        <f t="shared" si="49"/>
        <v>#DIV/0!</v>
      </c>
      <c r="N60" s="64" t="e">
        <f t="shared" si="49"/>
        <v>#DIV/0!</v>
      </c>
      <c r="O60" s="64" t="e">
        <f t="shared" si="49"/>
        <v>#DIV/0!</v>
      </c>
      <c r="P60" s="64" t="e">
        <f t="shared" si="49"/>
        <v>#DIV/0!</v>
      </c>
      <c r="Q60" s="64" t="e">
        <f t="shared" si="49"/>
        <v>#DIV/0!</v>
      </c>
      <c r="R60" s="64" t="e">
        <f t="shared" si="49"/>
        <v>#DIV/0!</v>
      </c>
      <c r="S60" s="64" t="e">
        <f t="shared" si="49"/>
        <v>#DIV/0!</v>
      </c>
      <c r="T60" s="64" t="e">
        <f t="shared" si="49"/>
        <v>#DIV/0!</v>
      </c>
      <c r="U60" s="64" t="e">
        <f t="shared" si="49"/>
        <v>#DIV/0!</v>
      </c>
      <c r="V60" s="64" t="e">
        <f t="shared" si="49"/>
        <v>#DIV/0!</v>
      </c>
      <c r="W60" s="64" t="e">
        <f t="shared" si="49"/>
        <v>#DIV/0!</v>
      </c>
      <c r="X60" s="64" t="e">
        <f t="shared" si="49"/>
        <v>#DIV/0!</v>
      </c>
      <c r="Y60" s="64" t="e">
        <f t="shared" si="49"/>
        <v>#DIV/0!</v>
      </c>
      <c r="Z60" s="64" t="e">
        <f t="shared" si="49"/>
        <v>#DIV/0!</v>
      </c>
      <c r="AA60" s="64" t="e">
        <f t="shared" si="49"/>
        <v>#DIV/0!</v>
      </c>
      <c r="AB60" s="64" t="e">
        <f t="shared" si="49"/>
        <v>#DIV/0!</v>
      </c>
      <c r="AC60" s="64" t="e">
        <f t="shared" si="49"/>
        <v>#DIV/0!</v>
      </c>
      <c r="AD60" s="64" t="e">
        <f t="shared" ref="AD60:AH60" si="50">AD50/AD48*100</f>
        <v>#DIV/0!</v>
      </c>
      <c r="AE60" s="64" t="e">
        <f t="shared" ref="AE60:AG60" si="51">AE50/AE48*100</f>
        <v>#DIV/0!</v>
      </c>
      <c r="AF60" s="64" t="e">
        <f t="shared" si="51"/>
        <v>#DIV/0!</v>
      </c>
      <c r="AG60" s="64" t="e">
        <f t="shared" si="51"/>
        <v>#DIV/0!</v>
      </c>
      <c r="AH60" s="64" t="e">
        <f t="shared" si="50"/>
        <v>#DIV/0!</v>
      </c>
      <c r="AI60" s="64" t="e">
        <f t="shared" ref="AI60" si="52">AI50/AI48*100</f>
        <v>#DIV/0!</v>
      </c>
      <c r="AJ60" s="110"/>
      <c r="AK60" s="109">
        <f>AK47/AK45*100</f>
        <v>29.689883070666532</v>
      </c>
      <c r="IX60" s="1">
        <v>95.03</v>
      </c>
    </row>
    <row r="61" spans="1:15037">
      <c r="B61" s="50"/>
      <c r="C61" s="181" t="s">
        <v>43</v>
      </c>
      <c r="D61" s="49">
        <v>60</v>
      </c>
      <c r="E61" s="182" t="s">
        <v>12</v>
      </c>
      <c r="F61" s="64" t="e">
        <f t="shared" ref="F61:AH61" si="53">F52/F50*100</f>
        <v>#DIV/0!</v>
      </c>
      <c r="G61" s="64" t="e">
        <f t="shared" si="53"/>
        <v>#DIV/0!</v>
      </c>
      <c r="H61" s="64" t="e">
        <f t="shared" si="53"/>
        <v>#DIV/0!</v>
      </c>
      <c r="I61" s="64" t="e">
        <f>I52/I50*100</f>
        <v>#DIV/0!</v>
      </c>
      <c r="J61" s="64" t="e">
        <f>J52/J50*100</f>
        <v>#DIV/0!</v>
      </c>
      <c r="K61" s="64" t="e">
        <f>K52/K50*100</f>
        <v>#DIV/0!</v>
      </c>
      <c r="L61" s="64" t="e">
        <f t="shared" si="53"/>
        <v>#DIV/0!</v>
      </c>
      <c r="M61" s="64" t="e">
        <f t="shared" si="53"/>
        <v>#DIV/0!</v>
      </c>
      <c r="N61" s="64" t="e">
        <f t="shared" si="53"/>
        <v>#DIV/0!</v>
      </c>
      <c r="O61" s="64" t="e">
        <f t="shared" si="53"/>
        <v>#DIV/0!</v>
      </c>
      <c r="P61" s="64" t="e">
        <f>P52/P50*100</f>
        <v>#DIV/0!</v>
      </c>
      <c r="Q61" s="64" t="e">
        <f>Q52/Q50*100</f>
        <v>#DIV/0!</v>
      </c>
      <c r="R61" s="64" t="e">
        <f t="shared" si="53"/>
        <v>#DIV/0!</v>
      </c>
      <c r="S61" s="64" t="e">
        <f t="shared" si="53"/>
        <v>#DIV/0!</v>
      </c>
      <c r="T61" s="64" t="e">
        <f t="shared" ref="T61:W61" si="54">(T52+T51)/T50*100</f>
        <v>#DIV/0!</v>
      </c>
      <c r="U61" s="64" t="e">
        <f t="shared" si="54"/>
        <v>#DIV/0!</v>
      </c>
      <c r="V61" s="64" t="e">
        <f>(V52+V51)/V50*100</f>
        <v>#DIV/0!</v>
      </c>
      <c r="W61" s="64" t="e">
        <f t="shared" si="54"/>
        <v>#DIV/0!</v>
      </c>
      <c r="X61" s="64" t="e">
        <f t="shared" si="53"/>
        <v>#DIV/0!</v>
      </c>
      <c r="Y61" s="64" t="e">
        <f t="shared" si="53"/>
        <v>#DIV/0!</v>
      </c>
      <c r="Z61" s="64" t="e">
        <f t="shared" si="53"/>
        <v>#DIV/0!</v>
      </c>
      <c r="AA61" s="64" t="e">
        <f t="shared" si="53"/>
        <v>#DIV/0!</v>
      </c>
      <c r="AB61" s="64" t="e">
        <f t="shared" si="53"/>
        <v>#DIV/0!</v>
      </c>
      <c r="AC61" s="64" t="e">
        <f t="shared" si="53"/>
        <v>#DIV/0!</v>
      </c>
      <c r="AD61" s="64" t="e">
        <f t="shared" si="53"/>
        <v>#DIV/0!</v>
      </c>
      <c r="AE61" s="64" t="e">
        <f t="shared" ref="AE61:AG61" si="55">AE52/AE50*100</f>
        <v>#DIV/0!</v>
      </c>
      <c r="AF61" s="64" t="e">
        <f t="shared" si="55"/>
        <v>#DIV/0!</v>
      </c>
      <c r="AG61" s="64" t="e">
        <f t="shared" si="55"/>
        <v>#DIV/0!</v>
      </c>
      <c r="AH61" s="64" t="e">
        <f t="shared" si="53"/>
        <v>#DIV/0!</v>
      </c>
      <c r="AI61" s="64" t="e">
        <f t="shared" ref="AI61" si="56">AI52/AI50*100</f>
        <v>#DIV/0!</v>
      </c>
      <c r="AJ61" s="101"/>
      <c r="AK61" s="109" t="e">
        <f>(AK52+AK51)/AK50*100</f>
        <v>#DIV/0!</v>
      </c>
      <c r="IX61" s="1">
        <v>4.2300000000000004</v>
      </c>
      <c r="SB61" s="219">
        <f>SB62/94.2%</f>
        <v>1307.8556263269638</v>
      </c>
      <c r="SC61" s="1" t="s">
        <v>153</v>
      </c>
    </row>
    <row r="62" spans="1:15037">
      <c r="B62" s="50"/>
      <c r="C62" s="181" t="s">
        <v>51</v>
      </c>
      <c r="D62" s="49">
        <v>40</v>
      </c>
      <c r="E62" s="182" t="s">
        <v>12</v>
      </c>
      <c r="F62" s="64" t="e">
        <f t="shared" ref="F62:AH62" si="57">F53/F50*100</f>
        <v>#DIV/0!</v>
      </c>
      <c r="G62" s="64" t="e">
        <f t="shared" si="57"/>
        <v>#DIV/0!</v>
      </c>
      <c r="H62" s="64" t="e">
        <f t="shared" si="57"/>
        <v>#DIV/0!</v>
      </c>
      <c r="I62" s="64" t="e">
        <f>I53/I50*100</f>
        <v>#DIV/0!</v>
      </c>
      <c r="J62" s="64" t="e">
        <f>J53/J50*100</f>
        <v>#DIV/0!</v>
      </c>
      <c r="K62" s="64" t="e">
        <f>K53/K50*100</f>
        <v>#DIV/0!</v>
      </c>
      <c r="L62" s="64" t="e">
        <f t="shared" si="57"/>
        <v>#DIV/0!</v>
      </c>
      <c r="M62" s="64" t="e">
        <f t="shared" si="57"/>
        <v>#DIV/0!</v>
      </c>
      <c r="N62" s="64" t="e">
        <f t="shared" si="57"/>
        <v>#DIV/0!</v>
      </c>
      <c r="O62" s="64" t="e">
        <f t="shared" si="57"/>
        <v>#DIV/0!</v>
      </c>
      <c r="P62" s="64" t="e">
        <f>P53/P50*100</f>
        <v>#DIV/0!</v>
      </c>
      <c r="Q62" s="64" t="e">
        <f>Q53/Q50*100</f>
        <v>#DIV/0!</v>
      </c>
      <c r="R62" s="64" t="e">
        <f t="shared" si="57"/>
        <v>#DIV/0!</v>
      </c>
      <c r="S62" s="64" t="e">
        <f t="shared" si="57"/>
        <v>#DIV/0!</v>
      </c>
      <c r="T62" s="64" t="e">
        <f t="shared" si="57"/>
        <v>#DIV/0!</v>
      </c>
      <c r="U62" s="64" t="e">
        <f t="shared" si="57"/>
        <v>#DIV/0!</v>
      </c>
      <c r="V62" s="64" t="e">
        <f t="shared" si="57"/>
        <v>#DIV/0!</v>
      </c>
      <c r="W62" s="64" t="e">
        <f t="shared" si="57"/>
        <v>#DIV/0!</v>
      </c>
      <c r="X62" s="64" t="e">
        <f t="shared" si="57"/>
        <v>#DIV/0!</v>
      </c>
      <c r="Y62" s="64" t="e">
        <f t="shared" si="57"/>
        <v>#DIV/0!</v>
      </c>
      <c r="Z62" s="64" t="e">
        <f t="shared" si="57"/>
        <v>#DIV/0!</v>
      </c>
      <c r="AA62" s="64" t="e">
        <f t="shared" si="57"/>
        <v>#DIV/0!</v>
      </c>
      <c r="AB62" s="64" t="e">
        <f t="shared" si="57"/>
        <v>#DIV/0!</v>
      </c>
      <c r="AC62" s="64" t="e">
        <f t="shared" si="57"/>
        <v>#DIV/0!</v>
      </c>
      <c r="AD62" s="64" t="e">
        <f t="shared" si="57"/>
        <v>#DIV/0!</v>
      </c>
      <c r="AE62" s="64" t="e">
        <f t="shared" ref="AE62:AG62" si="58">AE53/AE50*100</f>
        <v>#DIV/0!</v>
      </c>
      <c r="AF62" s="64" t="e">
        <f t="shared" si="58"/>
        <v>#DIV/0!</v>
      </c>
      <c r="AG62" s="64" t="e">
        <f t="shared" si="58"/>
        <v>#DIV/0!</v>
      </c>
      <c r="AH62" s="64" t="e">
        <f t="shared" si="57"/>
        <v>#DIV/0!</v>
      </c>
      <c r="AI62" s="64" t="e">
        <f t="shared" ref="AI62" si="59">AI53/AI50*100</f>
        <v>#DIV/0!</v>
      </c>
      <c r="AJ62" s="110"/>
      <c r="AK62" s="109" t="e">
        <f>AK53/AK50*100</f>
        <v>#DIV/0!</v>
      </c>
      <c r="IX62" s="1">
        <f>100-IX60-IX61</f>
        <v>0.73999999999999844</v>
      </c>
      <c r="SB62" s="219">
        <f>22*56</f>
        <v>1232</v>
      </c>
      <c r="SC62" s="1" t="s">
        <v>154</v>
      </c>
    </row>
    <row r="63" spans="1:15037">
      <c r="B63" s="34">
        <v>3</v>
      </c>
      <c r="C63" s="61" t="s">
        <v>52</v>
      </c>
      <c r="D63" s="62"/>
      <c r="E63" s="62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97"/>
      <c r="AK63" s="108" t="s">
        <v>53</v>
      </c>
      <c r="AL63" s="87"/>
      <c r="SB63" s="219">
        <f>16.5*SB61</f>
        <v>21579.617834394903</v>
      </c>
    </row>
    <row r="64" spans="1:15037">
      <c r="B64" s="37"/>
      <c r="C64" s="176" t="s">
        <v>54</v>
      </c>
      <c r="D64" s="49">
        <v>8</v>
      </c>
      <c r="E64" s="183" t="s">
        <v>55</v>
      </c>
      <c r="F64" s="40">
        <v>15936</v>
      </c>
      <c r="G64" s="40">
        <v>15096</v>
      </c>
      <c r="H64" s="40">
        <v>13472</v>
      </c>
      <c r="I64" s="40">
        <v>17136</v>
      </c>
      <c r="J64" s="40">
        <v>13360</v>
      </c>
      <c r="K64" s="40">
        <v>15408</v>
      </c>
      <c r="L64" s="40">
        <v>18088</v>
      </c>
      <c r="M64" s="40">
        <v>16808</v>
      </c>
      <c r="N64" s="40">
        <v>19960</v>
      </c>
      <c r="O64" s="40">
        <v>18224</v>
      </c>
      <c r="P64" s="40">
        <v>14960</v>
      </c>
      <c r="Q64" s="40">
        <v>9592</v>
      </c>
      <c r="R64" s="40">
        <v>18696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97"/>
      <c r="AK64" s="109">
        <f>SUM(F64:AI64)</f>
        <v>206736</v>
      </c>
      <c r="AL64" s="87"/>
      <c r="BK64" s="87"/>
    </row>
    <row r="65" spans="2:930 15038:15051">
      <c r="B65" s="50"/>
      <c r="C65" s="65"/>
      <c r="D65" s="54"/>
      <c r="E65" s="183" t="s">
        <v>12</v>
      </c>
      <c r="F65" s="64">
        <f>F64/F31*100</f>
        <v>0.75951176966814249</v>
      </c>
      <c r="G65" s="64">
        <f>G64/(G31-G49)*100</f>
        <v>0.72672655324802871</v>
      </c>
      <c r="H65" s="64">
        <f t="shared" ref="H65:M65" si="60">H64/((H31+H32)-H49)*100</f>
        <v>0.81429365827712097</v>
      </c>
      <c r="I65" s="64">
        <f t="shared" si="60"/>
        <v>0.79350599435988389</v>
      </c>
      <c r="J65" s="64">
        <f t="shared" si="60"/>
        <v>0.80025397281772059</v>
      </c>
      <c r="K65" s="307">
        <f>K64/((K31+K32)-K49)*100</f>
        <v>0.98755303739216271</v>
      </c>
      <c r="L65" s="307">
        <f t="shared" si="60"/>
        <v>1.1593979950260236</v>
      </c>
      <c r="M65" s="307">
        <f t="shared" si="60"/>
        <v>1.0765594676129118</v>
      </c>
      <c r="N65" s="64">
        <f>N64/((N31+N32)-(N49+N44))*100</f>
        <v>1.2914412898884546</v>
      </c>
      <c r="O65" s="64">
        <f t="shared" ref="O65:AH65" si="61">O64/((O31+O32)-(O49+O44))*100</f>
        <v>1.274851346624694</v>
      </c>
      <c r="P65" s="64">
        <f t="shared" si="61"/>
        <v>1.11240825978003</v>
      </c>
      <c r="Q65" s="64">
        <f t="shared" si="61"/>
        <v>0.81620844289008598</v>
      </c>
      <c r="R65" s="64">
        <f t="shared" si="61"/>
        <v>1.2571528473543832</v>
      </c>
      <c r="S65" s="64" t="e">
        <f t="shared" si="61"/>
        <v>#DIV/0!</v>
      </c>
      <c r="T65" s="64" t="e">
        <f t="shared" si="61"/>
        <v>#DIV/0!</v>
      </c>
      <c r="U65" s="64" t="e">
        <f t="shared" si="61"/>
        <v>#DIV/0!</v>
      </c>
      <c r="V65" s="64" t="e">
        <f t="shared" si="61"/>
        <v>#DIV/0!</v>
      </c>
      <c r="W65" s="64" t="e">
        <f t="shared" si="61"/>
        <v>#DIV/0!</v>
      </c>
      <c r="X65" s="64" t="e">
        <f t="shared" si="61"/>
        <v>#DIV/0!</v>
      </c>
      <c r="Y65" s="64" t="e">
        <f t="shared" si="61"/>
        <v>#DIV/0!</v>
      </c>
      <c r="Z65" s="64" t="e">
        <f t="shared" si="61"/>
        <v>#DIV/0!</v>
      </c>
      <c r="AA65" s="64" t="e">
        <f>AA64/((AA31+AA32)-(AA49+AA44))*100</f>
        <v>#DIV/0!</v>
      </c>
      <c r="AB65" s="236" t="e">
        <f>AB64/((AB31+AB32)-(AB49+AB44))*100</f>
        <v>#DIV/0!</v>
      </c>
      <c r="AC65" s="64" t="e">
        <f t="shared" si="61"/>
        <v>#DIV/0!</v>
      </c>
      <c r="AD65" s="64" t="e">
        <f t="shared" si="61"/>
        <v>#DIV/0!</v>
      </c>
      <c r="AE65" s="64" t="e">
        <f t="shared" ref="AE65" si="62">AE64/((AE31+AE32)-(AE49+AE44))*100</f>
        <v>#DIV/0!</v>
      </c>
      <c r="AF65" s="64" t="e">
        <f>AF64/((AF31+AF32)-(AF49+AF44))*100</f>
        <v>#DIV/0!</v>
      </c>
      <c r="AG65" s="64" t="e">
        <f>AG64/((AG31+AG32)-(AG49+AG44))*100</f>
        <v>#DIV/0!</v>
      </c>
      <c r="AH65" s="64" t="e">
        <f t="shared" si="61"/>
        <v>#DIV/0!</v>
      </c>
      <c r="AI65" s="64" t="e">
        <f t="shared" ref="AI65" si="63">AI64/((AI31+AI32)-(AI49+AI44))*100</f>
        <v>#DIV/0!</v>
      </c>
      <c r="AJ65" s="97"/>
      <c r="AK65" s="109">
        <f>AK64/((AK31-(AK44+AK49)))*100</f>
        <v>0.96955599066724518</v>
      </c>
      <c r="AL65" s="9"/>
      <c r="AM65" s="8">
        <f>AK65*10</f>
        <v>9.695559906672452</v>
      </c>
      <c r="AN65" s="214"/>
      <c r="AS65" s="9"/>
      <c r="CJ65" s="214"/>
      <c r="CK65" s="214"/>
      <c r="IX65" s="240">
        <f>R65*10</f>
        <v>12.571528473543832</v>
      </c>
      <c r="RY65" s="240"/>
      <c r="SB65" s="219">
        <f>SB61+(AK49/1000)</f>
        <v>1307.8556263269638</v>
      </c>
      <c r="SC65" s="219" t="s">
        <v>155</v>
      </c>
    </row>
    <row r="66" spans="2:930 15038:15051" s="1" customFormat="1">
      <c r="B66" s="37"/>
      <c r="C66" s="184" t="s">
        <v>56</v>
      </c>
      <c r="D66" s="66">
        <v>16</v>
      </c>
      <c r="E66" s="185" t="s">
        <v>55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67">
        <v>0</v>
      </c>
      <c r="P66" s="67">
        <v>0</v>
      </c>
      <c r="Q66" s="67"/>
      <c r="R66" s="67">
        <v>0</v>
      </c>
      <c r="S66" s="67">
        <v>0</v>
      </c>
      <c r="T66" s="67">
        <v>0</v>
      </c>
      <c r="U66" s="67">
        <v>0</v>
      </c>
      <c r="V66" s="67">
        <v>0</v>
      </c>
      <c r="W66" s="67">
        <v>0</v>
      </c>
      <c r="X66" s="67">
        <v>0</v>
      </c>
      <c r="Y66" s="67">
        <v>0</v>
      </c>
      <c r="Z66" s="67">
        <v>0</v>
      </c>
      <c r="AA66" s="67">
        <v>0</v>
      </c>
      <c r="AB66" s="67">
        <v>0</v>
      </c>
      <c r="AC66" s="67">
        <v>0</v>
      </c>
      <c r="AD66" s="67">
        <v>0</v>
      </c>
      <c r="AE66" s="67">
        <v>0</v>
      </c>
      <c r="AF66" s="67">
        <v>0</v>
      </c>
      <c r="AG66" s="67">
        <v>0</v>
      </c>
      <c r="AH66" s="67">
        <v>0</v>
      </c>
      <c r="AI66" s="67">
        <v>0</v>
      </c>
      <c r="AJ66" s="97"/>
      <c r="AK66" s="111">
        <f>SUM(F66:AI66)</f>
        <v>0</v>
      </c>
      <c r="AL66" s="214"/>
      <c r="AM66" s="8"/>
      <c r="EA66" s="219"/>
      <c r="EB66" s="219"/>
      <c r="FH66" s="219"/>
      <c r="GP66" s="7"/>
      <c r="GQ66" s="219"/>
      <c r="GR66" s="219"/>
      <c r="GS66" s="219"/>
      <c r="GT66" s="219"/>
      <c r="IW66" s="219"/>
      <c r="IX66" s="240"/>
      <c r="MR66" s="219"/>
      <c r="MS66" s="219"/>
      <c r="MT66" s="219"/>
      <c r="MU66" s="219"/>
      <c r="RY66" s="219"/>
      <c r="RZ66" s="219"/>
      <c r="SB66" s="219">
        <f>SB63+AK66</f>
        <v>21579.617834394903</v>
      </c>
      <c r="SC66" s="219" t="s">
        <v>156</v>
      </c>
      <c r="SP66" s="240"/>
      <c r="ST66" s="219"/>
      <c r="UW66" s="240"/>
      <c r="VFJ66"/>
      <c r="VFK66"/>
      <c r="VFL66"/>
      <c r="VFM66"/>
      <c r="VFN66"/>
      <c r="VFO66"/>
      <c r="VFP66"/>
      <c r="VFQ66"/>
      <c r="VFR66"/>
      <c r="VFS66"/>
      <c r="VFT66"/>
      <c r="VFU66"/>
      <c r="VFV66"/>
      <c r="VFW66"/>
    </row>
    <row r="67" spans="2:930 15038:15051" s="1" customFormat="1">
      <c r="B67" s="50"/>
      <c r="C67" s="68"/>
      <c r="D67" s="69"/>
      <c r="E67" s="186" t="s">
        <v>12</v>
      </c>
      <c r="F67" s="70" t="e">
        <f>F66/F49*100</f>
        <v>#DIV/0!</v>
      </c>
      <c r="G67" s="70" t="e">
        <f>G66/G49*100</f>
        <v>#DIV/0!</v>
      </c>
      <c r="H67" s="70" t="e">
        <f t="shared" ref="H67:S67" si="64">H66/H49*100</f>
        <v>#DIV/0!</v>
      </c>
      <c r="I67" s="70" t="e">
        <f t="shared" si="64"/>
        <v>#DIV/0!</v>
      </c>
      <c r="J67" s="70" t="e">
        <f t="shared" si="64"/>
        <v>#DIV/0!</v>
      </c>
      <c r="K67" s="70" t="e">
        <f t="shared" si="64"/>
        <v>#DIV/0!</v>
      </c>
      <c r="L67" s="70" t="e">
        <f t="shared" si="64"/>
        <v>#DIV/0!</v>
      </c>
      <c r="M67" s="70" t="e">
        <f>M66/M49*100</f>
        <v>#DIV/0!</v>
      </c>
      <c r="N67" s="70" t="e">
        <f>N66/(N44+N49)*100</f>
        <v>#DIV/0!</v>
      </c>
      <c r="O67" s="70" t="e">
        <f t="shared" si="64"/>
        <v>#DIV/0!</v>
      </c>
      <c r="P67" s="70" t="e">
        <f>P66/(P49+P44)*100</f>
        <v>#DIV/0!</v>
      </c>
      <c r="Q67" s="70" t="e">
        <f>Q66/Q49*100</f>
        <v>#DIV/0!</v>
      </c>
      <c r="R67" s="70" t="e">
        <f>R66/R49*100</f>
        <v>#DIV/0!</v>
      </c>
      <c r="S67" s="70" t="e">
        <f t="shared" si="64"/>
        <v>#DIV/0!</v>
      </c>
      <c r="T67" s="70" t="e">
        <f>T66/(T49+T44)*100</f>
        <v>#DIV/0!</v>
      </c>
      <c r="U67" s="70" t="e">
        <f>U66/U49*100</f>
        <v>#DIV/0!</v>
      </c>
      <c r="V67" s="70" t="e">
        <f t="shared" ref="V67:AA67" si="65">V66/V49*100</f>
        <v>#DIV/0!</v>
      </c>
      <c r="W67" s="70" t="e">
        <f>W66/W49*100</f>
        <v>#DIV/0!</v>
      </c>
      <c r="X67" s="70" t="e">
        <f t="shared" si="65"/>
        <v>#DIV/0!</v>
      </c>
      <c r="Y67" s="70" t="e">
        <f t="shared" si="65"/>
        <v>#DIV/0!</v>
      </c>
      <c r="Z67" s="70" t="e">
        <f t="shared" si="65"/>
        <v>#DIV/0!</v>
      </c>
      <c r="AA67" s="70" t="e">
        <f t="shared" si="65"/>
        <v>#DIV/0!</v>
      </c>
      <c r="AB67" s="70" t="e">
        <f>AB66/(AB49+AB44)*100</f>
        <v>#DIV/0!</v>
      </c>
      <c r="AC67" s="70" t="e">
        <f>AC66/(AC49)*100</f>
        <v>#DIV/0!</v>
      </c>
      <c r="AD67" s="70" t="e">
        <f t="shared" ref="AD67:AH67" si="66">AD66/AD49*100</f>
        <v>#DIV/0!</v>
      </c>
      <c r="AE67" s="70" t="e">
        <f t="shared" ref="AE67:AF67" si="67">AE66/AE49*100</f>
        <v>#DIV/0!</v>
      </c>
      <c r="AF67" s="70" t="e">
        <f t="shared" si="67"/>
        <v>#DIV/0!</v>
      </c>
      <c r="AG67" s="70" t="e">
        <f>AG66/AG49*100</f>
        <v>#DIV/0!</v>
      </c>
      <c r="AH67" s="70" t="e">
        <f t="shared" si="66"/>
        <v>#DIV/0!</v>
      </c>
      <c r="AI67" s="70" t="e">
        <f t="shared" ref="AI67" si="68">AI66/AI49*100</f>
        <v>#DIV/0!</v>
      </c>
      <c r="AJ67" s="97"/>
      <c r="AK67" s="112" t="e">
        <f>AK66/((AK49)+AK44)*100</f>
        <v>#DIV/0!</v>
      </c>
      <c r="AL67" s="9"/>
      <c r="AM67" s="8" t="e">
        <f>AK67*10</f>
        <v>#DIV/0!</v>
      </c>
      <c r="EA67" s="219"/>
      <c r="EB67" s="219"/>
      <c r="FH67" s="219"/>
      <c r="GP67" s="7"/>
      <c r="GQ67" s="219"/>
      <c r="GR67" s="219"/>
      <c r="GS67" s="219"/>
      <c r="GT67" s="219"/>
      <c r="IW67" s="219"/>
      <c r="IX67" s="240"/>
      <c r="MR67" s="219"/>
      <c r="MS67" s="219"/>
      <c r="MT67" s="219"/>
      <c r="MU67" s="219"/>
      <c r="RY67" s="240"/>
      <c r="RZ67" s="219"/>
      <c r="SB67" s="299">
        <f>SB66/SB65</f>
        <v>16.5</v>
      </c>
      <c r="SC67" s="300" t="s">
        <v>157</v>
      </c>
      <c r="SP67" s="240"/>
      <c r="ST67" s="219"/>
      <c r="UW67" s="240"/>
      <c r="VFJ67"/>
      <c r="VFK67"/>
      <c r="VFL67"/>
      <c r="VFM67"/>
      <c r="VFN67"/>
      <c r="VFO67"/>
      <c r="VFP67"/>
      <c r="VFQ67"/>
      <c r="VFR67"/>
      <c r="VFS67"/>
      <c r="VFT67"/>
      <c r="VFU67"/>
      <c r="VFV67"/>
      <c r="VFW67"/>
    </row>
    <row r="68" spans="2:930 15038:15051">
      <c r="B68" s="50"/>
      <c r="C68" s="176" t="s">
        <v>57</v>
      </c>
      <c r="D68" s="49">
        <v>0.55000000000000004</v>
      </c>
      <c r="E68" s="183" t="s">
        <v>9</v>
      </c>
      <c r="F68" s="40">
        <v>1153.17</v>
      </c>
      <c r="G68" s="40">
        <v>1126.3499999999999</v>
      </c>
      <c r="H68" s="40">
        <v>938.63</v>
      </c>
      <c r="I68" s="40">
        <v>1193.98</v>
      </c>
      <c r="J68" s="40">
        <v>804.54000000000008</v>
      </c>
      <c r="K68" s="40">
        <v>872.17</v>
      </c>
      <c r="L68" s="40">
        <v>860.48</v>
      </c>
      <c r="M68" s="40">
        <v>838.29</v>
      </c>
      <c r="N68" s="40">
        <v>845.35</v>
      </c>
      <c r="O68" s="40">
        <v>746.15000000000009</v>
      </c>
      <c r="P68" s="40">
        <v>652.95999999999992</v>
      </c>
      <c r="Q68" s="40">
        <v>613.31999999999994</v>
      </c>
      <c r="R68" s="40">
        <v>754.4799999999999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97"/>
      <c r="AK68" s="313">
        <f>SUM(F68:AI68)</f>
        <v>11399.869999999997</v>
      </c>
      <c r="IX68" s="240"/>
      <c r="SB68" s="240">
        <v>16</v>
      </c>
      <c r="SC68" s="1" t="s">
        <v>159</v>
      </c>
    </row>
    <row r="69" spans="2:930 15038:15051">
      <c r="B69" s="71"/>
      <c r="C69" s="72"/>
      <c r="D69" s="54"/>
      <c r="E69" s="187" t="s">
        <v>12</v>
      </c>
      <c r="F69" s="73">
        <f t="shared" ref="F69:AH69" si="69">F68/(F31+F32)*100</f>
        <v>5.4960227624762305E-2</v>
      </c>
      <c r="G69" s="73">
        <f t="shared" si="69"/>
        <v>5.4222870512116918E-2</v>
      </c>
      <c r="H69" s="73">
        <f t="shared" si="69"/>
        <v>5.6734000628611489E-2</v>
      </c>
      <c r="I69" s="86">
        <f t="shared" si="69"/>
        <v>5.5288882303093728E-2</v>
      </c>
      <c r="J69" s="73">
        <f t="shared" si="69"/>
        <v>4.8191342162482713E-2</v>
      </c>
      <c r="K69" s="73">
        <f t="shared" si="69"/>
        <v>5.5900449936547407E-2</v>
      </c>
      <c r="L69" s="73">
        <f t="shared" si="69"/>
        <v>5.5154731687306113E-2</v>
      </c>
      <c r="M69" s="73">
        <f t="shared" si="69"/>
        <v>5.3692826993409555E-2</v>
      </c>
      <c r="N69" s="73">
        <f t="shared" si="69"/>
        <v>5.4695385491342945E-2</v>
      </c>
      <c r="O69" s="73">
        <f t="shared" si="69"/>
        <v>5.2196572228051775E-2</v>
      </c>
      <c r="P69" s="73">
        <f t="shared" si="69"/>
        <v>4.8553348750398947E-2</v>
      </c>
      <c r="Q69" s="73">
        <f t="shared" si="69"/>
        <v>5.2189007734919454E-2</v>
      </c>
      <c r="R69" s="73">
        <f t="shared" si="69"/>
        <v>5.0732599501066261E-2</v>
      </c>
      <c r="S69" s="73" t="e">
        <f t="shared" si="69"/>
        <v>#DIV/0!</v>
      </c>
      <c r="T69" s="73" t="e">
        <f t="shared" si="69"/>
        <v>#DIV/0!</v>
      </c>
      <c r="U69" s="73" t="e">
        <f t="shared" si="69"/>
        <v>#DIV/0!</v>
      </c>
      <c r="V69" s="73" t="e">
        <f t="shared" si="69"/>
        <v>#DIV/0!</v>
      </c>
      <c r="W69" s="73" t="e">
        <f t="shared" si="69"/>
        <v>#DIV/0!</v>
      </c>
      <c r="X69" s="73" t="e">
        <f t="shared" si="69"/>
        <v>#DIV/0!</v>
      </c>
      <c r="Y69" s="73" t="e">
        <f t="shared" si="69"/>
        <v>#DIV/0!</v>
      </c>
      <c r="Z69" s="73" t="e">
        <f t="shared" si="69"/>
        <v>#DIV/0!</v>
      </c>
      <c r="AA69" s="73" t="e">
        <f t="shared" si="69"/>
        <v>#DIV/0!</v>
      </c>
      <c r="AB69" s="73" t="e">
        <f t="shared" si="69"/>
        <v>#DIV/0!</v>
      </c>
      <c r="AC69" s="73" t="e">
        <f t="shared" si="69"/>
        <v>#DIV/0!</v>
      </c>
      <c r="AD69" s="73" t="e">
        <f t="shared" si="69"/>
        <v>#DIV/0!</v>
      </c>
      <c r="AE69" s="73" t="e">
        <f t="shared" ref="AE69:AG69" si="70">AE68/(AE31+AE32)*100</f>
        <v>#DIV/0!</v>
      </c>
      <c r="AF69" s="73" t="e">
        <f t="shared" si="70"/>
        <v>#DIV/0!</v>
      </c>
      <c r="AG69" s="73" t="e">
        <f t="shared" si="70"/>
        <v>#DIV/0!</v>
      </c>
      <c r="AH69" s="73" t="e">
        <f t="shared" si="69"/>
        <v>#DIV/0!</v>
      </c>
      <c r="AI69" s="73" t="e">
        <f t="shared" ref="AI69" si="71">AI68/(AI31+AI32)*100</f>
        <v>#DIV/0!</v>
      </c>
      <c r="AJ69" s="2"/>
      <c r="AK69" s="113">
        <f>AK68/(AK31)*100</f>
        <v>5.3463413490286195E-2</v>
      </c>
      <c r="AM69" s="8">
        <f>AK69*10</f>
        <v>0.53463413490286193</v>
      </c>
      <c r="IX69" s="240">
        <f>R69*10</f>
        <v>0.50732599501066256</v>
      </c>
      <c r="RY69" s="240"/>
      <c r="SB69" s="240">
        <f>SB67-SB68</f>
        <v>0.5</v>
      </c>
      <c r="SC69" s="1" t="s">
        <v>158</v>
      </c>
    </row>
    <row r="70" spans="2:930 15038:15051" s="4" customFormat="1" ht="13.8">
      <c r="B70" s="74">
        <v>4</v>
      </c>
      <c r="C70" s="188" t="s">
        <v>58</v>
      </c>
      <c r="D70" s="75">
        <v>0.8</v>
      </c>
      <c r="E70" s="189" t="s">
        <v>12</v>
      </c>
      <c r="F70" s="76">
        <f t="shared" ref="F70:M70" si="72">((SUM(F37:F38))-(SUM(F31:F32)))/(SUM(F31:F32))*100</f>
        <v>-0.7015570563199599</v>
      </c>
      <c r="G70" s="76">
        <f t="shared" si="72"/>
        <v>-0.76639419234953732</v>
      </c>
      <c r="H70" s="76">
        <f t="shared" si="72"/>
        <v>-0.75372935857627577</v>
      </c>
      <c r="I70" s="76">
        <f t="shared" si="72"/>
        <v>-0.68903881863137906</v>
      </c>
      <c r="J70" s="76">
        <f t="shared" si="72"/>
        <v>-0.74634464830214253</v>
      </c>
      <c r="K70" s="76">
        <f t="shared" si="72"/>
        <v>-0.68964633192631009</v>
      </c>
      <c r="L70" s="76">
        <f t="shared" si="72"/>
        <v>-0.65635976719732048</v>
      </c>
      <c r="M70" s="76">
        <f t="shared" si="72"/>
        <v>-0.65203328059787991</v>
      </c>
      <c r="N70" s="76">
        <f t="shared" ref="N70:AH70" si="73">((SUM(N37:N38))-(SUM(N31:N32)))/(SUM(N31:N32))*100</f>
        <v>-0.64895571831575172</v>
      </c>
      <c r="O70" s="76">
        <f t="shared" si="73"/>
        <v>-0.66037075900798126</v>
      </c>
      <c r="P70" s="76">
        <f t="shared" si="73"/>
        <v>-0.63428091282917332</v>
      </c>
      <c r="Q70" s="76">
        <f t="shared" si="73"/>
        <v>-0.62628170763866564</v>
      </c>
      <c r="R70" s="76">
        <f t="shared" si="73"/>
        <v>-0.61810485687379857</v>
      </c>
      <c r="S70" s="76" t="e">
        <f t="shared" si="73"/>
        <v>#DIV/0!</v>
      </c>
      <c r="T70" s="76" t="e">
        <f t="shared" si="73"/>
        <v>#DIV/0!</v>
      </c>
      <c r="U70" s="76" t="e">
        <f t="shared" si="73"/>
        <v>#DIV/0!</v>
      </c>
      <c r="V70" s="76" t="e">
        <f t="shared" si="73"/>
        <v>#DIV/0!</v>
      </c>
      <c r="W70" s="76" t="e">
        <f t="shared" si="73"/>
        <v>#DIV/0!</v>
      </c>
      <c r="X70" s="76" t="e">
        <f t="shared" si="73"/>
        <v>#DIV/0!</v>
      </c>
      <c r="Y70" s="76" t="e">
        <f t="shared" si="73"/>
        <v>#DIV/0!</v>
      </c>
      <c r="Z70" s="76" t="e">
        <f t="shared" si="73"/>
        <v>#DIV/0!</v>
      </c>
      <c r="AA70" s="76" t="e">
        <f t="shared" si="73"/>
        <v>#DIV/0!</v>
      </c>
      <c r="AB70" s="76" t="e">
        <f t="shared" si="73"/>
        <v>#DIV/0!</v>
      </c>
      <c r="AC70" s="76" t="e">
        <f t="shared" si="73"/>
        <v>#DIV/0!</v>
      </c>
      <c r="AD70" s="76" t="e">
        <f>((SUM(AD37:AD38))-(SUM(AD31:AD32)))/(SUM(AD31:AD32))*100</f>
        <v>#DIV/0!</v>
      </c>
      <c r="AE70" s="76" t="e">
        <f t="shared" ref="AE70:AG70" si="74">((SUM(AE37:AE38))-(SUM(AE31:AE32)))/(SUM(AE31:AE32))*100</f>
        <v>#DIV/0!</v>
      </c>
      <c r="AF70" s="76" t="e">
        <f t="shared" si="74"/>
        <v>#DIV/0!</v>
      </c>
      <c r="AG70" s="76" t="e">
        <f t="shared" si="74"/>
        <v>#DIV/0!</v>
      </c>
      <c r="AH70" s="76" t="e">
        <f t="shared" si="73"/>
        <v>#DIV/0!</v>
      </c>
      <c r="AI70" s="76" t="e">
        <f t="shared" ref="AI70" si="75">((SUM(AI37:AI38))-(SUM(AI31:AI32)))/(SUM(AI31:AI32))*100</f>
        <v>#DIV/0!</v>
      </c>
      <c r="AJ70" s="114"/>
      <c r="AK70" s="115">
        <f>((SUM(AK37:AK38))-(SUM(AK31:AK32)))/(SUM(AK31:AK32))*100</f>
        <v>-0.68556949736779793</v>
      </c>
      <c r="AL70" s="241"/>
      <c r="AM70" s="116"/>
      <c r="EA70" s="237"/>
      <c r="EB70" s="237"/>
      <c r="FH70" s="237"/>
      <c r="GP70" s="246"/>
      <c r="GQ70" s="237"/>
      <c r="GR70" s="237"/>
      <c r="GS70" s="237"/>
      <c r="GT70" s="237"/>
      <c r="IW70" s="237"/>
      <c r="MR70" s="237"/>
      <c r="MS70" s="237"/>
      <c r="MT70" s="237"/>
      <c r="MU70" s="237"/>
      <c r="RY70" s="237"/>
      <c r="RZ70" s="237"/>
      <c r="SB70" s="240"/>
      <c r="SC70" s="1"/>
      <c r="SP70" s="222"/>
      <c r="ST70" s="237"/>
      <c r="UW70" s="222"/>
    </row>
    <row r="71" spans="2:930 15038:15051" s="4" customFormat="1" ht="13.8">
      <c r="B71" s="55"/>
      <c r="C71" s="181" t="s">
        <v>59</v>
      </c>
      <c r="D71" s="77">
        <v>22</v>
      </c>
      <c r="E71" s="182" t="s">
        <v>12</v>
      </c>
      <c r="F71" s="64">
        <v>21.4</v>
      </c>
      <c r="G71" s="64">
        <v>21.4</v>
      </c>
      <c r="H71" s="64">
        <v>21.41</v>
      </c>
      <c r="I71" s="64">
        <v>21.38</v>
      </c>
      <c r="J71" s="64">
        <v>21.41</v>
      </c>
      <c r="K71" s="64">
        <v>21.39</v>
      </c>
      <c r="L71" s="64">
        <v>21.4</v>
      </c>
      <c r="M71" s="64">
        <v>21.39</v>
      </c>
      <c r="N71" s="64">
        <v>21.36</v>
      </c>
      <c r="O71" s="64">
        <v>21.4</v>
      </c>
      <c r="P71" s="64">
        <v>21.4</v>
      </c>
      <c r="Q71" s="64">
        <v>21.38</v>
      </c>
      <c r="R71" s="64">
        <v>21.35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101"/>
      <c r="AK71" s="117">
        <f>AVERAGE(F71:R71)</f>
        <v>21.390000000000004</v>
      </c>
      <c r="AL71" s="237"/>
      <c r="AM71" s="116"/>
      <c r="EA71" s="237"/>
      <c r="EB71" s="237"/>
      <c r="FH71" s="237"/>
      <c r="GP71" s="246"/>
      <c r="GQ71" s="237"/>
      <c r="GR71" s="237"/>
      <c r="GS71" s="237"/>
      <c r="GT71" s="237"/>
      <c r="IW71" s="237"/>
      <c r="MR71" s="237"/>
      <c r="MS71" s="237"/>
      <c r="MT71" s="237"/>
      <c r="MU71" s="237"/>
      <c r="RY71" s="237"/>
      <c r="RZ71" s="237"/>
      <c r="SB71" s="237"/>
      <c r="SP71" s="222"/>
      <c r="ST71" s="237"/>
      <c r="UW71" s="222"/>
    </row>
    <row r="72" spans="2:930 15038:15051" s="4" customFormat="1" ht="13.8">
      <c r="B72" s="78"/>
      <c r="C72" s="190" t="s">
        <v>60</v>
      </c>
      <c r="D72" s="54"/>
      <c r="E72" s="191" t="s">
        <v>9</v>
      </c>
      <c r="F72" s="64">
        <f t="shared" ref="F72:AH72" si="76">SUM(F64,F66)+(F71%*SUM(F64,F66))</f>
        <v>19346.304</v>
      </c>
      <c r="G72" s="64">
        <f t="shared" si="76"/>
        <v>18326.544000000002</v>
      </c>
      <c r="H72" s="64">
        <f t="shared" si="76"/>
        <v>16356.3552</v>
      </c>
      <c r="I72" s="64">
        <f t="shared" si="76"/>
        <v>20799.676800000001</v>
      </c>
      <c r="J72" s="64">
        <f>SUM(J64,J66)+(J71%*SUM(J64,J66))</f>
        <v>16220.376</v>
      </c>
      <c r="K72" s="64">
        <f t="shared" si="76"/>
        <v>18703.771199999999</v>
      </c>
      <c r="L72" s="64">
        <f t="shared" si="76"/>
        <v>21958.831999999999</v>
      </c>
      <c r="M72" s="64">
        <f t="shared" si="76"/>
        <v>20403.231200000002</v>
      </c>
      <c r="N72" s="64">
        <f t="shared" si="76"/>
        <v>24223.455999999998</v>
      </c>
      <c r="O72" s="64">
        <f t="shared" si="76"/>
        <v>22123.936000000002</v>
      </c>
      <c r="P72" s="64">
        <f t="shared" si="76"/>
        <v>18161.439999999999</v>
      </c>
      <c r="Q72" s="64">
        <f t="shared" si="76"/>
        <v>11642.7696</v>
      </c>
      <c r="R72" s="64">
        <f t="shared" si="76"/>
        <v>22687.596000000001</v>
      </c>
      <c r="S72" s="64">
        <f t="shared" si="76"/>
        <v>0</v>
      </c>
      <c r="T72" s="64">
        <f t="shared" si="76"/>
        <v>0</v>
      </c>
      <c r="U72" s="64">
        <f t="shared" si="76"/>
        <v>0</v>
      </c>
      <c r="V72" s="64">
        <f t="shared" si="76"/>
        <v>0</v>
      </c>
      <c r="W72" s="64">
        <f t="shared" si="76"/>
        <v>0</v>
      </c>
      <c r="X72" s="64">
        <f t="shared" si="76"/>
        <v>0</v>
      </c>
      <c r="Y72" s="64">
        <f>SUM(Y64,Y66)+(Y71%*SUM(Y64,Y66))</f>
        <v>0</v>
      </c>
      <c r="Z72" s="64">
        <f t="shared" si="76"/>
        <v>0</v>
      </c>
      <c r="AA72" s="64">
        <f t="shared" si="76"/>
        <v>0</v>
      </c>
      <c r="AB72" s="64">
        <f t="shared" si="76"/>
        <v>0</v>
      </c>
      <c r="AC72" s="64">
        <f t="shared" si="76"/>
        <v>0</v>
      </c>
      <c r="AD72" s="64">
        <f t="shared" si="76"/>
        <v>0</v>
      </c>
      <c r="AE72" s="64">
        <f t="shared" ref="AE72:AG72" si="77">SUM(AE64,AE66)+(AE71%*SUM(AE64,AE66))</f>
        <v>0</v>
      </c>
      <c r="AF72" s="64">
        <f t="shared" si="77"/>
        <v>0</v>
      </c>
      <c r="AG72" s="64">
        <f t="shared" si="77"/>
        <v>0</v>
      </c>
      <c r="AH72" s="64">
        <f t="shared" si="76"/>
        <v>0</v>
      </c>
      <c r="AI72" s="64">
        <f t="shared" ref="AI72" si="78">SUM(AI64,AI66)+(AI71%*SUM(AI64,AI66))</f>
        <v>0</v>
      </c>
      <c r="AJ72" s="101"/>
      <c r="AK72" s="117">
        <f>SUM(AK64,AK66)+(AK71%*SUM(AK64,AK66))</f>
        <v>250956.83040000001</v>
      </c>
      <c r="AL72" s="242"/>
      <c r="AM72" s="116"/>
      <c r="EA72" s="237"/>
      <c r="EB72" s="237"/>
      <c r="FH72" s="237"/>
      <c r="GP72" s="246"/>
      <c r="GQ72" s="237"/>
      <c r="GR72" s="237"/>
      <c r="GS72" s="237"/>
      <c r="GT72" s="237"/>
      <c r="IW72" s="237"/>
      <c r="IX72" s="301">
        <f>AM72+400</f>
        <v>400</v>
      </c>
      <c r="MR72" s="237"/>
      <c r="MS72" s="237"/>
      <c r="MT72" s="237"/>
      <c r="MU72" s="237"/>
      <c r="RY72" s="237"/>
      <c r="RZ72" s="237"/>
      <c r="SB72" s="237"/>
      <c r="SP72" s="222"/>
      <c r="ST72" s="237"/>
      <c r="UW72" s="222"/>
    </row>
    <row r="73" spans="2:930 15038:15051">
      <c r="B73" s="34">
        <v>5</v>
      </c>
      <c r="C73" s="16" t="s">
        <v>61</v>
      </c>
      <c r="D73" s="35"/>
      <c r="E73" s="35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83"/>
      <c r="AD73" s="36"/>
      <c r="AE73" s="36"/>
      <c r="AF73" s="36"/>
      <c r="AG73" s="36"/>
      <c r="AH73" s="36"/>
      <c r="AI73" s="36"/>
      <c r="AJ73" s="87"/>
      <c r="AK73" s="180" t="s">
        <v>62</v>
      </c>
      <c r="IX73" s="87">
        <v>17292</v>
      </c>
      <c r="RY73" s="219">
        <f>AM73-IX73</f>
        <v>-17292</v>
      </c>
    </row>
    <row r="74" spans="2:930 15038:15051" s="5" customFormat="1" ht="13.8">
      <c r="B74" s="37"/>
      <c r="C74" s="119" t="s">
        <v>63</v>
      </c>
      <c r="D74" s="120"/>
      <c r="E74" s="121" t="s">
        <v>9</v>
      </c>
      <c r="F74" s="122">
        <v>0</v>
      </c>
      <c r="G74" s="122">
        <v>0</v>
      </c>
      <c r="H74" s="122">
        <v>91279</v>
      </c>
      <c r="I74" s="122">
        <v>0</v>
      </c>
      <c r="J74" s="122">
        <v>0</v>
      </c>
      <c r="K74" s="122">
        <v>65036</v>
      </c>
      <c r="L74" s="122">
        <v>0</v>
      </c>
      <c r="M74" s="122">
        <v>75994</v>
      </c>
      <c r="N74" s="122">
        <v>0</v>
      </c>
      <c r="O74" s="122">
        <v>76340</v>
      </c>
      <c r="P74" s="122">
        <v>0</v>
      </c>
      <c r="Q74" s="122">
        <v>0</v>
      </c>
      <c r="R74" s="122">
        <v>0</v>
      </c>
      <c r="S74" s="122">
        <v>69714</v>
      </c>
      <c r="T74" s="122">
        <v>0</v>
      </c>
      <c r="U74" s="122">
        <v>0</v>
      </c>
      <c r="V74" s="122">
        <v>0</v>
      </c>
      <c r="W74" s="122">
        <v>79970</v>
      </c>
      <c r="X74" s="122">
        <v>0</v>
      </c>
      <c r="Y74" s="122">
        <v>0</v>
      </c>
      <c r="Z74" s="122">
        <v>0</v>
      </c>
      <c r="AA74" s="122">
        <v>0</v>
      </c>
      <c r="AB74" s="122">
        <v>0</v>
      </c>
      <c r="AC74" s="122">
        <v>0</v>
      </c>
      <c r="AD74" s="122">
        <v>0</v>
      </c>
      <c r="AE74" s="122">
        <v>0</v>
      </c>
      <c r="AF74" s="122">
        <v>0</v>
      </c>
      <c r="AG74" s="122">
        <v>87848</v>
      </c>
      <c r="AH74" s="122">
        <v>67046</v>
      </c>
      <c r="AI74" s="122">
        <v>81851</v>
      </c>
      <c r="AJ74" s="134"/>
      <c r="AK74" s="135">
        <f>SUM(F74:AI74)</f>
        <v>695078</v>
      </c>
      <c r="AM74" s="136"/>
      <c r="CB74" s="134"/>
      <c r="EA74" s="213"/>
      <c r="EB74" s="213"/>
      <c r="FH74" s="213"/>
      <c r="GP74" s="247"/>
      <c r="GQ74" s="213"/>
      <c r="GR74" s="213"/>
      <c r="GS74" s="213"/>
      <c r="GT74" s="213"/>
      <c r="IW74" s="213"/>
      <c r="MR74" s="213"/>
      <c r="MS74" s="213"/>
      <c r="MT74" s="213"/>
      <c r="MU74" s="213"/>
      <c r="RY74" s="213"/>
      <c r="RZ74" s="213"/>
      <c r="SB74" s="213"/>
      <c r="SP74" s="296"/>
      <c r="ST74" s="213"/>
      <c r="UW74" s="296"/>
    </row>
    <row r="75" spans="2:930 15038:15051" s="1" customFormat="1" ht="13.8">
      <c r="B75" s="50"/>
      <c r="C75" s="192" t="s">
        <v>64</v>
      </c>
      <c r="D75" s="123"/>
      <c r="E75" s="193" t="s">
        <v>9</v>
      </c>
      <c r="F75" s="302">
        <v>0</v>
      </c>
      <c r="G75" s="302">
        <v>0</v>
      </c>
      <c r="H75" s="302">
        <v>0</v>
      </c>
      <c r="I75" s="232">
        <v>13488.12</v>
      </c>
      <c r="J75" s="302">
        <v>0</v>
      </c>
      <c r="K75" s="232">
        <v>40261.645000000004</v>
      </c>
      <c r="L75" s="48">
        <v>40260.735000000001</v>
      </c>
      <c r="M75" s="48">
        <v>27413.355</v>
      </c>
      <c r="N75" s="208">
        <v>0</v>
      </c>
      <c r="O75" s="208">
        <v>26579.850000000002</v>
      </c>
      <c r="P75" s="48">
        <v>26568.99</v>
      </c>
      <c r="Q75" s="208">
        <v>0</v>
      </c>
      <c r="R75" s="209">
        <v>40250.785000000003</v>
      </c>
      <c r="S75" s="209">
        <v>40260.735000000001</v>
      </c>
      <c r="T75" s="209">
        <v>40424.544999999998</v>
      </c>
      <c r="U75" s="48">
        <v>0</v>
      </c>
      <c r="V75" s="48">
        <v>0</v>
      </c>
      <c r="W75" s="48">
        <v>0</v>
      </c>
      <c r="X75" s="48">
        <v>0</v>
      </c>
      <c r="Y75" s="209">
        <v>40250.785000000003</v>
      </c>
      <c r="Z75" s="48">
        <v>0</v>
      </c>
      <c r="AA75" s="48">
        <v>0</v>
      </c>
      <c r="AB75" s="48">
        <v>0</v>
      </c>
      <c r="AC75" s="48">
        <v>0</v>
      </c>
      <c r="AD75" s="48">
        <v>0</v>
      </c>
      <c r="AE75" s="48">
        <v>0</v>
      </c>
      <c r="AF75" s="48">
        <v>0</v>
      </c>
      <c r="AG75" s="48">
        <v>80500.654999999999</v>
      </c>
      <c r="AH75" s="48">
        <v>80510.614999999991</v>
      </c>
      <c r="AI75" s="48">
        <v>40315.945</v>
      </c>
      <c r="AJ75" s="137"/>
      <c r="AK75" s="135">
        <f>SUM(F75:AI75)</f>
        <v>537086.75999999989</v>
      </c>
      <c r="AL75" s="214"/>
      <c r="AM75" s="315">
        <f>SUM(AK75,AK102,AK128,AK148)</f>
        <v>738635.05053999985</v>
      </c>
      <c r="AN75" s="270"/>
      <c r="AO75" s="300">
        <f>SUM(AK76,AK103)/1000</f>
        <v>686.11307999999997</v>
      </c>
      <c r="AP75" s="270"/>
      <c r="AQ75" s="270"/>
      <c r="AR75" s="270"/>
      <c r="AS75" s="270"/>
      <c r="AT75" s="270"/>
      <c r="AU75" s="270"/>
      <c r="AV75" s="270"/>
      <c r="AW75" s="270"/>
      <c r="AX75" s="270"/>
      <c r="AY75" s="270"/>
      <c r="AZ75" s="270"/>
      <c r="BA75" s="270"/>
      <c r="BB75" s="270"/>
      <c r="BC75" s="270"/>
      <c r="BD75" s="270"/>
      <c r="BE75" s="270"/>
      <c r="BF75" s="270"/>
      <c r="BG75" s="270"/>
      <c r="BH75" s="270"/>
      <c r="BI75" s="270"/>
      <c r="BJ75" s="270"/>
      <c r="BK75" s="270"/>
      <c r="BL75" s="270"/>
      <c r="BM75" s="270"/>
      <c r="BN75" s="270"/>
      <c r="BO75" s="270"/>
      <c r="BP75" s="270"/>
      <c r="BQ75" s="270"/>
      <c r="BR75" s="270"/>
      <c r="BS75" s="270"/>
      <c r="BT75" s="270"/>
      <c r="BU75" s="270"/>
      <c r="BV75" s="270"/>
      <c r="BW75" s="270"/>
      <c r="BX75" s="270"/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>
        <v>3891</v>
      </c>
      <c r="CK75" s="316">
        <f>AO75/CJ75*100</f>
        <v>17.63333538936006</v>
      </c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70"/>
      <c r="DB75" s="270"/>
      <c r="DC75" s="270"/>
      <c r="DD75" s="270"/>
      <c r="DE75" s="270"/>
      <c r="DF75" s="270"/>
      <c r="DG75" s="270"/>
      <c r="DH75" s="270"/>
      <c r="DI75" s="270"/>
      <c r="DJ75" s="270"/>
      <c r="DK75" s="270"/>
      <c r="DL75" s="270"/>
      <c r="DM75" s="270"/>
      <c r="DN75" s="270"/>
      <c r="DO75" s="270"/>
      <c r="DP75" s="270"/>
      <c r="DQ75" s="270"/>
      <c r="DR75" s="270"/>
      <c r="DS75" s="270"/>
      <c r="DT75" s="270"/>
      <c r="DU75" s="270"/>
      <c r="DV75" s="270"/>
      <c r="DW75" s="270"/>
      <c r="DX75" s="270"/>
      <c r="DY75" s="270"/>
      <c r="DZ75" s="270"/>
      <c r="EA75" s="300"/>
      <c r="EB75" s="300"/>
      <c r="EC75" s="270"/>
      <c r="ED75" s="270"/>
      <c r="EE75" s="270"/>
      <c r="EF75" s="270"/>
      <c r="EG75" s="270"/>
      <c r="EH75" s="270"/>
      <c r="EI75" s="270"/>
      <c r="EJ75" s="270"/>
      <c r="EK75" s="270"/>
      <c r="EL75" s="270"/>
      <c r="EM75" s="270"/>
      <c r="EN75" s="270"/>
      <c r="EO75" s="270"/>
      <c r="EP75" s="270"/>
      <c r="EQ75" s="270"/>
      <c r="ER75" s="270"/>
      <c r="ES75" s="270"/>
      <c r="ET75" s="270"/>
      <c r="EU75" s="270"/>
      <c r="EV75" s="270"/>
      <c r="EW75" s="270"/>
      <c r="EX75" s="270"/>
      <c r="EY75" s="270"/>
      <c r="EZ75" s="270"/>
      <c r="FA75" s="270"/>
      <c r="FB75" s="270"/>
      <c r="FC75" s="270"/>
      <c r="FD75" s="270"/>
      <c r="FE75" s="270"/>
      <c r="FF75" s="270"/>
      <c r="FG75" s="270"/>
      <c r="FH75" s="300"/>
      <c r="FI75" s="270"/>
      <c r="FJ75" s="270"/>
      <c r="FK75" s="270"/>
      <c r="FL75" s="270"/>
      <c r="FM75" s="270"/>
      <c r="FN75" s="270"/>
      <c r="FO75" s="270"/>
      <c r="FP75" s="270"/>
      <c r="FQ75" s="270"/>
      <c r="FR75" s="270"/>
      <c r="FS75" s="270"/>
      <c r="FT75" s="270"/>
      <c r="FU75" s="270"/>
      <c r="FV75" s="270"/>
      <c r="FW75" s="270"/>
      <c r="FX75" s="270"/>
      <c r="FY75" s="270"/>
      <c r="FZ75" s="270"/>
      <c r="GA75" s="270"/>
      <c r="GB75" s="270"/>
      <c r="GC75" s="270"/>
      <c r="GD75" s="270"/>
      <c r="GE75" s="270"/>
      <c r="GF75" s="270"/>
      <c r="GG75" s="270"/>
      <c r="GH75" s="270"/>
      <c r="GI75" s="270"/>
      <c r="GJ75" s="270"/>
      <c r="GK75" s="270"/>
      <c r="GL75" s="270"/>
      <c r="GM75" s="270"/>
      <c r="GN75" s="270"/>
      <c r="GO75" s="270"/>
      <c r="GP75" s="317"/>
      <c r="GQ75" s="300"/>
      <c r="GR75" s="300"/>
      <c r="GS75" s="300"/>
      <c r="GT75" s="300"/>
      <c r="GU75" s="270"/>
      <c r="GV75" s="270"/>
      <c r="GW75" s="270"/>
      <c r="GX75" s="270"/>
      <c r="GY75" s="270"/>
      <c r="GZ75" s="270"/>
      <c r="HA75" s="270"/>
      <c r="HB75" s="270"/>
      <c r="HC75" s="270"/>
      <c r="HD75" s="270"/>
      <c r="HE75" s="270"/>
      <c r="HF75" s="270"/>
      <c r="HG75" s="270"/>
      <c r="HH75" s="270"/>
      <c r="HI75" s="270"/>
      <c r="HJ75" s="270"/>
      <c r="HK75" s="270"/>
      <c r="HL75" s="270"/>
      <c r="HM75" s="270"/>
      <c r="HN75" s="270"/>
      <c r="HO75" s="270"/>
      <c r="HP75" s="270"/>
      <c r="HQ75" s="270"/>
      <c r="HR75" s="270"/>
      <c r="HS75" s="270"/>
      <c r="HT75" s="270"/>
      <c r="HU75" s="270"/>
      <c r="HV75" s="270"/>
      <c r="HW75" s="270"/>
      <c r="HX75" s="270"/>
      <c r="HY75" s="270"/>
      <c r="HZ75" s="270"/>
      <c r="IA75" s="270"/>
      <c r="IB75" s="270"/>
      <c r="IC75" s="270"/>
      <c r="ID75" s="270"/>
      <c r="IE75" s="270"/>
      <c r="IF75" s="270"/>
      <c r="IG75" s="270"/>
      <c r="IH75" s="270"/>
      <c r="II75" s="270"/>
      <c r="IJ75" s="270"/>
      <c r="IK75" s="270"/>
      <c r="IL75" s="270"/>
      <c r="IM75" s="270"/>
      <c r="IN75" s="270"/>
      <c r="IO75" s="270"/>
      <c r="IP75" s="270"/>
      <c r="IQ75" s="270"/>
      <c r="IR75" s="270"/>
      <c r="IS75" s="270"/>
      <c r="IT75" s="270"/>
      <c r="IU75" s="270"/>
      <c r="IV75" s="270"/>
      <c r="IW75" s="300"/>
      <c r="IX75" s="270"/>
      <c r="IY75" s="270"/>
      <c r="IZ75" s="270"/>
      <c r="JA75" s="270"/>
      <c r="JB75" s="270"/>
      <c r="JC75" s="270"/>
      <c r="JD75" s="270"/>
      <c r="JE75" s="270"/>
      <c r="JF75" s="270"/>
      <c r="JG75" s="270"/>
      <c r="JH75" s="270"/>
      <c r="JI75" s="270"/>
      <c r="JJ75" s="270"/>
      <c r="JK75" s="270"/>
      <c r="JL75" s="270"/>
      <c r="JM75" s="270"/>
      <c r="JN75" s="270"/>
      <c r="JO75" s="270"/>
      <c r="JP75" s="270"/>
      <c r="JQ75" s="270"/>
      <c r="JR75" s="270"/>
      <c r="JS75" s="270"/>
      <c r="JT75" s="270"/>
      <c r="JU75" s="270"/>
      <c r="JV75" s="270"/>
      <c r="JW75" s="270"/>
      <c r="JX75" s="270"/>
      <c r="JY75" s="270"/>
      <c r="JZ75" s="270"/>
      <c r="KA75" s="270"/>
      <c r="KB75" s="270"/>
      <c r="KC75" s="270"/>
      <c r="KD75" s="270"/>
      <c r="KE75" s="270"/>
      <c r="KF75" s="270"/>
      <c r="KG75" s="270"/>
      <c r="KH75" s="270"/>
      <c r="KI75" s="270"/>
      <c r="KJ75" s="270"/>
      <c r="KK75" s="270"/>
      <c r="KL75" s="270"/>
      <c r="KM75" s="270"/>
      <c r="KN75" s="270"/>
      <c r="KO75" s="270"/>
      <c r="KP75" s="270"/>
      <c r="KQ75" s="270"/>
      <c r="KR75" s="270"/>
      <c r="KS75" s="270"/>
      <c r="KT75" s="270"/>
      <c r="KU75" s="270"/>
      <c r="KV75" s="270"/>
      <c r="KW75" s="270"/>
      <c r="KX75" s="270"/>
      <c r="KY75" s="270"/>
      <c r="KZ75" s="270"/>
      <c r="LA75" s="270"/>
      <c r="LB75" s="270"/>
      <c r="LC75" s="270"/>
      <c r="LD75" s="270"/>
      <c r="LE75" s="270"/>
      <c r="LF75" s="270"/>
      <c r="LG75" s="270"/>
      <c r="LH75" s="270"/>
      <c r="LI75" s="270"/>
      <c r="LJ75" s="270"/>
      <c r="LK75" s="270"/>
      <c r="LL75" s="270"/>
      <c r="LM75" s="270"/>
      <c r="LN75" s="270"/>
      <c r="LO75" s="270"/>
      <c r="LP75" s="270"/>
      <c r="LQ75" s="270"/>
      <c r="LR75" s="270"/>
      <c r="LS75" s="270"/>
      <c r="LT75" s="270"/>
      <c r="LU75" s="270"/>
      <c r="LV75" s="270"/>
      <c r="LW75" s="270"/>
      <c r="LX75" s="270"/>
      <c r="LY75" s="270"/>
      <c r="LZ75" s="270"/>
      <c r="MA75" s="270"/>
      <c r="MB75" s="270"/>
      <c r="MC75" s="270"/>
      <c r="MD75" s="270"/>
      <c r="ME75" s="270"/>
      <c r="MF75" s="270"/>
      <c r="MG75" s="270"/>
      <c r="MH75" s="270"/>
      <c r="MI75" s="270"/>
      <c r="MJ75" s="270"/>
      <c r="MK75" s="270"/>
      <c r="ML75" s="270"/>
      <c r="MM75" s="270"/>
      <c r="MN75" s="270"/>
      <c r="MO75" s="270"/>
      <c r="MP75" s="270"/>
      <c r="MQ75" s="270"/>
      <c r="MR75" s="300"/>
      <c r="MS75" s="300"/>
      <c r="MT75" s="300"/>
      <c r="MU75" s="300"/>
      <c r="MV75" s="270"/>
      <c r="MW75" s="270"/>
      <c r="MX75" s="270"/>
      <c r="MY75" s="270"/>
      <c r="MZ75" s="270"/>
      <c r="NA75" s="270"/>
      <c r="NB75" s="270"/>
      <c r="NC75" s="270"/>
      <c r="ND75" s="270"/>
      <c r="NE75" s="270"/>
      <c r="NF75" s="270"/>
      <c r="NG75" s="270"/>
      <c r="NH75" s="270"/>
      <c r="NI75" s="270"/>
      <c r="NJ75" s="270"/>
      <c r="NK75" s="270"/>
      <c r="NL75" s="270"/>
      <c r="NM75" s="270"/>
      <c r="NN75" s="270"/>
      <c r="NO75" s="270"/>
      <c r="NP75" s="270"/>
      <c r="NQ75" s="270"/>
      <c r="NR75" s="270"/>
      <c r="NS75" s="270"/>
      <c r="NT75" s="270"/>
      <c r="NU75" s="270"/>
      <c r="NV75" s="270"/>
      <c r="NW75" s="270"/>
      <c r="NX75" s="270"/>
      <c r="NY75" s="270"/>
      <c r="NZ75" s="270"/>
      <c r="OA75" s="270"/>
      <c r="OB75" s="270"/>
      <c r="OC75" s="270"/>
      <c r="OD75" s="270"/>
      <c r="OE75" s="270"/>
      <c r="OF75" s="270"/>
      <c r="OG75" s="270"/>
      <c r="OH75" s="270"/>
      <c r="OI75" s="270"/>
      <c r="OJ75" s="270"/>
      <c r="OK75" s="270"/>
      <c r="OL75" s="270"/>
      <c r="OM75" s="270"/>
      <c r="ON75" s="270"/>
      <c r="OO75" s="270"/>
      <c r="OP75" s="270"/>
      <c r="OQ75" s="270"/>
      <c r="OR75" s="270"/>
      <c r="OS75" s="270"/>
      <c r="OT75" s="270"/>
      <c r="OU75" s="270"/>
      <c r="OV75" s="270"/>
      <c r="OW75" s="270"/>
      <c r="OX75" s="270"/>
      <c r="OY75" s="270"/>
      <c r="OZ75" s="270"/>
      <c r="PA75" s="270"/>
      <c r="PB75" s="270"/>
      <c r="PC75" s="270"/>
      <c r="PD75" s="270"/>
      <c r="PE75" s="270"/>
      <c r="PF75" s="270"/>
      <c r="PG75" s="270"/>
      <c r="PH75" s="270"/>
      <c r="PI75" s="270"/>
      <c r="PJ75" s="270"/>
      <c r="PK75" s="270"/>
      <c r="PL75" s="270"/>
      <c r="PM75" s="270"/>
      <c r="PN75" s="270"/>
      <c r="PO75" s="270"/>
      <c r="PP75" s="270"/>
      <c r="PQ75" s="270"/>
      <c r="PR75" s="270"/>
      <c r="PS75" s="270"/>
      <c r="PT75" s="270"/>
      <c r="PU75" s="270"/>
      <c r="PV75" s="270"/>
      <c r="PW75" s="270"/>
      <c r="PX75" s="270"/>
      <c r="PY75" s="270"/>
      <c r="PZ75" s="270"/>
      <c r="QA75" s="270"/>
      <c r="QB75" s="270"/>
      <c r="QC75" s="270"/>
      <c r="QD75" s="270"/>
      <c r="QE75" s="270"/>
      <c r="QF75" s="270"/>
      <c r="QG75" s="270"/>
      <c r="QH75" s="270"/>
      <c r="QI75" s="270"/>
      <c r="QJ75" s="270"/>
      <c r="QK75" s="270"/>
      <c r="QL75" s="270"/>
      <c r="QM75" s="270"/>
      <c r="QN75" s="270"/>
      <c r="QO75" s="270"/>
      <c r="QP75" s="270"/>
      <c r="QQ75" s="270"/>
      <c r="QR75" s="270"/>
      <c r="QS75" s="270"/>
      <c r="QT75" s="270"/>
      <c r="QU75" s="270"/>
      <c r="QV75" s="270"/>
      <c r="QW75" s="270"/>
      <c r="QX75" s="270"/>
      <c r="QY75" s="270"/>
      <c r="QZ75" s="270"/>
      <c r="RA75" s="270"/>
      <c r="RB75" s="270"/>
      <c r="RC75" s="270"/>
      <c r="RD75" s="270"/>
      <c r="RE75" s="270"/>
      <c r="RF75" s="270"/>
      <c r="RG75" s="270"/>
      <c r="RH75" s="270"/>
      <c r="RI75" s="270"/>
      <c r="RJ75" s="270"/>
      <c r="RK75" s="270"/>
      <c r="RL75" s="270"/>
      <c r="RM75" s="270"/>
      <c r="RN75" s="270"/>
      <c r="RO75" s="270"/>
      <c r="RP75" s="270"/>
      <c r="RQ75" s="270"/>
      <c r="RR75" s="270"/>
      <c r="RS75" s="270"/>
      <c r="RT75" s="270"/>
      <c r="RU75" s="270"/>
      <c r="RV75" s="270"/>
      <c r="RW75" s="270"/>
      <c r="RX75" s="270"/>
      <c r="RY75" s="300"/>
      <c r="RZ75" s="300"/>
      <c r="SA75" s="270"/>
      <c r="SB75" s="300"/>
      <c r="SC75" s="270"/>
      <c r="SD75" s="270"/>
      <c r="SE75" s="270"/>
      <c r="SF75" s="270"/>
      <c r="SG75" s="270"/>
      <c r="SH75" s="270"/>
      <c r="SI75" s="270"/>
      <c r="SJ75" s="270"/>
      <c r="SK75" s="270"/>
      <c r="SL75" s="270"/>
      <c r="SM75" s="270"/>
      <c r="SN75" s="270"/>
      <c r="SO75" s="270"/>
      <c r="SP75" s="299"/>
      <c r="SQ75" s="270"/>
      <c r="SR75" s="270"/>
      <c r="SS75" s="270"/>
      <c r="ST75" s="300"/>
      <c r="SU75" s="270"/>
      <c r="SV75" s="270"/>
      <c r="SW75" s="270"/>
      <c r="SX75" s="270"/>
      <c r="SY75" s="270"/>
      <c r="SZ75" s="270"/>
      <c r="TA75" s="270"/>
      <c r="TB75" s="270"/>
      <c r="TC75" s="270"/>
      <c r="TD75" s="270"/>
      <c r="TE75" s="270"/>
      <c r="TF75" s="270"/>
      <c r="TG75" s="270"/>
      <c r="TH75" s="270"/>
      <c r="TI75" s="270"/>
      <c r="TJ75" s="270"/>
      <c r="TK75" s="270"/>
      <c r="TL75" s="270"/>
      <c r="TM75" s="270"/>
      <c r="TN75" s="270"/>
      <c r="TO75" s="270"/>
      <c r="TP75" s="270"/>
      <c r="TQ75" s="270"/>
      <c r="TR75" s="270"/>
      <c r="TS75" s="270"/>
      <c r="TT75" s="270"/>
      <c r="TU75" s="270"/>
      <c r="TV75" s="270"/>
      <c r="TW75" s="270"/>
      <c r="TX75" s="270"/>
      <c r="TY75" s="270"/>
      <c r="TZ75" s="270"/>
      <c r="UA75" s="270"/>
      <c r="UB75" s="270"/>
      <c r="UC75" s="270"/>
      <c r="UD75" s="270"/>
      <c r="UE75" s="270"/>
      <c r="UF75" s="270"/>
      <c r="UG75" s="270"/>
      <c r="UH75" s="270"/>
      <c r="UI75" s="270"/>
      <c r="UJ75" s="270"/>
      <c r="UK75" s="270"/>
      <c r="UL75" s="270"/>
      <c r="UM75" s="270"/>
      <c r="UN75" s="270"/>
      <c r="UO75" s="270"/>
      <c r="UP75" s="270"/>
      <c r="UQ75" s="270"/>
      <c r="UR75" s="270"/>
      <c r="US75" s="270"/>
      <c r="UT75" s="270"/>
      <c r="UU75" s="270"/>
      <c r="UV75" s="270"/>
      <c r="UW75" s="299"/>
      <c r="UX75" s="270"/>
      <c r="UY75" s="270"/>
      <c r="UZ75" s="270"/>
      <c r="VA75" s="270"/>
      <c r="VB75" s="270"/>
      <c r="VC75" s="270"/>
      <c r="VD75" s="270"/>
      <c r="VE75" s="270"/>
      <c r="VF75" s="270"/>
      <c r="VG75" s="270"/>
      <c r="VH75" s="270"/>
      <c r="VI75" s="270"/>
      <c r="VJ75" s="270"/>
      <c r="VK75" s="270"/>
      <c r="VL75" s="270"/>
      <c r="VM75" s="270"/>
      <c r="VN75" s="270"/>
      <c r="VO75" s="270"/>
      <c r="VP75" s="270"/>
      <c r="VQ75" s="270"/>
      <c r="VR75" s="270"/>
      <c r="VS75" s="270"/>
      <c r="VT75" s="270"/>
      <c r="VU75" s="270"/>
      <c r="VV75" s="270"/>
      <c r="VW75" s="270"/>
      <c r="VX75" s="270"/>
      <c r="VY75" s="270"/>
      <c r="VZ75" s="270"/>
      <c r="WA75" s="270"/>
      <c r="WB75" s="270"/>
      <c r="WC75" s="270"/>
      <c r="WD75" s="270"/>
      <c r="WE75" s="270"/>
      <c r="WF75" s="270"/>
      <c r="WG75" s="270"/>
      <c r="WH75" s="270"/>
      <c r="WI75" s="270"/>
      <c r="WJ75" s="270"/>
      <c r="WK75" s="270"/>
      <c r="WL75" s="270"/>
      <c r="WM75" s="270"/>
      <c r="WN75" s="270"/>
      <c r="WO75" s="270"/>
      <c r="WP75" s="270"/>
      <c r="WQ75" s="270"/>
      <c r="WR75" s="270"/>
      <c r="WS75" s="270"/>
      <c r="WT75" s="270"/>
      <c r="WU75" s="270"/>
      <c r="WV75" s="270"/>
      <c r="WW75" s="270"/>
      <c r="WX75" s="270"/>
      <c r="WY75" s="270"/>
      <c r="WZ75" s="270"/>
      <c r="XA75" s="270"/>
      <c r="XB75" s="270"/>
      <c r="XC75" s="270"/>
      <c r="XD75" s="270"/>
      <c r="XE75" s="270"/>
      <c r="XF75" s="270"/>
      <c r="XG75" s="270"/>
      <c r="XH75" s="270"/>
      <c r="XI75" s="270"/>
      <c r="XJ75" s="270"/>
      <c r="XK75" s="270"/>
      <c r="XL75" s="270"/>
      <c r="XM75" s="270"/>
      <c r="XN75" s="270"/>
      <c r="XO75" s="270"/>
      <c r="XP75" s="270"/>
      <c r="XQ75" s="270"/>
      <c r="XR75" s="270"/>
      <c r="XS75" s="270"/>
      <c r="XT75" s="270"/>
      <c r="XU75" s="270"/>
      <c r="XV75" s="270"/>
      <c r="XW75" s="270"/>
      <c r="XX75" s="270"/>
      <c r="XY75" s="270"/>
      <c r="XZ75" s="270"/>
      <c r="YA75" s="270"/>
      <c r="YB75" s="270"/>
      <c r="YC75" s="270"/>
      <c r="YD75" s="270"/>
      <c r="YE75" s="270"/>
      <c r="YF75" s="270"/>
      <c r="YG75" s="270"/>
      <c r="YH75" s="270"/>
      <c r="YI75" s="270"/>
      <c r="YJ75" s="270"/>
      <c r="YK75" s="270"/>
      <c r="YL75" s="270"/>
      <c r="YM75" s="270"/>
      <c r="YN75" s="270"/>
      <c r="YO75" s="270"/>
      <c r="YP75" s="270"/>
      <c r="YQ75" s="270"/>
      <c r="YR75" s="270"/>
      <c r="YS75" s="270"/>
      <c r="YT75" s="270"/>
      <c r="YU75" s="270"/>
      <c r="YV75" s="270"/>
      <c r="YW75" s="270"/>
      <c r="YX75" s="270"/>
      <c r="YY75" s="270"/>
      <c r="YZ75" s="270"/>
      <c r="ZA75" s="270"/>
      <c r="ZB75" s="270"/>
      <c r="ZC75" s="270"/>
      <c r="ZD75" s="270"/>
      <c r="ZE75" s="270"/>
      <c r="ZF75" s="270"/>
      <c r="ZG75" s="270"/>
      <c r="ZH75" s="270"/>
      <c r="ZI75" s="270"/>
      <c r="ZJ75" s="270"/>
      <c r="ZK75" s="270"/>
      <c r="ZL75" s="270"/>
      <c r="ZM75" s="270"/>
      <c r="ZN75" s="270"/>
      <c r="ZO75" s="270"/>
      <c r="ZP75" s="270"/>
      <c r="ZQ75" s="270"/>
      <c r="ZR75" s="270"/>
      <c r="ZS75" s="270"/>
      <c r="ZT75" s="270"/>
      <c r="ZU75" s="270"/>
      <c r="ZV75" s="270"/>
      <c r="ZW75" s="270"/>
      <c r="ZX75" s="270"/>
      <c r="ZY75" s="270"/>
      <c r="ZZ75" s="270"/>
      <c r="AAA75" s="270"/>
      <c r="AAB75" s="270"/>
      <c r="AAC75" s="270"/>
      <c r="AAD75" s="270"/>
      <c r="AAE75" s="270"/>
      <c r="AAF75" s="270"/>
      <c r="AAG75" s="270"/>
      <c r="AAH75" s="270"/>
      <c r="AAI75" s="270"/>
      <c r="AAJ75" s="270"/>
      <c r="AAK75" s="270"/>
      <c r="AAL75" s="270"/>
      <c r="AAM75" s="270"/>
      <c r="AAN75" s="270"/>
      <c r="AAO75" s="270"/>
      <c r="AAP75" s="270"/>
      <c r="AAQ75" s="270"/>
      <c r="AAR75" s="270"/>
      <c r="AAS75" s="270"/>
      <c r="AAT75" s="270"/>
      <c r="AAU75" s="270"/>
      <c r="AAV75" s="270"/>
      <c r="AAW75" s="270"/>
      <c r="AAX75" s="270"/>
      <c r="AAY75" s="270"/>
      <c r="AAZ75" s="270"/>
      <c r="ABA75" s="270"/>
      <c r="ABB75" s="270"/>
      <c r="ABC75" s="270"/>
      <c r="ABD75" s="270"/>
      <c r="ABE75" s="270"/>
      <c r="ABF75" s="270"/>
      <c r="ABG75" s="270"/>
      <c r="ABH75" s="270"/>
      <c r="ABI75" s="270"/>
      <c r="ABJ75" s="270"/>
      <c r="ABK75" s="270"/>
      <c r="ABL75" s="270"/>
      <c r="ABM75" s="270"/>
      <c r="ABN75" s="270"/>
      <c r="ABO75" s="270"/>
      <c r="ABP75" s="270"/>
      <c r="ABQ75" s="270"/>
      <c r="ABR75" s="270"/>
      <c r="ABS75" s="270"/>
      <c r="ABT75" s="270"/>
      <c r="ABU75" s="270"/>
      <c r="ABV75" s="270"/>
      <c r="ABW75" s="270"/>
      <c r="ABX75" s="270"/>
      <c r="ABY75" s="270"/>
      <c r="ABZ75" s="270"/>
      <c r="ACA75" s="270"/>
      <c r="ACB75" s="270"/>
      <c r="ACC75" s="270"/>
      <c r="ACD75" s="270"/>
      <c r="ACE75" s="270"/>
      <c r="ACF75" s="270"/>
      <c r="ACG75" s="270"/>
      <c r="ACH75" s="270"/>
      <c r="ACI75" s="270"/>
      <c r="ACJ75" s="270"/>
      <c r="ACK75" s="270"/>
      <c r="ACL75" s="270"/>
      <c r="ACM75" s="270"/>
      <c r="ACN75" s="270"/>
      <c r="ACO75" s="270"/>
      <c r="ACP75" s="270"/>
      <c r="ACQ75" s="270"/>
      <c r="ACR75" s="270"/>
      <c r="ACS75" s="270"/>
      <c r="ACT75" s="270"/>
      <c r="ACU75" s="270"/>
      <c r="ACV75" s="270"/>
      <c r="ACW75" s="270"/>
      <c r="ACX75" s="270"/>
      <c r="ACY75" s="270"/>
      <c r="ACZ75" s="270"/>
      <c r="ADA75" s="270"/>
      <c r="ADB75" s="270"/>
      <c r="ADC75" s="270"/>
      <c r="ADD75" s="270"/>
      <c r="ADE75" s="270"/>
      <c r="ADF75" s="270"/>
      <c r="ADG75" s="270"/>
      <c r="ADH75" s="270"/>
      <c r="ADI75" s="270"/>
      <c r="ADJ75" s="270"/>
      <c r="ADK75" s="270"/>
      <c r="ADL75" s="270"/>
      <c r="ADM75" s="270"/>
      <c r="ADN75" s="270"/>
      <c r="ADO75" s="270"/>
      <c r="ADP75" s="270"/>
      <c r="ADQ75" s="270"/>
      <c r="ADR75" s="270"/>
      <c r="ADS75" s="270"/>
      <c r="ADT75" s="270"/>
      <c r="ADU75" s="270"/>
      <c r="ADV75" s="270"/>
      <c r="ADW75" s="270"/>
      <c r="ADX75" s="270"/>
      <c r="ADY75" s="270"/>
      <c r="ADZ75" s="270"/>
      <c r="AEA75" s="270"/>
      <c r="AEB75" s="270"/>
      <c r="AEC75" s="270"/>
      <c r="AED75" s="270"/>
      <c r="AEE75" s="270"/>
      <c r="AEF75" s="270"/>
      <c r="AEG75" s="270"/>
      <c r="AEH75" s="270"/>
      <c r="AEI75" s="270"/>
      <c r="AEJ75" s="270"/>
      <c r="AEK75" s="270"/>
      <c r="AEL75" s="270"/>
      <c r="AEM75" s="270"/>
      <c r="AEN75" s="270"/>
      <c r="AEO75" s="270"/>
      <c r="AEP75" s="270"/>
      <c r="AEQ75" s="270"/>
      <c r="AER75" s="270"/>
      <c r="AES75" s="270"/>
      <c r="AET75" s="270"/>
      <c r="AEU75" s="270"/>
      <c r="AEV75" s="270"/>
      <c r="AEW75" s="270"/>
      <c r="AEX75" s="270"/>
      <c r="AEY75" s="270"/>
      <c r="AEZ75" s="270"/>
      <c r="AFA75" s="270"/>
      <c r="AFB75" s="270"/>
      <c r="AFC75" s="270"/>
      <c r="AFD75" s="270"/>
      <c r="AFE75" s="270"/>
      <c r="AFF75" s="270"/>
      <c r="AFG75" s="270"/>
      <c r="AFH75" s="270"/>
      <c r="AFI75" s="270"/>
      <c r="AFJ75" s="270"/>
      <c r="AFK75" s="270"/>
      <c r="AFL75" s="270"/>
      <c r="AFM75" s="270"/>
      <c r="AFN75" s="270"/>
      <c r="AFO75" s="270"/>
      <c r="AFP75" s="270"/>
      <c r="AFQ75" s="270"/>
      <c r="AFR75" s="270"/>
      <c r="AFS75" s="270"/>
      <c r="AFT75" s="270"/>
      <c r="AFU75" s="270"/>
      <c r="AFV75" s="270"/>
      <c r="AFW75" s="270"/>
      <c r="AFX75" s="270"/>
      <c r="AFY75" s="270"/>
      <c r="AFZ75" s="270"/>
      <c r="AGA75" s="270"/>
      <c r="AGB75" s="270"/>
      <c r="AGC75" s="270"/>
      <c r="AGD75" s="270"/>
      <c r="AGE75" s="270"/>
      <c r="AGF75" s="270"/>
      <c r="AGG75" s="270"/>
      <c r="AGH75" s="270"/>
      <c r="AGI75" s="270"/>
      <c r="AGJ75" s="270"/>
      <c r="AGK75" s="270"/>
      <c r="AGL75" s="270"/>
      <c r="AGM75" s="270"/>
      <c r="AGN75" s="270"/>
      <c r="AGO75" s="270"/>
      <c r="AGP75" s="270"/>
      <c r="AGQ75" s="270"/>
      <c r="AGR75" s="270"/>
      <c r="AGS75" s="270"/>
      <c r="AGT75" s="270"/>
      <c r="AGU75" s="270"/>
      <c r="AGV75" s="270"/>
      <c r="AGW75" s="270"/>
      <c r="AGX75" s="270"/>
      <c r="AGY75" s="270"/>
      <c r="AGZ75" s="270"/>
      <c r="AHA75" s="270"/>
      <c r="AHB75" s="270"/>
      <c r="AHC75" s="270"/>
      <c r="AHD75" s="270"/>
      <c r="AHE75" s="270"/>
      <c r="AHF75" s="270"/>
      <c r="AHG75" s="270"/>
      <c r="AHH75" s="270"/>
      <c r="AHI75" s="270"/>
      <c r="AHJ75" s="270"/>
      <c r="AHK75" s="270"/>
      <c r="AHL75" s="270"/>
      <c r="AHM75" s="270"/>
      <c r="AHN75" s="270"/>
      <c r="AHO75" s="270"/>
      <c r="AHP75" s="270"/>
      <c r="AHQ75" s="270"/>
      <c r="AHR75" s="270"/>
      <c r="AHS75" s="270"/>
      <c r="AHT75" s="270"/>
      <c r="AHU75" s="270"/>
      <c r="AHV75" s="270"/>
      <c r="AHW75" s="270"/>
      <c r="AHX75" s="270"/>
      <c r="AHY75" s="270"/>
      <c r="AHZ75" s="270"/>
      <c r="AIA75" s="270"/>
      <c r="AIB75" s="270"/>
      <c r="AIC75" s="270"/>
      <c r="AID75" s="270"/>
      <c r="AIE75" s="270"/>
      <c r="AIF75" s="270"/>
      <c r="AIG75" s="270"/>
      <c r="AIH75" s="270"/>
      <c r="AII75" s="270"/>
      <c r="AIJ75" s="270"/>
      <c r="AIK75" s="270"/>
      <c r="AIL75" s="270"/>
      <c r="AIM75" s="270"/>
      <c r="AIN75" s="270"/>
      <c r="AIO75" s="270"/>
      <c r="AIP75" s="270"/>
      <c r="AIQ75" s="270"/>
      <c r="AIR75" s="318" t="s">
        <v>9</v>
      </c>
      <c r="AIS75" s="270" t="s">
        <v>177</v>
      </c>
      <c r="AIT75" s="318"/>
    </row>
    <row r="76" spans="2:930 15038:15051" s="1" customFormat="1">
      <c r="B76" s="50"/>
      <c r="C76" s="194" t="s">
        <v>65</v>
      </c>
      <c r="D76" s="54"/>
      <c r="E76" s="183" t="s">
        <v>9</v>
      </c>
      <c r="F76" s="64">
        <f t="shared" ref="F76:AH76" si="79">SUM(F80:F81)*10.86</f>
        <v>0</v>
      </c>
      <c r="G76" s="64">
        <f t="shared" si="79"/>
        <v>0</v>
      </c>
      <c r="H76" s="64">
        <f>SUM(H80:H81)*10.86</f>
        <v>0</v>
      </c>
      <c r="I76" s="64">
        <f t="shared" si="79"/>
        <v>13488.119999999999</v>
      </c>
      <c r="J76" s="64">
        <f t="shared" si="79"/>
        <v>0</v>
      </c>
      <c r="K76" s="64">
        <f t="shared" si="79"/>
        <v>40258.019999999997</v>
      </c>
      <c r="L76" s="64">
        <f t="shared" si="79"/>
        <v>40258.019999999997</v>
      </c>
      <c r="M76" s="64">
        <f t="shared" si="79"/>
        <v>27410.639999999999</v>
      </c>
      <c r="N76" s="64">
        <f t="shared" si="79"/>
        <v>0</v>
      </c>
      <c r="O76" s="64">
        <f t="shared" si="79"/>
        <v>26574.42</v>
      </c>
      <c r="P76" s="64">
        <f t="shared" si="79"/>
        <v>26563.559999999998</v>
      </c>
      <c r="Q76" s="64">
        <f t="shared" si="79"/>
        <v>0</v>
      </c>
      <c r="R76" s="64">
        <f t="shared" si="79"/>
        <v>40247.159999999996</v>
      </c>
      <c r="S76" s="64">
        <f t="shared" si="79"/>
        <v>40258.019999999997</v>
      </c>
      <c r="T76" s="64">
        <f t="shared" si="79"/>
        <v>40420.92</v>
      </c>
      <c r="U76" s="64">
        <f t="shared" si="79"/>
        <v>0</v>
      </c>
      <c r="V76" s="64">
        <f t="shared" si="79"/>
        <v>0</v>
      </c>
      <c r="W76" s="64">
        <f t="shared" si="79"/>
        <v>0</v>
      </c>
      <c r="X76" s="64">
        <f t="shared" si="79"/>
        <v>0</v>
      </c>
      <c r="Y76" s="64">
        <f t="shared" si="79"/>
        <v>40247.159999999996</v>
      </c>
      <c r="Z76" s="64">
        <f t="shared" si="79"/>
        <v>0</v>
      </c>
      <c r="AA76" s="64">
        <f t="shared" si="79"/>
        <v>0</v>
      </c>
      <c r="AB76" s="64">
        <f t="shared" si="79"/>
        <v>0</v>
      </c>
      <c r="AC76" s="64">
        <f t="shared" si="79"/>
        <v>0</v>
      </c>
      <c r="AD76" s="64">
        <f t="shared" si="79"/>
        <v>0</v>
      </c>
      <c r="AE76" s="64">
        <f t="shared" ref="AE76:AG76" si="80">SUM(AE80:AE81)*10.86</f>
        <v>0</v>
      </c>
      <c r="AF76" s="216">
        <f t="shared" si="80"/>
        <v>0</v>
      </c>
      <c r="AG76" s="64">
        <f t="shared" si="80"/>
        <v>80494.319999999992</v>
      </c>
      <c r="AH76" s="64">
        <f t="shared" si="79"/>
        <v>80505.179999999993</v>
      </c>
      <c r="AI76" s="216">
        <f t="shared" ref="AI76" si="81">SUM(AI80:AI81)*10.86</f>
        <v>40312.32</v>
      </c>
      <c r="AJ76" s="97"/>
      <c r="AK76" s="99">
        <f>SUM(F76:AI76)</f>
        <v>537037.86</v>
      </c>
      <c r="AL76" s="9"/>
      <c r="AM76" s="215"/>
      <c r="AO76" s="206">
        <f>AK149/1000</f>
        <v>0</v>
      </c>
      <c r="CJ76" s="1">
        <v>963</v>
      </c>
      <c r="CK76" s="214">
        <f>AO76/CJ76*100</f>
        <v>0</v>
      </c>
      <c r="EA76" s="203"/>
      <c r="EB76" s="203"/>
      <c r="FH76" s="203"/>
      <c r="GP76" s="7"/>
      <c r="GQ76" s="203"/>
      <c r="GR76" s="203"/>
      <c r="GS76" s="203"/>
      <c r="GT76" s="203"/>
      <c r="IW76" s="203"/>
      <c r="MR76" s="203"/>
      <c r="MS76" s="203"/>
      <c r="MT76" s="203"/>
      <c r="MU76" s="203"/>
      <c r="RY76" s="203"/>
      <c r="RZ76" s="203"/>
      <c r="SB76" s="203"/>
      <c r="SP76" s="206"/>
      <c r="ST76" s="203"/>
      <c r="UW76" s="206"/>
    </row>
    <row r="77" spans="2:930 15038:15051" s="1" customFormat="1">
      <c r="B77" s="50"/>
      <c r="C77" s="194" t="s">
        <v>66</v>
      </c>
      <c r="D77" s="54"/>
      <c r="E77" s="183" t="s">
        <v>9</v>
      </c>
      <c r="F77" s="64">
        <f>F75-F76</f>
        <v>0</v>
      </c>
      <c r="G77" s="64">
        <f t="shared" ref="G77:AH77" si="82">G75-G76</f>
        <v>0</v>
      </c>
      <c r="H77" s="64">
        <f t="shared" si="82"/>
        <v>0</v>
      </c>
      <c r="I77" s="64">
        <f t="shared" si="82"/>
        <v>0</v>
      </c>
      <c r="J77" s="64">
        <f t="shared" si="82"/>
        <v>0</v>
      </c>
      <c r="K77" s="64">
        <f t="shared" si="82"/>
        <v>3.625000000007276</v>
      </c>
      <c r="L77" s="64">
        <f t="shared" si="82"/>
        <v>2.7150000000037835</v>
      </c>
      <c r="M77" s="64">
        <f t="shared" si="82"/>
        <v>2.7150000000001455</v>
      </c>
      <c r="N77" s="64">
        <f t="shared" si="82"/>
        <v>0</v>
      </c>
      <c r="O77" s="64">
        <f t="shared" si="82"/>
        <v>5.430000000003929</v>
      </c>
      <c r="P77" s="64">
        <f t="shared" si="82"/>
        <v>5.430000000003929</v>
      </c>
      <c r="Q77" s="64">
        <f t="shared" si="82"/>
        <v>0</v>
      </c>
      <c r="R77" s="64">
        <f t="shared" si="82"/>
        <v>3.625000000007276</v>
      </c>
      <c r="S77" s="64">
        <f t="shared" si="82"/>
        <v>2.7150000000037835</v>
      </c>
      <c r="T77" s="64">
        <f t="shared" si="82"/>
        <v>3.625</v>
      </c>
      <c r="U77" s="64">
        <f t="shared" si="82"/>
        <v>0</v>
      </c>
      <c r="V77" s="64">
        <f t="shared" si="82"/>
        <v>0</v>
      </c>
      <c r="W77" s="64">
        <f t="shared" si="82"/>
        <v>0</v>
      </c>
      <c r="X77" s="64">
        <f t="shared" si="82"/>
        <v>0</v>
      </c>
      <c r="Y77" s="64">
        <f t="shared" si="82"/>
        <v>3.625000000007276</v>
      </c>
      <c r="Z77" s="64">
        <f t="shared" si="82"/>
        <v>0</v>
      </c>
      <c r="AA77" s="64">
        <f t="shared" si="82"/>
        <v>0</v>
      </c>
      <c r="AB77" s="64">
        <f t="shared" si="82"/>
        <v>0</v>
      </c>
      <c r="AC77" s="64">
        <f t="shared" si="82"/>
        <v>0</v>
      </c>
      <c r="AD77" s="64">
        <f t="shared" si="82"/>
        <v>0</v>
      </c>
      <c r="AE77" s="64">
        <f t="shared" ref="AE77:AG77" si="83">AE75-AE76</f>
        <v>0</v>
      </c>
      <c r="AF77" s="64">
        <f t="shared" si="83"/>
        <v>0</v>
      </c>
      <c r="AG77" s="64">
        <f t="shared" si="83"/>
        <v>6.3350000000064028</v>
      </c>
      <c r="AH77" s="64">
        <f t="shared" si="82"/>
        <v>5.4349999999976717</v>
      </c>
      <c r="AI77" s="64">
        <f t="shared" ref="AI77" si="84">AI75-AI76</f>
        <v>3.625</v>
      </c>
      <c r="AJ77" s="97"/>
      <c r="AK77" s="99">
        <f>SUM(F77:AI77)</f>
        <v>48.900000000041473</v>
      </c>
      <c r="AL77" s="214"/>
      <c r="AM77" s="98"/>
      <c r="EA77" s="203"/>
      <c r="EB77" s="203"/>
      <c r="FH77" s="203"/>
      <c r="GP77" s="7"/>
      <c r="GQ77" s="203"/>
      <c r="GR77" s="203"/>
      <c r="GS77" s="203"/>
      <c r="GT77" s="203"/>
      <c r="IW77" s="203"/>
      <c r="MR77" s="203"/>
      <c r="MS77" s="203"/>
      <c r="MT77" s="203"/>
      <c r="MU77" s="203"/>
      <c r="RY77" s="203"/>
      <c r="RZ77" s="203"/>
      <c r="SB77" s="203"/>
      <c r="SP77" s="206"/>
      <c r="ST77" s="203"/>
      <c r="UW77" s="206"/>
    </row>
    <row r="78" spans="2:930 15038:15051" s="1" customFormat="1" hidden="1">
      <c r="B78" s="50"/>
      <c r="C78" s="194" t="s">
        <v>119</v>
      </c>
      <c r="D78" s="54"/>
      <c r="E78" s="50" t="s">
        <v>9</v>
      </c>
      <c r="F78" s="64">
        <v>0</v>
      </c>
      <c r="G78" s="64">
        <v>102.26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6.56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460</v>
      </c>
      <c r="AF78" s="64">
        <v>0</v>
      </c>
      <c r="AG78" s="64">
        <v>0</v>
      </c>
      <c r="AH78" s="64">
        <v>460</v>
      </c>
      <c r="AI78" s="64">
        <v>0</v>
      </c>
      <c r="AJ78" s="97"/>
      <c r="AK78" s="99">
        <f>SUM(F78:AI78)</f>
        <v>1028.8200000000002</v>
      </c>
      <c r="AM78" s="98"/>
      <c r="EA78" s="203"/>
      <c r="EB78" s="203"/>
      <c r="FH78" s="203"/>
      <c r="GP78" s="7"/>
      <c r="GQ78" s="203"/>
      <c r="GR78" s="203"/>
      <c r="GS78" s="203"/>
      <c r="GT78" s="203"/>
      <c r="IW78" s="203"/>
      <c r="MR78" s="203"/>
      <c r="MS78" s="203"/>
      <c r="MT78" s="203"/>
      <c r="MU78" s="203"/>
      <c r="RY78" s="203"/>
      <c r="RZ78" s="203"/>
      <c r="SB78" s="203"/>
      <c r="SP78" s="206"/>
      <c r="ST78" s="203"/>
      <c r="UW78" s="206"/>
    </row>
    <row r="79" spans="2:930 15038:15051" s="1" customFormat="1">
      <c r="B79" s="50"/>
      <c r="C79" s="194" t="s">
        <v>67</v>
      </c>
      <c r="D79" s="54"/>
      <c r="E79" s="5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97"/>
      <c r="AK79" s="102" t="s">
        <v>67</v>
      </c>
      <c r="AM79" s="98"/>
      <c r="EA79" s="203"/>
      <c r="EB79" s="203"/>
      <c r="FH79" s="203"/>
      <c r="GP79" s="7"/>
      <c r="GQ79" s="203"/>
      <c r="GR79" s="203"/>
      <c r="GS79" s="203"/>
      <c r="GT79" s="203"/>
      <c r="IW79" s="203"/>
      <c r="MR79" s="203"/>
      <c r="MS79" s="203"/>
      <c r="MT79" s="203"/>
      <c r="MU79" s="203"/>
      <c r="RY79" s="203"/>
      <c r="RZ79" s="203"/>
      <c r="SB79" s="203"/>
      <c r="SP79" s="206"/>
      <c r="ST79" s="203"/>
      <c r="UW79" s="206"/>
    </row>
    <row r="80" spans="2:930 15038:15051" s="6" customFormat="1" ht="13.8">
      <c r="B80" s="22"/>
      <c r="C80" s="195" t="s">
        <v>68</v>
      </c>
      <c r="D80" s="21"/>
      <c r="E80" s="196" t="s">
        <v>69</v>
      </c>
      <c r="F80" s="125">
        <v>0</v>
      </c>
      <c r="G80" s="125">
        <v>0</v>
      </c>
      <c r="H80" s="125">
        <v>0</v>
      </c>
      <c r="I80" s="125">
        <v>1242</v>
      </c>
      <c r="J80" s="125">
        <v>0</v>
      </c>
      <c r="K80" s="125">
        <v>1262</v>
      </c>
      <c r="L80" s="125">
        <v>1262</v>
      </c>
      <c r="M80" s="125">
        <v>2524</v>
      </c>
      <c r="N80" s="125">
        <v>0</v>
      </c>
      <c r="O80" s="125">
        <v>0</v>
      </c>
      <c r="P80" s="125">
        <v>0</v>
      </c>
      <c r="Q80" s="125">
        <v>0</v>
      </c>
      <c r="R80" s="125">
        <v>1262</v>
      </c>
      <c r="S80" s="125">
        <v>1262</v>
      </c>
      <c r="T80" s="125">
        <v>1267</v>
      </c>
      <c r="U80" s="125">
        <v>0</v>
      </c>
      <c r="V80" s="125">
        <v>0</v>
      </c>
      <c r="W80" s="125">
        <v>0</v>
      </c>
      <c r="X80" s="125">
        <v>0</v>
      </c>
      <c r="Y80" s="125">
        <v>1262</v>
      </c>
      <c r="Z80" s="125">
        <v>0</v>
      </c>
      <c r="AA80" s="125">
        <v>0</v>
      </c>
      <c r="AB80" s="125">
        <v>0</v>
      </c>
      <c r="AC80" s="125">
        <v>0</v>
      </c>
      <c r="AD80" s="125">
        <v>0</v>
      </c>
      <c r="AE80" s="125">
        <v>0</v>
      </c>
      <c r="AF80" s="125">
        <v>0</v>
      </c>
      <c r="AG80" s="125">
        <v>2524</v>
      </c>
      <c r="AH80" s="125">
        <v>2524</v>
      </c>
      <c r="AI80" s="125">
        <v>1268</v>
      </c>
      <c r="AJ80" s="104"/>
      <c r="AK80" s="96">
        <f>SUM(F80:AI80)</f>
        <v>17659</v>
      </c>
      <c r="AM80" s="290"/>
      <c r="EA80" s="233"/>
      <c r="EB80" s="233"/>
      <c r="FH80" s="233"/>
      <c r="GP80" s="245"/>
      <c r="GQ80" s="233"/>
      <c r="GR80" s="233"/>
      <c r="GS80" s="233"/>
      <c r="GT80" s="233"/>
      <c r="IW80" s="233"/>
      <c r="MR80" s="233"/>
      <c r="MS80" s="233"/>
      <c r="MT80" s="233"/>
      <c r="MU80" s="233"/>
      <c r="RY80" s="233"/>
      <c r="RZ80" s="233"/>
      <c r="SB80" s="233"/>
      <c r="SP80" s="297"/>
      <c r="ST80" s="233"/>
      <c r="UW80" s="297"/>
    </row>
    <row r="81" spans="2:569" s="6" customFormat="1" ht="13.8">
      <c r="B81" s="22"/>
      <c r="C81" s="195" t="s">
        <v>70</v>
      </c>
      <c r="D81" s="21"/>
      <c r="E81" s="196" t="s">
        <v>69</v>
      </c>
      <c r="F81" s="125">
        <v>0</v>
      </c>
      <c r="G81" s="125">
        <v>0</v>
      </c>
      <c r="H81" s="125">
        <v>0</v>
      </c>
      <c r="I81" s="125">
        <v>0</v>
      </c>
      <c r="J81" s="125">
        <v>0</v>
      </c>
      <c r="K81" s="125">
        <v>2445</v>
      </c>
      <c r="L81" s="125">
        <v>2445</v>
      </c>
      <c r="M81" s="125">
        <v>0</v>
      </c>
      <c r="N81" s="125">
        <v>0</v>
      </c>
      <c r="O81" s="125">
        <v>2447</v>
      </c>
      <c r="P81" s="125">
        <v>2446</v>
      </c>
      <c r="Q81" s="125">
        <v>0</v>
      </c>
      <c r="R81" s="125">
        <v>2444</v>
      </c>
      <c r="S81" s="125">
        <v>2445</v>
      </c>
      <c r="T81" s="125">
        <v>2455</v>
      </c>
      <c r="U81" s="125">
        <v>0</v>
      </c>
      <c r="V81" s="125">
        <v>0</v>
      </c>
      <c r="W81" s="125">
        <v>0</v>
      </c>
      <c r="X81" s="125">
        <v>0</v>
      </c>
      <c r="Y81" s="125">
        <v>2444</v>
      </c>
      <c r="Z81" s="125">
        <v>0</v>
      </c>
      <c r="AA81" s="125">
        <v>0</v>
      </c>
      <c r="AB81" s="125">
        <v>0</v>
      </c>
      <c r="AC81" s="125">
        <v>0</v>
      </c>
      <c r="AD81" s="125">
        <v>0</v>
      </c>
      <c r="AE81" s="125">
        <v>0</v>
      </c>
      <c r="AF81" s="125">
        <v>0</v>
      </c>
      <c r="AG81" s="125">
        <v>4888</v>
      </c>
      <c r="AH81" s="125">
        <v>4889</v>
      </c>
      <c r="AI81" s="125">
        <v>2444</v>
      </c>
      <c r="AJ81" s="104"/>
      <c r="AK81" s="96">
        <f>SUM(F81:AI81)</f>
        <v>31792</v>
      </c>
      <c r="AM81" s="138"/>
      <c r="EA81" s="233"/>
      <c r="EB81" s="233"/>
      <c r="FH81" s="233"/>
      <c r="GP81" s="245"/>
      <c r="GQ81" s="233"/>
      <c r="GR81" s="233"/>
      <c r="GS81" s="233"/>
      <c r="GT81" s="233"/>
      <c r="IW81" s="233"/>
      <c r="MR81" s="233"/>
      <c r="MS81" s="233"/>
      <c r="MT81" s="233"/>
      <c r="MU81" s="233"/>
      <c r="RY81" s="233"/>
      <c r="RZ81" s="233"/>
      <c r="SB81" s="233"/>
      <c r="SP81" s="297"/>
      <c r="ST81" s="233"/>
      <c r="UW81" s="297"/>
    </row>
    <row r="82" spans="2:569" s="1" customFormat="1">
      <c r="B82" s="50"/>
      <c r="C82" s="194" t="s">
        <v>71</v>
      </c>
      <c r="D82" s="54"/>
      <c r="E82" s="5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97"/>
      <c r="AK82" s="102" t="s">
        <v>71</v>
      </c>
      <c r="AM82" s="98"/>
      <c r="EA82" s="203"/>
      <c r="EB82" s="203"/>
      <c r="FH82" s="203"/>
      <c r="GP82" s="7"/>
      <c r="GQ82" s="203"/>
      <c r="GR82" s="203"/>
      <c r="GS82" s="203"/>
      <c r="GT82" s="203"/>
      <c r="IW82" s="203"/>
      <c r="MR82" s="203"/>
      <c r="MS82" s="203"/>
      <c r="MT82" s="203"/>
      <c r="MU82" s="203"/>
      <c r="RY82" s="203"/>
      <c r="RZ82" s="203"/>
      <c r="SB82" s="203"/>
      <c r="SP82" s="206"/>
      <c r="ST82" s="203"/>
      <c r="UW82" s="206"/>
    </row>
    <row r="83" spans="2:569" s="1" customFormat="1" ht="13.8">
      <c r="B83" s="50"/>
      <c r="C83" s="176" t="s">
        <v>68</v>
      </c>
      <c r="D83" s="54"/>
      <c r="E83" s="183" t="s">
        <v>71</v>
      </c>
      <c r="F83" s="40">
        <f t="shared" ref="F83:AH83" si="85">F80*12</f>
        <v>0</v>
      </c>
      <c r="G83" s="40">
        <f t="shared" si="85"/>
        <v>0</v>
      </c>
      <c r="H83" s="40">
        <f>H80*12</f>
        <v>0</v>
      </c>
      <c r="I83" s="40">
        <f t="shared" si="85"/>
        <v>14904</v>
      </c>
      <c r="J83" s="40">
        <f t="shared" si="85"/>
        <v>0</v>
      </c>
      <c r="K83" s="40">
        <f t="shared" si="85"/>
        <v>15144</v>
      </c>
      <c r="L83" s="40">
        <f t="shared" si="85"/>
        <v>15144</v>
      </c>
      <c r="M83" s="40">
        <f t="shared" si="85"/>
        <v>30288</v>
      </c>
      <c r="N83" s="40">
        <f t="shared" si="85"/>
        <v>0</v>
      </c>
      <c r="O83" s="40">
        <f t="shared" si="85"/>
        <v>0</v>
      </c>
      <c r="P83" s="40">
        <f t="shared" si="85"/>
        <v>0</v>
      </c>
      <c r="Q83" s="40">
        <f t="shared" si="85"/>
        <v>0</v>
      </c>
      <c r="R83" s="40">
        <f t="shared" si="85"/>
        <v>15144</v>
      </c>
      <c r="S83" s="40">
        <f t="shared" si="85"/>
        <v>15144</v>
      </c>
      <c r="T83" s="40">
        <f t="shared" si="85"/>
        <v>15204</v>
      </c>
      <c r="U83" s="40">
        <f t="shared" si="85"/>
        <v>0</v>
      </c>
      <c r="V83" s="40">
        <f t="shared" si="85"/>
        <v>0</v>
      </c>
      <c r="W83" s="40">
        <f t="shared" si="85"/>
        <v>0</v>
      </c>
      <c r="X83" s="40">
        <f t="shared" si="85"/>
        <v>0</v>
      </c>
      <c r="Y83" s="40">
        <f t="shared" si="85"/>
        <v>15144</v>
      </c>
      <c r="Z83" s="40">
        <f t="shared" si="85"/>
        <v>0</v>
      </c>
      <c r="AA83" s="40">
        <f t="shared" si="85"/>
        <v>0</v>
      </c>
      <c r="AB83" s="40">
        <f t="shared" si="85"/>
        <v>0</v>
      </c>
      <c r="AC83" s="40">
        <f t="shared" si="85"/>
        <v>0</v>
      </c>
      <c r="AD83" s="40">
        <f t="shared" si="85"/>
        <v>0</v>
      </c>
      <c r="AE83" s="40">
        <f t="shared" ref="AE83:AG83" si="86">AE80*12</f>
        <v>0</v>
      </c>
      <c r="AF83" s="40">
        <f t="shared" si="86"/>
        <v>0</v>
      </c>
      <c r="AG83" s="40">
        <f t="shared" si="86"/>
        <v>30288</v>
      </c>
      <c r="AH83" s="40">
        <f t="shared" si="85"/>
        <v>30288</v>
      </c>
      <c r="AI83" s="40">
        <f t="shared" ref="AI83" si="87">AI80*12</f>
        <v>15216</v>
      </c>
      <c r="AJ83" s="97"/>
      <c r="AK83" s="96">
        <f>AK80*12</f>
        <v>211908</v>
      </c>
      <c r="AM83" s="98"/>
      <c r="EA83" s="203"/>
      <c r="EB83" s="203"/>
      <c r="FH83" s="203"/>
      <c r="GP83" s="7"/>
      <c r="GQ83" s="203"/>
      <c r="GR83" s="203"/>
      <c r="GS83" s="203"/>
      <c r="GT83" s="203"/>
      <c r="IW83" s="203"/>
      <c r="MR83" s="203"/>
      <c r="MS83" s="203"/>
      <c r="MT83" s="203"/>
      <c r="MU83" s="203"/>
      <c r="RY83" s="203"/>
      <c r="RZ83" s="203"/>
      <c r="SB83" s="203"/>
      <c r="SP83" s="206"/>
      <c r="ST83" s="203"/>
      <c r="UW83" s="206"/>
    </row>
    <row r="84" spans="2:569" s="1" customFormat="1" ht="13.8">
      <c r="B84" s="50"/>
      <c r="C84" s="176" t="s">
        <v>70</v>
      </c>
      <c r="D84" s="54"/>
      <c r="E84" s="183" t="s">
        <v>71</v>
      </c>
      <c r="F84" s="40">
        <f t="shared" ref="F84:AH84" si="88">F81*6</f>
        <v>0</v>
      </c>
      <c r="G84" s="40">
        <f t="shared" si="88"/>
        <v>0</v>
      </c>
      <c r="H84" s="40">
        <v>0</v>
      </c>
      <c r="I84" s="40">
        <f t="shared" si="88"/>
        <v>0</v>
      </c>
      <c r="J84" s="40">
        <f t="shared" si="88"/>
        <v>0</v>
      </c>
      <c r="K84" s="40">
        <f t="shared" si="88"/>
        <v>14670</v>
      </c>
      <c r="L84" s="40">
        <f t="shared" si="88"/>
        <v>14670</v>
      </c>
      <c r="M84" s="40">
        <f t="shared" si="88"/>
        <v>0</v>
      </c>
      <c r="N84" s="40">
        <f t="shared" si="88"/>
        <v>0</v>
      </c>
      <c r="O84" s="40">
        <f t="shared" si="88"/>
        <v>14682</v>
      </c>
      <c r="P84" s="40">
        <f t="shared" si="88"/>
        <v>14676</v>
      </c>
      <c r="Q84" s="40">
        <f t="shared" si="88"/>
        <v>0</v>
      </c>
      <c r="R84" s="40">
        <f t="shared" si="88"/>
        <v>14664</v>
      </c>
      <c r="S84" s="40">
        <f t="shared" si="88"/>
        <v>14670</v>
      </c>
      <c r="T84" s="40">
        <f t="shared" si="88"/>
        <v>14730</v>
      </c>
      <c r="U84" s="40">
        <f t="shared" si="88"/>
        <v>0</v>
      </c>
      <c r="V84" s="40">
        <f t="shared" si="88"/>
        <v>0</v>
      </c>
      <c r="W84" s="40">
        <f t="shared" si="88"/>
        <v>0</v>
      </c>
      <c r="X84" s="40">
        <f t="shared" si="88"/>
        <v>0</v>
      </c>
      <c r="Y84" s="40">
        <f t="shared" si="88"/>
        <v>14664</v>
      </c>
      <c r="Z84" s="40">
        <f t="shared" si="88"/>
        <v>0</v>
      </c>
      <c r="AA84" s="40">
        <f t="shared" si="88"/>
        <v>0</v>
      </c>
      <c r="AB84" s="40">
        <f t="shared" si="88"/>
        <v>0</v>
      </c>
      <c r="AC84" s="40">
        <f t="shared" si="88"/>
        <v>0</v>
      </c>
      <c r="AD84" s="40">
        <f t="shared" si="88"/>
        <v>0</v>
      </c>
      <c r="AE84" s="40">
        <f t="shared" ref="AE84:AG84" si="89">AE81*6</f>
        <v>0</v>
      </c>
      <c r="AF84" s="40">
        <f t="shared" si="89"/>
        <v>0</v>
      </c>
      <c r="AG84" s="40">
        <f t="shared" si="89"/>
        <v>29328</v>
      </c>
      <c r="AH84" s="40">
        <f t="shared" si="88"/>
        <v>29334</v>
      </c>
      <c r="AI84" s="40">
        <f t="shared" ref="AI84" si="90">AI81*6</f>
        <v>14664</v>
      </c>
      <c r="AJ84" s="97"/>
      <c r="AK84" s="96">
        <f>AK81*6</f>
        <v>190752</v>
      </c>
      <c r="AM84" s="98"/>
      <c r="EA84" s="203"/>
      <c r="EB84" s="203"/>
      <c r="FH84" s="203"/>
      <c r="GP84" s="7"/>
      <c r="GQ84" s="203"/>
      <c r="GR84" s="203"/>
      <c r="GS84" s="203"/>
      <c r="GT84" s="203"/>
      <c r="IW84" s="203"/>
      <c r="MR84" s="203"/>
      <c r="MS84" s="203"/>
      <c r="MT84" s="203"/>
      <c r="MU84" s="203"/>
      <c r="RY84" s="203"/>
      <c r="RZ84" s="203"/>
      <c r="SB84" s="203"/>
      <c r="SP84" s="206"/>
      <c r="ST84" s="203"/>
      <c r="UW84" s="206"/>
    </row>
    <row r="85" spans="2:569" s="1" customFormat="1">
      <c r="B85" s="50"/>
      <c r="C85" s="194" t="s">
        <v>72</v>
      </c>
      <c r="D85" s="54"/>
      <c r="E85" s="183" t="s">
        <v>73</v>
      </c>
      <c r="F85" s="126">
        <f>(F75*45)/1700</f>
        <v>0</v>
      </c>
      <c r="G85" s="126">
        <f>(G75*45)/1700</f>
        <v>0</v>
      </c>
      <c r="H85" s="126">
        <f t="shared" ref="H85:AH85" si="91">(H75*45)/1700</f>
        <v>0</v>
      </c>
      <c r="I85" s="126">
        <f t="shared" si="91"/>
        <v>357.03847058823533</v>
      </c>
      <c r="J85" s="126">
        <f t="shared" si="91"/>
        <v>0</v>
      </c>
      <c r="K85" s="126">
        <f t="shared" si="91"/>
        <v>1065.7494264705883</v>
      </c>
      <c r="L85" s="126">
        <f t="shared" si="91"/>
        <v>1065.7253382352942</v>
      </c>
      <c r="M85" s="126">
        <f t="shared" si="91"/>
        <v>725.64763235294129</v>
      </c>
      <c r="N85" s="126">
        <f t="shared" si="91"/>
        <v>0</v>
      </c>
      <c r="O85" s="126">
        <f t="shared" si="91"/>
        <v>703.58426470588233</v>
      </c>
      <c r="P85" s="126">
        <f t="shared" si="91"/>
        <v>703.2967941176471</v>
      </c>
      <c r="Q85" s="126">
        <f t="shared" si="91"/>
        <v>0</v>
      </c>
      <c r="R85" s="126">
        <f t="shared" si="91"/>
        <v>1065.4619558823531</v>
      </c>
      <c r="S85" s="126">
        <f t="shared" si="91"/>
        <v>1065.7253382352942</v>
      </c>
      <c r="T85" s="126">
        <f t="shared" si="91"/>
        <v>1070.0614852941176</v>
      </c>
      <c r="U85" s="126">
        <f t="shared" si="91"/>
        <v>0</v>
      </c>
      <c r="V85" s="126">
        <f t="shared" si="91"/>
        <v>0</v>
      </c>
      <c r="W85" s="126">
        <f t="shared" si="91"/>
        <v>0</v>
      </c>
      <c r="X85" s="126">
        <f t="shared" si="91"/>
        <v>0</v>
      </c>
      <c r="Y85" s="126">
        <f t="shared" si="91"/>
        <v>1065.4619558823531</v>
      </c>
      <c r="Z85" s="126">
        <f t="shared" si="91"/>
        <v>0</v>
      </c>
      <c r="AA85" s="126">
        <f t="shared" si="91"/>
        <v>0</v>
      </c>
      <c r="AB85" s="126">
        <f t="shared" si="91"/>
        <v>0</v>
      </c>
      <c r="AC85" s="126">
        <f t="shared" si="91"/>
        <v>0</v>
      </c>
      <c r="AD85" s="126">
        <f>(AD75*45)/1700</f>
        <v>0</v>
      </c>
      <c r="AE85" s="126">
        <f t="shared" ref="AE85:AG85" si="92">(AE75*45)/1700</f>
        <v>0</v>
      </c>
      <c r="AF85" s="126">
        <f t="shared" si="92"/>
        <v>0</v>
      </c>
      <c r="AG85" s="126">
        <f t="shared" si="92"/>
        <v>2130.8996911764707</v>
      </c>
      <c r="AH85" s="126">
        <f t="shared" si="91"/>
        <v>2131.1633382352938</v>
      </c>
      <c r="AI85" s="126">
        <f t="shared" ref="AI85" si="93">(AI75*45)/1700</f>
        <v>1067.1867794117647</v>
      </c>
      <c r="AJ85" s="97"/>
      <c r="AK85" s="96">
        <f>SUM(F85:AI85)</f>
        <v>14217.002470588237</v>
      </c>
      <c r="AM85" s="98"/>
      <c r="EA85" s="203"/>
      <c r="EB85" s="203"/>
      <c r="FH85" s="203"/>
      <c r="GP85" s="7"/>
      <c r="GQ85" s="203"/>
      <c r="GR85" s="203"/>
      <c r="GS85" s="203"/>
      <c r="GT85" s="203"/>
      <c r="IW85" s="203"/>
      <c r="MR85" s="203"/>
      <c r="MS85" s="203"/>
      <c r="MT85" s="203"/>
      <c r="MU85" s="203"/>
      <c r="RY85" s="203"/>
      <c r="RZ85" s="203"/>
      <c r="SB85" s="203"/>
      <c r="SP85" s="206"/>
      <c r="ST85" s="203"/>
      <c r="UW85" s="206"/>
    </row>
    <row r="86" spans="2:569" s="1" customFormat="1">
      <c r="B86" s="50"/>
      <c r="C86" s="194" t="s">
        <v>74</v>
      </c>
      <c r="D86" s="54"/>
      <c r="E86" s="183" t="s">
        <v>75</v>
      </c>
      <c r="F86" s="40">
        <f t="shared" ref="F86:AH86" si="94">SUM(F80:F81)/500</f>
        <v>0</v>
      </c>
      <c r="G86" s="40">
        <f t="shared" si="94"/>
        <v>0</v>
      </c>
      <c r="H86" s="40">
        <f>SUM(H80:H81)/500</f>
        <v>0</v>
      </c>
      <c r="I86" s="40">
        <f t="shared" si="94"/>
        <v>2.484</v>
      </c>
      <c r="J86" s="40">
        <f t="shared" si="94"/>
        <v>0</v>
      </c>
      <c r="K86" s="40">
        <f t="shared" si="94"/>
        <v>7.4139999999999997</v>
      </c>
      <c r="L86" s="40">
        <f t="shared" si="94"/>
        <v>7.4139999999999997</v>
      </c>
      <c r="M86" s="40">
        <f t="shared" si="94"/>
        <v>5.048</v>
      </c>
      <c r="N86" s="40">
        <f t="shared" si="94"/>
        <v>0</v>
      </c>
      <c r="O86" s="40">
        <f t="shared" si="94"/>
        <v>4.8940000000000001</v>
      </c>
      <c r="P86" s="40">
        <f t="shared" si="94"/>
        <v>4.8920000000000003</v>
      </c>
      <c r="Q86" s="40">
        <f t="shared" si="94"/>
        <v>0</v>
      </c>
      <c r="R86" s="40">
        <f t="shared" si="94"/>
        <v>7.4119999999999999</v>
      </c>
      <c r="S86" s="40">
        <f t="shared" si="94"/>
        <v>7.4139999999999997</v>
      </c>
      <c r="T86" s="40">
        <f t="shared" si="94"/>
        <v>7.444</v>
      </c>
      <c r="U86" s="40">
        <f t="shared" si="94"/>
        <v>0</v>
      </c>
      <c r="V86" s="40">
        <f t="shared" si="94"/>
        <v>0</v>
      </c>
      <c r="W86" s="40">
        <f t="shared" si="94"/>
        <v>0</v>
      </c>
      <c r="X86" s="40">
        <f t="shared" si="94"/>
        <v>0</v>
      </c>
      <c r="Y86" s="40">
        <f t="shared" si="94"/>
        <v>7.4119999999999999</v>
      </c>
      <c r="Z86" s="40">
        <f t="shared" si="94"/>
        <v>0</v>
      </c>
      <c r="AA86" s="40">
        <f t="shared" si="94"/>
        <v>0</v>
      </c>
      <c r="AB86" s="40">
        <f t="shared" si="94"/>
        <v>0</v>
      </c>
      <c r="AC86" s="40">
        <f t="shared" si="94"/>
        <v>0</v>
      </c>
      <c r="AD86" s="40">
        <f t="shared" si="94"/>
        <v>0</v>
      </c>
      <c r="AE86" s="40">
        <f t="shared" ref="AE86:AG86" si="95">SUM(AE80:AE81)/500</f>
        <v>0</v>
      </c>
      <c r="AF86" s="40">
        <f t="shared" si="95"/>
        <v>0</v>
      </c>
      <c r="AG86" s="40">
        <f t="shared" si="95"/>
        <v>14.824</v>
      </c>
      <c r="AH86" s="40">
        <f t="shared" si="94"/>
        <v>14.826000000000001</v>
      </c>
      <c r="AI86" s="40">
        <f t="shared" ref="AI86" si="96">SUM(AI80:AI81)/500</f>
        <v>7.4240000000000004</v>
      </c>
      <c r="AJ86" s="97"/>
      <c r="AK86" s="96">
        <f>SUM(F86:AI86)</f>
        <v>98.902000000000015</v>
      </c>
      <c r="AM86" s="98"/>
      <c r="EA86" s="203"/>
      <c r="EB86" s="203"/>
      <c r="FH86" s="203"/>
      <c r="GP86" s="7"/>
      <c r="GQ86" s="203"/>
      <c r="GR86" s="203"/>
      <c r="GS86" s="203"/>
      <c r="GT86" s="203"/>
      <c r="IW86" s="203"/>
      <c r="MR86" s="203"/>
      <c r="MS86" s="203"/>
      <c r="MT86" s="203"/>
      <c r="MU86" s="203"/>
      <c r="RY86" s="203"/>
      <c r="RZ86" s="203"/>
      <c r="SB86" s="203"/>
      <c r="SP86" s="206"/>
      <c r="ST86" s="203"/>
      <c r="UW86" s="206"/>
    </row>
    <row r="87" spans="2:569">
      <c r="B87" s="37"/>
      <c r="C87" s="16" t="s">
        <v>76</v>
      </c>
      <c r="D87" s="35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83"/>
      <c r="AD87" s="36"/>
      <c r="AE87" s="36"/>
      <c r="AF87" s="36"/>
      <c r="AG87" s="36"/>
      <c r="AH87" s="36"/>
      <c r="AI87" s="36"/>
      <c r="AJ87" s="87"/>
      <c r="AK87" s="180" t="s">
        <v>77</v>
      </c>
    </row>
    <row r="88" spans="2:569" s="1" customFormat="1">
      <c r="B88" s="50"/>
      <c r="C88" s="194" t="s">
        <v>67</v>
      </c>
      <c r="D88" s="54"/>
      <c r="E88" s="5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97"/>
      <c r="AK88" s="102" t="s">
        <v>67</v>
      </c>
      <c r="AM88" s="98"/>
      <c r="EA88" s="203"/>
      <c r="EB88" s="203"/>
      <c r="FH88" s="203"/>
      <c r="GP88" s="7"/>
      <c r="GQ88" s="203"/>
      <c r="GR88" s="203"/>
      <c r="GS88" s="203"/>
      <c r="GT88" s="203"/>
      <c r="IW88" s="203"/>
      <c r="MR88" s="203"/>
      <c r="MS88" s="203"/>
      <c r="MT88" s="203"/>
      <c r="MU88" s="203"/>
      <c r="RY88" s="203"/>
      <c r="RZ88" s="203"/>
      <c r="SB88" s="203"/>
      <c r="SP88" s="206"/>
      <c r="ST88" s="203"/>
      <c r="UW88" s="206"/>
    </row>
    <row r="89" spans="2:569" s="1" customFormat="1" ht="13.8">
      <c r="B89" s="50"/>
      <c r="C89" s="176" t="s">
        <v>68</v>
      </c>
      <c r="D89" s="54"/>
      <c r="E89" s="183" t="s">
        <v>69</v>
      </c>
      <c r="F89" s="125">
        <v>0</v>
      </c>
      <c r="G89" s="125">
        <v>0</v>
      </c>
      <c r="H89" s="125">
        <v>0</v>
      </c>
      <c r="I89" s="125">
        <v>4</v>
      </c>
      <c r="J89" s="125">
        <v>0</v>
      </c>
      <c r="K89" s="125">
        <v>1</v>
      </c>
      <c r="L89" s="40">
        <v>0</v>
      </c>
      <c r="M89" s="40">
        <v>16</v>
      </c>
      <c r="N89" s="125">
        <v>0</v>
      </c>
      <c r="O89" s="125">
        <v>0</v>
      </c>
      <c r="P89" s="125">
        <v>0</v>
      </c>
      <c r="Q89" s="125">
        <v>0</v>
      </c>
      <c r="R89" s="40">
        <v>1</v>
      </c>
      <c r="S89" s="40">
        <v>0</v>
      </c>
      <c r="T89" s="40">
        <v>0</v>
      </c>
      <c r="U89" s="125">
        <v>0</v>
      </c>
      <c r="V89" s="125">
        <v>0</v>
      </c>
      <c r="W89" s="125">
        <v>0</v>
      </c>
      <c r="X89" s="125">
        <v>0</v>
      </c>
      <c r="Y89" s="40">
        <v>0</v>
      </c>
      <c r="Z89" s="125">
        <v>0</v>
      </c>
      <c r="AA89" s="125">
        <v>0</v>
      </c>
      <c r="AB89" s="125">
        <v>0</v>
      </c>
      <c r="AC89" s="125">
        <v>0</v>
      </c>
      <c r="AD89" s="125">
        <v>0</v>
      </c>
      <c r="AE89" s="125">
        <v>0</v>
      </c>
      <c r="AF89" s="125">
        <v>0</v>
      </c>
      <c r="AG89" s="40">
        <v>1</v>
      </c>
      <c r="AH89" s="40">
        <v>7</v>
      </c>
      <c r="AI89" s="40">
        <v>5</v>
      </c>
      <c r="AJ89" s="97"/>
      <c r="AK89" s="96">
        <f>SUM(F89:AI89)</f>
        <v>35</v>
      </c>
      <c r="AM89" s="98"/>
      <c r="EA89" s="203"/>
      <c r="EB89" s="203"/>
      <c r="FH89" s="203"/>
      <c r="GP89" s="7"/>
      <c r="GQ89" s="203"/>
      <c r="GR89" s="203"/>
      <c r="GS89" s="203"/>
      <c r="GT89" s="203"/>
      <c r="IW89" s="203"/>
      <c r="MR89" s="203"/>
      <c r="MS89" s="203"/>
      <c r="MT89" s="203"/>
      <c r="MU89" s="203"/>
      <c r="RY89" s="203"/>
      <c r="RZ89" s="203"/>
      <c r="SB89" s="203"/>
      <c r="SP89" s="206"/>
      <c r="ST89" s="203"/>
      <c r="UW89" s="206"/>
    </row>
    <row r="90" spans="2:569" s="1" customFormat="1" ht="13.8">
      <c r="B90" s="50"/>
      <c r="C90" s="176" t="s">
        <v>70</v>
      </c>
      <c r="D90" s="54"/>
      <c r="E90" s="183" t="s">
        <v>69</v>
      </c>
      <c r="F90" s="125">
        <v>0</v>
      </c>
      <c r="G90" s="125">
        <v>0</v>
      </c>
      <c r="H90" s="125">
        <v>0</v>
      </c>
      <c r="I90" s="125">
        <v>0</v>
      </c>
      <c r="J90" s="125">
        <v>0</v>
      </c>
      <c r="K90" s="125">
        <v>7</v>
      </c>
      <c r="L90" s="40">
        <v>10</v>
      </c>
      <c r="M90" s="40">
        <v>0</v>
      </c>
      <c r="N90" s="125">
        <v>0</v>
      </c>
      <c r="O90" s="40">
        <v>1</v>
      </c>
      <c r="P90" s="40">
        <v>3</v>
      </c>
      <c r="Q90" s="125">
        <v>0</v>
      </c>
      <c r="R90" s="40">
        <v>5</v>
      </c>
      <c r="S90" s="40">
        <v>10</v>
      </c>
      <c r="T90" s="40">
        <v>1</v>
      </c>
      <c r="U90" s="125">
        <v>0</v>
      </c>
      <c r="V90" s="125">
        <v>0</v>
      </c>
      <c r="W90" s="125">
        <v>0</v>
      </c>
      <c r="X90" s="125">
        <v>0</v>
      </c>
      <c r="Y90" s="40">
        <v>0</v>
      </c>
      <c r="Z90" s="125">
        <v>0</v>
      </c>
      <c r="AA90" s="125">
        <v>0</v>
      </c>
      <c r="AB90" s="125">
        <v>0</v>
      </c>
      <c r="AC90" s="125">
        <v>0</v>
      </c>
      <c r="AD90" s="125">
        <v>0</v>
      </c>
      <c r="AE90" s="125">
        <v>0</v>
      </c>
      <c r="AF90" s="125">
        <v>0</v>
      </c>
      <c r="AG90" s="40">
        <v>5</v>
      </c>
      <c r="AH90" s="40">
        <v>10</v>
      </c>
      <c r="AI90" s="40">
        <v>3</v>
      </c>
      <c r="AJ90" s="97"/>
      <c r="AK90" s="96">
        <f>SUM(F90:AI90)</f>
        <v>55</v>
      </c>
      <c r="AM90" s="98"/>
      <c r="EA90" s="203"/>
      <c r="EB90" s="203"/>
      <c r="FH90" s="203"/>
      <c r="GP90" s="7"/>
      <c r="GQ90" s="203"/>
      <c r="GR90" s="203"/>
      <c r="GS90" s="203"/>
      <c r="GT90" s="203"/>
      <c r="IW90" s="203"/>
      <c r="MR90" s="203"/>
      <c r="MS90" s="203"/>
      <c r="MT90" s="203"/>
      <c r="MU90" s="203"/>
      <c r="RY90" s="203"/>
      <c r="RZ90" s="203"/>
      <c r="SB90" s="203"/>
      <c r="SP90" s="206"/>
      <c r="ST90" s="203"/>
      <c r="UW90" s="206"/>
    </row>
    <row r="91" spans="2:569" s="1" customFormat="1">
      <c r="B91" s="50"/>
      <c r="C91" s="194" t="s">
        <v>71</v>
      </c>
      <c r="D91" s="54"/>
      <c r="E91" s="50"/>
      <c r="F91" s="125"/>
      <c r="G91" s="125"/>
      <c r="H91" s="125"/>
      <c r="I91" s="125"/>
      <c r="J91" s="125"/>
      <c r="K91" s="125"/>
      <c r="L91" s="125"/>
      <c r="M91" s="125"/>
      <c r="N91" s="125"/>
      <c r="O91" s="40"/>
      <c r="P91" s="40"/>
      <c r="Q91" s="125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97"/>
      <c r="AK91" s="102" t="s">
        <v>71</v>
      </c>
      <c r="AM91" s="98"/>
      <c r="DD91" s="203"/>
      <c r="DE91" s="203"/>
      <c r="DF91" s="203"/>
      <c r="DG91" s="203"/>
      <c r="DH91" s="203"/>
      <c r="DI91" s="203"/>
      <c r="DJ91" s="203"/>
      <c r="DK91" s="203"/>
      <c r="DL91" s="203"/>
      <c r="DM91" s="203"/>
      <c r="EA91" s="203"/>
      <c r="EB91" s="203"/>
      <c r="FH91" s="203"/>
      <c r="GP91" s="7"/>
      <c r="GQ91" s="203"/>
      <c r="GR91" s="203"/>
      <c r="GS91" s="203"/>
      <c r="GT91" s="203"/>
      <c r="IW91" s="203"/>
      <c r="MR91" s="203"/>
      <c r="MS91" s="203"/>
      <c r="MT91" s="203"/>
      <c r="MU91" s="203"/>
      <c r="RY91" s="203"/>
      <c r="RZ91" s="203"/>
      <c r="SB91" s="203"/>
      <c r="SP91" s="206"/>
      <c r="ST91" s="203"/>
      <c r="UW91" s="206"/>
    </row>
    <row r="92" spans="2:569" s="1" customFormat="1" ht="13.8">
      <c r="B92" s="50"/>
      <c r="C92" s="176" t="s">
        <v>68</v>
      </c>
      <c r="D92" s="54"/>
      <c r="E92" s="183" t="s">
        <v>71</v>
      </c>
      <c r="F92" s="125">
        <v>0</v>
      </c>
      <c r="G92" s="125">
        <v>0</v>
      </c>
      <c r="H92" s="125">
        <v>0</v>
      </c>
      <c r="I92" s="125">
        <v>17</v>
      </c>
      <c r="J92" s="125">
        <v>0</v>
      </c>
      <c r="K92" s="125">
        <v>5</v>
      </c>
      <c r="L92" s="125">
        <v>14</v>
      </c>
      <c r="M92" s="125">
        <v>18</v>
      </c>
      <c r="N92" s="125">
        <v>0</v>
      </c>
      <c r="O92" s="125">
        <v>0</v>
      </c>
      <c r="P92" s="125">
        <v>0</v>
      </c>
      <c r="Q92" s="125">
        <v>0</v>
      </c>
      <c r="R92" s="40">
        <v>22</v>
      </c>
      <c r="S92" s="40">
        <v>0</v>
      </c>
      <c r="T92" s="40">
        <v>0</v>
      </c>
      <c r="U92" s="125">
        <v>0</v>
      </c>
      <c r="V92" s="125">
        <v>0</v>
      </c>
      <c r="W92" s="125">
        <v>0</v>
      </c>
      <c r="X92" s="125">
        <v>0</v>
      </c>
      <c r="Y92" s="40">
        <v>1</v>
      </c>
      <c r="Z92" s="125">
        <v>0</v>
      </c>
      <c r="AA92" s="125">
        <v>0</v>
      </c>
      <c r="AB92" s="125">
        <v>0</v>
      </c>
      <c r="AC92" s="125">
        <v>0</v>
      </c>
      <c r="AD92" s="125">
        <v>0</v>
      </c>
      <c r="AE92" s="125">
        <v>0</v>
      </c>
      <c r="AF92" s="125">
        <v>0</v>
      </c>
      <c r="AG92" s="40">
        <v>0</v>
      </c>
      <c r="AH92" s="40">
        <v>5</v>
      </c>
      <c r="AI92" s="40">
        <v>0</v>
      </c>
      <c r="AJ92" s="97"/>
      <c r="AK92" s="96">
        <f>SUM(F92:AI92)</f>
        <v>82</v>
      </c>
      <c r="AM92" s="98"/>
      <c r="DD92" s="213"/>
      <c r="DE92" s="203"/>
      <c r="DF92" s="203"/>
      <c r="DG92" s="203"/>
      <c r="DH92" s="235"/>
      <c r="DI92" s="203"/>
      <c r="DJ92" s="203"/>
      <c r="DK92" s="203"/>
      <c r="DL92" s="203"/>
      <c r="DM92" s="203"/>
      <c r="EA92" s="203"/>
      <c r="EB92" s="203"/>
      <c r="FH92" s="203"/>
      <c r="GP92" s="7"/>
      <c r="GQ92" s="203"/>
      <c r="GR92" s="203"/>
      <c r="GS92" s="203"/>
      <c r="GT92" s="203"/>
      <c r="IW92" s="203"/>
      <c r="MR92" s="203"/>
      <c r="MS92" s="203"/>
      <c r="MT92" s="203"/>
      <c r="MU92" s="203"/>
      <c r="RY92" s="203"/>
      <c r="RZ92" s="203"/>
      <c r="SB92" s="203"/>
      <c r="SP92" s="206"/>
      <c r="ST92" s="203"/>
      <c r="UW92" s="206"/>
    </row>
    <row r="93" spans="2:569" s="1" customFormat="1" ht="13.8">
      <c r="B93" s="50"/>
      <c r="C93" s="176" t="s">
        <v>70</v>
      </c>
      <c r="D93" s="54"/>
      <c r="E93" s="183" t="s">
        <v>71</v>
      </c>
      <c r="F93" s="125"/>
      <c r="G93" s="125"/>
      <c r="H93" s="125"/>
      <c r="I93" s="125"/>
      <c r="J93" s="125"/>
      <c r="K93" s="125">
        <v>17</v>
      </c>
      <c r="L93" s="125">
        <v>1</v>
      </c>
      <c r="M93" s="125"/>
      <c r="N93" s="125"/>
      <c r="O93" s="40">
        <v>0</v>
      </c>
      <c r="P93" s="40">
        <v>3</v>
      </c>
      <c r="Q93" s="125"/>
      <c r="R93" s="40">
        <v>4</v>
      </c>
      <c r="S93" s="40">
        <v>4</v>
      </c>
      <c r="T93" s="40">
        <v>2</v>
      </c>
      <c r="U93" s="40"/>
      <c r="V93" s="40"/>
      <c r="W93" s="40"/>
      <c r="X93" s="40"/>
      <c r="Y93" s="40">
        <v>1</v>
      </c>
      <c r="Z93" s="40"/>
      <c r="AA93" s="40"/>
      <c r="AB93" s="40"/>
      <c r="AC93" s="40"/>
      <c r="AD93" s="40"/>
      <c r="AE93" s="40"/>
      <c r="AF93" s="40"/>
      <c r="AG93" s="40">
        <v>2</v>
      </c>
      <c r="AH93" s="40">
        <v>4</v>
      </c>
      <c r="AI93" s="40">
        <v>0</v>
      </c>
      <c r="AJ93" s="97"/>
      <c r="AK93" s="96">
        <f>SUM(F93:AI93)</f>
        <v>38</v>
      </c>
      <c r="AM93" s="98"/>
      <c r="DD93" s="219"/>
      <c r="DE93" s="203"/>
      <c r="DF93" s="203"/>
      <c r="DG93" s="203"/>
      <c r="DH93" s="203"/>
      <c r="DI93" s="203"/>
      <c r="DJ93" s="203"/>
      <c r="DK93" s="203"/>
      <c r="DL93" s="203"/>
      <c r="DM93" s="203"/>
      <c r="EA93" s="203"/>
      <c r="EB93" s="203"/>
      <c r="FH93" s="203"/>
      <c r="GP93" s="7"/>
      <c r="GQ93" s="203"/>
      <c r="GR93" s="203"/>
      <c r="GS93" s="203"/>
      <c r="GT93" s="203"/>
      <c r="IW93" s="203"/>
      <c r="MR93" s="203"/>
      <c r="MS93" s="203"/>
      <c r="MT93" s="203"/>
      <c r="MU93" s="203"/>
      <c r="RY93" s="203"/>
      <c r="RZ93" s="203"/>
      <c r="SB93" s="203"/>
      <c r="SP93" s="206"/>
      <c r="ST93" s="203"/>
      <c r="UW93" s="206"/>
    </row>
    <row r="94" spans="2:569" hidden="1">
      <c r="B94" s="37"/>
      <c r="C94" s="16" t="s">
        <v>78</v>
      </c>
      <c r="D94" s="35"/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83"/>
      <c r="AD94" s="36"/>
      <c r="AE94" s="36"/>
      <c r="AF94" s="36"/>
      <c r="AG94" s="36"/>
      <c r="AH94" s="36"/>
      <c r="AI94" s="36"/>
      <c r="AJ94" s="87"/>
      <c r="AK94" s="180" t="s">
        <v>77</v>
      </c>
      <c r="DD94" s="219"/>
      <c r="DE94" s="219"/>
      <c r="DF94" s="219"/>
      <c r="DG94" s="219"/>
      <c r="DH94" s="219"/>
      <c r="DI94" s="219"/>
      <c r="DJ94" s="219"/>
      <c r="DK94" s="219"/>
      <c r="DL94" s="219"/>
      <c r="DM94" s="219"/>
    </row>
    <row r="95" spans="2:569" s="1" customFormat="1" hidden="1">
      <c r="B95" s="50"/>
      <c r="C95" s="194" t="s">
        <v>67</v>
      </c>
      <c r="D95" s="54"/>
      <c r="E95" s="5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97"/>
      <c r="AK95" s="102" t="s">
        <v>67</v>
      </c>
      <c r="AM95" s="98"/>
      <c r="DD95" s="203"/>
      <c r="DE95" s="203"/>
      <c r="DF95" s="203"/>
      <c r="DG95" s="203"/>
      <c r="DH95" s="203"/>
      <c r="DI95" s="203"/>
      <c r="DJ95" s="203"/>
      <c r="DK95" s="203"/>
      <c r="DL95" s="203"/>
      <c r="DM95" s="203"/>
      <c r="EA95" s="203"/>
      <c r="EB95" s="203"/>
      <c r="FH95" s="203"/>
      <c r="GP95" s="7"/>
      <c r="GQ95" s="203"/>
      <c r="GR95" s="203"/>
      <c r="GS95" s="203"/>
      <c r="GT95" s="203"/>
      <c r="IW95" s="203"/>
      <c r="MR95" s="203"/>
      <c r="MS95" s="203"/>
      <c r="MT95" s="203"/>
      <c r="MU95" s="203"/>
      <c r="RY95" s="203"/>
      <c r="RZ95" s="203"/>
      <c r="SB95" s="203"/>
      <c r="SP95" s="206"/>
      <c r="ST95" s="203"/>
      <c r="UW95" s="206"/>
    </row>
    <row r="96" spans="2:569" s="1" customFormat="1" ht="13.8" hidden="1">
      <c r="B96" s="50"/>
      <c r="C96" s="176" t="s">
        <v>68</v>
      </c>
      <c r="D96" s="49">
        <v>0.3</v>
      </c>
      <c r="E96" s="183" t="s">
        <v>12</v>
      </c>
      <c r="F96" s="64" t="e">
        <f t="shared" ref="F96:AH97" si="97">F89/F80*100</f>
        <v>#DIV/0!</v>
      </c>
      <c r="G96" s="64" t="e">
        <f t="shared" si="97"/>
        <v>#DIV/0!</v>
      </c>
      <c r="H96" s="64" t="e">
        <f>H89/H80*100</f>
        <v>#DIV/0!</v>
      </c>
      <c r="I96" s="64">
        <f t="shared" si="97"/>
        <v>0.322061191626409</v>
      </c>
      <c r="J96" s="64" t="e">
        <f t="shared" si="97"/>
        <v>#DIV/0!</v>
      </c>
      <c r="K96" s="64">
        <f t="shared" si="97"/>
        <v>7.9239302694136288E-2</v>
      </c>
      <c r="L96" s="64">
        <f t="shared" si="97"/>
        <v>0</v>
      </c>
      <c r="M96" s="64">
        <f t="shared" si="97"/>
        <v>0.6339144215530903</v>
      </c>
      <c r="N96" s="64" t="e">
        <f t="shared" si="97"/>
        <v>#DIV/0!</v>
      </c>
      <c r="O96" s="64" t="e">
        <f t="shared" si="97"/>
        <v>#DIV/0!</v>
      </c>
      <c r="P96" s="64" t="e">
        <f t="shared" si="97"/>
        <v>#DIV/0!</v>
      </c>
      <c r="Q96" s="64" t="e">
        <f t="shared" si="97"/>
        <v>#DIV/0!</v>
      </c>
      <c r="R96" s="64">
        <f t="shared" si="97"/>
        <v>7.9239302694136288E-2</v>
      </c>
      <c r="S96" s="64">
        <f t="shared" si="97"/>
        <v>0</v>
      </c>
      <c r="T96" s="64">
        <f t="shared" si="97"/>
        <v>0</v>
      </c>
      <c r="U96" s="64" t="e">
        <f t="shared" si="97"/>
        <v>#DIV/0!</v>
      </c>
      <c r="V96" s="64" t="e">
        <f t="shared" si="97"/>
        <v>#DIV/0!</v>
      </c>
      <c r="W96" s="64" t="e">
        <f t="shared" si="97"/>
        <v>#DIV/0!</v>
      </c>
      <c r="X96" s="64" t="e">
        <f t="shared" si="97"/>
        <v>#DIV/0!</v>
      </c>
      <c r="Y96" s="64">
        <f t="shared" si="97"/>
        <v>0</v>
      </c>
      <c r="Z96" s="64" t="e">
        <f t="shared" si="97"/>
        <v>#DIV/0!</v>
      </c>
      <c r="AA96" s="64" t="e">
        <f t="shared" si="97"/>
        <v>#DIV/0!</v>
      </c>
      <c r="AB96" s="64" t="e">
        <f t="shared" si="97"/>
        <v>#DIV/0!</v>
      </c>
      <c r="AC96" s="64" t="e">
        <f t="shared" si="97"/>
        <v>#DIV/0!</v>
      </c>
      <c r="AD96" s="64" t="e">
        <f t="shared" si="97"/>
        <v>#DIV/0!</v>
      </c>
      <c r="AE96" s="64" t="e">
        <f t="shared" ref="AE96:AG96" si="98">AE89/AE80*100</f>
        <v>#DIV/0!</v>
      </c>
      <c r="AF96" s="64" t="e">
        <f t="shared" si="98"/>
        <v>#DIV/0!</v>
      </c>
      <c r="AG96" s="64">
        <f t="shared" si="98"/>
        <v>3.9619651347068144E-2</v>
      </c>
      <c r="AH96" s="64">
        <f t="shared" si="97"/>
        <v>0.27733755942947702</v>
      </c>
      <c r="AI96" s="64">
        <f t="shared" ref="AI96" si="99">AI89/AI80*100</f>
        <v>0.39432176656151419</v>
      </c>
      <c r="AJ96" s="97"/>
      <c r="AK96" s="99">
        <f>AK89/AK80*100</f>
        <v>0.19819921852879552</v>
      </c>
      <c r="AM96" s="98"/>
      <c r="DD96" s="203"/>
      <c r="DE96" s="203"/>
      <c r="DF96" s="203"/>
      <c r="DG96" s="203"/>
      <c r="DH96" s="203"/>
      <c r="DI96" s="203"/>
      <c r="DJ96" s="203"/>
      <c r="DK96" s="203"/>
      <c r="DL96" s="203"/>
      <c r="DM96" s="203"/>
      <c r="EA96" s="203"/>
      <c r="EB96" s="203"/>
      <c r="FH96" s="203"/>
      <c r="GP96" s="7"/>
      <c r="GQ96" s="203"/>
      <c r="GR96" s="203"/>
      <c r="GS96" s="203"/>
      <c r="GT96" s="203"/>
      <c r="IW96" s="203"/>
      <c r="MR96" s="203"/>
      <c r="MS96" s="203"/>
      <c r="MT96" s="203"/>
      <c r="MU96" s="203"/>
      <c r="RY96" s="203"/>
      <c r="RZ96" s="203"/>
      <c r="SB96" s="203"/>
      <c r="SP96" s="206"/>
      <c r="ST96" s="203"/>
      <c r="UW96" s="206"/>
    </row>
    <row r="97" spans="2:569 15038:15430" s="1" customFormat="1" ht="13.8" hidden="1">
      <c r="B97" s="50"/>
      <c r="C97" s="176" t="s">
        <v>70</v>
      </c>
      <c r="D97" s="49">
        <v>0.3</v>
      </c>
      <c r="E97" s="183" t="s">
        <v>12</v>
      </c>
      <c r="F97" s="64" t="e">
        <f t="shared" si="97"/>
        <v>#DIV/0!</v>
      </c>
      <c r="G97" s="64" t="e">
        <f t="shared" si="97"/>
        <v>#DIV/0!</v>
      </c>
      <c r="H97" s="64" t="e">
        <f>H90/H81*100</f>
        <v>#DIV/0!</v>
      </c>
      <c r="I97" s="64" t="e">
        <f t="shared" si="97"/>
        <v>#DIV/0!</v>
      </c>
      <c r="J97" s="64" t="e">
        <f t="shared" si="97"/>
        <v>#DIV/0!</v>
      </c>
      <c r="K97" s="64">
        <f t="shared" si="97"/>
        <v>0.28629856850715746</v>
      </c>
      <c r="L97" s="64">
        <f t="shared" si="97"/>
        <v>0.40899795501022501</v>
      </c>
      <c r="M97" s="64" t="e">
        <f t="shared" si="97"/>
        <v>#DIV/0!</v>
      </c>
      <c r="N97" s="64" t="e">
        <f t="shared" si="97"/>
        <v>#DIV/0!</v>
      </c>
      <c r="O97" s="64">
        <f t="shared" si="97"/>
        <v>4.0866366979975477E-2</v>
      </c>
      <c r="P97" s="64">
        <f t="shared" si="97"/>
        <v>0.12264922322158626</v>
      </c>
      <c r="Q97" s="64" t="e">
        <f t="shared" si="97"/>
        <v>#DIV/0!</v>
      </c>
      <c r="R97" s="64">
        <f t="shared" si="97"/>
        <v>0.20458265139116205</v>
      </c>
      <c r="S97" s="64">
        <f t="shared" si="97"/>
        <v>0.40899795501022501</v>
      </c>
      <c r="T97" s="64">
        <f t="shared" si="97"/>
        <v>4.0733197556008148E-2</v>
      </c>
      <c r="U97" s="64" t="e">
        <f t="shared" si="97"/>
        <v>#DIV/0!</v>
      </c>
      <c r="V97" s="64" t="e">
        <f t="shared" si="97"/>
        <v>#DIV/0!</v>
      </c>
      <c r="W97" s="64" t="e">
        <f t="shared" si="97"/>
        <v>#DIV/0!</v>
      </c>
      <c r="X97" s="64" t="e">
        <f t="shared" si="97"/>
        <v>#DIV/0!</v>
      </c>
      <c r="Y97" s="64">
        <f t="shared" si="97"/>
        <v>0</v>
      </c>
      <c r="Z97" s="64" t="e">
        <f t="shared" si="97"/>
        <v>#DIV/0!</v>
      </c>
      <c r="AA97" s="64" t="e">
        <f t="shared" si="97"/>
        <v>#DIV/0!</v>
      </c>
      <c r="AB97" s="64" t="e">
        <f t="shared" si="97"/>
        <v>#DIV/0!</v>
      </c>
      <c r="AC97" s="64" t="e">
        <f t="shared" si="97"/>
        <v>#DIV/0!</v>
      </c>
      <c r="AD97" s="64" t="e">
        <f t="shared" si="97"/>
        <v>#DIV/0!</v>
      </c>
      <c r="AE97" s="64" t="e">
        <f t="shared" ref="AE97:AG97" si="100">AE90/AE81*100</f>
        <v>#DIV/0!</v>
      </c>
      <c r="AF97" s="64" t="e">
        <f t="shared" si="100"/>
        <v>#DIV/0!</v>
      </c>
      <c r="AG97" s="64">
        <f t="shared" si="100"/>
        <v>0.10229132569558103</v>
      </c>
      <c r="AH97" s="64">
        <f t="shared" si="97"/>
        <v>0.20454080589077522</v>
      </c>
      <c r="AI97" s="64">
        <f t="shared" ref="AI97" si="101">AI90/AI81*100</f>
        <v>0.12274959083469722</v>
      </c>
      <c r="AJ97" s="97"/>
      <c r="AK97" s="99">
        <f>AK90/AK81*100</f>
        <v>0.1729994967287368</v>
      </c>
      <c r="AM97" s="98"/>
      <c r="DD97" s="203"/>
      <c r="DE97" s="203"/>
      <c r="DF97" s="203"/>
      <c r="DG97" s="203"/>
      <c r="DH97" s="203"/>
      <c r="DI97" s="203"/>
      <c r="DJ97" s="203"/>
      <c r="DK97" s="203"/>
      <c r="DL97" s="203"/>
      <c r="DM97" s="203"/>
      <c r="EA97" s="203"/>
      <c r="EB97" s="203"/>
      <c r="FH97" s="203"/>
      <c r="GP97" s="7"/>
      <c r="GQ97" s="203"/>
      <c r="GR97" s="203"/>
      <c r="GS97" s="203"/>
      <c r="GT97" s="203"/>
      <c r="IW97" s="203"/>
      <c r="MR97" s="203"/>
      <c r="MS97" s="203"/>
      <c r="MT97" s="203"/>
      <c r="MU97" s="203"/>
      <c r="RY97" s="203"/>
      <c r="RZ97" s="203"/>
      <c r="SB97" s="203"/>
      <c r="SP97" s="206"/>
      <c r="ST97" s="203"/>
      <c r="UW97" s="206"/>
    </row>
    <row r="98" spans="2:569 15038:15430" s="1" customFormat="1" hidden="1">
      <c r="B98" s="50"/>
      <c r="C98" s="194" t="s">
        <v>71</v>
      </c>
      <c r="D98" s="49"/>
      <c r="E98" s="50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97"/>
      <c r="AK98" s="102" t="s">
        <v>71</v>
      </c>
      <c r="AM98" s="98"/>
      <c r="DD98" s="203"/>
      <c r="DE98" s="203"/>
      <c r="DF98" s="203"/>
      <c r="DG98" s="203"/>
      <c r="DH98" s="203"/>
      <c r="DI98" s="203"/>
      <c r="DJ98" s="203"/>
      <c r="DK98" s="203"/>
      <c r="DL98" s="203"/>
      <c r="DM98" s="203"/>
      <c r="EA98" s="203"/>
      <c r="EB98" s="203"/>
      <c r="FH98" s="203"/>
      <c r="GP98" s="7"/>
      <c r="GQ98" s="203"/>
      <c r="GR98" s="203"/>
      <c r="GS98" s="203"/>
      <c r="GT98" s="203"/>
      <c r="IW98" s="203"/>
      <c r="MR98" s="203"/>
      <c r="MS98" s="203"/>
      <c r="MT98" s="203"/>
      <c r="MU98" s="203"/>
      <c r="RY98" s="203"/>
      <c r="RZ98" s="203"/>
      <c r="SB98" s="203"/>
      <c r="SP98" s="206"/>
      <c r="ST98" s="203"/>
      <c r="UW98" s="206"/>
    </row>
    <row r="99" spans="2:569 15038:15430" s="1" customFormat="1" ht="13.8" hidden="1">
      <c r="B99" s="50"/>
      <c r="C99" s="176" t="s">
        <v>68</v>
      </c>
      <c r="D99" s="49">
        <v>0.5</v>
      </c>
      <c r="E99" s="183" t="s">
        <v>12</v>
      </c>
      <c r="F99" s="64" t="e">
        <f t="shared" ref="F99:AH100" si="102">F92/F83*100</f>
        <v>#DIV/0!</v>
      </c>
      <c r="G99" s="64" t="e">
        <f t="shared" si="102"/>
        <v>#DIV/0!</v>
      </c>
      <c r="H99" s="64" t="e">
        <f t="shared" si="102"/>
        <v>#DIV/0!</v>
      </c>
      <c r="I99" s="64">
        <f t="shared" si="102"/>
        <v>0.11406333870101987</v>
      </c>
      <c r="J99" s="64" t="e">
        <f t="shared" si="102"/>
        <v>#DIV/0!</v>
      </c>
      <c r="K99" s="64">
        <f t="shared" si="102"/>
        <v>3.3016376122556791E-2</v>
      </c>
      <c r="L99" s="64">
        <f t="shared" si="102"/>
        <v>9.2445853143159007E-2</v>
      </c>
      <c r="M99" s="64">
        <f t="shared" si="102"/>
        <v>5.9429477020602223E-2</v>
      </c>
      <c r="N99" s="64" t="e">
        <f t="shared" si="102"/>
        <v>#DIV/0!</v>
      </c>
      <c r="O99" s="64" t="e">
        <f t="shared" si="102"/>
        <v>#DIV/0!</v>
      </c>
      <c r="P99" s="64" t="e">
        <f t="shared" si="102"/>
        <v>#DIV/0!</v>
      </c>
      <c r="Q99" s="64" t="e">
        <f t="shared" si="102"/>
        <v>#DIV/0!</v>
      </c>
      <c r="R99" s="64">
        <f t="shared" si="102"/>
        <v>0.14527205493924988</v>
      </c>
      <c r="S99" s="64">
        <f t="shared" si="102"/>
        <v>0</v>
      </c>
      <c r="T99" s="64">
        <f t="shared" si="102"/>
        <v>0</v>
      </c>
      <c r="U99" s="64" t="e">
        <f t="shared" si="102"/>
        <v>#DIV/0!</v>
      </c>
      <c r="V99" s="64" t="e">
        <f t="shared" si="102"/>
        <v>#DIV/0!</v>
      </c>
      <c r="W99" s="64" t="e">
        <f t="shared" si="102"/>
        <v>#DIV/0!</v>
      </c>
      <c r="X99" s="64" t="e">
        <f t="shared" si="102"/>
        <v>#DIV/0!</v>
      </c>
      <c r="Y99" s="64">
        <f t="shared" si="102"/>
        <v>6.6032752245113579E-3</v>
      </c>
      <c r="Z99" s="64" t="e">
        <f t="shared" si="102"/>
        <v>#DIV/0!</v>
      </c>
      <c r="AA99" s="64" t="e">
        <f t="shared" si="102"/>
        <v>#DIV/0!</v>
      </c>
      <c r="AB99" s="64" t="e">
        <f t="shared" si="102"/>
        <v>#DIV/0!</v>
      </c>
      <c r="AC99" s="64" t="e">
        <f t="shared" si="102"/>
        <v>#DIV/0!</v>
      </c>
      <c r="AD99" s="64" t="e">
        <f t="shared" si="102"/>
        <v>#DIV/0!</v>
      </c>
      <c r="AE99" s="64" t="e">
        <f t="shared" ref="AE99:AG99" si="103">AE92/AE83*100</f>
        <v>#DIV/0!</v>
      </c>
      <c r="AF99" s="64" t="e">
        <f t="shared" si="103"/>
        <v>#DIV/0!</v>
      </c>
      <c r="AG99" s="64">
        <f t="shared" si="103"/>
        <v>0</v>
      </c>
      <c r="AH99" s="64">
        <f t="shared" si="102"/>
        <v>1.6508188061278396E-2</v>
      </c>
      <c r="AI99" s="64">
        <f t="shared" ref="AI99" si="104">AI92/AI83*100</f>
        <v>0</v>
      </c>
      <c r="AJ99" s="97"/>
      <c r="AK99" s="99">
        <f>AK92/AK83*100</f>
        <v>3.8696037903241026E-2</v>
      </c>
      <c r="AM99" s="98"/>
      <c r="DD99" s="203"/>
      <c r="DE99" s="203"/>
      <c r="DF99" s="203"/>
      <c r="DG99" s="203"/>
      <c r="DH99" s="203"/>
      <c r="DI99" s="203"/>
      <c r="DJ99" s="203"/>
      <c r="DK99" s="203"/>
      <c r="DL99" s="203"/>
      <c r="DM99" s="203"/>
      <c r="EA99" s="203"/>
      <c r="EB99" s="203"/>
      <c r="FH99" s="203"/>
      <c r="GP99" s="7"/>
      <c r="GQ99" s="203"/>
      <c r="GR99" s="203"/>
      <c r="GS99" s="203"/>
      <c r="GT99" s="203"/>
      <c r="IW99" s="203"/>
      <c r="MR99" s="203"/>
      <c r="MS99" s="203"/>
      <c r="MT99" s="203"/>
      <c r="MU99" s="203"/>
      <c r="RY99" s="203"/>
      <c r="RZ99" s="203"/>
      <c r="SB99" s="203"/>
      <c r="SP99" s="206"/>
      <c r="ST99" s="203"/>
      <c r="UW99" s="206"/>
    </row>
    <row r="100" spans="2:569 15038:15430" s="1" customFormat="1" ht="13.8" hidden="1">
      <c r="B100" s="50"/>
      <c r="C100" s="176" t="s">
        <v>70</v>
      </c>
      <c r="D100" s="49">
        <v>0.5</v>
      </c>
      <c r="E100" s="183" t="s">
        <v>12</v>
      </c>
      <c r="F100" s="64" t="e">
        <f t="shared" si="102"/>
        <v>#DIV/0!</v>
      </c>
      <c r="G100" s="64" t="e">
        <f t="shared" si="102"/>
        <v>#DIV/0!</v>
      </c>
      <c r="H100" s="64" t="e">
        <f t="shared" si="102"/>
        <v>#DIV/0!</v>
      </c>
      <c r="I100" s="64" t="e">
        <f t="shared" si="102"/>
        <v>#DIV/0!</v>
      </c>
      <c r="J100" s="64" t="e">
        <f t="shared" si="102"/>
        <v>#DIV/0!</v>
      </c>
      <c r="K100" s="64">
        <f t="shared" si="102"/>
        <v>0.11588275391956375</v>
      </c>
      <c r="L100" s="64">
        <f t="shared" si="102"/>
        <v>6.8166325835037501E-3</v>
      </c>
      <c r="M100" s="64" t="e">
        <f t="shared" si="102"/>
        <v>#DIV/0!</v>
      </c>
      <c r="N100" s="64" t="e">
        <f t="shared" si="102"/>
        <v>#DIV/0!</v>
      </c>
      <c r="O100" s="64">
        <f t="shared" si="102"/>
        <v>0</v>
      </c>
      <c r="P100" s="64">
        <f t="shared" si="102"/>
        <v>2.0441537203597711E-2</v>
      </c>
      <c r="Q100" s="64" t="e">
        <f t="shared" si="102"/>
        <v>#DIV/0!</v>
      </c>
      <c r="R100" s="64">
        <f t="shared" si="102"/>
        <v>2.7277686852154936E-2</v>
      </c>
      <c r="S100" s="64">
        <f t="shared" si="102"/>
        <v>2.7266530334015E-2</v>
      </c>
      <c r="T100" s="64">
        <f t="shared" si="102"/>
        <v>1.3577732518669382E-2</v>
      </c>
      <c r="U100" s="64" t="e">
        <f t="shared" si="102"/>
        <v>#DIV/0!</v>
      </c>
      <c r="V100" s="64" t="e">
        <f t="shared" si="102"/>
        <v>#DIV/0!</v>
      </c>
      <c r="W100" s="64" t="e">
        <f t="shared" si="102"/>
        <v>#DIV/0!</v>
      </c>
      <c r="X100" s="64" t="e">
        <f t="shared" si="102"/>
        <v>#DIV/0!</v>
      </c>
      <c r="Y100" s="64">
        <f t="shared" si="102"/>
        <v>6.8194217130387339E-3</v>
      </c>
      <c r="Z100" s="64" t="e">
        <f t="shared" si="102"/>
        <v>#DIV/0!</v>
      </c>
      <c r="AA100" s="64" t="e">
        <f t="shared" si="102"/>
        <v>#DIV/0!</v>
      </c>
      <c r="AB100" s="64" t="e">
        <f t="shared" si="102"/>
        <v>#DIV/0!</v>
      </c>
      <c r="AC100" s="64" t="e">
        <f t="shared" si="102"/>
        <v>#DIV/0!</v>
      </c>
      <c r="AD100" s="64" t="e">
        <f t="shared" si="102"/>
        <v>#DIV/0!</v>
      </c>
      <c r="AE100" s="64" t="e">
        <f t="shared" ref="AE100:AG100" si="105">AE93/AE84*100</f>
        <v>#DIV/0!</v>
      </c>
      <c r="AF100" s="64" t="e">
        <f t="shared" si="105"/>
        <v>#DIV/0!</v>
      </c>
      <c r="AG100" s="64">
        <f t="shared" si="105"/>
        <v>6.8194217130387339E-3</v>
      </c>
      <c r="AH100" s="64">
        <f t="shared" si="102"/>
        <v>1.3636053726051681E-2</v>
      </c>
      <c r="AI100" s="64">
        <f t="shared" ref="AI100" si="106">AI93/AI84*100</f>
        <v>0</v>
      </c>
      <c r="AJ100" s="97"/>
      <c r="AK100" s="99">
        <f>AK93/AK84*100</f>
        <v>1.9921154168763631E-2</v>
      </c>
      <c r="AM100" s="98"/>
      <c r="DD100" s="203"/>
      <c r="DE100" s="203"/>
      <c r="DF100" s="203"/>
      <c r="DG100" s="203"/>
      <c r="DH100" s="203"/>
      <c r="DI100" s="203"/>
      <c r="DJ100" s="203"/>
      <c r="DK100" s="203"/>
      <c r="DL100" s="203"/>
      <c r="DM100" s="203"/>
      <c r="EA100" s="203"/>
      <c r="EB100" s="203"/>
      <c r="FH100" s="203"/>
      <c r="GP100" s="7"/>
      <c r="GQ100" s="203"/>
      <c r="GR100" s="203"/>
      <c r="GS100" s="203"/>
      <c r="GT100" s="203"/>
      <c r="IW100" s="203"/>
      <c r="MR100" s="203"/>
      <c r="MS100" s="203"/>
      <c r="MT100" s="203"/>
      <c r="MU100" s="203"/>
      <c r="RY100" s="203"/>
      <c r="RZ100" s="203"/>
      <c r="SB100" s="203"/>
      <c r="SP100" s="206"/>
      <c r="ST100" s="203"/>
      <c r="UW100" s="206"/>
    </row>
    <row r="101" spans="2:569 15038:15430" s="1" customFormat="1">
      <c r="B101" s="34">
        <v>6</v>
      </c>
      <c r="C101" s="16" t="s">
        <v>79</v>
      </c>
      <c r="D101" s="35"/>
      <c r="E101" s="35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83"/>
      <c r="AD101" s="36"/>
      <c r="AE101" s="36"/>
      <c r="AF101" s="36"/>
      <c r="AG101" s="36"/>
      <c r="AH101" s="36"/>
      <c r="AI101" s="36"/>
      <c r="AJ101" s="87"/>
      <c r="AK101" s="180" t="s">
        <v>62</v>
      </c>
      <c r="AM101" s="10"/>
      <c r="DD101" s="219"/>
      <c r="DE101" s="219"/>
      <c r="DF101" s="203"/>
      <c r="DG101" s="203"/>
      <c r="DH101" s="219"/>
      <c r="DI101" s="203"/>
      <c r="DJ101" s="219"/>
      <c r="DK101" s="219"/>
      <c r="DL101" s="219"/>
      <c r="DM101" s="219"/>
      <c r="EA101" s="219"/>
      <c r="EB101" s="219"/>
      <c r="FH101" s="219"/>
      <c r="GP101" s="7"/>
      <c r="GQ101" s="219"/>
      <c r="GR101" s="219"/>
      <c r="GS101" s="219"/>
      <c r="GT101" s="219"/>
      <c r="IW101" s="219"/>
      <c r="MR101" s="219"/>
      <c r="MS101" s="219"/>
      <c r="MT101" s="219"/>
      <c r="MU101" s="219"/>
      <c r="RY101" s="219"/>
      <c r="RZ101" s="219"/>
      <c r="SB101" s="219"/>
      <c r="SP101" s="240"/>
      <c r="ST101" s="219"/>
      <c r="UW101" s="240"/>
      <c r="VFJ101"/>
      <c r="VFK101"/>
      <c r="VFL101"/>
      <c r="VFM101"/>
      <c r="VFN101"/>
      <c r="VFO101"/>
      <c r="VFP101"/>
      <c r="VFQ101"/>
      <c r="VFR101"/>
      <c r="VFS101"/>
      <c r="VFT101"/>
      <c r="VFU101"/>
      <c r="VFV101"/>
      <c r="VFW101"/>
      <c r="VFX101"/>
      <c r="VFY101"/>
      <c r="VFZ101"/>
      <c r="VGA101"/>
      <c r="VGB101"/>
      <c r="VGC101"/>
      <c r="VGD101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</row>
    <row r="102" spans="2:569 15038:15430" s="5" customFormat="1" ht="13.8">
      <c r="B102" s="37"/>
      <c r="C102" s="192" t="s">
        <v>64</v>
      </c>
      <c r="D102" s="123"/>
      <c r="E102" s="193" t="s">
        <v>9</v>
      </c>
      <c r="F102" s="282">
        <v>0</v>
      </c>
      <c r="G102" s="284">
        <v>40261.675000000003</v>
      </c>
      <c r="H102" s="304">
        <v>40261.645000000004</v>
      </c>
      <c r="I102" s="304">
        <v>13500.79</v>
      </c>
      <c r="J102" s="282">
        <v>0</v>
      </c>
      <c r="K102" s="282">
        <v>0</v>
      </c>
      <c r="L102" s="282">
        <v>0</v>
      </c>
      <c r="M102" s="282">
        <v>0</v>
      </c>
      <c r="N102" s="284">
        <v>27413.355</v>
      </c>
      <c r="O102" s="282">
        <v>0</v>
      </c>
      <c r="P102" s="282">
        <v>0</v>
      </c>
      <c r="Q102" s="282">
        <v>0</v>
      </c>
      <c r="R102" s="282">
        <v>0</v>
      </c>
      <c r="S102" s="282">
        <v>0</v>
      </c>
      <c r="T102" s="282">
        <v>0</v>
      </c>
      <c r="U102" s="282">
        <v>0</v>
      </c>
      <c r="V102" s="282">
        <v>0</v>
      </c>
      <c r="W102" s="282">
        <v>27000.674999999999</v>
      </c>
      <c r="X102" s="282">
        <v>0</v>
      </c>
      <c r="Y102" s="282">
        <v>0</v>
      </c>
      <c r="Z102" s="282">
        <v>0</v>
      </c>
      <c r="AA102" s="282">
        <v>0</v>
      </c>
      <c r="AB102" s="282">
        <v>0</v>
      </c>
      <c r="AC102" s="282">
        <v>0</v>
      </c>
      <c r="AD102" s="282">
        <v>0</v>
      </c>
      <c r="AE102" s="282">
        <v>0</v>
      </c>
      <c r="AF102" s="282">
        <v>0</v>
      </c>
      <c r="AG102" s="284">
        <v>651.6</v>
      </c>
      <c r="AH102" s="282">
        <v>0</v>
      </c>
      <c r="AI102" s="282">
        <v>0</v>
      </c>
      <c r="AJ102" s="137"/>
      <c r="AK102" s="135">
        <f>SUM(AK103:AK104)</f>
        <v>149089.74000000002</v>
      </c>
      <c r="AM102" s="136"/>
      <c r="DD102" s="238"/>
      <c r="DE102" s="213"/>
      <c r="DF102" s="213"/>
      <c r="DG102" s="213"/>
      <c r="DH102" s="238"/>
      <c r="DI102" s="213"/>
      <c r="DJ102" s="213"/>
      <c r="DK102" s="213"/>
      <c r="DL102" s="213"/>
      <c r="DM102" s="213"/>
      <c r="EA102" s="213"/>
      <c r="EB102" s="213"/>
      <c r="FH102" s="213"/>
      <c r="GP102" s="247"/>
      <c r="GQ102" s="213"/>
      <c r="GR102" s="213"/>
      <c r="GS102" s="213"/>
      <c r="GT102" s="213"/>
      <c r="IW102" s="213"/>
      <c r="MR102" s="213"/>
      <c r="MS102" s="213"/>
      <c r="MT102" s="213"/>
      <c r="MU102" s="213"/>
      <c r="RY102" s="213"/>
      <c r="RZ102" s="213"/>
      <c r="SB102" s="213"/>
      <c r="SP102" s="296"/>
      <c r="ST102" s="213"/>
      <c r="UW102" s="296"/>
    </row>
    <row r="103" spans="2:569 15038:15430" s="1" customFormat="1">
      <c r="B103" s="50"/>
      <c r="C103" s="194" t="s">
        <v>65</v>
      </c>
      <c r="D103" s="54"/>
      <c r="E103" s="183" t="s">
        <v>9</v>
      </c>
      <c r="F103" s="64">
        <f t="shared" ref="F103:AH103" si="107">SUM(F106:F107)*10.86</f>
        <v>0</v>
      </c>
      <c r="G103" s="64">
        <f t="shared" si="107"/>
        <v>40258.019999999997</v>
      </c>
      <c r="H103" s="64">
        <f t="shared" si="107"/>
        <v>40258.019999999997</v>
      </c>
      <c r="I103" s="64">
        <f t="shared" si="107"/>
        <v>13498.98</v>
      </c>
      <c r="J103" s="64">
        <f t="shared" si="107"/>
        <v>0</v>
      </c>
      <c r="K103" s="64">
        <f t="shared" si="107"/>
        <v>0</v>
      </c>
      <c r="L103" s="64">
        <f t="shared" si="107"/>
        <v>0</v>
      </c>
      <c r="M103" s="64">
        <f t="shared" si="107"/>
        <v>0</v>
      </c>
      <c r="N103" s="64">
        <f t="shared" si="107"/>
        <v>27410.639999999999</v>
      </c>
      <c r="O103" s="64">
        <f t="shared" si="107"/>
        <v>0</v>
      </c>
      <c r="P103" s="64">
        <f t="shared" si="107"/>
        <v>0</v>
      </c>
      <c r="Q103" s="64">
        <f>SUM(Q106:Q107)*10.86</f>
        <v>0</v>
      </c>
      <c r="R103" s="282">
        <v>0</v>
      </c>
      <c r="S103" s="282">
        <v>0</v>
      </c>
      <c r="T103" s="64">
        <f t="shared" si="107"/>
        <v>0</v>
      </c>
      <c r="U103" s="64">
        <f t="shared" si="107"/>
        <v>0</v>
      </c>
      <c r="V103" s="64">
        <f t="shared" si="107"/>
        <v>0</v>
      </c>
      <c r="W103" s="64">
        <f t="shared" si="107"/>
        <v>26997.96</v>
      </c>
      <c r="X103" s="64">
        <f t="shared" si="107"/>
        <v>0</v>
      </c>
      <c r="Y103" s="64">
        <f t="shared" si="107"/>
        <v>0</v>
      </c>
      <c r="Z103" s="64">
        <f t="shared" si="107"/>
        <v>0</v>
      </c>
      <c r="AA103" s="64">
        <f t="shared" si="107"/>
        <v>0</v>
      </c>
      <c r="AB103" s="64">
        <f t="shared" si="107"/>
        <v>0</v>
      </c>
      <c r="AC103" s="64">
        <f t="shared" si="107"/>
        <v>0</v>
      </c>
      <c r="AD103" s="64">
        <f t="shared" si="107"/>
        <v>0</v>
      </c>
      <c r="AE103" s="64">
        <f t="shared" ref="AE103:AG103" si="108">SUM(AE106:AE107)*10.86</f>
        <v>0</v>
      </c>
      <c r="AF103" s="64">
        <f t="shared" si="108"/>
        <v>0</v>
      </c>
      <c r="AG103" s="64">
        <f t="shared" si="108"/>
        <v>651.59999999999991</v>
      </c>
      <c r="AH103" s="64">
        <f t="shared" si="107"/>
        <v>0</v>
      </c>
      <c r="AI103" s="64">
        <f t="shared" ref="AI103" si="109">SUM(AI106:AI107)*10.86</f>
        <v>0</v>
      </c>
      <c r="AJ103" s="97"/>
      <c r="AK103" s="99">
        <f>SUM(F103:AI103)</f>
        <v>149075.22</v>
      </c>
      <c r="AM103" s="98"/>
      <c r="AN103" s="291">
        <f>Q103/1000</f>
        <v>0</v>
      </c>
      <c r="DD103" s="234"/>
      <c r="DE103" s="213"/>
      <c r="DF103" s="213"/>
      <c r="DG103" s="213"/>
      <c r="DH103" s="213"/>
      <c r="DI103" s="213"/>
      <c r="DJ103" s="203"/>
      <c r="DK103" s="203"/>
      <c r="DL103" s="203"/>
      <c r="DM103" s="203"/>
      <c r="EA103" s="203"/>
      <c r="EB103" s="203"/>
      <c r="FH103" s="203"/>
      <c r="GP103" s="7"/>
      <c r="GQ103" s="203"/>
      <c r="GR103" s="203"/>
      <c r="GS103" s="203"/>
      <c r="GT103" s="203"/>
      <c r="IW103" s="203"/>
      <c r="MR103" s="203"/>
      <c r="MS103" s="203"/>
      <c r="MT103" s="203"/>
      <c r="MU103" s="203"/>
      <c r="RY103" s="203"/>
      <c r="RZ103" s="203"/>
      <c r="SB103" s="203"/>
      <c r="SP103" s="206"/>
      <c r="ST103" s="203"/>
      <c r="UW103" s="206"/>
    </row>
    <row r="104" spans="2:569 15038:15430" s="1" customFormat="1">
      <c r="B104" s="50"/>
      <c r="C104" s="194" t="s">
        <v>66</v>
      </c>
      <c r="D104" s="54"/>
      <c r="E104" s="183" t="s">
        <v>9</v>
      </c>
      <c r="F104" s="64">
        <f t="shared" ref="F104:AH104" si="110">F102-F103</f>
        <v>0</v>
      </c>
      <c r="G104" s="64">
        <f t="shared" si="110"/>
        <v>3.6550000000061118</v>
      </c>
      <c r="H104" s="64">
        <f t="shared" si="110"/>
        <v>3.625000000007276</v>
      </c>
      <c r="I104" s="64">
        <f t="shared" si="110"/>
        <v>1.8100000000013097</v>
      </c>
      <c r="J104" s="64">
        <f t="shared" si="110"/>
        <v>0</v>
      </c>
      <c r="K104" s="64">
        <f t="shared" si="110"/>
        <v>0</v>
      </c>
      <c r="L104" s="64">
        <f t="shared" si="110"/>
        <v>0</v>
      </c>
      <c r="M104" s="64">
        <f t="shared" si="110"/>
        <v>0</v>
      </c>
      <c r="N104" s="64">
        <f t="shared" si="110"/>
        <v>2.7150000000001455</v>
      </c>
      <c r="O104" s="64">
        <f t="shared" si="110"/>
        <v>0</v>
      </c>
      <c r="P104" s="64">
        <f t="shared" si="110"/>
        <v>0</v>
      </c>
      <c r="Q104" s="64">
        <f t="shared" si="110"/>
        <v>0</v>
      </c>
      <c r="R104" s="64">
        <f t="shared" si="110"/>
        <v>0</v>
      </c>
      <c r="S104" s="64">
        <f t="shared" si="110"/>
        <v>0</v>
      </c>
      <c r="T104" s="64">
        <f t="shared" si="110"/>
        <v>0</v>
      </c>
      <c r="U104" s="64">
        <f t="shared" si="110"/>
        <v>0</v>
      </c>
      <c r="V104" s="64">
        <f t="shared" si="110"/>
        <v>0</v>
      </c>
      <c r="W104" s="64">
        <f t="shared" si="110"/>
        <v>2.7150000000001455</v>
      </c>
      <c r="X104" s="64">
        <f t="shared" si="110"/>
        <v>0</v>
      </c>
      <c r="Y104" s="64">
        <f t="shared" si="110"/>
        <v>0</v>
      </c>
      <c r="Z104" s="64">
        <f t="shared" si="110"/>
        <v>0</v>
      </c>
      <c r="AA104" s="64">
        <f t="shared" si="110"/>
        <v>0</v>
      </c>
      <c r="AB104" s="64">
        <f t="shared" si="110"/>
        <v>0</v>
      </c>
      <c r="AC104" s="64">
        <f t="shared" si="110"/>
        <v>0</v>
      </c>
      <c r="AD104" s="64">
        <f t="shared" si="110"/>
        <v>0</v>
      </c>
      <c r="AE104" s="64">
        <f t="shared" ref="AE104:AG104" si="111">AE102-AE103</f>
        <v>0</v>
      </c>
      <c r="AF104" s="64">
        <f t="shared" si="111"/>
        <v>0</v>
      </c>
      <c r="AG104" s="64">
        <f t="shared" si="111"/>
        <v>0</v>
      </c>
      <c r="AH104" s="64">
        <f t="shared" si="110"/>
        <v>0</v>
      </c>
      <c r="AI104" s="64">
        <f t="shared" ref="AI104" si="112">AI102-AI103</f>
        <v>0</v>
      </c>
      <c r="AJ104" s="97"/>
      <c r="AK104" s="99">
        <f>SUM(F104:AI104)</f>
        <v>14.520000000014988</v>
      </c>
      <c r="AM104" s="98"/>
      <c r="DD104" s="203"/>
      <c r="DE104" s="203"/>
      <c r="DF104" s="203"/>
      <c r="DG104" s="203"/>
      <c r="DH104" s="203"/>
      <c r="DI104" s="203"/>
      <c r="DJ104" s="203"/>
      <c r="DK104" s="203"/>
      <c r="DL104" s="203"/>
      <c r="DM104" s="203"/>
      <c r="EA104" s="203"/>
      <c r="EB104" s="203"/>
      <c r="FH104" s="203"/>
      <c r="GP104" s="7"/>
      <c r="GQ104" s="203"/>
      <c r="GR104" s="203"/>
      <c r="GS104" s="203"/>
      <c r="GT104" s="203"/>
      <c r="IW104" s="203"/>
      <c r="MR104" s="203"/>
      <c r="MS104" s="203"/>
      <c r="MT104" s="203"/>
      <c r="MU104" s="203"/>
      <c r="RY104" s="203"/>
      <c r="RZ104" s="203"/>
      <c r="SB104" s="203"/>
      <c r="SP104" s="206"/>
      <c r="ST104" s="203"/>
      <c r="UW104" s="206"/>
    </row>
    <row r="105" spans="2:569 15038:15430" s="1" customFormat="1">
      <c r="B105" s="50"/>
      <c r="C105" s="194" t="s">
        <v>67</v>
      </c>
      <c r="D105" s="54"/>
      <c r="E105" s="5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97"/>
      <c r="AK105" s="102" t="s">
        <v>67</v>
      </c>
      <c r="AM105" s="98"/>
      <c r="DD105" s="203"/>
      <c r="DE105" s="203"/>
      <c r="DF105" s="203"/>
      <c r="DG105" s="203"/>
      <c r="DH105" s="203"/>
      <c r="DI105" s="203"/>
      <c r="DJ105" s="203"/>
      <c r="DK105" s="203"/>
      <c r="DL105" s="203"/>
      <c r="DM105" s="203"/>
      <c r="EA105" s="203"/>
      <c r="EB105" s="203"/>
      <c r="FH105" s="203"/>
      <c r="GP105" s="7"/>
      <c r="GQ105" s="203"/>
      <c r="GR105" s="203"/>
      <c r="GS105" s="203"/>
      <c r="GT105" s="203"/>
      <c r="IW105" s="203"/>
      <c r="MR105" s="203"/>
      <c r="MS105" s="203"/>
      <c r="MT105" s="203"/>
      <c r="MU105" s="203"/>
      <c r="RY105" s="203"/>
      <c r="RZ105" s="203"/>
      <c r="SB105" s="203"/>
      <c r="SP105" s="206"/>
      <c r="ST105" s="203"/>
      <c r="UW105" s="206"/>
    </row>
    <row r="106" spans="2:569 15038:15430" s="6" customFormat="1" ht="13.8">
      <c r="B106" s="22"/>
      <c r="C106" s="20" t="s">
        <v>80</v>
      </c>
      <c r="D106" s="21"/>
      <c r="E106" s="196" t="s">
        <v>69</v>
      </c>
      <c r="F106" s="125">
        <v>0</v>
      </c>
      <c r="G106" s="125">
        <v>1262</v>
      </c>
      <c r="H106" s="125">
        <v>1262</v>
      </c>
      <c r="I106" s="125">
        <v>1243</v>
      </c>
      <c r="J106" s="125">
        <v>0</v>
      </c>
      <c r="K106" s="125">
        <v>0</v>
      </c>
      <c r="L106" s="125">
        <v>0</v>
      </c>
      <c r="M106" s="125">
        <v>0</v>
      </c>
      <c r="N106" s="125">
        <v>2524</v>
      </c>
      <c r="O106" s="125">
        <v>0</v>
      </c>
      <c r="P106" s="125">
        <v>0</v>
      </c>
      <c r="Q106" s="282">
        <v>0</v>
      </c>
      <c r="R106" s="282">
        <v>0</v>
      </c>
      <c r="S106" s="282">
        <v>0</v>
      </c>
      <c r="T106" s="282">
        <v>0</v>
      </c>
      <c r="U106" s="282">
        <v>0</v>
      </c>
      <c r="V106" s="282">
        <v>0</v>
      </c>
      <c r="W106" s="125">
        <v>2486</v>
      </c>
      <c r="X106" s="282">
        <v>0</v>
      </c>
      <c r="Y106" s="282">
        <v>0</v>
      </c>
      <c r="Z106" s="282">
        <v>0</v>
      </c>
      <c r="AA106" s="282">
        <v>0</v>
      </c>
      <c r="AB106" s="282">
        <v>0</v>
      </c>
      <c r="AC106" s="282">
        <v>0</v>
      </c>
      <c r="AD106" s="282">
        <v>0</v>
      </c>
      <c r="AE106" s="282">
        <v>0</v>
      </c>
      <c r="AF106" s="282">
        <v>0</v>
      </c>
      <c r="AG106" s="125">
        <v>0</v>
      </c>
      <c r="AH106" s="125">
        <v>0</v>
      </c>
      <c r="AI106" s="125">
        <v>0</v>
      </c>
      <c r="AJ106" s="104"/>
      <c r="AK106" s="105">
        <f>SUM(F106:AI106)</f>
        <v>8777</v>
      </c>
      <c r="AM106" s="138"/>
      <c r="AN106" s="205">
        <f>Q106*10.86</f>
        <v>0</v>
      </c>
      <c r="AO106" s="205">
        <f>AN106/1000</f>
        <v>0</v>
      </c>
      <c r="DD106" s="233"/>
      <c r="DE106" s="233"/>
      <c r="DF106" s="233"/>
      <c r="DG106" s="233"/>
      <c r="DH106" s="233"/>
      <c r="DI106" s="233"/>
      <c r="DJ106" s="233"/>
      <c r="DK106" s="233"/>
      <c r="DL106" s="233"/>
      <c r="DM106" s="233"/>
      <c r="EA106" s="233"/>
      <c r="EB106" s="233"/>
      <c r="FH106" s="233"/>
      <c r="GP106" s="245"/>
      <c r="GQ106" s="233"/>
      <c r="GR106" s="233"/>
      <c r="GS106" s="233"/>
      <c r="GT106" s="233"/>
      <c r="IW106" s="233"/>
      <c r="MR106" s="233"/>
      <c r="MS106" s="233"/>
      <c r="MT106" s="233"/>
      <c r="MU106" s="233"/>
      <c r="RY106" s="233"/>
      <c r="RZ106" s="233"/>
      <c r="SB106" s="233"/>
      <c r="SP106" s="297"/>
      <c r="ST106" s="233"/>
      <c r="UW106" s="297"/>
    </row>
    <row r="107" spans="2:569 15038:15430" s="6" customFormat="1" ht="13.8">
      <c r="B107" s="22"/>
      <c r="C107" s="20" t="s">
        <v>81</v>
      </c>
      <c r="D107" s="21"/>
      <c r="E107" s="196" t="s">
        <v>69</v>
      </c>
      <c r="F107" s="125">
        <v>0</v>
      </c>
      <c r="G107" s="125">
        <v>2445</v>
      </c>
      <c r="H107" s="125">
        <v>2445</v>
      </c>
      <c r="I107" s="125">
        <v>0</v>
      </c>
      <c r="J107" s="125">
        <v>0</v>
      </c>
      <c r="K107" s="125">
        <v>0</v>
      </c>
      <c r="L107" s="125">
        <v>0</v>
      </c>
      <c r="M107" s="125">
        <v>0</v>
      </c>
      <c r="N107" s="125">
        <v>0</v>
      </c>
      <c r="O107" s="125">
        <v>0</v>
      </c>
      <c r="P107" s="125">
        <v>0</v>
      </c>
      <c r="Q107" s="282">
        <v>0</v>
      </c>
      <c r="R107" s="282">
        <v>0</v>
      </c>
      <c r="S107" s="282">
        <v>0</v>
      </c>
      <c r="T107" s="282">
        <v>0</v>
      </c>
      <c r="U107" s="282">
        <v>0</v>
      </c>
      <c r="V107" s="282">
        <v>0</v>
      </c>
      <c r="W107" s="125">
        <v>0</v>
      </c>
      <c r="X107" s="282">
        <v>0</v>
      </c>
      <c r="Y107" s="282">
        <v>0</v>
      </c>
      <c r="Z107" s="282">
        <v>0</v>
      </c>
      <c r="AA107" s="282">
        <v>0</v>
      </c>
      <c r="AB107" s="282">
        <v>0</v>
      </c>
      <c r="AC107" s="282">
        <v>0</v>
      </c>
      <c r="AD107" s="282">
        <v>0</v>
      </c>
      <c r="AE107" s="282">
        <v>0</v>
      </c>
      <c r="AF107" s="282">
        <v>0</v>
      </c>
      <c r="AG107" s="125">
        <v>60</v>
      </c>
      <c r="AH107" s="125">
        <v>0</v>
      </c>
      <c r="AI107" s="125">
        <v>0</v>
      </c>
      <c r="AJ107" s="104"/>
      <c r="AK107" s="105">
        <f>SUM(F107:AI107)</f>
        <v>4950</v>
      </c>
      <c r="AM107" s="138"/>
      <c r="AN107" s="205">
        <f>Q107*10.86</f>
        <v>0</v>
      </c>
      <c r="AO107" s="205">
        <f>AN107/1000</f>
        <v>0</v>
      </c>
      <c r="DD107" s="233"/>
      <c r="DE107" s="233"/>
      <c r="DF107" s="233"/>
      <c r="DG107" s="233"/>
      <c r="DH107" s="233"/>
      <c r="DI107" s="233"/>
      <c r="DJ107" s="233"/>
      <c r="DK107" s="233"/>
      <c r="DL107" s="233"/>
      <c r="DM107" s="233"/>
      <c r="EA107" s="233"/>
      <c r="EB107" s="233"/>
      <c r="FH107" s="233"/>
      <c r="GP107" s="245"/>
      <c r="GQ107" s="233"/>
      <c r="GR107" s="233"/>
      <c r="GS107" s="233"/>
      <c r="GT107" s="233"/>
      <c r="IW107" s="233"/>
      <c r="MR107" s="233"/>
      <c r="MS107" s="233"/>
      <c r="MT107" s="233"/>
      <c r="MU107" s="233"/>
      <c r="RY107" s="233"/>
      <c r="RZ107" s="233"/>
      <c r="SB107" s="233"/>
      <c r="SP107" s="297"/>
      <c r="ST107" s="233"/>
      <c r="UW107" s="297"/>
    </row>
    <row r="108" spans="2:569 15038:15430" s="1" customFormat="1">
      <c r="B108" s="50"/>
      <c r="C108" s="194" t="s">
        <v>71</v>
      </c>
      <c r="D108" s="54"/>
      <c r="E108" s="5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97"/>
      <c r="AK108" s="102" t="s">
        <v>71</v>
      </c>
      <c r="AM108" s="98"/>
      <c r="DD108" s="203"/>
      <c r="DE108" s="203"/>
      <c r="DF108" s="203"/>
      <c r="DG108" s="203"/>
      <c r="DH108" s="203"/>
      <c r="DI108" s="203"/>
      <c r="DJ108" s="203"/>
      <c r="DK108" s="203"/>
      <c r="DL108" s="203"/>
      <c r="DM108" s="203"/>
      <c r="EA108" s="203"/>
      <c r="EB108" s="203"/>
      <c r="FH108" s="203"/>
      <c r="GP108" s="7"/>
      <c r="GQ108" s="203"/>
      <c r="GR108" s="203"/>
      <c r="GS108" s="203"/>
      <c r="GT108" s="203"/>
      <c r="IW108" s="203"/>
      <c r="MR108" s="203"/>
      <c r="MS108" s="203"/>
      <c r="MT108" s="203"/>
      <c r="MU108" s="203"/>
      <c r="RY108" s="203"/>
      <c r="RZ108" s="203"/>
      <c r="SB108" s="203"/>
      <c r="SP108" s="206"/>
      <c r="ST108" s="203"/>
      <c r="UW108" s="206"/>
    </row>
    <row r="109" spans="2:569 15038:15430" s="1" customFormat="1" ht="13.8">
      <c r="B109" s="50"/>
      <c r="C109" s="20" t="s">
        <v>80</v>
      </c>
      <c r="D109" s="54"/>
      <c r="E109" s="183" t="s">
        <v>71</v>
      </c>
      <c r="F109" s="40">
        <f t="shared" ref="F109:AH109" si="113">F106*12</f>
        <v>0</v>
      </c>
      <c r="G109" s="40">
        <f t="shared" si="113"/>
        <v>15144</v>
      </c>
      <c r="H109" s="40">
        <f t="shared" si="113"/>
        <v>15144</v>
      </c>
      <c r="I109" s="40">
        <f t="shared" si="113"/>
        <v>14916</v>
      </c>
      <c r="J109" s="40">
        <f t="shared" si="113"/>
        <v>0</v>
      </c>
      <c r="K109" s="40">
        <f t="shared" si="113"/>
        <v>0</v>
      </c>
      <c r="L109" s="40">
        <f t="shared" si="113"/>
        <v>0</v>
      </c>
      <c r="M109" s="40">
        <f t="shared" si="113"/>
        <v>0</v>
      </c>
      <c r="N109" s="40">
        <f t="shared" si="113"/>
        <v>30288</v>
      </c>
      <c r="O109" s="40">
        <f t="shared" si="113"/>
        <v>0</v>
      </c>
      <c r="P109" s="40">
        <f t="shared" si="113"/>
        <v>0</v>
      </c>
      <c r="Q109" s="40">
        <f t="shared" si="113"/>
        <v>0</v>
      </c>
      <c r="R109" s="40">
        <f t="shared" si="113"/>
        <v>0</v>
      </c>
      <c r="S109" s="40">
        <f t="shared" si="113"/>
        <v>0</v>
      </c>
      <c r="T109" s="40">
        <f t="shared" si="113"/>
        <v>0</v>
      </c>
      <c r="U109" s="40">
        <f t="shared" si="113"/>
        <v>0</v>
      </c>
      <c r="V109" s="40">
        <f t="shared" si="113"/>
        <v>0</v>
      </c>
      <c r="W109" s="40">
        <f t="shared" si="113"/>
        <v>29832</v>
      </c>
      <c r="X109" s="40">
        <f t="shared" si="113"/>
        <v>0</v>
      </c>
      <c r="Y109" s="40">
        <f t="shared" si="113"/>
        <v>0</v>
      </c>
      <c r="Z109" s="40">
        <f t="shared" si="113"/>
        <v>0</v>
      </c>
      <c r="AA109" s="40">
        <f t="shared" si="113"/>
        <v>0</v>
      </c>
      <c r="AB109" s="40">
        <f t="shared" si="113"/>
        <v>0</v>
      </c>
      <c r="AC109" s="40">
        <f t="shared" si="113"/>
        <v>0</v>
      </c>
      <c r="AD109" s="40">
        <f t="shared" si="113"/>
        <v>0</v>
      </c>
      <c r="AE109" s="40">
        <f t="shared" ref="AE109:AG109" si="114">AE106*12</f>
        <v>0</v>
      </c>
      <c r="AF109" s="40">
        <f t="shared" si="114"/>
        <v>0</v>
      </c>
      <c r="AG109" s="40">
        <f t="shared" si="114"/>
        <v>0</v>
      </c>
      <c r="AH109" s="40">
        <f t="shared" si="113"/>
        <v>0</v>
      </c>
      <c r="AI109" s="40">
        <f t="shared" ref="AI109" si="115">AI106*12</f>
        <v>0</v>
      </c>
      <c r="AJ109" s="97"/>
      <c r="AK109" s="96">
        <f>AK106*12</f>
        <v>105324</v>
      </c>
      <c r="AM109" s="98"/>
      <c r="DD109" s="203"/>
      <c r="DE109" s="203"/>
      <c r="DF109" s="203"/>
      <c r="DG109" s="203"/>
      <c r="DH109" s="203"/>
      <c r="DI109" s="203"/>
      <c r="DJ109" s="203"/>
      <c r="DK109" s="203"/>
      <c r="DL109" s="203"/>
      <c r="DM109" s="203"/>
      <c r="EA109" s="203"/>
      <c r="EB109" s="203"/>
      <c r="FH109" s="203"/>
      <c r="GP109" s="7"/>
      <c r="GQ109" s="203"/>
      <c r="GR109" s="203"/>
      <c r="GS109" s="203"/>
      <c r="GT109" s="203"/>
      <c r="IW109" s="203"/>
      <c r="MR109" s="203"/>
      <c r="MS109" s="203"/>
      <c r="MT109" s="203"/>
      <c r="MU109" s="203"/>
      <c r="RY109" s="203"/>
      <c r="RZ109" s="203"/>
      <c r="SB109" s="203"/>
      <c r="SP109" s="206"/>
      <c r="ST109" s="203"/>
      <c r="UW109" s="206"/>
    </row>
    <row r="110" spans="2:569 15038:15430" s="1" customFormat="1" ht="13.8">
      <c r="B110" s="50"/>
      <c r="C110" s="20" t="s">
        <v>81</v>
      </c>
      <c r="D110" s="54"/>
      <c r="E110" s="183" t="s">
        <v>71</v>
      </c>
      <c r="F110" s="40">
        <f t="shared" ref="F110:AH110" si="116">F107*6</f>
        <v>0</v>
      </c>
      <c r="G110" s="40">
        <f t="shared" si="116"/>
        <v>14670</v>
      </c>
      <c r="H110" s="40">
        <f t="shared" si="116"/>
        <v>14670</v>
      </c>
      <c r="I110" s="40">
        <f t="shared" si="116"/>
        <v>0</v>
      </c>
      <c r="J110" s="40">
        <f t="shared" si="116"/>
        <v>0</v>
      </c>
      <c r="K110" s="40">
        <f t="shared" si="116"/>
        <v>0</v>
      </c>
      <c r="L110" s="40">
        <f t="shared" si="116"/>
        <v>0</v>
      </c>
      <c r="M110" s="40">
        <f t="shared" si="116"/>
        <v>0</v>
      </c>
      <c r="N110" s="40">
        <f t="shared" si="116"/>
        <v>0</v>
      </c>
      <c r="O110" s="40">
        <f t="shared" si="116"/>
        <v>0</v>
      </c>
      <c r="P110" s="40">
        <f t="shared" si="116"/>
        <v>0</v>
      </c>
      <c r="Q110" s="40">
        <f t="shared" si="116"/>
        <v>0</v>
      </c>
      <c r="R110" s="40">
        <f t="shared" si="116"/>
        <v>0</v>
      </c>
      <c r="S110" s="40">
        <f t="shared" si="116"/>
        <v>0</v>
      </c>
      <c r="T110" s="40">
        <f t="shared" si="116"/>
        <v>0</v>
      </c>
      <c r="U110" s="40">
        <f t="shared" si="116"/>
        <v>0</v>
      </c>
      <c r="V110" s="40">
        <f t="shared" si="116"/>
        <v>0</v>
      </c>
      <c r="W110" s="40">
        <f t="shared" si="116"/>
        <v>0</v>
      </c>
      <c r="X110" s="40">
        <f t="shared" si="116"/>
        <v>0</v>
      </c>
      <c r="Y110" s="40">
        <f t="shared" si="116"/>
        <v>0</v>
      </c>
      <c r="Z110" s="40">
        <f t="shared" si="116"/>
        <v>0</v>
      </c>
      <c r="AA110" s="40">
        <f t="shared" si="116"/>
        <v>0</v>
      </c>
      <c r="AB110" s="40">
        <f t="shared" si="116"/>
        <v>0</v>
      </c>
      <c r="AC110" s="40">
        <f t="shared" si="116"/>
        <v>0</v>
      </c>
      <c r="AD110" s="40">
        <f t="shared" si="116"/>
        <v>0</v>
      </c>
      <c r="AE110" s="40">
        <f t="shared" ref="AE110:AG110" si="117">AE107*6</f>
        <v>0</v>
      </c>
      <c r="AF110" s="40">
        <f t="shared" si="117"/>
        <v>0</v>
      </c>
      <c r="AG110" s="40">
        <f t="shared" si="117"/>
        <v>360</v>
      </c>
      <c r="AH110" s="40">
        <f t="shared" si="116"/>
        <v>0</v>
      </c>
      <c r="AI110" s="40">
        <f t="shared" ref="AI110" si="118">AI107*6</f>
        <v>0</v>
      </c>
      <c r="AJ110" s="97"/>
      <c r="AK110" s="96">
        <f>AK107*6</f>
        <v>29700</v>
      </c>
      <c r="AM110" s="98"/>
      <c r="DD110" s="203"/>
      <c r="DE110" s="203"/>
      <c r="DF110" s="203"/>
      <c r="DG110" s="203"/>
      <c r="DH110" s="203"/>
      <c r="DI110" s="203"/>
      <c r="DJ110" s="203"/>
      <c r="DK110" s="203"/>
      <c r="DL110" s="203"/>
      <c r="DM110" s="203"/>
      <c r="EA110" s="203"/>
      <c r="EB110" s="203"/>
      <c r="FH110" s="203"/>
      <c r="GP110" s="7"/>
      <c r="GQ110" s="203"/>
      <c r="GR110" s="203"/>
      <c r="GS110" s="203"/>
      <c r="GT110" s="203"/>
      <c r="IW110" s="203"/>
      <c r="MR110" s="203"/>
      <c r="MS110" s="203"/>
      <c r="MT110" s="203"/>
      <c r="MU110" s="203"/>
      <c r="RY110" s="203"/>
      <c r="RZ110" s="203"/>
      <c r="SB110" s="203"/>
      <c r="SP110" s="206"/>
      <c r="ST110" s="203"/>
      <c r="UW110" s="206"/>
    </row>
    <row r="111" spans="2:569 15038:15430" s="1" customFormat="1">
      <c r="B111" s="50"/>
      <c r="C111" s="194" t="s">
        <v>72</v>
      </c>
      <c r="D111" s="54"/>
      <c r="E111" s="183" t="s">
        <v>73</v>
      </c>
      <c r="F111" s="40">
        <v>0</v>
      </c>
      <c r="G111" s="40">
        <f>(G102*45)/1700</f>
        <v>1065.7502205882354</v>
      </c>
      <c r="H111" s="40">
        <f t="shared" ref="H111:Y111" si="119">(H102*45)/1700</f>
        <v>1065.7494264705883</v>
      </c>
      <c r="I111" s="40">
        <f t="shared" si="119"/>
        <v>357.37385294117649</v>
      </c>
      <c r="J111" s="40">
        <f t="shared" si="119"/>
        <v>0</v>
      </c>
      <c r="K111" s="40">
        <f t="shared" si="119"/>
        <v>0</v>
      </c>
      <c r="L111" s="40">
        <f t="shared" si="119"/>
        <v>0</v>
      </c>
      <c r="M111" s="40">
        <f t="shared" si="119"/>
        <v>0</v>
      </c>
      <c r="N111" s="40">
        <f t="shared" si="119"/>
        <v>725.64763235294129</v>
      </c>
      <c r="O111" s="40">
        <f t="shared" si="119"/>
        <v>0</v>
      </c>
      <c r="P111" s="40">
        <f t="shared" si="119"/>
        <v>0</v>
      </c>
      <c r="Q111" s="40">
        <f t="shared" si="119"/>
        <v>0</v>
      </c>
      <c r="R111" s="40">
        <f t="shared" si="119"/>
        <v>0</v>
      </c>
      <c r="S111" s="40">
        <f t="shared" si="119"/>
        <v>0</v>
      </c>
      <c r="T111" s="40">
        <f t="shared" si="119"/>
        <v>0</v>
      </c>
      <c r="U111" s="40">
        <f t="shared" si="119"/>
        <v>0</v>
      </c>
      <c r="V111" s="40">
        <f t="shared" si="119"/>
        <v>0</v>
      </c>
      <c r="W111" s="40">
        <f t="shared" si="119"/>
        <v>714.72375</v>
      </c>
      <c r="X111" s="40">
        <f t="shared" si="119"/>
        <v>0</v>
      </c>
      <c r="Y111" s="40">
        <f t="shared" si="119"/>
        <v>0</v>
      </c>
      <c r="Z111" s="40">
        <f t="shared" ref="Z111:AH111" si="120">Z102*45/1700</f>
        <v>0</v>
      </c>
      <c r="AA111" s="40">
        <f t="shared" si="120"/>
        <v>0</v>
      </c>
      <c r="AB111" s="40">
        <f t="shared" si="120"/>
        <v>0</v>
      </c>
      <c r="AC111" s="40">
        <f t="shared" si="120"/>
        <v>0</v>
      </c>
      <c r="AD111" s="40">
        <f t="shared" si="120"/>
        <v>0</v>
      </c>
      <c r="AE111" s="40">
        <f t="shared" ref="AE111:AG111" si="121">AE102*45/1700</f>
        <v>0</v>
      </c>
      <c r="AF111" s="40">
        <f t="shared" si="121"/>
        <v>0</v>
      </c>
      <c r="AG111" s="40">
        <f t="shared" si="121"/>
        <v>17.248235294117649</v>
      </c>
      <c r="AH111" s="40">
        <f t="shared" si="120"/>
        <v>0</v>
      </c>
      <c r="AI111" s="40">
        <f t="shared" ref="AI111" si="122">AI102*45/1700</f>
        <v>0</v>
      </c>
      <c r="AJ111" s="97"/>
      <c r="AK111" s="96">
        <f>SUM(F111:AI111)</f>
        <v>3946.49311764706</v>
      </c>
      <c r="AM111" s="98"/>
      <c r="DD111" s="203"/>
      <c r="DE111" s="203"/>
      <c r="DF111" s="203"/>
      <c r="DG111" s="203"/>
      <c r="DH111" s="203"/>
      <c r="DI111" s="203"/>
      <c r="DJ111" s="203"/>
      <c r="DK111" s="203"/>
      <c r="DL111" s="203"/>
      <c r="DM111" s="203"/>
      <c r="EA111" s="203"/>
      <c r="EB111" s="203"/>
      <c r="FH111" s="203"/>
      <c r="GP111" s="7"/>
      <c r="GQ111" s="203"/>
      <c r="GR111" s="203"/>
      <c r="GS111" s="203"/>
      <c r="GT111" s="203"/>
      <c r="IW111" s="203"/>
      <c r="MR111" s="203"/>
      <c r="MS111" s="203"/>
      <c r="MT111" s="203"/>
      <c r="MU111" s="203"/>
      <c r="RY111" s="203"/>
      <c r="RZ111" s="203"/>
      <c r="SB111" s="203"/>
      <c r="SP111" s="206"/>
      <c r="ST111" s="203"/>
      <c r="UW111" s="206"/>
    </row>
    <row r="112" spans="2:569 15038:15430" s="1" customFormat="1">
      <c r="B112" s="50"/>
      <c r="C112" s="194" t="s">
        <v>74</v>
      </c>
      <c r="D112" s="54"/>
      <c r="E112" s="183" t="s">
        <v>75</v>
      </c>
      <c r="F112" s="40">
        <f t="shared" ref="F112:AH112" si="123">SUM(F106:F107)/500</f>
        <v>0</v>
      </c>
      <c r="G112" s="40">
        <f t="shared" si="123"/>
        <v>7.4139999999999997</v>
      </c>
      <c r="H112" s="40">
        <f t="shared" si="123"/>
        <v>7.4139999999999997</v>
      </c>
      <c r="I112" s="40">
        <f t="shared" si="123"/>
        <v>2.4860000000000002</v>
      </c>
      <c r="J112" s="40">
        <f t="shared" si="123"/>
        <v>0</v>
      </c>
      <c r="K112" s="40">
        <f t="shared" si="123"/>
        <v>0</v>
      </c>
      <c r="L112" s="40">
        <f t="shared" si="123"/>
        <v>0</v>
      </c>
      <c r="M112" s="40">
        <f t="shared" si="123"/>
        <v>0</v>
      </c>
      <c r="N112" s="40">
        <f t="shared" si="123"/>
        <v>5.048</v>
      </c>
      <c r="O112" s="40">
        <f t="shared" si="123"/>
        <v>0</v>
      </c>
      <c r="P112" s="40">
        <f t="shared" si="123"/>
        <v>0</v>
      </c>
      <c r="Q112" s="40">
        <f t="shared" si="123"/>
        <v>0</v>
      </c>
      <c r="R112" s="40">
        <f t="shared" si="123"/>
        <v>0</v>
      </c>
      <c r="S112" s="40">
        <f t="shared" si="123"/>
        <v>0</v>
      </c>
      <c r="T112" s="40">
        <f t="shared" si="123"/>
        <v>0</v>
      </c>
      <c r="U112" s="40">
        <f t="shared" si="123"/>
        <v>0</v>
      </c>
      <c r="V112" s="40">
        <f t="shared" si="123"/>
        <v>0</v>
      </c>
      <c r="W112" s="40">
        <f t="shared" si="123"/>
        <v>4.9720000000000004</v>
      </c>
      <c r="X112" s="40">
        <f t="shared" si="123"/>
        <v>0</v>
      </c>
      <c r="Y112" s="40">
        <f t="shared" si="123"/>
        <v>0</v>
      </c>
      <c r="Z112" s="40">
        <f t="shared" si="123"/>
        <v>0</v>
      </c>
      <c r="AA112" s="40">
        <f t="shared" si="123"/>
        <v>0</v>
      </c>
      <c r="AB112" s="40">
        <f t="shared" si="123"/>
        <v>0</v>
      </c>
      <c r="AC112" s="40">
        <f t="shared" si="123"/>
        <v>0</v>
      </c>
      <c r="AD112" s="40">
        <f t="shared" si="123"/>
        <v>0</v>
      </c>
      <c r="AE112" s="40">
        <f t="shared" ref="AE112:AG112" si="124">SUM(AE106:AE107)/500</f>
        <v>0</v>
      </c>
      <c r="AF112" s="40">
        <f t="shared" si="124"/>
        <v>0</v>
      </c>
      <c r="AG112" s="40">
        <f t="shared" si="124"/>
        <v>0.12</v>
      </c>
      <c r="AH112" s="40">
        <f t="shared" si="123"/>
        <v>0</v>
      </c>
      <c r="AI112" s="209">
        <f t="shared" ref="AI112" si="125">SUM(AI106:AI107)/500</f>
        <v>0</v>
      </c>
      <c r="AJ112" s="97"/>
      <c r="AK112" s="96">
        <f>SUM(F112:AI112)</f>
        <v>27.454000000000004</v>
      </c>
      <c r="AM112" s="98"/>
      <c r="DD112" s="203"/>
      <c r="DE112" s="203"/>
      <c r="DF112" s="203"/>
      <c r="DG112" s="203"/>
      <c r="DH112" s="203"/>
      <c r="DI112" s="203"/>
      <c r="DJ112" s="203"/>
      <c r="DK112" s="203"/>
      <c r="DL112" s="203"/>
      <c r="DM112" s="203"/>
      <c r="EA112" s="203"/>
      <c r="EB112" s="203"/>
      <c r="FH112" s="203"/>
      <c r="GP112" s="7"/>
      <c r="GQ112" s="203"/>
      <c r="GR112" s="203"/>
      <c r="GS112" s="203"/>
      <c r="GT112" s="203"/>
      <c r="IW112" s="203"/>
      <c r="MR112" s="203"/>
      <c r="MS112" s="203"/>
      <c r="MT112" s="203"/>
      <c r="MU112" s="203"/>
      <c r="RY112" s="203"/>
      <c r="RZ112" s="203"/>
      <c r="SB112" s="203"/>
      <c r="SP112" s="206"/>
      <c r="ST112" s="203"/>
      <c r="UW112" s="206"/>
    </row>
    <row r="113" spans="2:569 15038:15430" s="1" customFormat="1">
      <c r="B113" s="37"/>
      <c r="C113" s="16" t="s">
        <v>76</v>
      </c>
      <c r="D113" s="35"/>
      <c r="E113" s="35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83"/>
      <c r="AD113" s="36"/>
      <c r="AE113" s="36"/>
      <c r="AF113" s="36"/>
      <c r="AG113" s="36"/>
      <c r="AH113" s="36"/>
      <c r="AI113" s="36"/>
      <c r="AJ113" s="87"/>
      <c r="AK113" s="180" t="s">
        <v>77</v>
      </c>
      <c r="AM113" s="10"/>
      <c r="DD113" s="219"/>
      <c r="DE113" s="219"/>
      <c r="DF113" s="219"/>
      <c r="DG113" s="219"/>
      <c r="DH113" s="219"/>
      <c r="DI113" s="219"/>
      <c r="DJ113" s="219"/>
      <c r="DK113" s="219"/>
      <c r="DL113" s="219"/>
      <c r="DM113" s="219"/>
      <c r="EA113" s="219"/>
      <c r="EB113" s="219"/>
      <c r="FH113" s="219"/>
      <c r="GP113" s="7"/>
      <c r="GQ113" s="219"/>
      <c r="GR113" s="219"/>
      <c r="GS113" s="219"/>
      <c r="GT113" s="219"/>
      <c r="IW113" s="219"/>
      <c r="MR113" s="219"/>
      <c r="MS113" s="219"/>
      <c r="MT113" s="219"/>
      <c r="MU113" s="219"/>
      <c r="RY113" s="219"/>
      <c r="RZ113" s="219"/>
      <c r="SB113" s="219"/>
      <c r="SP113" s="240"/>
      <c r="ST113" s="219"/>
      <c r="UW113" s="240"/>
      <c r="VFJ113"/>
      <c r="VFK113"/>
      <c r="VFL113"/>
      <c r="VFM113"/>
      <c r="VFN113"/>
      <c r="VFO113"/>
      <c r="VFP113"/>
      <c r="VFQ113"/>
      <c r="VFR113"/>
      <c r="VFS113"/>
      <c r="VFT113"/>
      <c r="VFU113"/>
      <c r="VFV113"/>
      <c r="VFW113"/>
      <c r="VFX113"/>
      <c r="VFY113"/>
      <c r="VFZ113"/>
      <c r="VGA113"/>
      <c r="VGB113"/>
      <c r="VGC113"/>
      <c r="VGD11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</row>
    <row r="114" spans="2:569 15038:15430" s="1" customFormat="1">
      <c r="B114" s="50"/>
      <c r="C114" s="194" t="s">
        <v>67</v>
      </c>
      <c r="D114" s="54"/>
      <c r="E114" s="5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97"/>
      <c r="AK114" s="102" t="s">
        <v>67</v>
      </c>
      <c r="AM114" s="98"/>
      <c r="EA114" s="203"/>
      <c r="EB114" s="203"/>
      <c r="FH114" s="203"/>
      <c r="GP114" s="7"/>
      <c r="GQ114" s="203"/>
      <c r="GR114" s="203"/>
      <c r="GS114" s="203"/>
      <c r="GT114" s="203"/>
      <c r="IW114" s="203"/>
      <c r="MR114" s="203"/>
      <c r="MS114" s="203"/>
      <c r="MT114" s="203"/>
      <c r="MU114" s="203"/>
      <c r="RY114" s="203"/>
      <c r="RZ114" s="203"/>
      <c r="SB114" s="203"/>
      <c r="SP114" s="206"/>
      <c r="ST114" s="203"/>
      <c r="UW114" s="206"/>
    </row>
    <row r="115" spans="2:569 15038:15430" s="1" customFormat="1" ht="13.8">
      <c r="B115" s="50"/>
      <c r="C115" s="20" t="s">
        <v>80</v>
      </c>
      <c r="D115" s="54"/>
      <c r="E115" s="183" t="s">
        <v>69</v>
      </c>
      <c r="F115" s="125">
        <v>0</v>
      </c>
      <c r="G115" s="125">
        <v>1</v>
      </c>
      <c r="H115" s="125">
        <v>1</v>
      </c>
      <c r="I115" s="125">
        <v>1</v>
      </c>
      <c r="J115" s="125">
        <v>0</v>
      </c>
      <c r="K115" s="125">
        <v>0</v>
      </c>
      <c r="L115" s="125">
        <v>0</v>
      </c>
      <c r="M115" s="125">
        <v>0</v>
      </c>
      <c r="N115" s="125">
        <v>8</v>
      </c>
      <c r="O115" s="125">
        <v>0</v>
      </c>
      <c r="P115" s="125">
        <v>0</v>
      </c>
      <c r="Q115" s="125">
        <v>0</v>
      </c>
      <c r="R115" s="125">
        <v>0</v>
      </c>
      <c r="S115" s="125">
        <v>0</v>
      </c>
      <c r="T115" s="125">
        <v>0</v>
      </c>
      <c r="U115" s="125">
        <v>0</v>
      </c>
      <c r="V115" s="125">
        <v>0</v>
      </c>
      <c r="W115" s="40">
        <v>9</v>
      </c>
      <c r="X115" s="125">
        <v>0</v>
      </c>
      <c r="Y115" s="125">
        <v>0</v>
      </c>
      <c r="Z115" s="125">
        <v>0</v>
      </c>
      <c r="AA115" s="125">
        <v>0</v>
      </c>
      <c r="AB115" s="125">
        <v>0</v>
      </c>
      <c r="AC115" s="125">
        <v>0</v>
      </c>
      <c r="AD115" s="125">
        <v>0</v>
      </c>
      <c r="AE115" s="125">
        <v>0</v>
      </c>
      <c r="AF115" s="125">
        <v>0</v>
      </c>
      <c r="AG115" s="125">
        <v>0</v>
      </c>
      <c r="AH115" s="125">
        <v>0</v>
      </c>
      <c r="AI115" s="125">
        <v>0</v>
      </c>
      <c r="AJ115" s="97"/>
      <c r="AK115" s="96">
        <f>SUM(F115:AI115)</f>
        <v>20</v>
      </c>
      <c r="AM115" s="98"/>
      <c r="EA115" s="203"/>
      <c r="EB115" s="203"/>
      <c r="FH115" s="203"/>
      <c r="GP115" s="7"/>
      <c r="GQ115" s="203"/>
      <c r="GR115" s="203"/>
      <c r="GS115" s="203"/>
      <c r="GT115" s="203"/>
      <c r="IW115" s="203"/>
      <c r="MR115" s="203"/>
      <c r="MS115" s="203"/>
      <c r="MT115" s="203"/>
      <c r="MU115" s="203"/>
      <c r="RY115" s="203"/>
      <c r="RZ115" s="203"/>
      <c r="SB115" s="203"/>
      <c r="SP115" s="206"/>
      <c r="ST115" s="203"/>
      <c r="UW115" s="206"/>
    </row>
    <row r="116" spans="2:569 15038:15430" s="1" customFormat="1" ht="13.8">
      <c r="B116" s="50"/>
      <c r="C116" s="20" t="s">
        <v>81</v>
      </c>
      <c r="D116" s="54"/>
      <c r="E116" s="183" t="s">
        <v>69</v>
      </c>
      <c r="F116" s="125">
        <v>0</v>
      </c>
      <c r="G116" s="125">
        <v>0</v>
      </c>
      <c r="H116" s="125">
        <v>1</v>
      </c>
      <c r="I116" s="125">
        <v>0</v>
      </c>
      <c r="J116" s="125">
        <v>0</v>
      </c>
      <c r="K116" s="125">
        <v>0</v>
      </c>
      <c r="L116" s="125">
        <v>0</v>
      </c>
      <c r="M116" s="125">
        <v>0</v>
      </c>
      <c r="N116" s="125">
        <v>0</v>
      </c>
      <c r="O116" s="125">
        <v>0</v>
      </c>
      <c r="P116" s="125">
        <v>0</v>
      </c>
      <c r="Q116" s="125">
        <v>0</v>
      </c>
      <c r="R116" s="125">
        <v>0</v>
      </c>
      <c r="S116" s="125">
        <v>0</v>
      </c>
      <c r="T116" s="125">
        <v>0</v>
      </c>
      <c r="U116" s="125">
        <v>0</v>
      </c>
      <c r="V116" s="125">
        <v>0</v>
      </c>
      <c r="W116" s="40">
        <v>0</v>
      </c>
      <c r="X116" s="125">
        <v>0</v>
      </c>
      <c r="Y116" s="125">
        <v>0</v>
      </c>
      <c r="Z116" s="125">
        <v>0</v>
      </c>
      <c r="AA116" s="125">
        <v>0</v>
      </c>
      <c r="AB116" s="125">
        <v>0</v>
      </c>
      <c r="AC116" s="125">
        <v>0</v>
      </c>
      <c r="AD116" s="125">
        <v>0</v>
      </c>
      <c r="AE116" s="125">
        <v>0</v>
      </c>
      <c r="AF116" s="125">
        <v>0</v>
      </c>
      <c r="AG116" s="125">
        <v>0</v>
      </c>
      <c r="AH116" s="125">
        <v>0</v>
      </c>
      <c r="AI116" s="125">
        <v>0</v>
      </c>
      <c r="AJ116" s="97"/>
      <c r="AK116" s="96">
        <f>SUM(F116:AI116)</f>
        <v>1</v>
      </c>
      <c r="AM116" s="98"/>
      <c r="EA116" s="203"/>
      <c r="EB116" s="203"/>
      <c r="FH116" s="203"/>
      <c r="GP116" s="7"/>
      <c r="GQ116" s="203"/>
      <c r="GR116" s="203"/>
      <c r="GS116" s="203"/>
      <c r="GT116" s="203"/>
      <c r="IW116" s="203"/>
      <c r="MR116" s="203"/>
      <c r="MS116" s="203"/>
      <c r="MT116" s="203"/>
      <c r="MU116" s="203"/>
      <c r="RY116" s="203"/>
      <c r="RZ116" s="203"/>
      <c r="SB116" s="203"/>
      <c r="SP116" s="206"/>
      <c r="ST116" s="203"/>
      <c r="UW116" s="206"/>
    </row>
    <row r="117" spans="2:569 15038:15430" s="1" customFormat="1">
      <c r="B117" s="50"/>
      <c r="C117" s="194" t="s">
        <v>71</v>
      </c>
      <c r="D117" s="54"/>
      <c r="E117" s="50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40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97"/>
      <c r="AK117" s="102" t="s">
        <v>71</v>
      </c>
      <c r="AM117" s="98"/>
      <c r="EA117" s="203"/>
      <c r="EB117" s="203"/>
      <c r="FH117" s="203"/>
      <c r="GP117" s="7"/>
      <c r="GQ117" s="203"/>
      <c r="GR117" s="203"/>
      <c r="GS117" s="203"/>
      <c r="GT117" s="203"/>
      <c r="IW117" s="203"/>
      <c r="MR117" s="203"/>
      <c r="MS117" s="203"/>
      <c r="MT117" s="203"/>
      <c r="MU117" s="203"/>
      <c r="RY117" s="203"/>
      <c r="RZ117" s="203"/>
      <c r="SB117" s="203"/>
      <c r="SP117" s="206"/>
      <c r="ST117" s="203"/>
      <c r="UW117" s="206"/>
    </row>
    <row r="118" spans="2:569 15038:15430" s="1" customFormat="1" ht="13.8">
      <c r="B118" s="50"/>
      <c r="C118" s="20" t="s">
        <v>80</v>
      </c>
      <c r="D118" s="54"/>
      <c r="E118" s="183" t="s">
        <v>71</v>
      </c>
      <c r="F118" s="125">
        <v>0</v>
      </c>
      <c r="G118" s="125">
        <v>1</v>
      </c>
      <c r="H118" s="125">
        <v>4</v>
      </c>
      <c r="I118" s="125">
        <v>14</v>
      </c>
      <c r="J118" s="125">
        <v>0</v>
      </c>
      <c r="K118" s="125">
        <v>0</v>
      </c>
      <c r="L118" s="125">
        <v>0</v>
      </c>
      <c r="M118" s="125">
        <v>0</v>
      </c>
      <c r="N118" s="125">
        <v>26</v>
      </c>
      <c r="O118" s="125">
        <v>0</v>
      </c>
      <c r="P118" s="125">
        <v>0</v>
      </c>
      <c r="Q118" s="125">
        <v>0</v>
      </c>
      <c r="R118" s="125">
        <v>0</v>
      </c>
      <c r="S118" s="125">
        <v>0</v>
      </c>
      <c r="T118" s="125">
        <v>0</v>
      </c>
      <c r="U118" s="125">
        <v>0</v>
      </c>
      <c r="V118" s="125">
        <v>0</v>
      </c>
      <c r="W118" s="40">
        <v>20</v>
      </c>
      <c r="X118" s="125">
        <v>0</v>
      </c>
      <c r="Y118" s="125">
        <v>0</v>
      </c>
      <c r="Z118" s="125">
        <v>0</v>
      </c>
      <c r="AA118" s="125">
        <v>0</v>
      </c>
      <c r="AB118" s="125">
        <v>0</v>
      </c>
      <c r="AC118" s="125">
        <v>0</v>
      </c>
      <c r="AD118" s="125">
        <v>0</v>
      </c>
      <c r="AE118" s="125">
        <v>0</v>
      </c>
      <c r="AF118" s="125">
        <v>0</v>
      </c>
      <c r="AG118" s="125">
        <v>0</v>
      </c>
      <c r="AH118" s="125">
        <v>0</v>
      </c>
      <c r="AI118" s="125">
        <v>0</v>
      </c>
      <c r="AJ118" s="97"/>
      <c r="AK118" s="96">
        <f>SUM(F118:AI118)</f>
        <v>65</v>
      </c>
      <c r="AM118" s="98"/>
      <c r="EA118" s="203"/>
      <c r="EB118" s="203"/>
      <c r="FH118" s="203"/>
      <c r="GP118" s="7"/>
      <c r="GQ118" s="203"/>
      <c r="GR118" s="203"/>
      <c r="GS118" s="203"/>
      <c r="GT118" s="203"/>
      <c r="IW118" s="203"/>
      <c r="MR118" s="203"/>
      <c r="MS118" s="203"/>
      <c r="MT118" s="203"/>
      <c r="MU118" s="203"/>
      <c r="RY118" s="203"/>
      <c r="RZ118" s="203"/>
      <c r="SB118" s="203"/>
      <c r="SP118" s="206"/>
      <c r="ST118" s="203"/>
      <c r="UW118" s="206"/>
    </row>
    <row r="119" spans="2:569 15038:15430" s="1" customFormat="1" ht="13.8">
      <c r="B119" s="50"/>
      <c r="C119" s="20" t="s">
        <v>81</v>
      </c>
      <c r="D119" s="54"/>
      <c r="E119" s="183" t="s">
        <v>71</v>
      </c>
      <c r="F119" s="125">
        <v>0</v>
      </c>
      <c r="G119" s="125">
        <v>0</v>
      </c>
      <c r="H119" s="125">
        <v>1</v>
      </c>
      <c r="I119" s="125">
        <v>0</v>
      </c>
      <c r="J119" s="125">
        <v>0</v>
      </c>
      <c r="K119" s="125">
        <v>0</v>
      </c>
      <c r="L119" s="125">
        <v>0</v>
      </c>
      <c r="M119" s="125">
        <v>0</v>
      </c>
      <c r="N119" s="125">
        <v>0</v>
      </c>
      <c r="O119" s="125">
        <v>0</v>
      </c>
      <c r="P119" s="125">
        <v>0</v>
      </c>
      <c r="Q119" s="125">
        <v>0</v>
      </c>
      <c r="R119" s="125">
        <v>0</v>
      </c>
      <c r="S119" s="125">
        <v>0</v>
      </c>
      <c r="T119" s="125">
        <v>0</v>
      </c>
      <c r="U119" s="125">
        <v>0</v>
      </c>
      <c r="V119" s="125">
        <v>0</v>
      </c>
      <c r="W119" s="40">
        <v>0</v>
      </c>
      <c r="X119" s="125">
        <v>0</v>
      </c>
      <c r="Y119" s="125">
        <v>0</v>
      </c>
      <c r="Z119" s="125">
        <v>0</v>
      </c>
      <c r="AA119" s="125">
        <v>0</v>
      </c>
      <c r="AB119" s="125">
        <v>0</v>
      </c>
      <c r="AC119" s="125">
        <v>0</v>
      </c>
      <c r="AD119" s="125">
        <v>0</v>
      </c>
      <c r="AE119" s="125">
        <v>0</v>
      </c>
      <c r="AF119" s="125">
        <v>0</v>
      </c>
      <c r="AG119" s="125">
        <v>0</v>
      </c>
      <c r="AH119" s="125">
        <v>0</v>
      </c>
      <c r="AI119" s="125">
        <v>0</v>
      </c>
      <c r="AJ119" s="97"/>
      <c r="AK119" s="96">
        <f>SUM(F119:AI119)</f>
        <v>1</v>
      </c>
      <c r="AM119" s="98"/>
      <c r="EA119" s="203"/>
      <c r="EB119" s="203"/>
      <c r="FH119" s="203"/>
      <c r="GP119" s="7"/>
      <c r="GQ119" s="203"/>
      <c r="GR119" s="203"/>
      <c r="GS119" s="203"/>
      <c r="GT119" s="203"/>
      <c r="IW119" s="203"/>
      <c r="MR119" s="203"/>
      <c r="MS119" s="203"/>
      <c r="MT119" s="203"/>
      <c r="MU119" s="203"/>
      <c r="RY119" s="203"/>
      <c r="RZ119" s="203"/>
      <c r="SB119" s="203"/>
      <c r="SP119" s="206"/>
      <c r="ST119" s="203"/>
      <c r="UW119" s="206"/>
    </row>
    <row r="120" spans="2:569 15038:15430" s="1" customFormat="1" hidden="1">
      <c r="B120" s="37"/>
      <c r="C120" s="16" t="s">
        <v>78</v>
      </c>
      <c r="D120" s="35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83"/>
      <c r="AD120" s="36"/>
      <c r="AE120" s="36"/>
      <c r="AF120" s="36"/>
      <c r="AG120" s="36"/>
      <c r="AH120" s="36"/>
      <c r="AI120" s="36"/>
      <c r="AJ120" s="87"/>
      <c r="AK120" s="180" t="s">
        <v>77</v>
      </c>
      <c r="AM120" s="10"/>
      <c r="EA120" s="219"/>
      <c r="EB120" s="219"/>
      <c r="FH120" s="219"/>
      <c r="GP120" s="7"/>
      <c r="GQ120" s="219"/>
      <c r="GR120" s="219"/>
      <c r="GS120" s="219"/>
      <c r="GT120" s="219"/>
      <c r="IW120" s="219"/>
      <c r="MR120" s="219"/>
      <c r="MS120" s="219"/>
      <c r="MT120" s="219"/>
      <c r="MU120" s="219"/>
      <c r="RY120" s="219"/>
      <c r="RZ120" s="219"/>
      <c r="SB120" s="219"/>
      <c r="SP120" s="240"/>
      <c r="ST120" s="219"/>
      <c r="UW120" s="240"/>
      <c r="VFJ120"/>
      <c r="VFK120"/>
      <c r="VFL120"/>
      <c r="VFM120"/>
      <c r="VFN120"/>
      <c r="VFO120"/>
      <c r="VFP120"/>
      <c r="VFQ120"/>
      <c r="VFR120"/>
      <c r="VFS120"/>
      <c r="VFT120"/>
      <c r="VFU120"/>
      <c r="VFV120"/>
      <c r="VFW120"/>
      <c r="VFX120"/>
      <c r="VFY120"/>
      <c r="VFZ120"/>
      <c r="VGA120"/>
      <c r="VGB120"/>
      <c r="VGC120"/>
      <c r="VGD120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</row>
    <row r="121" spans="2:569 15038:15430" s="1" customFormat="1" hidden="1">
      <c r="B121" s="50"/>
      <c r="C121" s="194" t="s">
        <v>67</v>
      </c>
      <c r="D121" s="54"/>
      <c r="E121" s="5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97"/>
      <c r="AK121" s="102" t="s">
        <v>67</v>
      </c>
      <c r="AM121" s="98"/>
      <c r="EA121" s="203"/>
      <c r="EB121" s="203"/>
      <c r="FH121" s="203"/>
      <c r="GP121" s="7"/>
      <c r="GQ121" s="203"/>
      <c r="GR121" s="203"/>
      <c r="GS121" s="203"/>
      <c r="GT121" s="203"/>
      <c r="IW121" s="203"/>
      <c r="MR121" s="203"/>
      <c r="MS121" s="203"/>
      <c r="MT121" s="203"/>
      <c r="MU121" s="203"/>
      <c r="RY121" s="203"/>
      <c r="RZ121" s="203"/>
      <c r="SB121" s="203"/>
      <c r="SP121" s="206"/>
      <c r="ST121" s="203"/>
      <c r="UW121" s="206"/>
    </row>
    <row r="122" spans="2:569 15038:15430" s="1" customFormat="1" ht="13.8" hidden="1">
      <c r="B122" s="50"/>
      <c r="C122" s="20" t="s">
        <v>80</v>
      </c>
      <c r="D122" s="49">
        <v>0.3</v>
      </c>
      <c r="E122" s="183" t="s">
        <v>12</v>
      </c>
      <c r="F122" s="64" t="e">
        <f t="shared" ref="F122:AH123" si="126">F115/F106*100</f>
        <v>#DIV/0!</v>
      </c>
      <c r="G122" s="64">
        <f t="shared" si="126"/>
        <v>7.9239302694136288E-2</v>
      </c>
      <c r="H122" s="64">
        <f t="shared" si="126"/>
        <v>7.9239302694136288E-2</v>
      </c>
      <c r="I122" s="64">
        <f t="shared" si="126"/>
        <v>8.0450522928399035E-2</v>
      </c>
      <c r="J122" s="64" t="e">
        <f t="shared" si="126"/>
        <v>#DIV/0!</v>
      </c>
      <c r="K122" s="64" t="e">
        <f t="shared" si="126"/>
        <v>#DIV/0!</v>
      </c>
      <c r="L122" s="64" t="e">
        <f t="shared" ref="L122" si="127">L115/L106*100</f>
        <v>#DIV/0!</v>
      </c>
      <c r="M122" s="64" t="e">
        <f t="shared" si="126"/>
        <v>#DIV/0!</v>
      </c>
      <c r="N122" s="64">
        <f t="shared" si="126"/>
        <v>0.31695721077654515</v>
      </c>
      <c r="O122" s="64" t="e">
        <f t="shared" si="126"/>
        <v>#DIV/0!</v>
      </c>
      <c r="P122" s="64" t="e">
        <f t="shared" si="126"/>
        <v>#DIV/0!</v>
      </c>
      <c r="Q122" s="64" t="e">
        <f t="shared" si="126"/>
        <v>#DIV/0!</v>
      </c>
      <c r="R122" s="64" t="e">
        <f t="shared" si="126"/>
        <v>#DIV/0!</v>
      </c>
      <c r="S122" s="64" t="e">
        <f t="shared" si="126"/>
        <v>#DIV/0!</v>
      </c>
      <c r="T122" s="64" t="e">
        <f t="shared" si="126"/>
        <v>#DIV/0!</v>
      </c>
      <c r="U122" s="64" t="e">
        <f t="shared" si="126"/>
        <v>#DIV/0!</v>
      </c>
      <c r="V122" s="64" t="e">
        <f t="shared" si="126"/>
        <v>#DIV/0!</v>
      </c>
      <c r="W122" s="64">
        <f t="shared" si="126"/>
        <v>0.36202735317779566</v>
      </c>
      <c r="X122" s="64" t="e">
        <f t="shared" si="126"/>
        <v>#DIV/0!</v>
      </c>
      <c r="Y122" s="64" t="e">
        <f t="shared" si="126"/>
        <v>#DIV/0!</v>
      </c>
      <c r="Z122" s="64" t="e">
        <f t="shared" si="126"/>
        <v>#DIV/0!</v>
      </c>
      <c r="AA122" s="64" t="e">
        <f t="shared" si="126"/>
        <v>#DIV/0!</v>
      </c>
      <c r="AB122" s="64" t="e">
        <f t="shared" si="126"/>
        <v>#DIV/0!</v>
      </c>
      <c r="AC122" s="64" t="e">
        <f t="shared" si="126"/>
        <v>#DIV/0!</v>
      </c>
      <c r="AD122" s="64" t="e">
        <f t="shared" si="126"/>
        <v>#DIV/0!</v>
      </c>
      <c r="AE122" s="64" t="e">
        <f t="shared" ref="AE122:AG122" si="128">AE115/AE106*100</f>
        <v>#DIV/0!</v>
      </c>
      <c r="AF122" s="64" t="e">
        <f t="shared" si="128"/>
        <v>#DIV/0!</v>
      </c>
      <c r="AG122" s="64" t="e">
        <f t="shared" si="128"/>
        <v>#DIV/0!</v>
      </c>
      <c r="AH122" s="64" t="e">
        <f t="shared" si="126"/>
        <v>#DIV/0!</v>
      </c>
      <c r="AI122" s="64" t="e">
        <f t="shared" ref="AI122" si="129">AI115/AI106*100</f>
        <v>#DIV/0!</v>
      </c>
      <c r="AJ122" s="97"/>
      <c r="AK122" s="99">
        <f>AK115/AK106*100</f>
        <v>0.22786829212715051</v>
      </c>
      <c r="AM122" s="98"/>
      <c r="EA122" s="203"/>
      <c r="EB122" s="203"/>
      <c r="FH122" s="203"/>
      <c r="GP122" s="7"/>
      <c r="GQ122" s="203"/>
      <c r="GR122" s="203"/>
      <c r="GS122" s="203"/>
      <c r="GT122" s="203"/>
      <c r="IW122" s="203"/>
      <c r="MR122" s="203"/>
      <c r="MS122" s="203"/>
      <c r="MT122" s="203"/>
      <c r="MU122" s="203"/>
      <c r="RY122" s="203"/>
      <c r="RZ122" s="203"/>
      <c r="SB122" s="203"/>
      <c r="SP122" s="206"/>
      <c r="ST122" s="203"/>
      <c r="UW122" s="206"/>
    </row>
    <row r="123" spans="2:569 15038:15430" s="1" customFormat="1" ht="13.8" hidden="1">
      <c r="B123" s="50"/>
      <c r="C123" s="20" t="s">
        <v>81</v>
      </c>
      <c r="D123" s="49">
        <v>0.3</v>
      </c>
      <c r="E123" s="183" t="s">
        <v>12</v>
      </c>
      <c r="F123" s="64" t="e">
        <f t="shared" si="126"/>
        <v>#DIV/0!</v>
      </c>
      <c r="G123" s="64">
        <f t="shared" si="126"/>
        <v>0</v>
      </c>
      <c r="H123" s="64">
        <f t="shared" si="126"/>
        <v>4.0899795501022497E-2</v>
      </c>
      <c r="I123" s="64" t="e">
        <f t="shared" si="126"/>
        <v>#DIV/0!</v>
      </c>
      <c r="J123" s="64" t="e">
        <f t="shared" si="126"/>
        <v>#DIV/0!</v>
      </c>
      <c r="K123" s="64" t="e">
        <f t="shared" si="126"/>
        <v>#DIV/0!</v>
      </c>
      <c r="L123" s="64" t="e">
        <f t="shared" ref="L123" si="130">L116/L107*100</f>
        <v>#DIV/0!</v>
      </c>
      <c r="M123" s="64" t="e">
        <f t="shared" si="126"/>
        <v>#DIV/0!</v>
      </c>
      <c r="N123" s="64" t="e">
        <f t="shared" si="126"/>
        <v>#DIV/0!</v>
      </c>
      <c r="O123" s="64" t="e">
        <f t="shared" si="126"/>
        <v>#DIV/0!</v>
      </c>
      <c r="P123" s="64" t="e">
        <f t="shared" si="126"/>
        <v>#DIV/0!</v>
      </c>
      <c r="Q123" s="64" t="e">
        <f t="shared" si="126"/>
        <v>#DIV/0!</v>
      </c>
      <c r="R123" s="64" t="e">
        <f t="shared" si="126"/>
        <v>#DIV/0!</v>
      </c>
      <c r="S123" s="64" t="e">
        <f t="shared" si="126"/>
        <v>#DIV/0!</v>
      </c>
      <c r="T123" s="64" t="e">
        <f t="shared" si="126"/>
        <v>#DIV/0!</v>
      </c>
      <c r="U123" s="64" t="e">
        <f t="shared" si="126"/>
        <v>#DIV/0!</v>
      </c>
      <c r="V123" s="64" t="e">
        <f t="shared" si="126"/>
        <v>#DIV/0!</v>
      </c>
      <c r="W123" s="64" t="e">
        <f t="shared" si="126"/>
        <v>#DIV/0!</v>
      </c>
      <c r="X123" s="64" t="e">
        <f t="shared" si="126"/>
        <v>#DIV/0!</v>
      </c>
      <c r="Y123" s="64" t="e">
        <f t="shared" si="126"/>
        <v>#DIV/0!</v>
      </c>
      <c r="Z123" s="64" t="e">
        <f t="shared" si="126"/>
        <v>#DIV/0!</v>
      </c>
      <c r="AA123" s="64" t="e">
        <f t="shared" si="126"/>
        <v>#DIV/0!</v>
      </c>
      <c r="AB123" s="64" t="e">
        <f t="shared" si="126"/>
        <v>#DIV/0!</v>
      </c>
      <c r="AC123" s="64" t="e">
        <f t="shared" si="126"/>
        <v>#DIV/0!</v>
      </c>
      <c r="AD123" s="64" t="e">
        <f t="shared" si="126"/>
        <v>#DIV/0!</v>
      </c>
      <c r="AE123" s="64" t="e">
        <f t="shared" ref="AE123:AG123" si="131">AE116/AE107*100</f>
        <v>#DIV/0!</v>
      </c>
      <c r="AF123" s="64" t="e">
        <f t="shared" si="131"/>
        <v>#DIV/0!</v>
      </c>
      <c r="AG123" s="64">
        <f t="shared" si="131"/>
        <v>0</v>
      </c>
      <c r="AH123" s="64" t="e">
        <f t="shared" si="126"/>
        <v>#DIV/0!</v>
      </c>
      <c r="AI123" s="64" t="e">
        <f t="shared" ref="AI123" si="132">AI116/AI107*100</f>
        <v>#DIV/0!</v>
      </c>
      <c r="AJ123" s="97"/>
      <c r="AK123" s="99">
        <f>AK116/AK107*100</f>
        <v>2.02020202020202E-2</v>
      </c>
      <c r="AM123" s="98"/>
      <c r="EA123" s="203"/>
      <c r="EB123" s="203"/>
      <c r="FH123" s="203"/>
      <c r="GP123" s="7"/>
      <c r="GQ123" s="203"/>
      <c r="GR123" s="203"/>
      <c r="GS123" s="203"/>
      <c r="GT123" s="203"/>
      <c r="IW123" s="203"/>
      <c r="MR123" s="203"/>
      <c r="MS123" s="203"/>
      <c r="MT123" s="203"/>
      <c r="MU123" s="203"/>
      <c r="RY123" s="203"/>
      <c r="RZ123" s="203"/>
      <c r="SB123" s="203"/>
      <c r="SP123" s="206"/>
      <c r="ST123" s="203"/>
      <c r="UW123" s="206"/>
    </row>
    <row r="124" spans="2:569 15038:15430" s="1" customFormat="1" hidden="1">
      <c r="B124" s="50"/>
      <c r="C124" s="194" t="s">
        <v>71</v>
      </c>
      <c r="D124" s="49"/>
      <c r="E124" s="50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97"/>
      <c r="AK124" s="102" t="s">
        <v>71</v>
      </c>
      <c r="AM124" s="98"/>
      <c r="EA124" s="203"/>
      <c r="EB124" s="203"/>
      <c r="FH124" s="203"/>
      <c r="GP124" s="7"/>
      <c r="GQ124" s="203"/>
      <c r="GR124" s="203"/>
      <c r="GS124" s="203"/>
      <c r="GT124" s="203"/>
      <c r="IW124" s="203"/>
      <c r="MR124" s="203"/>
      <c r="MS124" s="203"/>
      <c r="MT124" s="203"/>
      <c r="MU124" s="203"/>
      <c r="RY124" s="203"/>
      <c r="RZ124" s="203"/>
      <c r="SB124" s="203"/>
      <c r="SP124" s="206"/>
      <c r="ST124" s="203"/>
      <c r="UW124" s="206"/>
    </row>
    <row r="125" spans="2:569 15038:15430" s="1" customFormat="1" ht="13.8" hidden="1">
      <c r="B125" s="50"/>
      <c r="C125" s="20" t="s">
        <v>80</v>
      </c>
      <c r="D125" s="49">
        <v>0.5</v>
      </c>
      <c r="E125" s="183" t="s">
        <v>12</v>
      </c>
      <c r="F125" s="64" t="e">
        <f t="shared" ref="F125:AH126" si="133">F118/F109*100</f>
        <v>#DIV/0!</v>
      </c>
      <c r="G125" s="64">
        <f t="shared" si="133"/>
        <v>6.6032752245113579E-3</v>
      </c>
      <c r="H125" s="64">
        <f t="shared" si="133"/>
        <v>2.6413100898045432E-2</v>
      </c>
      <c r="I125" s="64">
        <f t="shared" si="133"/>
        <v>9.3858943416465543E-2</v>
      </c>
      <c r="J125" s="64" t="e">
        <f t="shared" si="133"/>
        <v>#DIV/0!</v>
      </c>
      <c r="K125" s="64" t="e">
        <f t="shared" si="133"/>
        <v>#DIV/0!</v>
      </c>
      <c r="L125" s="64" t="e">
        <f t="shared" ref="L125" si="134">L118/L109*100</f>
        <v>#DIV/0!</v>
      </c>
      <c r="M125" s="64" t="e">
        <f t="shared" si="133"/>
        <v>#DIV/0!</v>
      </c>
      <c r="N125" s="64">
        <f t="shared" si="133"/>
        <v>8.5842577918647647E-2</v>
      </c>
      <c r="O125" s="64" t="e">
        <f t="shared" si="133"/>
        <v>#DIV/0!</v>
      </c>
      <c r="P125" s="64" t="e">
        <f t="shared" si="133"/>
        <v>#DIV/0!</v>
      </c>
      <c r="Q125" s="64" t="e">
        <f t="shared" si="133"/>
        <v>#DIV/0!</v>
      </c>
      <c r="R125" s="64" t="e">
        <f t="shared" si="133"/>
        <v>#DIV/0!</v>
      </c>
      <c r="S125" s="64" t="e">
        <f t="shared" si="133"/>
        <v>#DIV/0!</v>
      </c>
      <c r="T125" s="64" t="e">
        <f t="shared" si="133"/>
        <v>#DIV/0!</v>
      </c>
      <c r="U125" s="64" t="e">
        <f t="shared" si="133"/>
        <v>#DIV/0!</v>
      </c>
      <c r="V125" s="64" t="e">
        <f t="shared" si="133"/>
        <v>#DIV/0!</v>
      </c>
      <c r="W125" s="64">
        <f t="shared" si="133"/>
        <v>6.7042102440332527E-2</v>
      </c>
      <c r="X125" s="64" t="e">
        <f t="shared" si="133"/>
        <v>#DIV/0!</v>
      </c>
      <c r="Y125" s="64" t="e">
        <f t="shared" si="133"/>
        <v>#DIV/0!</v>
      </c>
      <c r="Z125" s="64" t="e">
        <f t="shared" si="133"/>
        <v>#DIV/0!</v>
      </c>
      <c r="AA125" s="64" t="e">
        <f t="shared" si="133"/>
        <v>#DIV/0!</v>
      </c>
      <c r="AB125" s="64" t="e">
        <f t="shared" si="133"/>
        <v>#DIV/0!</v>
      </c>
      <c r="AC125" s="64" t="e">
        <f t="shared" si="133"/>
        <v>#DIV/0!</v>
      </c>
      <c r="AD125" s="64" t="e">
        <f t="shared" si="133"/>
        <v>#DIV/0!</v>
      </c>
      <c r="AE125" s="64" t="e">
        <f t="shared" ref="AE125:AG125" si="135">AE118/AE109*100</f>
        <v>#DIV/0!</v>
      </c>
      <c r="AF125" s="64" t="e">
        <f t="shared" si="135"/>
        <v>#DIV/0!</v>
      </c>
      <c r="AG125" s="64" t="e">
        <f t="shared" si="135"/>
        <v>#DIV/0!</v>
      </c>
      <c r="AH125" s="64" t="e">
        <f t="shared" si="133"/>
        <v>#DIV/0!</v>
      </c>
      <c r="AI125" s="64" t="e">
        <f t="shared" ref="AI125" si="136">AI118/AI109*100</f>
        <v>#DIV/0!</v>
      </c>
      <c r="AJ125" s="97"/>
      <c r="AK125" s="99">
        <f>AK118/AK109*100</f>
        <v>6.1714329117769924E-2</v>
      </c>
      <c r="AM125" s="98"/>
      <c r="EA125" s="203"/>
      <c r="EB125" s="203"/>
      <c r="FH125" s="203"/>
      <c r="GP125" s="7"/>
      <c r="GQ125" s="203"/>
      <c r="GR125" s="203"/>
      <c r="GS125" s="203"/>
      <c r="GT125" s="203"/>
      <c r="IW125" s="203"/>
      <c r="MR125" s="203"/>
      <c r="MS125" s="203"/>
      <c r="MT125" s="203"/>
      <c r="MU125" s="203"/>
      <c r="RY125" s="203"/>
      <c r="RZ125" s="203"/>
      <c r="SB125" s="203"/>
      <c r="SP125" s="206"/>
      <c r="ST125" s="203"/>
      <c r="UW125" s="206"/>
    </row>
    <row r="126" spans="2:569 15038:15430" s="1" customFormat="1" ht="13.8" hidden="1">
      <c r="B126" s="50"/>
      <c r="C126" s="20" t="s">
        <v>81</v>
      </c>
      <c r="D126" s="49">
        <v>0.5</v>
      </c>
      <c r="E126" s="183" t="s">
        <v>12</v>
      </c>
      <c r="F126" s="64" t="e">
        <f t="shared" si="133"/>
        <v>#DIV/0!</v>
      </c>
      <c r="G126" s="64">
        <f t="shared" si="133"/>
        <v>0</v>
      </c>
      <c r="H126" s="64">
        <f t="shared" si="133"/>
        <v>6.8166325835037501E-3</v>
      </c>
      <c r="I126" s="64" t="e">
        <f t="shared" si="133"/>
        <v>#DIV/0!</v>
      </c>
      <c r="J126" s="64" t="e">
        <f t="shared" si="133"/>
        <v>#DIV/0!</v>
      </c>
      <c r="K126" s="64" t="e">
        <f t="shared" si="133"/>
        <v>#DIV/0!</v>
      </c>
      <c r="L126" s="64" t="e">
        <f t="shared" ref="L126" si="137">L119/L110*100</f>
        <v>#DIV/0!</v>
      </c>
      <c r="M126" s="64" t="e">
        <f t="shared" si="133"/>
        <v>#DIV/0!</v>
      </c>
      <c r="N126" s="64" t="e">
        <f t="shared" si="133"/>
        <v>#DIV/0!</v>
      </c>
      <c r="O126" s="64" t="e">
        <f t="shared" si="133"/>
        <v>#DIV/0!</v>
      </c>
      <c r="P126" s="64" t="e">
        <f t="shared" si="133"/>
        <v>#DIV/0!</v>
      </c>
      <c r="Q126" s="64" t="e">
        <f t="shared" si="133"/>
        <v>#DIV/0!</v>
      </c>
      <c r="R126" s="64" t="e">
        <f t="shared" si="133"/>
        <v>#DIV/0!</v>
      </c>
      <c r="S126" s="64" t="e">
        <f t="shared" si="133"/>
        <v>#DIV/0!</v>
      </c>
      <c r="T126" s="64" t="e">
        <f t="shared" si="133"/>
        <v>#DIV/0!</v>
      </c>
      <c r="U126" s="64" t="e">
        <f t="shared" si="133"/>
        <v>#DIV/0!</v>
      </c>
      <c r="V126" s="64" t="e">
        <f t="shared" si="133"/>
        <v>#DIV/0!</v>
      </c>
      <c r="W126" s="64" t="e">
        <f t="shared" si="133"/>
        <v>#DIV/0!</v>
      </c>
      <c r="X126" s="64" t="e">
        <f t="shared" si="133"/>
        <v>#DIV/0!</v>
      </c>
      <c r="Y126" s="64" t="e">
        <f t="shared" si="133"/>
        <v>#DIV/0!</v>
      </c>
      <c r="Z126" s="64" t="e">
        <f t="shared" si="133"/>
        <v>#DIV/0!</v>
      </c>
      <c r="AA126" s="64" t="e">
        <f t="shared" si="133"/>
        <v>#DIV/0!</v>
      </c>
      <c r="AB126" s="64" t="e">
        <f t="shared" si="133"/>
        <v>#DIV/0!</v>
      </c>
      <c r="AC126" s="64" t="e">
        <f t="shared" si="133"/>
        <v>#DIV/0!</v>
      </c>
      <c r="AD126" s="64" t="e">
        <f t="shared" si="133"/>
        <v>#DIV/0!</v>
      </c>
      <c r="AE126" s="64" t="e">
        <f t="shared" ref="AE126:AG126" si="138">AE119/AE110*100</f>
        <v>#DIV/0!</v>
      </c>
      <c r="AF126" s="64" t="e">
        <f t="shared" si="138"/>
        <v>#DIV/0!</v>
      </c>
      <c r="AG126" s="64">
        <f t="shared" si="138"/>
        <v>0</v>
      </c>
      <c r="AH126" s="64" t="e">
        <f t="shared" si="133"/>
        <v>#DIV/0!</v>
      </c>
      <c r="AI126" s="64" t="e">
        <f t="shared" ref="AI126" si="139">AI119/AI110*100</f>
        <v>#DIV/0!</v>
      </c>
      <c r="AJ126" s="97"/>
      <c r="AK126" s="99">
        <f>AK119/AK110*100</f>
        <v>3.3670033670033669E-3</v>
      </c>
      <c r="AM126" s="98"/>
      <c r="EA126" s="203"/>
      <c r="EB126" s="203"/>
      <c r="FH126" s="203"/>
      <c r="GP126" s="7"/>
      <c r="GQ126" s="203"/>
      <c r="GR126" s="203"/>
      <c r="GS126" s="203"/>
      <c r="GT126" s="203"/>
      <c r="IW126" s="203"/>
      <c r="MR126" s="203"/>
      <c r="MS126" s="203"/>
      <c r="MT126" s="203"/>
      <c r="MU126" s="203"/>
      <c r="RY126" s="203"/>
      <c r="RZ126" s="203"/>
      <c r="SB126" s="203"/>
      <c r="SP126" s="206"/>
      <c r="ST126" s="203"/>
      <c r="UW126" s="206"/>
    </row>
    <row r="127" spans="2:569 15038:15430" s="1" customFormat="1">
      <c r="B127" s="34">
        <v>7</v>
      </c>
      <c r="C127" s="16" t="s">
        <v>164</v>
      </c>
      <c r="D127" s="35"/>
      <c r="E127" s="35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83"/>
      <c r="AD127" s="36"/>
      <c r="AE127" s="36"/>
      <c r="AF127" s="36"/>
      <c r="AG127" s="36"/>
      <c r="AH127" s="36"/>
      <c r="AI127" s="36"/>
      <c r="AJ127" s="87"/>
      <c r="AK127" s="180" t="s">
        <v>62</v>
      </c>
      <c r="AM127" s="10"/>
      <c r="DD127" s="219"/>
      <c r="DE127" s="219"/>
      <c r="DF127" s="203"/>
      <c r="DG127" s="203"/>
      <c r="DH127" s="219"/>
      <c r="DI127" s="203"/>
      <c r="DJ127" s="219"/>
      <c r="DK127" s="219"/>
      <c r="DL127" s="219"/>
      <c r="DM127" s="219"/>
      <c r="EA127" s="219"/>
      <c r="EB127" s="219"/>
      <c r="FH127" s="219"/>
      <c r="GP127" s="7"/>
      <c r="GQ127" s="219"/>
      <c r="GR127" s="219"/>
      <c r="GS127" s="219"/>
      <c r="GT127" s="219"/>
      <c r="IW127" s="219"/>
      <c r="MR127" s="219"/>
      <c r="MS127" s="219"/>
      <c r="MT127" s="219"/>
      <c r="MU127" s="219"/>
      <c r="RY127" s="219"/>
      <c r="RZ127" s="219"/>
      <c r="SB127" s="219"/>
      <c r="SP127" s="240"/>
      <c r="ST127" s="219"/>
      <c r="UW127" s="240"/>
      <c r="VFJ127"/>
      <c r="VFK127"/>
      <c r="VFL127"/>
      <c r="VFM127"/>
      <c r="VFN127"/>
      <c r="VFO127"/>
      <c r="VFP127"/>
      <c r="VFQ127"/>
      <c r="VFR127"/>
      <c r="VFS127"/>
      <c r="VFT127"/>
      <c r="VFU127"/>
      <c r="VFV127"/>
      <c r="VFW127"/>
      <c r="VFX127"/>
      <c r="VFY127"/>
      <c r="VFZ127"/>
      <c r="VGA127"/>
      <c r="VGB127"/>
      <c r="VGC127"/>
      <c r="VGD127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</row>
    <row r="128" spans="2:569 15038:15430" s="5" customFormat="1" ht="13.8">
      <c r="B128" s="37"/>
      <c r="C128" s="192" t="s">
        <v>115</v>
      </c>
      <c r="D128" s="123"/>
      <c r="E128" s="193" t="s">
        <v>9</v>
      </c>
      <c r="F128" s="282">
        <v>0</v>
      </c>
      <c r="G128" s="282">
        <v>0</v>
      </c>
      <c r="H128" s="282">
        <v>0</v>
      </c>
      <c r="I128" s="282">
        <v>0</v>
      </c>
      <c r="J128" s="282">
        <v>0</v>
      </c>
      <c r="K128" s="282">
        <v>0</v>
      </c>
      <c r="L128" s="282">
        <v>0</v>
      </c>
      <c r="M128" s="282">
        <v>0</v>
      </c>
      <c r="N128" s="282">
        <v>0</v>
      </c>
      <c r="O128" s="282">
        <v>0</v>
      </c>
      <c r="P128" s="282">
        <v>0</v>
      </c>
      <c r="Q128" s="282">
        <v>0</v>
      </c>
      <c r="R128" s="282">
        <v>0</v>
      </c>
      <c r="S128" s="282">
        <v>0</v>
      </c>
      <c r="T128" s="282">
        <v>0</v>
      </c>
      <c r="U128" s="282">
        <v>24560.978739999999</v>
      </c>
      <c r="V128" s="282">
        <v>27897.571799999998</v>
      </c>
      <c r="W128" s="282">
        <v>0</v>
      </c>
      <c r="X128" s="282">
        <v>0</v>
      </c>
      <c r="Y128" s="282">
        <v>0</v>
      </c>
      <c r="Z128" s="282">
        <v>0</v>
      </c>
      <c r="AA128" s="282">
        <v>0</v>
      </c>
      <c r="AB128" s="282">
        <v>0</v>
      </c>
      <c r="AC128" s="282">
        <v>0</v>
      </c>
      <c r="AD128" s="282">
        <v>0</v>
      </c>
      <c r="AE128" s="282">
        <v>0</v>
      </c>
      <c r="AF128" s="282">
        <v>0</v>
      </c>
      <c r="AG128" s="282">
        <v>0</v>
      </c>
      <c r="AH128" s="282">
        <v>0</v>
      </c>
      <c r="AI128" s="282">
        <v>0</v>
      </c>
      <c r="AJ128" s="137"/>
      <c r="AK128" s="135">
        <f>SUM(AK129:AK130)</f>
        <v>52458.550539999997</v>
      </c>
      <c r="AM128" s="136"/>
      <c r="DD128" s="238"/>
      <c r="DE128" s="213"/>
      <c r="DF128" s="213"/>
      <c r="DG128" s="213"/>
      <c r="DH128" s="238"/>
      <c r="DI128" s="213"/>
      <c r="DJ128" s="213"/>
      <c r="DK128" s="213"/>
      <c r="DL128" s="213"/>
      <c r="DM128" s="213"/>
      <c r="EA128" s="213"/>
      <c r="EB128" s="213"/>
      <c r="FH128" s="213"/>
      <c r="GP128" s="247"/>
      <c r="GQ128" s="213"/>
      <c r="GR128" s="213"/>
      <c r="GS128" s="213"/>
      <c r="GT128" s="213"/>
      <c r="IW128" s="213"/>
      <c r="MR128" s="213"/>
      <c r="MS128" s="213"/>
      <c r="MT128" s="213"/>
      <c r="MU128" s="213"/>
      <c r="RY128" s="213"/>
      <c r="RZ128" s="213"/>
      <c r="SB128" s="213"/>
      <c r="SP128" s="296"/>
      <c r="ST128" s="213"/>
      <c r="UW128" s="296"/>
    </row>
    <row r="129" spans="2:569 15038:15430" s="1" customFormat="1">
      <c r="B129" s="50"/>
      <c r="C129" s="194" t="s">
        <v>65</v>
      </c>
      <c r="D129" s="54"/>
      <c r="E129" s="183" t="s">
        <v>9</v>
      </c>
      <c r="F129" s="64">
        <f t="shared" ref="F129:T129" si="140">SUM(F132:F133)*9.75348</f>
        <v>0</v>
      </c>
      <c r="G129" s="64">
        <f t="shared" si="140"/>
        <v>0</v>
      </c>
      <c r="H129" s="64">
        <f t="shared" si="140"/>
        <v>0</v>
      </c>
      <c r="I129" s="64">
        <f t="shared" si="140"/>
        <v>0</v>
      </c>
      <c r="J129" s="64">
        <f t="shared" si="140"/>
        <v>0</v>
      </c>
      <c r="K129" s="64">
        <f t="shared" si="140"/>
        <v>0</v>
      </c>
      <c r="L129" s="64">
        <f t="shared" si="140"/>
        <v>0</v>
      </c>
      <c r="M129" s="64">
        <f t="shared" si="140"/>
        <v>0</v>
      </c>
      <c r="N129" s="64">
        <f t="shared" si="140"/>
        <v>0</v>
      </c>
      <c r="O129" s="64">
        <f t="shared" si="140"/>
        <v>0</v>
      </c>
      <c r="P129" s="64">
        <f t="shared" si="140"/>
        <v>0</v>
      </c>
      <c r="Q129" s="64">
        <f t="shared" si="140"/>
        <v>0</v>
      </c>
      <c r="R129" s="64">
        <f t="shared" si="140"/>
        <v>0</v>
      </c>
      <c r="S129" s="64">
        <f t="shared" si="140"/>
        <v>0</v>
      </c>
      <c r="T129" s="64">
        <f t="shared" si="140"/>
        <v>0</v>
      </c>
      <c r="U129" s="64">
        <f>SUM(U132:U133)*9.75348</f>
        <v>24559.262640000001</v>
      </c>
      <c r="V129" s="64">
        <f t="shared" ref="V129:Z129" si="141">SUM(V132:V133)*9.75348</f>
        <v>27894.952799999999</v>
      </c>
      <c r="W129" s="64">
        <f t="shared" si="141"/>
        <v>0</v>
      </c>
      <c r="X129" s="64">
        <f t="shared" si="141"/>
        <v>0</v>
      </c>
      <c r="Y129" s="64">
        <f t="shared" si="141"/>
        <v>0</v>
      </c>
      <c r="Z129" s="64">
        <f t="shared" si="141"/>
        <v>0</v>
      </c>
      <c r="AA129" s="64">
        <f t="shared" ref="AA129:AD129" si="142">SUM(AA132:AA133)*10.86</f>
        <v>0</v>
      </c>
      <c r="AB129" s="64">
        <f t="shared" si="142"/>
        <v>0</v>
      </c>
      <c r="AC129" s="64">
        <f t="shared" si="142"/>
        <v>0</v>
      </c>
      <c r="AD129" s="64">
        <f t="shared" si="142"/>
        <v>0</v>
      </c>
      <c r="AE129" s="64">
        <f t="shared" ref="AE129:AG129" si="143">SUM(AE132:AE133)*10.86</f>
        <v>0</v>
      </c>
      <c r="AF129" s="64">
        <f t="shared" si="143"/>
        <v>0</v>
      </c>
      <c r="AG129" s="64">
        <f t="shared" si="143"/>
        <v>0</v>
      </c>
      <c r="AH129" s="64">
        <f t="shared" ref="AH129" si="144">SUM(AH132:AH133)*10.86</f>
        <v>0</v>
      </c>
      <c r="AI129" s="64">
        <f t="shared" ref="AI129" si="145">SUM(AI132:AI133)*10.86</f>
        <v>0</v>
      </c>
      <c r="AJ129" s="97"/>
      <c r="AK129" s="99">
        <f>SUM(F129:AI129)</f>
        <v>52454.21544</v>
      </c>
      <c r="AM129" s="98"/>
      <c r="AN129" s="291">
        <f>Q129/1000</f>
        <v>0</v>
      </c>
      <c r="DD129" s="234"/>
      <c r="DE129" s="213"/>
      <c r="DF129" s="213"/>
      <c r="DG129" s="213"/>
      <c r="DH129" s="213"/>
      <c r="DI129" s="213"/>
      <c r="DJ129" s="203"/>
      <c r="DK129" s="203"/>
      <c r="DL129" s="203"/>
      <c r="DM129" s="203"/>
      <c r="EA129" s="203"/>
      <c r="EB129" s="203"/>
      <c r="FH129" s="203"/>
      <c r="GP129" s="7"/>
      <c r="GQ129" s="203"/>
      <c r="GR129" s="203"/>
      <c r="GS129" s="203"/>
      <c r="GT129" s="203"/>
      <c r="IW129" s="203"/>
      <c r="MR129" s="203"/>
      <c r="MS129" s="203"/>
      <c r="MT129" s="203"/>
      <c r="MU129" s="203"/>
      <c r="RY129" s="203"/>
      <c r="RZ129" s="203"/>
      <c r="SB129" s="203"/>
      <c r="SP129" s="206"/>
      <c r="ST129" s="203"/>
      <c r="UW129" s="206"/>
    </row>
    <row r="130" spans="2:569 15038:15430" s="1" customFormat="1">
      <c r="B130" s="50"/>
      <c r="C130" s="194" t="s">
        <v>66</v>
      </c>
      <c r="D130" s="54"/>
      <c r="E130" s="183" t="s">
        <v>9</v>
      </c>
      <c r="F130" s="64">
        <f t="shared" ref="F130:AI130" si="146">F128-F129</f>
        <v>0</v>
      </c>
      <c r="G130" s="64">
        <f t="shared" si="146"/>
        <v>0</v>
      </c>
      <c r="H130" s="64">
        <f t="shared" si="146"/>
        <v>0</v>
      </c>
      <c r="I130" s="64">
        <f t="shared" si="146"/>
        <v>0</v>
      </c>
      <c r="J130" s="64">
        <f t="shared" si="146"/>
        <v>0</v>
      </c>
      <c r="K130" s="64">
        <f t="shared" si="146"/>
        <v>0</v>
      </c>
      <c r="L130" s="64">
        <f t="shared" si="146"/>
        <v>0</v>
      </c>
      <c r="M130" s="64">
        <f t="shared" si="146"/>
        <v>0</v>
      </c>
      <c r="N130" s="64">
        <f t="shared" si="146"/>
        <v>0</v>
      </c>
      <c r="O130" s="64">
        <f t="shared" si="146"/>
        <v>0</v>
      </c>
      <c r="P130" s="64">
        <f t="shared" si="146"/>
        <v>0</v>
      </c>
      <c r="Q130" s="64">
        <f t="shared" si="146"/>
        <v>0</v>
      </c>
      <c r="R130" s="64">
        <f t="shared" si="146"/>
        <v>0</v>
      </c>
      <c r="S130" s="64">
        <f t="shared" si="146"/>
        <v>0</v>
      </c>
      <c r="T130" s="64">
        <f t="shared" si="146"/>
        <v>0</v>
      </c>
      <c r="U130" s="64">
        <f t="shared" si="146"/>
        <v>1.716099999997823</v>
      </c>
      <c r="V130" s="64">
        <f t="shared" si="146"/>
        <v>2.6189999999987776</v>
      </c>
      <c r="W130" s="64">
        <f t="shared" si="146"/>
        <v>0</v>
      </c>
      <c r="X130" s="64">
        <f t="shared" si="146"/>
        <v>0</v>
      </c>
      <c r="Y130" s="64">
        <f t="shared" si="146"/>
        <v>0</v>
      </c>
      <c r="Z130" s="64">
        <f t="shared" si="146"/>
        <v>0</v>
      </c>
      <c r="AA130" s="64">
        <f t="shared" si="146"/>
        <v>0</v>
      </c>
      <c r="AB130" s="64">
        <f t="shared" si="146"/>
        <v>0</v>
      </c>
      <c r="AC130" s="64">
        <f t="shared" si="146"/>
        <v>0</v>
      </c>
      <c r="AD130" s="64">
        <f t="shared" si="146"/>
        <v>0</v>
      </c>
      <c r="AE130" s="64">
        <f t="shared" si="146"/>
        <v>0</v>
      </c>
      <c r="AF130" s="64">
        <f t="shared" si="146"/>
        <v>0</v>
      </c>
      <c r="AG130" s="64">
        <f t="shared" si="146"/>
        <v>0</v>
      </c>
      <c r="AH130" s="64">
        <f t="shared" si="146"/>
        <v>0</v>
      </c>
      <c r="AI130" s="64">
        <f t="shared" si="146"/>
        <v>0</v>
      </c>
      <c r="AJ130" s="97"/>
      <c r="AK130" s="99">
        <f>SUM(F130:AI130)</f>
        <v>4.3350999999966007</v>
      </c>
      <c r="AM130" s="98"/>
      <c r="DD130" s="203"/>
      <c r="DE130" s="203"/>
      <c r="DF130" s="203"/>
      <c r="DG130" s="203"/>
      <c r="DH130" s="203"/>
      <c r="DI130" s="203"/>
      <c r="DJ130" s="203"/>
      <c r="DK130" s="203"/>
      <c r="DL130" s="203"/>
      <c r="DM130" s="203"/>
      <c r="EA130" s="203"/>
      <c r="EB130" s="203"/>
      <c r="FH130" s="203"/>
      <c r="GP130" s="7"/>
      <c r="GQ130" s="203"/>
      <c r="GR130" s="203"/>
      <c r="GS130" s="203"/>
      <c r="GT130" s="203"/>
      <c r="IW130" s="203"/>
      <c r="IX130" s="1">
        <f>0.9*12</f>
        <v>10.8</v>
      </c>
      <c r="MR130" s="203"/>
      <c r="MS130" s="203"/>
      <c r="MT130" s="203"/>
      <c r="MU130" s="203"/>
      <c r="RY130" s="203"/>
      <c r="RZ130" s="203"/>
      <c r="SB130" s="203"/>
      <c r="SP130" s="206"/>
      <c r="ST130" s="203"/>
      <c r="UW130" s="206"/>
    </row>
    <row r="131" spans="2:569 15038:15430" s="1" customFormat="1">
      <c r="B131" s="50"/>
      <c r="C131" s="194" t="s">
        <v>67</v>
      </c>
      <c r="D131" s="54"/>
      <c r="E131" s="5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97"/>
      <c r="AK131" s="102" t="s">
        <v>67</v>
      </c>
      <c r="AM131" s="98"/>
      <c r="DD131" s="203"/>
      <c r="DE131" s="203"/>
      <c r="DF131" s="203"/>
      <c r="DG131" s="203"/>
      <c r="DH131" s="203"/>
      <c r="DI131" s="203"/>
      <c r="DJ131" s="203"/>
      <c r="DK131" s="203"/>
      <c r="DL131" s="203"/>
      <c r="DM131" s="203"/>
      <c r="EA131" s="203"/>
      <c r="EB131" s="203"/>
      <c r="FH131" s="203"/>
      <c r="GP131" s="7"/>
      <c r="GQ131" s="203"/>
      <c r="GR131" s="203"/>
      <c r="GS131" s="203"/>
      <c r="GT131" s="203"/>
      <c r="IW131" s="203"/>
      <c r="MR131" s="203"/>
      <c r="MS131" s="203"/>
      <c r="MT131" s="203"/>
      <c r="MU131" s="203"/>
      <c r="RY131" s="203"/>
      <c r="RZ131" s="203"/>
      <c r="SB131" s="203"/>
      <c r="SP131" s="206"/>
      <c r="ST131" s="203"/>
      <c r="UW131" s="206"/>
    </row>
    <row r="132" spans="2:569 15038:15430" s="6" customFormat="1" ht="13.8">
      <c r="B132" s="22"/>
      <c r="C132" s="20" t="s">
        <v>166</v>
      </c>
      <c r="D132" s="21"/>
      <c r="E132" s="196" t="s">
        <v>69</v>
      </c>
      <c r="F132" s="125">
        <v>0</v>
      </c>
      <c r="G132" s="125">
        <v>0</v>
      </c>
      <c r="H132" s="125">
        <v>0</v>
      </c>
      <c r="I132" s="125">
        <v>0</v>
      </c>
      <c r="J132" s="125">
        <v>0</v>
      </c>
      <c r="K132" s="125">
        <v>0</v>
      </c>
      <c r="L132" s="125">
        <v>0</v>
      </c>
      <c r="M132" s="125">
        <v>0</v>
      </c>
      <c r="N132" s="125">
        <v>0</v>
      </c>
      <c r="O132" s="125">
        <v>0</v>
      </c>
      <c r="P132" s="125">
        <v>0</v>
      </c>
      <c r="Q132" s="125">
        <v>0</v>
      </c>
      <c r="R132" s="125">
        <v>0</v>
      </c>
      <c r="S132" s="125">
        <v>0</v>
      </c>
      <c r="T132" s="125">
        <v>0</v>
      </c>
      <c r="U132" s="125">
        <v>2518</v>
      </c>
      <c r="V132" s="125">
        <v>2860</v>
      </c>
      <c r="W132" s="125">
        <v>0</v>
      </c>
      <c r="X132" s="125">
        <v>0</v>
      </c>
      <c r="Y132" s="125">
        <v>0</v>
      </c>
      <c r="Z132" s="125">
        <v>0</v>
      </c>
      <c r="AA132" s="125">
        <v>0</v>
      </c>
      <c r="AB132" s="125">
        <v>0</v>
      </c>
      <c r="AC132" s="125">
        <v>0</v>
      </c>
      <c r="AD132" s="125">
        <v>0</v>
      </c>
      <c r="AE132" s="125">
        <v>0</v>
      </c>
      <c r="AF132" s="125">
        <v>0</v>
      </c>
      <c r="AG132" s="125">
        <v>0</v>
      </c>
      <c r="AH132" s="125">
        <v>0</v>
      </c>
      <c r="AI132" s="125">
        <v>0</v>
      </c>
      <c r="AJ132" s="104"/>
      <c r="AK132" s="105">
        <f>SUM(F132:AI132)</f>
        <v>5378</v>
      </c>
      <c r="AM132" s="138"/>
      <c r="AN132" s="205">
        <f>Q132*10.86</f>
        <v>0</v>
      </c>
      <c r="AO132" s="205">
        <f>AN132/1000</f>
        <v>0</v>
      </c>
      <c r="DD132" s="233"/>
      <c r="DE132" s="233"/>
      <c r="DF132" s="233"/>
      <c r="DG132" s="233"/>
      <c r="DH132" s="233"/>
      <c r="DI132" s="233"/>
      <c r="DJ132" s="233"/>
      <c r="DK132" s="233"/>
      <c r="DL132" s="233"/>
      <c r="DM132" s="233"/>
      <c r="EA132" s="233"/>
      <c r="EB132" s="233"/>
      <c r="FH132" s="233"/>
      <c r="GP132" s="245"/>
      <c r="GQ132" s="233"/>
      <c r="GR132" s="233"/>
      <c r="GS132" s="233"/>
      <c r="GT132" s="233"/>
      <c r="IW132" s="233"/>
      <c r="MR132" s="233"/>
      <c r="MS132" s="233"/>
      <c r="MT132" s="233"/>
      <c r="MU132" s="233"/>
      <c r="RY132" s="233"/>
      <c r="RZ132" s="233"/>
      <c r="SB132" s="233"/>
      <c r="SP132" s="297"/>
      <c r="ST132" s="233"/>
      <c r="UW132" s="297"/>
    </row>
    <row r="133" spans="2:569 15038:15430" s="6" customFormat="1" ht="13.8">
      <c r="B133" s="22"/>
      <c r="C133" s="20" t="s">
        <v>165</v>
      </c>
      <c r="D133" s="21"/>
      <c r="E133" s="196" t="s">
        <v>69</v>
      </c>
      <c r="F133" s="125">
        <v>0</v>
      </c>
      <c r="G133" s="125">
        <v>0</v>
      </c>
      <c r="H133" s="125">
        <v>0</v>
      </c>
      <c r="I133" s="125">
        <v>0</v>
      </c>
      <c r="J133" s="125">
        <v>0</v>
      </c>
      <c r="K133" s="125">
        <v>0</v>
      </c>
      <c r="L133" s="125">
        <v>0</v>
      </c>
      <c r="M133" s="125">
        <v>0</v>
      </c>
      <c r="N133" s="125">
        <v>0</v>
      </c>
      <c r="O133" s="125">
        <v>0</v>
      </c>
      <c r="P133" s="125">
        <v>0</v>
      </c>
      <c r="Q133" s="282">
        <v>0</v>
      </c>
      <c r="R133" s="282">
        <v>0</v>
      </c>
      <c r="S133" s="282">
        <v>0</v>
      </c>
      <c r="T133" s="282">
        <v>0</v>
      </c>
      <c r="U133" s="282">
        <v>0</v>
      </c>
      <c r="V133" s="282">
        <v>0</v>
      </c>
      <c r="W133" s="282">
        <v>0</v>
      </c>
      <c r="X133" s="282">
        <v>0</v>
      </c>
      <c r="Y133" s="282">
        <v>0</v>
      </c>
      <c r="Z133" s="282">
        <v>0</v>
      </c>
      <c r="AA133" s="282">
        <v>0</v>
      </c>
      <c r="AB133" s="282">
        <v>0</v>
      </c>
      <c r="AC133" s="282">
        <v>0</v>
      </c>
      <c r="AD133" s="282">
        <v>0</v>
      </c>
      <c r="AE133" s="282">
        <v>0</v>
      </c>
      <c r="AF133" s="282">
        <v>0</v>
      </c>
      <c r="AG133" s="282">
        <v>0</v>
      </c>
      <c r="AH133" s="282">
        <v>0</v>
      </c>
      <c r="AI133" s="282">
        <v>0</v>
      </c>
      <c r="AJ133" s="104"/>
      <c r="AK133" s="105">
        <f>SUM(F133:AI133)</f>
        <v>0</v>
      </c>
      <c r="AM133" s="138"/>
      <c r="AN133" s="205">
        <f>Q133*10.86</f>
        <v>0</v>
      </c>
      <c r="AO133" s="205">
        <f>AN133/1000</f>
        <v>0</v>
      </c>
      <c r="DD133" s="233"/>
      <c r="DE133" s="233"/>
      <c r="DF133" s="233"/>
      <c r="DG133" s="233"/>
      <c r="DH133" s="233"/>
      <c r="DI133" s="233"/>
      <c r="DJ133" s="233"/>
      <c r="DK133" s="233"/>
      <c r="DL133" s="233"/>
      <c r="DM133" s="233"/>
      <c r="EA133" s="233"/>
      <c r="EB133" s="233"/>
      <c r="FH133" s="233"/>
      <c r="GP133" s="245"/>
      <c r="GQ133" s="233"/>
      <c r="GR133" s="233"/>
      <c r="GS133" s="233"/>
      <c r="GT133" s="233"/>
      <c r="IW133" s="233"/>
      <c r="MR133" s="233"/>
      <c r="MS133" s="233"/>
      <c r="MT133" s="233"/>
      <c r="MU133" s="233"/>
      <c r="RY133" s="233"/>
      <c r="RZ133" s="233"/>
      <c r="SB133" s="233"/>
      <c r="SP133" s="297"/>
      <c r="ST133" s="233"/>
      <c r="UW133" s="297"/>
    </row>
    <row r="134" spans="2:569 15038:15430" s="1" customFormat="1">
      <c r="B134" s="50"/>
      <c r="C134" s="194" t="s">
        <v>71</v>
      </c>
      <c r="D134" s="54"/>
      <c r="E134" s="5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97"/>
      <c r="AK134" s="102" t="s">
        <v>71</v>
      </c>
      <c r="AM134" s="98"/>
      <c r="DD134" s="203"/>
      <c r="DE134" s="203"/>
      <c r="DF134" s="203"/>
      <c r="DG134" s="203"/>
      <c r="DH134" s="203"/>
      <c r="DI134" s="203"/>
      <c r="DJ134" s="203"/>
      <c r="DK134" s="203"/>
      <c r="DL134" s="203"/>
      <c r="DM134" s="203"/>
      <c r="EA134" s="203"/>
      <c r="EB134" s="203"/>
      <c r="FH134" s="203"/>
      <c r="GP134" s="7"/>
      <c r="GQ134" s="203"/>
      <c r="GR134" s="203"/>
      <c r="GS134" s="203"/>
      <c r="GT134" s="203"/>
      <c r="IW134" s="203"/>
      <c r="MR134" s="203"/>
      <c r="MS134" s="203"/>
      <c r="MT134" s="203"/>
      <c r="MU134" s="203"/>
      <c r="RY134" s="203"/>
      <c r="RZ134" s="203"/>
      <c r="SB134" s="203"/>
      <c r="SP134" s="206"/>
      <c r="ST134" s="203"/>
      <c r="UW134" s="206"/>
    </row>
    <row r="135" spans="2:569 15038:15430" s="1" customFormat="1" ht="13.8">
      <c r="B135" s="50"/>
      <c r="C135" s="20" t="s">
        <v>166</v>
      </c>
      <c r="D135" s="54"/>
      <c r="E135" s="183" t="s">
        <v>71</v>
      </c>
      <c r="F135" s="40">
        <f t="shared" ref="F135:AI135" si="147">F132*12</f>
        <v>0</v>
      </c>
      <c r="G135" s="40">
        <f t="shared" si="147"/>
        <v>0</v>
      </c>
      <c r="H135" s="40">
        <f t="shared" si="147"/>
        <v>0</v>
      </c>
      <c r="I135" s="40">
        <f t="shared" si="147"/>
        <v>0</v>
      </c>
      <c r="J135" s="40">
        <f t="shared" si="147"/>
        <v>0</v>
      </c>
      <c r="K135" s="40">
        <f t="shared" si="147"/>
        <v>0</v>
      </c>
      <c r="L135" s="40">
        <f t="shared" si="147"/>
        <v>0</v>
      </c>
      <c r="M135" s="40">
        <f t="shared" si="147"/>
        <v>0</v>
      </c>
      <c r="N135" s="40">
        <f t="shared" si="147"/>
        <v>0</v>
      </c>
      <c r="O135" s="40">
        <f t="shared" si="147"/>
        <v>0</v>
      </c>
      <c r="P135" s="40">
        <f t="shared" si="147"/>
        <v>0</v>
      </c>
      <c r="Q135" s="40">
        <f t="shared" si="147"/>
        <v>0</v>
      </c>
      <c r="R135" s="40">
        <f t="shared" si="147"/>
        <v>0</v>
      </c>
      <c r="S135" s="40">
        <f t="shared" si="147"/>
        <v>0</v>
      </c>
      <c r="T135" s="40">
        <f t="shared" si="147"/>
        <v>0</v>
      </c>
      <c r="U135" s="40">
        <f t="shared" si="147"/>
        <v>30216</v>
      </c>
      <c r="V135" s="40">
        <f t="shared" si="147"/>
        <v>34320</v>
      </c>
      <c r="W135" s="40">
        <f t="shared" si="147"/>
        <v>0</v>
      </c>
      <c r="X135" s="40">
        <f t="shared" si="147"/>
        <v>0</v>
      </c>
      <c r="Y135" s="40">
        <f t="shared" si="147"/>
        <v>0</v>
      </c>
      <c r="Z135" s="40">
        <f t="shared" si="147"/>
        <v>0</v>
      </c>
      <c r="AA135" s="40">
        <f t="shared" si="147"/>
        <v>0</v>
      </c>
      <c r="AB135" s="40">
        <f t="shared" si="147"/>
        <v>0</v>
      </c>
      <c r="AC135" s="40">
        <f t="shared" si="147"/>
        <v>0</v>
      </c>
      <c r="AD135" s="40">
        <f t="shared" si="147"/>
        <v>0</v>
      </c>
      <c r="AE135" s="40">
        <f t="shared" si="147"/>
        <v>0</v>
      </c>
      <c r="AF135" s="40">
        <f t="shared" si="147"/>
        <v>0</v>
      </c>
      <c r="AG135" s="40">
        <f t="shared" si="147"/>
        <v>0</v>
      </c>
      <c r="AH135" s="40">
        <f t="shared" si="147"/>
        <v>0</v>
      </c>
      <c r="AI135" s="40">
        <f t="shared" si="147"/>
        <v>0</v>
      </c>
      <c r="AJ135" s="97"/>
      <c r="AK135" s="96">
        <f>AK132*12</f>
        <v>64536</v>
      </c>
      <c r="AM135" s="98"/>
      <c r="DD135" s="203"/>
      <c r="DE135" s="203"/>
      <c r="DF135" s="203"/>
      <c r="DG135" s="203"/>
      <c r="DH135" s="203"/>
      <c r="DI135" s="203"/>
      <c r="DJ135" s="203"/>
      <c r="DK135" s="203"/>
      <c r="DL135" s="203"/>
      <c r="DM135" s="203"/>
      <c r="EA135" s="203"/>
      <c r="EB135" s="203"/>
      <c r="FH135" s="203"/>
      <c r="GP135" s="7"/>
      <c r="GQ135" s="203"/>
      <c r="GR135" s="203"/>
      <c r="GS135" s="203"/>
      <c r="GT135" s="203"/>
      <c r="IW135" s="203"/>
      <c r="MR135" s="203"/>
      <c r="MS135" s="203"/>
      <c r="MT135" s="203"/>
      <c r="MU135" s="203"/>
      <c r="RY135" s="203"/>
      <c r="RZ135" s="203"/>
      <c r="SB135" s="203"/>
      <c r="SP135" s="206"/>
      <c r="ST135" s="203"/>
      <c r="UW135" s="206"/>
    </row>
    <row r="136" spans="2:569 15038:15430" s="1" customFormat="1" ht="13.8">
      <c r="B136" s="50"/>
      <c r="C136" s="20" t="s">
        <v>165</v>
      </c>
      <c r="D136" s="54"/>
      <c r="E136" s="183" t="s">
        <v>71</v>
      </c>
      <c r="F136" s="40">
        <f t="shared" ref="F136:AI136" si="148">F133*6</f>
        <v>0</v>
      </c>
      <c r="G136" s="40">
        <f t="shared" si="148"/>
        <v>0</v>
      </c>
      <c r="H136" s="40">
        <f t="shared" si="148"/>
        <v>0</v>
      </c>
      <c r="I136" s="40">
        <f t="shared" si="148"/>
        <v>0</v>
      </c>
      <c r="J136" s="40">
        <f t="shared" si="148"/>
        <v>0</v>
      </c>
      <c r="K136" s="40">
        <f t="shared" si="148"/>
        <v>0</v>
      </c>
      <c r="L136" s="40">
        <f t="shared" si="148"/>
        <v>0</v>
      </c>
      <c r="M136" s="40">
        <f t="shared" si="148"/>
        <v>0</v>
      </c>
      <c r="N136" s="40">
        <f t="shared" si="148"/>
        <v>0</v>
      </c>
      <c r="O136" s="40">
        <f t="shared" si="148"/>
        <v>0</v>
      </c>
      <c r="P136" s="40">
        <f t="shared" si="148"/>
        <v>0</v>
      </c>
      <c r="Q136" s="40">
        <f t="shared" si="148"/>
        <v>0</v>
      </c>
      <c r="R136" s="40">
        <f t="shared" si="148"/>
        <v>0</v>
      </c>
      <c r="S136" s="40">
        <f t="shared" si="148"/>
        <v>0</v>
      </c>
      <c r="T136" s="40">
        <f t="shared" si="148"/>
        <v>0</v>
      </c>
      <c r="U136" s="40">
        <f t="shared" si="148"/>
        <v>0</v>
      </c>
      <c r="V136" s="40">
        <f t="shared" si="148"/>
        <v>0</v>
      </c>
      <c r="W136" s="40">
        <f t="shared" si="148"/>
        <v>0</v>
      </c>
      <c r="X136" s="40">
        <f t="shared" si="148"/>
        <v>0</v>
      </c>
      <c r="Y136" s="40">
        <f t="shared" si="148"/>
        <v>0</v>
      </c>
      <c r="Z136" s="40">
        <f t="shared" si="148"/>
        <v>0</v>
      </c>
      <c r="AA136" s="40">
        <f t="shared" si="148"/>
        <v>0</v>
      </c>
      <c r="AB136" s="40">
        <f t="shared" si="148"/>
        <v>0</v>
      </c>
      <c r="AC136" s="40">
        <f t="shared" si="148"/>
        <v>0</v>
      </c>
      <c r="AD136" s="40">
        <f t="shared" si="148"/>
        <v>0</v>
      </c>
      <c r="AE136" s="40">
        <f t="shared" si="148"/>
        <v>0</v>
      </c>
      <c r="AF136" s="40">
        <f t="shared" si="148"/>
        <v>0</v>
      </c>
      <c r="AG136" s="40">
        <f t="shared" si="148"/>
        <v>0</v>
      </c>
      <c r="AH136" s="40">
        <f t="shared" si="148"/>
        <v>0</v>
      </c>
      <c r="AI136" s="40">
        <f t="shared" si="148"/>
        <v>0</v>
      </c>
      <c r="AJ136" s="97"/>
      <c r="AK136" s="96">
        <f>AK133*6</f>
        <v>0</v>
      </c>
      <c r="AM136" s="98"/>
      <c r="DD136" s="203"/>
      <c r="DE136" s="203"/>
      <c r="DF136" s="203"/>
      <c r="DG136" s="203"/>
      <c r="DH136" s="203"/>
      <c r="DI136" s="203"/>
      <c r="DJ136" s="203"/>
      <c r="DK136" s="203"/>
      <c r="DL136" s="203"/>
      <c r="DM136" s="203"/>
      <c r="EA136" s="203"/>
      <c r="EB136" s="203"/>
      <c r="FH136" s="203"/>
      <c r="GP136" s="7"/>
      <c r="GQ136" s="203"/>
      <c r="GR136" s="203"/>
      <c r="GS136" s="203"/>
      <c r="GT136" s="203"/>
      <c r="IW136" s="203"/>
      <c r="MR136" s="203"/>
      <c r="MS136" s="203"/>
      <c r="MT136" s="203"/>
      <c r="MU136" s="203"/>
      <c r="RY136" s="203"/>
      <c r="RZ136" s="203"/>
      <c r="SB136" s="203"/>
      <c r="SP136" s="206"/>
      <c r="ST136" s="203"/>
      <c r="UW136" s="206"/>
    </row>
    <row r="137" spans="2:569 15038:15430" s="1" customFormat="1">
      <c r="B137" s="50"/>
      <c r="C137" s="194" t="s">
        <v>72</v>
      </c>
      <c r="D137" s="54"/>
      <c r="E137" s="183" t="s">
        <v>73</v>
      </c>
      <c r="F137" s="40">
        <v>0</v>
      </c>
      <c r="G137" s="40">
        <f>(G128*45)/1700</f>
        <v>0</v>
      </c>
      <c r="H137" s="40">
        <f t="shared" ref="H137:Y137" si="149">(H128*45)/1700</f>
        <v>0</v>
      </c>
      <c r="I137" s="40">
        <f t="shared" si="149"/>
        <v>0</v>
      </c>
      <c r="J137" s="40">
        <f t="shared" si="149"/>
        <v>0</v>
      </c>
      <c r="K137" s="40">
        <f t="shared" si="149"/>
        <v>0</v>
      </c>
      <c r="L137" s="40">
        <f t="shared" si="149"/>
        <v>0</v>
      </c>
      <c r="M137" s="40">
        <f t="shared" si="149"/>
        <v>0</v>
      </c>
      <c r="N137" s="40">
        <f t="shared" si="149"/>
        <v>0</v>
      </c>
      <c r="O137" s="40">
        <f t="shared" si="149"/>
        <v>0</v>
      </c>
      <c r="P137" s="40">
        <f t="shared" si="149"/>
        <v>0</v>
      </c>
      <c r="Q137" s="40">
        <f t="shared" si="149"/>
        <v>0</v>
      </c>
      <c r="R137" s="40">
        <f t="shared" si="149"/>
        <v>0</v>
      </c>
      <c r="S137" s="40">
        <f t="shared" si="149"/>
        <v>0</v>
      </c>
      <c r="T137" s="40">
        <f t="shared" si="149"/>
        <v>0</v>
      </c>
      <c r="U137" s="40">
        <f>(U128*45)/1700</f>
        <v>650.14355488235299</v>
      </c>
      <c r="V137" s="40">
        <f t="shared" si="149"/>
        <v>738.46513588235291</v>
      </c>
      <c r="W137" s="40">
        <f t="shared" si="149"/>
        <v>0</v>
      </c>
      <c r="X137" s="40">
        <f t="shared" si="149"/>
        <v>0</v>
      </c>
      <c r="Y137" s="40">
        <f t="shared" si="149"/>
        <v>0</v>
      </c>
      <c r="Z137" s="40">
        <f t="shared" ref="Z137:AI137" si="150">Z128*45/1700</f>
        <v>0</v>
      </c>
      <c r="AA137" s="40">
        <f t="shared" si="150"/>
        <v>0</v>
      </c>
      <c r="AB137" s="40">
        <f t="shared" si="150"/>
        <v>0</v>
      </c>
      <c r="AC137" s="40">
        <f t="shared" si="150"/>
        <v>0</v>
      </c>
      <c r="AD137" s="40">
        <f t="shared" si="150"/>
        <v>0</v>
      </c>
      <c r="AE137" s="40">
        <f t="shared" si="150"/>
        <v>0</v>
      </c>
      <c r="AF137" s="40">
        <f t="shared" si="150"/>
        <v>0</v>
      </c>
      <c r="AG137" s="40">
        <f t="shared" si="150"/>
        <v>0</v>
      </c>
      <c r="AH137" s="40">
        <f t="shared" si="150"/>
        <v>0</v>
      </c>
      <c r="AI137" s="40">
        <f t="shared" si="150"/>
        <v>0</v>
      </c>
      <c r="AJ137" s="97"/>
      <c r="AK137" s="96">
        <f>SUM(F137:AI137)</f>
        <v>1388.6086907647059</v>
      </c>
      <c r="AM137" s="98"/>
      <c r="DD137" s="203"/>
      <c r="DE137" s="203"/>
      <c r="DF137" s="203"/>
      <c r="DG137" s="203"/>
      <c r="DH137" s="203"/>
      <c r="DI137" s="203"/>
      <c r="DJ137" s="203"/>
      <c r="DK137" s="203"/>
      <c r="DL137" s="203"/>
      <c r="DM137" s="203"/>
      <c r="EA137" s="203"/>
      <c r="EB137" s="203"/>
      <c r="FH137" s="203"/>
      <c r="GP137" s="7"/>
      <c r="GQ137" s="203"/>
      <c r="GR137" s="203"/>
      <c r="GS137" s="203"/>
      <c r="GT137" s="203"/>
      <c r="IW137" s="203"/>
      <c r="MR137" s="203"/>
      <c r="MS137" s="203"/>
      <c r="MT137" s="203"/>
      <c r="MU137" s="203"/>
      <c r="RY137" s="203"/>
      <c r="RZ137" s="203"/>
      <c r="SB137" s="203"/>
      <c r="SP137" s="206"/>
      <c r="ST137" s="203"/>
      <c r="UW137" s="206"/>
    </row>
    <row r="138" spans="2:569 15038:15430" s="1" customFormat="1">
      <c r="B138" s="50"/>
      <c r="C138" s="194" t="s">
        <v>74</v>
      </c>
      <c r="D138" s="54"/>
      <c r="E138" s="183" t="s">
        <v>75</v>
      </c>
      <c r="F138" s="40">
        <f t="shared" ref="F138:AD138" si="151">SUM(F132:F133)/500</f>
        <v>0</v>
      </c>
      <c r="G138" s="40">
        <f t="shared" si="151"/>
        <v>0</v>
      </c>
      <c r="H138" s="40">
        <f t="shared" si="151"/>
        <v>0</v>
      </c>
      <c r="I138" s="40">
        <f t="shared" si="151"/>
        <v>0</v>
      </c>
      <c r="J138" s="40">
        <f t="shared" si="151"/>
        <v>0</v>
      </c>
      <c r="K138" s="40">
        <f t="shared" si="151"/>
        <v>0</v>
      </c>
      <c r="L138" s="40">
        <f t="shared" si="151"/>
        <v>0</v>
      </c>
      <c r="M138" s="40">
        <f t="shared" si="151"/>
        <v>0</v>
      </c>
      <c r="N138" s="40">
        <f t="shared" si="151"/>
        <v>0</v>
      </c>
      <c r="O138" s="40">
        <f t="shared" si="151"/>
        <v>0</v>
      </c>
      <c r="P138" s="40">
        <f t="shared" si="151"/>
        <v>0</v>
      </c>
      <c r="Q138" s="40">
        <f t="shared" si="151"/>
        <v>0</v>
      </c>
      <c r="R138" s="40">
        <f t="shared" si="151"/>
        <v>0</v>
      </c>
      <c r="S138" s="40">
        <f t="shared" si="151"/>
        <v>0</v>
      </c>
      <c r="T138" s="40">
        <f t="shared" si="151"/>
        <v>0</v>
      </c>
      <c r="U138" s="40">
        <f t="shared" si="151"/>
        <v>5.0359999999999996</v>
      </c>
      <c r="V138" s="40">
        <f t="shared" si="151"/>
        <v>5.72</v>
      </c>
      <c r="W138" s="40">
        <f t="shared" si="151"/>
        <v>0</v>
      </c>
      <c r="X138" s="40">
        <f t="shared" si="151"/>
        <v>0</v>
      </c>
      <c r="Y138" s="40">
        <f t="shared" si="151"/>
        <v>0</v>
      </c>
      <c r="Z138" s="40">
        <f t="shared" si="151"/>
        <v>0</v>
      </c>
      <c r="AA138" s="40">
        <f t="shared" si="151"/>
        <v>0</v>
      </c>
      <c r="AB138" s="40">
        <f t="shared" si="151"/>
        <v>0</v>
      </c>
      <c r="AC138" s="40">
        <f t="shared" si="151"/>
        <v>0</v>
      </c>
      <c r="AD138" s="40">
        <f t="shared" si="151"/>
        <v>0</v>
      </c>
      <c r="AE138" s="40">
        <f t="shared" ref="AE138:AG138" si="152">SUM(AE132:AE133)/500</f>
        <v>0</v>
      </c>
      <c r="AF138" s="40">
        <f t="shared" si="152"/>
        <v>0</v>
      </c>
      <c r="AG138" s="40">
        <f t="shared" si="152"/>
        <v>0</v>
      </c>
      <c r="AH138" s="40">
        <f t="shared" ref="AH138" si="153">SUM(AH132:AH133)/500</f>
        <v>0</v>
      </c>
      <c r="AI138" s="209">
        <f t="shared" ref="AI138" si="154">SUM(AI132:AI133)/500</f>
        <v>0</v>
      </c>
      <c r="AJ138" s="97"/>
      <c r="AK138" s="96">
        <f>SUM(F138:AI138)</f>
        <v>10.756</v>
      </c>
      <c r="AM138" s="98"/>
      <c r="DD138" s="203"/>
      <c r="DE138" s="203"/>
      <c r="DF138" s="203"/>
      <c r="DG138" s="203"/>
      <c r="DH138" s="203"/>
      <c r="DI138" s="203"/>
      <c r="DJ138" s="203"/>
      <c r="DK138" s="203"/>
      <c r="DL138" s="203"/>
      <c r="DM138" s="203"/>
      <c r="EA138" s="203"/>
      <c r="EB138" s="203"/>
      <c r="FH138" s="203"/>
      <c r="GP138" s="7"/>
      <c r="GQ138" s="203"/>
      <c r="GR138" s="203"/>
      <c r="GS138" s="203"/>
      <c r="GT138" s="203"/>
      <c r="IW138" s="203"/>
      <c r="MR138" s="203"/>
      <c r="MS138" s="203"/>
      <c r="MT138" s="203"/>
      <c r="MU138" s="203"/>
      <c r="RY138" s="203"/>
      <c r="RZ138" s="203"/>
      <c r="SB138" s="203"/>
      <c r="SP138" s="206"/>
      <c r="ST138" s="203"/>
      <c r="UW138" s="206"/>
    </row>
    <row r="139" spans="2:569 15038:15430" s="1" customFormat="1">
      <c r="B139" s="37"/>
      <c r="C139" s="16" t="s">
        <v>76</v>
      </c>
      <c r="D139" s="35"/>
      <c r="E139" s="35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83"/>
      <c r="AD139" s="36"/>
      <c r="AE139" s="36"/>
      <c r="AF139" s="36"/>
      <c r="AG139" s="36"/>
      <c r="AH139" s="36"/>
      <c r="AI139" s="36"/>
      <c r="AJ139" s="87"/>
      <c r="AK139" s="180" t="s">
        <v>77</v>
      </c>
      <c r="AM139" s="10"/>
      <c r="DD139" s="219"/>
      <c r="DE139" s="219"/>
      <c r="DF139" s="219"/>
      <c r="DG139" s="219"/>
      <c r="DH139" s="219"/>
      <c r="DI139" s="219"/>
      <c r="DJ139" s="219"/>
      <c r="DK139" s="219"/>
      <c r="DL139" s="219"/>
      <c r="DM139" s="219"/>
      <c r="EA139" s="219"/>
      <c r="EB139" s="219"/>
      <c r="FH139" s="219"/>
      <c r="GP139" s="7"/>
      <c r="GQ139" s="219"/>
      <c r="GR139" s="219"/>
      <c r="GS139" s="219"/>
      <c r="GT139" s="219"/>
      <c r="IW139" s="219"/>
      <c r="MR139" s="219"/>
      <c r="MS139" s="219"/>
      <c r="MT139" s="219"/>
      <c r="MU139" s="219"/>
      <c r="RY139" s="219"/>
      <c r="RZ139" s="219"/>
      <c r="SB139" s="219"/>
      <c r="SP139" s="240"/>
      <c r="ST139" s="219"/>
      <c r="UW139" s="240"/>
      <c r="VFJ139"/>
      <c r="VFK139"/>
      <c r="VFL139"/>
      <c r="VFM139"/>
      <c r="VFN139"/>
      <c r="VFO139"/>
      <c r="VFP139"/>
      <c r="VFQ139"/>
      <c r="VFR139"/>
      <c r="VFS139"/>
      <c r="VFT139"/>
      <c r="VFU139"/>
      <c r="VFV139"/>
      <c r="VFW139"/>
      <c r="VFX139"/>
      <c r="VFY139"/>
      <c r="VFZ139"/>
      <c r="VGA139"/>
      <c r="VGB139"/>
      <c r="VGC139"/>
      <c r="VGD139"/>
      <c r="VGE139"/>
      <c r="VGF139"/>
      <c r="VGG139"/>
      <c r="VGH139"/>
      <c r="VGI139"/>
      <c r="VGJ139"/>
      <c r="VGK139"/>
      <c r="VGL139"/>
      <c r="VGM139"/>
      <c r="VGN139"/>
      <c r="VGO139"/>
      <c r="VGP139"/>
      <c r="VGQ139"/>
      <c r="VGR139"/>
      <c r="VGS139"/>
      <c r="VGT139"/>
      <c r="VGU139"/>
      <c r="VGV139"/>
      <c r="VGW139"/>
      <c r="VGX139"/>
      <c r="VGY139"/>
      <c r="VGZ139"/>
      <c r="VHA139"/>
      <c r="VHB139"/>
      <c r="VHC139"/>
      <c r="VHD139"/>
      <c r="VHE139"/>
      <c r="VHF139"/>
      <c r="VHG139"/>
      <c r="VHH139"/>
      <c r="VHI139"/>
      <c r="VHJ139"/>
      <c r="VHK139"/>
      <c r="VHL139"/>
      <c r="VHM139"/>
      <c r="VHN139"/>
      <c r="VHO139"/>
      <c r="VHP139"/>
      <c r="VHQ139"/>
      <c r="VHR139"/>
      <c r="VHS139"/>
      <c r="VHT139"/>
      <c r="VHU139"/>
      <c r="VHV139"/>
      <c r="VHW139"/>
      <c r="VHX139"/>
      <c r="VHY139"/>
      <c r="VHZ139"/>
      <c r="VIA139"/>
      <c r="VIB139"/>
      <c r="VIC139"/>
      <c r="VID139"/>
      <c r="VIE139"/>
      <c r="VIF139"/>
      <c r="VIG139"/>
      <c r="VIH139"/>
      <c r="VII139"/>
      <c r="VIJ139"/>
      <c r="VIK139"/>
      <c r="VIL139"/>
      <c r="VIM139"/>
      <c r="VIN139"/>
      <c r="VIO139"/>
      <c r="VIP139"/>
      <c r="VIQ139"/>
      <c r="VIR139"/>
      <c r="VIS139"/>
      <c r="VIT139"/>
      <c r="VIU139"/>
      <c r="VIV139"/>
      <c r="VIW139"/>
      <c r="VIX139"/>
      <c r="VIY139"/>
      <c r="VIZ139"/>
      <c r="VJA139"/>
      <c r="VJB139"/>
      <c r="VJC139"/>
      <c r="VJD139"/>
      <c r="VJE139"/>
      <c r="VJF139"/>
      <c r="VJG139"/>
      <c r="VJH139"/>
      <c r="VJI139"/>
      <c r="VJJ139"/>
      <c r="VJK139"/>
      <c r="VJL139"/>
      <c r="VJM139"/>
      <c r="VJN139"/>
      <c r="VJO139"/>
      <c r="VJP139"/>
      <c r="VJQ139"/>
      <c r="VJR139"/>
      <c r="VJS139"/>
      <c r="VJT139"/>
      <c r="VJU139"/>
      <c r="VJV139"/>
      <c r="VJW139"/>
      <c r="VJX139"/>
      <c r="VJY139"/>
      <c r="VJZ139"/>
      <c r="VKA139"/>
      <c r="VKB139"/>
      <c r="VKC139"/>
      <c r="VKD139"/>
      <c r="VKE139"/>
      <c r="VKF139"/>
      <c r="VKG139"/>
      <c r="VKH139"/>
      <c r="VKI139"/>
      <c r="VKJ139"/>
      <c r="VKK139"/>
      <c r="VKL139"/>
      <c r="VKM139"/>
      <c r="VKN139"/>
      <c r="VKO139"/>
      <c r="VKP139"/>
      <c r="VKQ139"/>
      <c r="VKR139"/>
      <c r="VKS139"/>
      <c r="VKT139"/>
      <c r="VKU139"/>
      <c r="VKV139"/>
      <c r="VKW139"/>
      <c r="VKX139"/>
      <c r="VKY139"/>
      <c r="VKZ139"/>
      <c r="VLA139"/>
      <c r="VLB139"/>
      <c r="VLC139"/>
      <c r="VLD139"/>
      <c r="VLE139"/>
      <c r="VLF139"/>
      <c r="VLG139"/>
      <c r="VLH139"/>
      <c r="VLI139"/>
      <c r="VLJ139"/>
      <c r="VLK139"/>
      <c r="VLL139"/>
      <c r="VLM139"/>
      <c r="VLN139"/>
      <c r="VLO139"/>
      <c r="VLP139"/>
      <c r="VLQ139"/>
      <c r="VLR139"/>
      <c r="VLS139"/>
      <c r="VLT139"/>
      <c r="VLU139"/>
      <c r="VLV139"/>
      <c r="VLW139"/>
      <c r="VLX139"/>
      <c r="VLY139"/>
      <c r="VLZ139"/>
      <c r="VMA139"/>
      <c r="VMB139"/>
      <c r="VMC139"/>
      <c r="VMD139"/>
      <c r="VME139"/>
      <c r="VMF139"/>
      <c r="VMG139"/>
      <c r="VMH139"/>
      <c r="VMI139"/>
      <c r="VMJ139"/>
      <c r="VMK139"/>
      <c r="VML139"/>
      <c r="VMM139"/>
      <c r="VMN139"/>
      <c r="VMO139"/>
      <c r="VMP139"/>
      <c r="VMQ139"/>
      <c r="VMR139"/>
      <c r="VMS139"/>
      <c r="VMT139"/>
      <c r="VMU139"/>
      <c r="VMV139"/>
      <c r="VMW139"/>
      <c r="VMX139"/>
      <c r="VMY139"/>
      <c r="VMZ139"/>
      <c r="VNA139"/>
      <c r="VNB139"/>
      <c r="VNC139"/>
      <c r="VND139"/>
      <c r="VNE139"/>
      <c r="VNF139"/>
      <c r="VNG139"/>
      <c r="VNH139"/>
      <c r="VNI139"/>
      <c r="VNJ139"/>
      <c r="VNK139"/>
      <c r="VNL139"/>
      <c r="VNM139"/>
      <c r="VNN139"/>
      <c r="VNO139"/>
      <c r="VNP139"/>
      <c r="VNQ139"/>
      <c r="VNR139"/>
      <c r="VNS139"/>
      <c r="VNT139"/>
      <c r="VNU139"/>
      <c r="VNV139"/>
      <c r="VNW139"/>
      <c r="VNX139"/>
      <c r="VNY139"/>
      <c r="VNZ139"/>
      <c r="VOA139"/>
      <c r="VOB139"/>
      <c r="VOC139"/>
      <c r="VOD139"/>
      <c r="VOE139"/>
      <c r="VOF139"/>
      <c r="VOG139"/>
      <c r="VOH139"/>
      <c r="VOI139"/>
      <c r="VOJ139"/>
      <c r="VOK139"/>
      <c r="VOL139"/>
      <c r="VOM139"/>
      <c r="VON139"/>
      <c r="VOO139"/>
      <c r="VOP139"/>
      <c r="VOQ139"/>
      <c r="VOR139"/>
      <c r="VOS139"/>
      <c r="VOT139"/>
      <c r="VOU139"/>
      <c r="VOV139"/>
      <c r="VOW139"/>
      <c r="VOX139"/>
      <c r="VOY139"/>
      <c r="VOZ139"/>
      <c r="VPA139"/>
      <c r="VPB139"/>
      <c r="VPC139"/>
      <c r="VPD139"/>
      <c r="VPE139"/>
      <c r="VPF139"/>
      <c r="VPG139"/>
      <c r="VPH139"/>
      <c r="VPI139"/>
      <c r="VPJ139"/>
      <c r="VPK139"/>
      <c r="VPL139"/>
      <c r="VPM139"/>
      <c r="VPN139"/>
      <c r="VPO139"/>
      <c r="VPP139"/>
      <c r="VPQ139"/>
      <c r="VPR139"/>
      <c r="VPS139"/>
      <c r="VPT139"/>
      <c r="VPU139"/>
      <c r="VPV139"/>
      <c r="VPW139"/>
      <c r="VPX139"/>
      <c r="VPY139"/>
      <c r="VPZ139"/>
      <c r="VQA139"/>
      <c r="VQB139"/>
      <c r="VQC139"/>
      <c r="VQD139"/>
      <c r="VQE139"/>
      <c r="VQF139"/>
      <c r="VQG139"/>
      <c r="VQH139"/>
      <c r="VQI139"/>
      <c r="VQJ139"/>
      <c r="VQK139"/>
      <c r="VQL139"/>
      <c r="VQM139"/>
      <c r="VQN139"/>
      <c r="VQO139"/>
      <c r="VQP139"/>
      <c r="VQQ139"/>
      <c r="VQR139"/>
      <c r="VQS139"/>
      <c r="VQT139"/>
      <c r="VQU139"/>
      <c r="VQV139"/>
      <c r="VQW139"/>
      <c r="VQX139"/>
      <c r="VQY139"/>
      <c r="VQZ139"/>
      <c r="VRA139"/>
      <c r="VRB139"/>
      <c r="VRC139"/>
      <c r="VRD139"/>
      <c r="VRE139"/>
      <c r="VRF139"/>
      <c r="VRG139"/>
      <c r="VRH139"/>
      <c r="VRI139"/>
      <c r="VRJ139"/>
      <c r="VRK139"/>
      <c r="VRL139"/>
      <c r="VRM139"/>
      <c r="VRN139"/>
      <c r="VRO139"/>
      <c r="VRP139"/>
      <c r="VRQ139"/>
      <c r="VRR139"/>
      <c r="VRS139"/>
      <c r="VRT139"/>
      <c r="VRU139"/>
      <c r="VRV139"/>
      <c r="VRW139"/>
      <c r="VRX139"/>
      <c r="VRY139"/>
      <c r="VRZ139"/>
      <c r="VSA139"/>
      <c r="VSB139"/>
      <c r="VSC139"/>
      <c r="VSD139"/>
      <c r="VSE139"/>
      <c r="VSF139"/>
      <c r="VSG139"/>
      <c r="VSH139"/>
      <c r="VSI139"/>
      <c r="VSJ139"/>
      <c r="VSK139"/>
      <c r="VSL139"/>
      <c r="VSM139"/>
      <c r="VSN139"/>
      <c r="VSO139"/>
      <c r="VSP139"/>
      <c r="VSQ139"/>
      <c r="VSR139"/>
      <c r="VSS139"/>
      <c r="VST139"/>
      <c r="VSU139"/>
      <c r="VSV139"/>
      <c r="VSW139"/>
      <c r="VSX139"/>
      <c r="VSY139"/>
      <c r="VSZ139"/>
      <c r="VTA139"/>
      <c r="VTB139"/>
      <c r="VTC139"/>
      <c r="VTD139"/>
      <c r="VTE139"/>
      <c r="VTF139"/>
      <c r="VTG139"/>
      <c r="VTH139"/>
      <c r="VTI139"/>
      <c r="VTJ139"/>
      <c r="VTK139"/>
      <c r="VTL139"/>
      <c r="VTM139"/>
      <c r="VTN139"/>
      <c r="VTO139"/>
      <c r="VTP139"/>
      <c r="VTQ139"/>
      <c r="VTR139"/>
      <c r="VTS139"/>
      <c r="VTT139"/>
      <c r="VTU139"/>
      <c r="VTV139"/>
      <c r="VTW139"/>
      <c r="VTX139"/>
      <c r="VTY139"/>
      <c r="VTZ139"/>
      <c r="VUA139"/>
      <c r="VUB139"/>
      <c r="VUC139"/>
      <c r="VUD139"/>
      <c r="VUE139"/>
      <c r="VUF139"/>
      <c r="VUG139"/>
      <c r="VUH139"/>
      <c r="VUI139"/>
      <c r="VUJ139"/>
      <c r="VUK139"/>
      <c r="VUL139"/>
    </row>
    <row r="140" spans="2:569 15038:15430" s="1" customFormat="1">
      <c r="B140" s="50"/>
      <c r="C140" s="194" t="s">
        <v>67</v>
      </c>
      <c r="D140" s="54"/>
      <c r="E140" s="5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97"/>
      <c r="AK140" s="102" t="s">
        <v>67</v>
      </c>
      <c r="AM140" s="98"/>
      <c r="EA140" s="203"/>
      <c r="EB140" s="203"/>
      <c r="FH140" s="203"/>
      <c r="GP140" s="7"/>
      <c r="GQ140" s="203"/>
      <c r="GR140" s="203"/>
      <c r="GS140" s="203"/>
      <c r="GT140" s="203"/>
      <c r="IW140" s="203"/>
      <c r="MR140" s="203"/>
      <c r="MS140" s="203"/>
      <c r="MT140" s="203"/>
      <c r="MU140" s="203"/>
      <c r="RY140" s="203"/>
      <c r="RZ140" s="203"/>
      <c r="SB140" s="203"/>
      <c r="SP140" s="206"/>
      <c r="ST140" s="203"/>
      <c r="UW140" s="206"/>
    </row>
    <row r="141" spans="2:569 15038:15430" s="1" customFormat="1" ht="13.8">
      <c r="B141" s="50"/>
      <c r="C141" s="20" t="s">
        <v>166</v>
      </c>
      <c r="D141" s="54"/>
      <c r="E141" s="183" t="s">
        <v>69</v>
      </c>
      <c r="F141" s="125">
        <v>0</v>
      </c>
      <c r="G141" s="125">
        <v>0</v>
      </c>
      <c r="H141" s="125">
        <v>0</v>
      </c>
      <c r="I141" s="125">
        <v>0</v>
      </c>
      <c r="J141" s="125">
        <v>0</v>
      </c>
      <c r="K141" s="125">
        <v>0</v>
      </c>
      <c r="L141" s="125">
        <v>0</v>
      </c>
      <c r="M141" s="125">
        <v>0</v>
      </c>
      <c r="N141" s="125">
        <v>0</v>
      </c>
      <c r="O141" s="125">
        <v>0</v>
      </c>
      <c r="P141" s="125">
        <v>0</v>
      </c>
      <c r="Q141" s="125">
        <v>0</v>
      </c>
      <c r="R141" s="125">
        <v>0</v>
      </c>
      <c r="S141" s="125">
        <v>0</v>
      </c>
      <c r="T141" s="125">
        <v>0</v>
      </c>
      <c r="U141" s="125">
        <v>1</v>
      </c>
      <c r="V141" s="125">
        <v>5</v>
      </c>
      <c r="W141" s="125">
        <v>0</v>
      </c>
      <c r="X141" s="125">
        <v>0</v>
      </c>
      <c r="Y141" s="125">
        <v>0</v>
      </c>
      <c r="Z141" s="125">
        <v>0</v>
      </c>
      <c r="AA141" s="125">
        <v>0</v>
      </c>
      <c r="AB141" s="125">
        <v>0</v>
      </c>
      <c r="AC141" s="125">
        <v>0</v>
      </c>
      <c r="AD141" s="125">
        <v>0</v>
      </c>
      <c r="AE141" s="125">
        <v>0</v>
      </c>
      <c r="AF141" s="125">
        <v>0</v>
      </c>
      <c r="AG141" s="125">
        <v>0</v>
      </c>
      <c r="AH141" s="125">
        <v>0</v>
      </c>
      <c r="AI141" s="125">
        <v>0</v>
      </c>
      <c r="AJ141" s="97"/>
      <c r="AK141" s="96">
        <f>SUM(F141:AI141)</f>
        <v>6</v>
      </c>
      <c r="AM141" s="98"/>
      <c r="EA141" s="203"/>
      <c r="EB141" s="203"/>
      <c r="FH141" s="203"/>
      <c r="GP141" s="7"/>
      <c r="GQ141" s="203"/>
      <c r="GR141" s="203"/>
      <c r="GS141" s="203"/>
      <c r="GT141" s="203"/>
      <c r="IW141" s="203"/>
      <c r="MR141" s="203"/>
      <c r="MS141" s="203"/>
      <c r="MT141" s="203"/>
      <c r="MU141" s="203"/>
      <c r="RY141" s="203"/>
      <c r="RZ141" s="203"/>
      <c r="SB141" s="203"/>
      <c r="SP141" s="206"/>
      <c r="ST141" s="203"/>
      <c r="UW141" s="206"/>
    </row>
    <row r="142" spans="2:569 15038:15430" s="1" customFormat="1" ht="13.8">
      <c r="B142" s="50"/>
      <c r="C142" s="20" t="s">
        <v>165</v>
      </c>
      <c r="D142" s="54"/>
      <c r="E142" s="183" t="s">
        <v>69</v>
      </c>
      <c r="F142" s="125">
        <v>0</v>
      </c>
      <c r="G142" s="125">
        <v>0</v>
      </c>
      <c r="H142" s="125">
        <v>0</v>
      </c>
      <c r="I142" s="125">
        <v>0</v>
      </c>
      <c r="J142" s="125">
        <v>0</v>
      </c>
      <c r="K142" s="125">
        <v>0</v>
      </c>
      <c r="L142" s="125">
        <v>0</v>
      </c>
      <c r="M142" s="125">
        <v>0</v>
      </c>
      <c r="N142" s="125">
        <v>0</v>
      </c>
      <c r="O142" s="125">
        <v>0</v>
      </c>
      <c r="P142" s="125">
        <v>0</v>
      </c>
      <c r="Q142" s="125">
        <v>0</v>
      </c>
      <c r="R142" s="125">
        <v>0</v>
      </c>
      <c r="S142" s="125">
        <v>0</v>
      </c>
      <c r="T142" s="125">
        <v>0</v>
      </c>
      <c r="U142" s="125">
        <v>0</v>
      </c>
      <c r="V142" s="125">
        <v>0</v>
      </c>
      <c r="W142" s="125">
        <v>0</v>
      </c>
      <c r="X142" s="125">
        <v>0</v>
      </c>
      <c r="Y142" s="125">
        <v>0</v>
      </c>
      <c r="Z142" s="125">
        <v>0</v>
      </c>
      <c r="AA142" s="125">
        <v>0</v>
      </c>
      <c r="AB142" s="125">
        <v>0</v>
      </c>
      <c r="AC142" s="125">
        <v>0</v>
      </c>
      <c r="AD142" s="125">
        <v>0</v>
      </c>
      <c r="AE142" s="125">
        <v>0</v>
      </c>
      <c r="AF142" s="125">
        <v>0</v>
      </c>
      <c r="AG142" s="125">
        <v>0</v>
      </c>
      <c r="AH142" s="125">
        <v>0</v>
      </c>
      <c r="AI142" s="125">
        <v>0</v>
      </c>
      <c r="AJ142" s="97"/>
      <c r="AK142" s="96">
        <f>SUM(F142:AI142)</f>
        <v>0</v>
      </c>
      <c r="AM142" s="98"/>
      <c r="EA142" s="203"/>
      <c r="EB142" s="203"/>
      <c r="FH142" s="203"/>
      <c r="GP142" s="7"/>
      <c r="GQ142" s="203"/>
      <c r="GR142" s="203"/>
      <c r="GS142" s="203"/>
      <c r="GT142" s="203"/>
      <c r="IW142" s="203"/>
      <c r="MR142" s="203"/>
      <c r="MS142" s="203"/>
      <c r="MT142" s="203"/>
      <c r="MU142" s="203"/>
      <c r="RY142" s="203"/>
      <c r="RZ142" s="203"/>
      <c r="SB142" s="203"/>
      <c r="SP142" s="206"/>
      <c r="ST142" s="203"/>
      <c r="UW142" s="206"/>
    </row>
    <row r="143" spans="2:569 15038:15430" s="1" customFormat="1">
      <c r="B143" s="50"/>
      <c r="C143" s="194" t="s">
        <v>71</v>
      </c>
      <c r="D143" s="54"/>
      <c r="E143" s="50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97"/>
      <c r="AK143" s="102" t="s">
        <v>71</v>
      </c>
      <c r="AM143" s="98"/>
      <c r="EA143" s="203"/>
      <c r="EB143" s="203"/>
      <c r="FH143" s="203"/>
      <c r="GP143" s="7"/>
      <c r="GQ143" s="203"/>
      <c r="GR143" s="203"/>
      <c r="GS143" s="203"/>
      <c r="GT143" s="203"/>
      <c r="IW143" s="203"/>
      <c r="MR143" s="203"/>
      <c r="MS143" s="203"/>
      <c r="MT143" s="203"/>
      <c r="MU143" s="203"/>
      <c r="RY143" s="203"/>
      <c r="RZ143" s="203"/>
      <c r="SB143" s="203"/>
      <c r="SP143" s="206"/>
      <c r="ST143" s="203"/>
      <c r="UW143" s="206"/>
    </row>
    <row r="144" spans="2:569 15038:15430" s="1" customFormat="1" ht="13.8">
      <c r="B144" s="50"/>
      <c r="C144" s="20" t="str">
        <f>C141</f>
        <v xml:space="preserve">INL SP 900 mL  </v>
      </c>
      <c r="D144" s="54"/>
      <c r="E144" s="183" t="s">
        <v>71</v>
      </c>
      <c r="F144" s="125">
        <v>0</v>
      </c>
      <c r="G144" s="125">
        <v>0</v>
      </c>
      <c r="H144" s="125">
        <v>0</v>
      </c>
      <c r="I144" s="125">
        <v>0</v>
      </c>
      <c r="J144" s="125">
        <v>0</v>
      </c>
      <c r="K144" s="125">
        <v>0</v>
      </c>
      <c r="L144" s="125">
        <v>0</v>
      </c>
      <c r="M144" s="125">
        <v>0</v>
      </c>
      <c r="N144" s="125">
        <v>0</v>
      </c>
      <c r="O144" s="125">
        <v>0</v>
      </c>
      <c r="P144" s="125">
        <v>0</v>
      </c>
      <c r="Q144" s="125">
        <v>0</v>
      </c>
      <c r="R144" s="125">
        <v>0</v>
      </c>
      <c r="S144" s="125">
        <v>0</v>
      </c>
      <c r="T144" s="125">
        <v>0</v>
      </c>
      <c r="U144" s="125">
        <v>30</v>
      </c>
      <c r="V144" s="125">
        <v>26</v>
      </c>
      <c r="W144" s="125">
        <v>0</v>
      </c>
      <c r="X144" s="125">
        <v>0</v>
      </c>
      <c r="Y144" s="125">
        <v>0</v>
      </c>
      <c r="Z144" s="125">
        <v>0</v>
      </c>
      <c r="AA144" s="125">
        <v>0</v>
      </c>
      <c r="AB144" s="125">
        <v>0</v>
      </c>
      <c r="AC144" s="125">
        <v>0</v>
      </c>
      <c r="AD144" s="125">
        <v>0</v>
      </c>
      <c r="AE144" s="125">
        <v>0</v>
      </c>
      <c r="AF144" s="125">
        <v>0</v>
      </c>
      <c r="AG144" s="125">
        <v>0</v>
      </c>
      <c r="AH144" s="125">
        <v>0</v>
      </c>
      <c r="AI144" s="125">
        <v>0</v>
      </c>
      <c r="AJ144" s="97"/>
      <c r="AK144" s="96">
        <f>SUM(F144:AI144)</f>
        <v>56</v>
      </c>
      <c r="AM144" s="98"/>
      <c r="EA144" s="203"/>
      <c r="EB144" s="203"/>
      <c r="FH144" s="203"/>
      <c r="GP144" s="7"/>
      <c r="GQ144" s="203"/>
      <c r="GR144" s="203"/>
      <c r="GS144" s="203"/>
      <c r="GT144" s="203"/>
      <c r="IW144" s="203"/>
      <c r="MR144" s="203"/>
      <c r="MS144" s="203"/>
      <c r="MT144" s="203"/>
      <c r="MU144" s="203"/>
      <c r="RY144" s="203"/>
      <c r="RZ144" s="203"/>
      <c r="SB144" s="203"/>
      <c r="SP144" s="206"/>
      <c r="ST144" s="203"/>
      <c r="UW144" s="206"/>
    </row>
    <row r="145" spans="2:569 15038:15430" s="1" customFormat="1" ht="13.8">
      <c r="B145" s="50"/>
      <c r="C145" s="20" t="str">
        <f>C142</f>
        <v>INL SP 1,8 L</v>
      </c>
      <c r="D145" s="54"/>
      <c r="E145" s="183" t="s">
        <v>71</v>
      </c>
      <c r="F145" s="125">
        <v>0</v>
      </c>
      <c r="G145" s="125">
        <v>0</v>
      </c>
      <c r="H145" s="125">
        <v>0</v>
      </c>
      <c r="I145" s="125">
        <v>0</v>
      </c>
      <c r="J145" s="125">
        <v>0</v>
      </c>
      <c r="K145" s="125">
        <v>0</v>
      </c>
      <c r="L145" s="125">
        <v>0</v>
      </c>
      <c r="M145" s="125">
        <v>0</v>
      </c>
      <c r="N145" s="125">
        <v>0</v>
      </c>
      <c r="O145" s="125">
        <v>0</v>
      </c>
      <c r="P145" s="125">
        <v>0</v>
      </c>
      <c r="Q145" s="125">
        <v>0</v>
      </c>
      <c r="R145" s="125">
        <v>0</v>
      </c>
      <c r="S145" s="125">
        <v>0</v>
      </c>
      <c r="T145" s="125">
        <v>0</v>
      </c>
      <c r="U145" s="125">
        <v>0</v>
      </c>
      <c r="V145" s="125">
        <v>0</v>
      </c>
      <c r="W145" s="125">
        <v>0</v>
      </c>
      <c r="X145" s="125">
        <v>0</v>
      </c>
      <c r="Y145" s="125">
        <v>0</v>
      </c>
      <c r="Z145" s="125">
        <v>0</v>
      </c>
      <c r="AA145" s="125">
        <v>0</v>
      </c>
      <c r="AB145" s="125">
        <v>0</v>
      </c>
      <c r="AC145" s="125">
        <v>0</v>
      </c>
      <c r="AD145" s="125">
        <v>0</v>
      </c>
      <c r="AE145" s="125">
        <v>0</v>
      </c>
      <c r="AF145" s="125">
        <v>0</v>
      </c>
      <c r="AG145" s="125">
        <v>0</v>
      </c>
      <c r="AH145" s="125">
        <v>0</v>
      </c>
      <c r="AI145" s="125">
        <v>0</v>
      </c>
      <c r="AJ145" s="97"/>
      <c r="AK145" s="96">
        <f>SUM(F145:AI145)</f>
        <v>0</v>
      </c>
      <c r="AM145" s="98"/>
      <c r="EA145" s="203"/>
      <c r="EB145" s="203"/>
      <c r="FH145" s="203"/>
      <c r="GP145" s="7"/>
      <c r="GQ145" s="203"/>
      <c r="GR145" s="203"/>
      <c r="GS145" s="203"/>
      <c r="GT145" s="203"/>
      <c r="IW145" s="203"/>
      <c r="MR145" s="203"/>
      <c r="MS145" s="203"/>
      <c r="MT145" s="203"/>
      <c r="MU145" s="203"/>
      <c r="RY145" s="203"/>
      <c r="RZ145" s="203"/>
      <c r="SB145" s="203"/>
      <c r="SP145" s="206"/>
      <c r="ST145" s="203"/>
      <c r="UW145" s="206"/>
    </row>
    <row r="146" spans="2:569 15038:15430" s="1" customFormat="1">
      <c r="B146" s="34">
        <v>8</v>
      </c>
      <c r="C146" s="16" t="s">
        <v>114</v>
      </c>
      <c r="D146" s="35"/>
      <c r="E146" s="35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83"/>
      <c r="AD146" s="36"/>
      <c r="AE146" s="36"/>
      <c r="AF146" s="36"/>
      <c r="AG146" s="36"/>
      <c r="AH146" s="36"/>
      <c r="AI146" s="36"/>
      <c r="AJ146" s="87"/>
      <c r="AK146" s="180" t="s">
        <v>62</v>
      </c>
      <c r="AM146" s="10"/>
      <c r="EA146" s="219"/>
      <c r="EB146" s="219"/>
      <c r="FH146" s="219"/>
      <c r="GP146" s="7"/>
      <c r="GQ146" s="219"/>
      <c r="GR146" s="219"/>
      <c r="GS146" s="219"/>
      <c r="GT146" s="219"/>
      <c r="IW146" s="219"/>
      <c r="MR146" s="219"/>
      <c r="MS146" s="219"/>
      <c r="MT146" s="219"/>
      <c r="MU146" s="219"/>
      <c r="RY146" s="219"/>
      <c r="RZ146" s="219"/>
      <c r="SB146" s="219"/>
      <c r="SP146" s="240"/>
      <c r="ST146" s="219"/>
      <c r="UW146" s="240"/>
      <c r="VFJ146"/>
      <c r="VFK146"/>
      <c r="VFL146"/>
      <c r="VFM146"/>
      <c r="VFN146"/>
      <c r="VFO146"/>
      <c r="VFP146"/>
      <c r="VFQ146"/>
      <c r="VFR146"/>
      <c r="VFS146"/>
      <c r="VFT146"/>
      <c r="VFU146"/>
      <c r="VFV146"/>
      <c r="VFW146"/>
      <c r="VFX146"/>
      <c r="VFY146"/>
      <c r="VFZ146"/>
      <c r="VGA146"/>
      <c r="VGB146"/>
      <c r="VGC146"/>
      <c r="VGD146"/>
      <c r="VGE146"/>
      <c r="VGF146"/>
      <c r="VGG146"/>
      <c r="VGH146"/>
      <c r="VGI146"/>
      <c r="VGJ146"/>
      <c r="VGK146"/>
      <c r="VGL146"/>
      <c r="VGM146"/>
      <c r="VGN146"/>
      <c r="VGO146"/>
      <c r="VGP146"/>
      <c r="VGQ146"/>
      <c r="VGR146"/>
      <c r="VGS146"/>
      <c r="VGT146"/>
      <c r="VGU146"/>
      <c r="VGV146"/>
      <c r="VGW146"/>
      <c r="VGX146"/>
      <c r="VGY146"/>
      <c r="VGZ146"/>
      <c r="VHA146"/>
      <c r="VHB146"/>
      <c r="VHC146"/>
      <c r="VHD146"/>
      <c r="VHE146"/>
      <c r="VHF146"/>
      <c r="VHG146"/>
      <c r="VHH146"/>
      <c r="VHI146"/>
      <c r="VHJ146"/>
      <c r="VHK146"/>
      <c r="VHL146"/>
      <c r="VHM146"/>
      <c r="VHN146"/>
      <c r="VHO146"/>
      <c r="VHP146"/>
      <c r="VHQ146"/>
      <c r="VHR146"/>
      <c r="VHS146"/>
      <c r="VHT146"/>
      <c r="VHU146"/>
      <c r="VHV146"/>
      <c r="VHW146"/>
      <c r="VHX146"/>
      <c r="VHY146"/>
      <c r="VHZ146"/>
      <c r="VIA146"/>
      <c r="VIB146"/>
      <c r="VIC146"/>
      <c r="VID146"/>
      <c r="VIE146"/>
      <c r="VIF146"/>
      <c r="VIG146"/>
      <c r="VIH146"/>
      <c r="VII146"/>
      <c r="VIJ146"/>
      <c r="VIK146"/>
      <c r="VIL146"/>
      <c r="VIM146"/>
      <c r="VIN146"/>
      <c r="VIO146"/>
      <c r="VIP146"/>
      <c r="VIQ146"/>
      <c r="VIR146"/>
      <c r="VIS146"/>
      <c r="VIT146"/>
      <c r="VIU146"/>
      <c r="VIV146"/>
      <c r="VIW146"/>
      <c r="VIX146"/>
      <c r="VIY146"/>
      <c r="VIZ146"/>
      <c r="VJA146"/>
      <c r="VJB146"/>
      <c r="VJC146"/>
      <c r="VJD146"/>
      <c r="VJE146"/>
      <c r="VJF146"/>
      <c r="VJG146"/>
      <c r="VJH146"/>
      <c r="VJI146"/>
      <c r="VJJ146"/>
      <c r="VJK146"/>
      <c r="VJL146"/>
      <c r="VJM146"/>
      <c r="VJN146"/>
      <c r="VJO146"/>
      <c r="VJP146"/>
      <c r="VJQ146"/>
      <c r="VJR146"/>
      <c r="VJS146"/>
      <c r="VJT146"/>
      <c r="VJU146"/>
      <c r="VJV146"/>
      <c r="VJW146"/>
      <c r="VJX146"/>
      <c r="VJY146"/>
      <c r="VJZ146"/>
      <c r="VKA146"/>
      <c r="VKB146"/>
      <c r="VKC146"/>
      <c r="VKD146"/>
      <c r="VKE146"/>
      <c r="VKF146"/>
      <c r="VKG146"/>
      <c r="VKH146"/>
      <c r="VKI146"/>
      <c r="VKJ146"/>
      <c r="VKK146"/>
      <c r="VKL146"/>
      <c r="VKM146"/>
      <c r="VKN146"/>
      <c r="VKO146"/>
      <c r="VKP146"/>
      <c r="VKQ146"/>
      <c r="VKR146"/>
      <c r="VKS146"/>
      <c r="VKT146"/>
      <c r="VKU146"/>
      <c r="VKV146"/>
      <c r="VKW146"/>
      <c r="VKX146"/>
      <c r="VKY146"/>
      <c r="VKZ146"/>
      <c r="VLA146"/>
      <c r="VLB146"/>
      <c r="VLC146"/>
      <c r="VLD146"/>
      <c r="VLE146"/>
      <c r="VLF146"/>
      <c r="VLG146"/>
      <c r="VLH146"/>
      <c r="VLI146"/>
      <c r="VLJ146"/>
      <c r="VLK146"/>
      <c r="VLL146"/>
      <c r="VLM146"/>
      <c r="VLN146"/>
      <c r="VLO146"/>
      <c r="VLP146"/>
      <c r="VLQ146"/>
      <c r="VLR146"/>
      <c r="VLS146"/>
      <c r="VLT146"/>
      <c r="VLU146"/>
      <c r="VLV146"/>
      <c r="VLW146"/>
      <c r="VLX146"/>
      <c r="VLY146"/>
      <c r="VLZ146"/>
      <c r="VMA146"/>
      <c r="VMB146"/>
      <c r="VMC146"/>
      <c r="VMD146"/>
      <c r="VME146"/>
      <c r="VMF146"/>
      <c r="VMG146"/>
      <c r="VMH146"/>
      <c r="VMI146"/>
      <c r="VMJ146"/>
      <c r="VMK146"/>
      <c r="VML146"/>
      <c r="VMM146"/>
      <c r="VMN146"/>
      <c r="VMO146"/>
      <c r="VMP146"/>
      <c r="VMQ146"/>
      <c r="VMR146"/>
      <c r="VMS146"/>
      <c r="VMT146"/>
      <c r="VMU146"/>
      <c r="VMV146"/>
      <c r="VMW146"/>
      <c r="VMX146"/>
      <c r="VMY146"/>
      <c r="VMZ146"/>
      <c r="VNA146"/>
      <c r="VNB146"/>
      <c r="VNC146"/>
      <c r="VND146"/>
      <c r="VNE146"/>
      <c r="VNF146"/>
      <c r="VNG146"/>
      <c r="VNH146"/>
      <c r="VNI146"/>
      <c r="VNJ146"/>
      <c r="VNK146"/>
      <c r="VNL146"/>
      <c r="VNM146"/>
      <c r="VNN146"/>
      <c r="VNO146"/>
      <c r="VNP146"/>
      <c r="VNQ146"/>
      <c r="VNR146"/>
      <c r="VNS146"/>
      <c r="VNT146"/>
      <c r="VNU146"/>
      <c r="VNV146"/>
      <c r="VNW146"/>
      <c r="VNX146"/>
      <c r="VNY146"/>
      <c r="VNZ146"/>
      <c r="VOA146"/>
      <c r="VOB146"/>
      <c r="VOC146"/>
      <c r="VOD146"/>
      <c r="VOE146"/>
      <c r="VOF146"/>
      <c r="VOG146"/>
      <c r="VOH146"/>
      <c r="VOI146"/>
      <c r="VOJ146"/>
      <c r="VOK146"/>
      <c r="VOL146"/>
      <c r="VOM146"/>
      <c r="VON146"/>
      <c r="VOO146"/>
      <c r="VOP146"/>
      <c r="VOQ146"/>
      <c r="VOR146"/>
      <c r="VOS146"/>
      <c r="VOT146"/>
      <c r="VOU146"/>
      <c r="VOV146"/>
      <c r="VOW146"/>
      <c r="VOX146"/>
      <c r="VOY146"/>
      <c r="VOZ146"/>
      <c r="VPA146"/>
      <c r="VPB146"/>
      <c r="VPC146"/>
      <c r="VPD146"/>
      <c r="VPE146"/>
      <c r="VPF146"/>
      <c r="VPG146"/>
      <c r="VPH146"/>
      <c r="VPI146"/>
      <c r="VPJ146"/>
      <c r="VPK146"/>
      <c r="VPL146"/>
      <c r="VPM146"/>
      <c r="VPN146"/>
      <c r="VPO146"/>
      <c r="VPP146"/>
      <c r="VPQ146"/>
      <c r="VPR146"/>
      <c r="VPS146"/>
      <c r="VPT146"/>
      <c r="VPU146"/>
      <c r="VPV146"/>
      <c r="VPW146"/>
      <c r="VPX146"/>
      <c r="VPY146"/>
      <c r="VPZ146"/>
      <c r="VQA146"/>
      <c r="VQB146"/>
      <c r="VQC146"/>
      <c r="VQD146"/>
      <c r="VQE146"/>
      <c r="VQF146"/>
      <c r="VQG146"/>
      <c r="VQH146"/>
      <c r="VQI146"/>
      <c r="VQJ146"/>
      <c r="VQK146"/>
      <c r="VQL146"/>
      <c r="VQM146"/>
      <c r="VQN146"/>
      <c r="VQO146"/>
      <c r="VQP146"/>
      <c r="VQQ146"/>
      <c r="VQR146"/>
      <c r="VQS146"/>
      <c r="VQT146"/>
      <c r="VQU146"/>
      <c r="VQV146"/>
      <c r="VQW146"/>
      <c r="VQX146"/>
      <c r="VQY146"/>
      <c r="VQZ146"/>
      <c r="VRA146"/>
      <c r="VRB146"/>
      <c r="VRC146"/>
      <c r="VRD146"/>
      <c r="VRE146"/>
      <c r="VRF146"/>
      <c r="VRG146"/>
      <c r="VRH146"/>
      <c r="VRI146"/>
      <c r="VRJ146"/>
      <c r="VRK146"/>
      <c r="VRL146"/>
      <c r="VRM146"/>
      <c r="VRN146"/>
      <c r="VRO146"/>
      <c r="VRP146"/>
      <c r="VRQ146"/>
      <c r="VRR146"/>
      <c r="VRS146"/>
      <c r="VRT146"/>
      <c r="VRU146"/>
      <c r="VRV146"/>
      <c r="VRW146"/>
      <c r="VRX146"/>
      <c r="VRY146"/>
      <c r="VRZ146"/>
      <c r="VSA146"/>
      <c r="VSB146"/>
      <c r="VSC146"/>
      <c r="VSD146"/>
      <c r="VSE146"/>
      <c r="VSF146"/>
      <c r="VSG146"/>
      <c r="VSH146"/>
      <c r="VSI146"/>
      <c r="VSJ146"/>
      <c r="VSK146"/>
      <c r="VSL146"/>
      <c r="VSM146"/>
      <c r="VSN146"/>
      <c r="VSO146"/>
      <c r="VSP146"/>
      <c r="VSQ146"/>
      <c r="VSR146"/>
      <c r="VSS146"/>
      <c r="VST146"/>
      <c r="VSU146"/>
      <c r="VSV146"/>
      <c r="VSW146"/>
      <c r="VSX146"/>
      <c r="VSY146"/>
      <c r="VSZ146"/>
      <c r="VTA146"/>
      <c r="VTB146"/>
      <c r="VTC146"/>
      <c r="VTD146"/>
      <c r="VTE146"/>
      <c r="VTF146"/>
      <c r="VTG146"/>
      <c r="VTH146"/>
      <c r="VTI146"/>
      <c r="VTJ146"/>
      <c r="VTK146"/>
      <c r="VTL146"/>
      <c r="VTM146"/>
      <c r="VTN146"/>
      <c r="VTO146"/>
      <c r="VTP146"/>
      <c r="VTQ146"/>
      <c r="VTR146"/>
      <c r="VTS146"/>
      <c r="VTT146"/>
      <c r="VTU146"/>
      <c r="VTV146"/>
      <c r="VTW146"/>
      <c r="VTX146"/>
      <c r="VTY146"/>
      <c r="VTZ146"/>
      <c r="VUA146"/>
      <c r="VUB146"/>
      <c r="VUC146"/>
      <c r="VUD146"/>
      <c r="VUE146"/>
      <c r="VUF146"/>
      <c r="VUG146"/>
      <c r="VUH146"/>
      <c r="VUI146"/>
      <c r="VUJ146"/>
      <c r="VUK146"/>
      <c r="VUL146"/>
    </row>
    <row r="147" spans="2:569 15038:15430" s="1" customFormat="1" ht="13.8">
      <c r="B147" s="50"/>
      <c r="C147" s="192" t="s">
        <v>118</v>
      </c>
      <c r="D147" s="123"/>
      <c r="E147" s="193" t="s">
        <v>9</v>
      </c>
      <c r="F147" s="124">
        <v>0</v>
      </c>
      <c r="G147" s="124">
        <v>0</v>
      </c>
      <c r="H147" s="124">
        <v>0</v>
      </c>
      <c r="I147" s="124">
        <v>0</v>
      </c>
      <c r="J147" s="124">
        <v>0</v>
      </c>
      <c r="K147" s="124">
        <v>0</v>
      </c>
      <c r="L147" s="124">
        <v>0</v>
      </c>
      <c r="M147" s="124">
        <v>0</v>
      </c>
      <c r="N147" s="124">
        <v>0</v>
      </c>
      <c r="O147" s="124">
        <v>0</v>
      </c>
      <c r="P147" s="124">
        <v>0</v>
      </c>
      <c r="Q147" s="124">
        <v>0</v>
      </c>
      <c r="R147" s="124">
        <v>0</v>
      </c>
      <c r="S147" s="124">
        <v>0</v>
      </c>
      <c r="T147" s="124">
        <v>0</v>
      </c>
      <c r="U147" s="124">
        <v>0</v>
      </c>
      <c r="V147" s="124">
        <v>0</v>
      </c>
      <c r="W147" s="124">
        <v>0</v>
      </c>
      <c r="X147" s="124">
        <v>0</v>
      </c>
      <c r="Y147" s="124">
        <v>0</v>
      </c>
      <c r="Z147" s="124">
        <v>0</v>
      </c>
      <c r="AA147" s="124">
        <v>0</v>
      </c>
      <c r="AB147" s="124">
        <v>0</v>
      </c>
      <c r="AC147" s="124">
        <v>0</v>
      </c>
      <c r="AD147" s="124">
        <v>0</v>
      </c>
      <c r="AE147" s="124">
        <v>0</v>
      </c>
      <c r="AF147" s="124">
        <v>0</v>
      </c>
      <c r="AG147" s="124">
        <v>0</v>
      </c>
      <c r="AH147" s="124">
        <v>0</v>
      </c>
      <c r="AI147" s="124">
        <v>0</v>
      </c>
      <c r="AJ147" s="137"/>
      <c r="AK147" s="135">
        <f>SUM(F147:AI147)</f>
        <v>0</v>
      </c>
      <c r="AM147" s="98"/>
      <c r="BG147" s="214"/>
      <c r="EA147" s="203"/>
      <c r="EB147" s="203"/>
      <c r="FH147" s="203"/>
      <c r="GP147" s="7"/>
      <c r="GQ147" s="203"/>
      <c r="GR147" s="203"/>
      <c r="GS147" s="203"/>
      <c r="GT147" s="203"/>
      <c r="IW147" s="203"/>
      <c r="MR147" s="203"/>
      <c r="MS147" s="203"/>
      <c r="MT147" s="203"/>
      <c r="MU147" s="203"/>
      <c r="RY147" s="203"/>
      <c r="RZ147" s="203"/>
      <c r="SB147" s="203"/>
      <c r="SP147" s="206"/>
      <c r="ST147" s="203"/>
      <c r="UW147" s="206"/>
    </row>
    <row r="148" spans="2:569 15038:15430" s="1" customFormat="1" ht="13.8">
      <c r="B148" s="50"/>
      <c r="C148" s="192" t="s">
        <v>115</v>
      </c>
      <c r="D148" s="123"/>
      <c r="E148" s="193" t="s">
        <v>9</v>
      </c>
      <c r="F148" s="124">
        <v>0</v>
      </c>
      <c r="G148" s="124">
        <v>0</v>
      </c>
      <c r="H148" s="124">
        <v>0</v>
      </c>
      <c r="I148" s="124">
        <v>0</v>
      </c>
      <c r="J148" s="124">
        <v>0</v>
      </c>
      <c r="K148" s="124">
        <v>0</v>
      </c>
      <c r="L148" s="124">
        <v>0</v>
      </c>
      <c r="M148" s="124">
        <v>0</v>
      </c>
      <c r="N148" s="124">
        <v>0</v>
      </c>
      <c r="O148" s="124">
        <v>0</v>
      </c>
      <c r="P148" s="124">
        <v>0</v>
      </c>
      <c r="Q148" s="124">
        <v>0</v>
      </c>
      <c r="R148" s="124">
        <v>0</v>
      </c>
      <c r="S148" s="124">
        <v>0</v>
      </c>
      <c r="T148" s="124">
        <v>0</v>
      </c>
      <c r="U148" s="124">
        <v>0</v>
      </c>
      <c r="V148" s="124">
        <v>0</v>
      </c>
      <c r="W148" s="124">
        <v>0</v>
      </c>
      <c r="X148" s="124">
        <v>0</v>
      </c>
      <c r="Y148" s="124">
        <v>0</v>
      </c>
      <c r="Z148" s="124">
        <v>0</v>
      </c>
      <c r="AA148" s="124">
        <v>0</v>
      </c>
      <c r="AB148" s="124">
        <v>0</v>
      </c>
      <c r="AC148" s="124">
        <v>0</v>
      </c>
      <c r="AD148" s="124">
        <v>0</v>
      </c>
      <c r="AE148" s="124">
        <v>0</v>
      </c>
      <c r="AF148" s="124">
        <v>0</v>
      </c>
      <c r="AG148" s="124">
        <v>0</v>
      </c>
      <c r="AH148" s="124">
        <v>0</v>
      </c>
      <c r="AI148" s="124">
        <v>0</v>
      </c>
      <c r="AJ148" s="137"/>
      <c r="AK148" s="135">
        <f>SUM(AK149:AK150)</f>
        <v>0</v>
      </c>
      <c r="AM148" s="206">
        <f>Q149/1000</f>
        <v>0</v>
      </c>
      <c r="EA148" s="203"/>
      <c r="EB148" s="203"/>
      <c r="FH148" s="203"/>
      <c r="GP148" s="7"/>
      <c r="GQ148" s="203"/>
      <c r="GR148" s="203"/>
      <c r="GS148" s="203"/>
      <c r="GT148" s="203"/>
      <c r="IW148" s="203"/>
      <c r="MR148" s="203"/>
      <c r="MS148" s="203"/>
      <c r="MT148" s="203"/>
      <c r="MU148" s="203"/>
      <c r="RY148" s="203"/>
      <c r="RZ148" s="203"/>
      <c r="SB148" s="203"/>
      <c r="SP148" s="206"/>
      <c r="ST148" s="203"/>
      <c r="UW148" s="206"/>
    </row>
    <row r="149" spans="2:569 15038:15430" s="1" customFormat="1">
      <c r="B149" s="50"/>
      <c r="C149" s="194" t="s">
        <v>65</v>
      </c>
      <c r="D149" s="54"/>
      <c r="E149" s="183" t="s">
        <v>9</v>
      </c>
      <c r="F149" s="64">
        <f>SUM(F152:F154)*9.75348</f>
        <v>0</v>
      </c>
      <c r="G149" s="64">
        <f t="shared" ref="G149:T149" si="155">SUM(G152:G154)*9.75348</f>
        <v>0</v>
      </c>
      <c r="H149" s="64">
        <f t="shared" si="155"/>
        <v>0</v>
      </c>
      <c r="I149" s="64">
        <f t="shared" si="155"/>
        <v>0</v>
      </c>
      <c r="J149" s="64">
        <f t="shared" si="155"/>
        <v>0</v>
      </c>
      <c r="K149" s="64">
        <f t="shared" si="155"/>
        <v>0</v>
      </c>
      <c r="L149" s="64">
        <f t="shared" si="155"/>
        <v>0</v>
      </c>
      <c r="M149" s="64">
        <f t="shared" si="155"/>
        <v>0</v>
      </c>
      <c r="N149" s="64">
        <f t="shared" si="155"/>
        <v>0</v>
      </c>
      <c r="O149" s="64">
        <f t="shared" si="155"/>
        <v>0</v>
      </c>
      <c r="P149" s="64">
        <f t="shared" si="155"/>
        <v>0</v>
      </c>
      <c r="Q149" s="64">
        <f t="shared" si="155"/>
        <v>0</v>
      </c>
      <c r="R149" s="64">
        <f t="shared" si="155"/>
        <v>0</v>
      </c>
      <c r="S149" s="64">
        <f t="shared" si="155"/>
        <v>0</v>
      </c>
      <c r="T149" s="64">
        <f t="shared" si="155"/>
        <v>0</v>
      </c>
      <c r="U149" s="64">
        <f t="shared" ref="U149:AH149" si="156">SUM(U152:U154)*9.75348</f>
        <v>0</v>
      </c>
      <c r="V149" s="64">
        <f t="shared" si="156"/>
        <v>0</v>
      </c>
      <c r="W149" s="64">
        <f t="shared" si="156"/>
        <v>0</v>
      </c>
      <c r="X149" s="64">
        <f t="shared" si="156"/>
        <v>0</v>
      </c>
      <c r="Y149" s="64">
        <f t="shared" si="156"/>
        <v>0</v>
      </c>
      <c r="Z149" s="64">
        <f t="shared" si="156"/>
        <v>0</v>
      </c>
      <c r="AA149" s="64">
        <f t="shared" si="156"/>
        <v>0</v>
      </c>
      <c r="AB149" s="64">
        <f t="shared" si="156"/>
        <v>0</v>
      </c>
      <c r="AC149" s="64">
        <f t="shared" si="156"/>
        <v>0</v>
      </c>
      <c r="AD149" s="64">
        <f t="shared" si="156"/>
        <v>0</v>
      </c>
      <c r="AE149" s="64">
        <f t="shared" ref="AE149:AG149" si="157">SUM(AE152:AE154)*9.75348</f>
        <v>0</v>
      </c>
      <c r="AF149" s="64">
        <f t="shared" si="157"/>
        <v>0</v>
      </c>
      <c r="AG149" s="64">
        <f t="shared" si="157"/>
        <v>0</v>
      </c>
      <c r="AH149" s="64">
        <f t="shared" si="156"/>
        <v>0</v>
      </c>
      <c r="AI149" s="64">
        <f t="shared" ref="AI149" si="158">SUM(AI152:AI154)*9.75348</f>
        <v>0</v>
      </c>
      <c r="AJ149" s="97"/>
      <c r="AK149" s="99">
        <f>SUM(F149:AI149)</f>
        <v>0</v>
      </c>
      <c r="AM149" s="206"/>
      <c r="AO149" s="214"/>
      <c r="EA149" s="203"/>
      <c r="EB149" s="203"/>
      <c r="FH149" s="203"/>
      <c r="GP149" s="7"/>
      <c r="GQ149" s="203"/>
      <c r="GR149" s="203"/>
      <c r="GS149" s="203"/>
      <c r="GT149" s="203"/>
      <c r="IW149" s="203"/>
      <c r="MR149" s="203"/>
      <c r="MS149" s="203"/>
      <c r="MT149" s="203"/>
      <c r="MU149" s="203"/>
      <c r="RY149" s="203"/>
      <c r="RZ149" s="203"/>
      <c r="SB149" s="203"/>
      <c r="SP149" s="206"/>
      <c r="ST149" s="203"/>
      <c r="UW149" s="206"/>
    </row>
    <row r="150" spans="2:569 15038:15430" s="1" customFormat="1">
      <c r="B150" s="50"/>
      <c r="C150" s="194" t="s">
        <v>66</v>
      </c>
      <c r="D150" s="54"/>
      <c r="E150" s="183" t="s">
        <v>9</v>
      </c>
      <c r="F150" s="64">
        <f t="shared" ref="F150:AH150" si="159">F148-F149</f>
        <v>0</v>
      </c>
      <c r="G150" s="64">
        <f t="shared" si="159"/>
        <v>0</v>
      </c>
      <c r="H150" s="64">
        <f t="shared" si="159"/>
        <v>0</v>
      </c>
      <c r="I150" s="64">
        <f t="shared" si="159"/>
        <v>0</v>
      </c>
      <c r="J150" s="64">
        <f t="shared" si="159"/>
        <v>0</v>
      </c>
      <c r="K150" s="64">
        <f t="shared" si="159"/>
        <v>0</v>
      </c>
      <c r="L150" s="64">
        <f t="shared" si="159"/>
        <v>0</v>
      </c>
      <c r="M150" s="64">
        <f t="shared" si="159"/>
        <v>0</v>
      </c>
      <c r="N150" s="64">
        <f t="shared" si="159"/>
        <v>0</v>
      </c>
      <c r="O150" s="64">
        <f t="shared" si="159"/>
        <v>0</v>
      </c>
      <c r="P150" s="64">
        <f t="shared" si="159"/>
        <v>0</v>
      </c>
      <c r="Q150" s="64">
        <f t="shared" si="159"/>
        <v>0</v>
      </c>
      <c r="R150" s="64">
        <f t="shared" si="159"/>
        <v>0</v>
      </c>
      <c r="S150" s="64">
        <f t="shared" si="159"/>
        <v>0</v>
      </c>
      <c r="T150" s="64">
        <f t="shared" si="159"/>
        <v>0</v>
      </c>
      <c r="U150" s="64">
        <f t="shared" si="159"/>
        <v>0</v>
      </c>
      <c r="V150" s="64">
        <f t="shared" si="159"/>
        <v>0</v>
      </c>
      <c r="W150" s="64">
        <f t="shared" si="159"/>
        <v>0</v>
      </c>
      <c r="X150" s="64">
        <f t="shared" si="159"/>
        <v>0</v>
      </c>
      <c r="Y150" s="64">
        <f t="shared" si="159"/>
        <v>0</v>
      </c>
      <c r="Z150" s="64">
        <f t="shared" si="159"/>
        <v>0</v>
      </c>
      <c r="AA150" s="64">
        <f t="shared" si="159"/>
        <v>0</v>
      </c>
      <c r="AB150" s="64">
        <f t="shared" si="159"/>
        <v>0</v>
      </c>
      <c r="AC150" s="64">
        <f t="shared" si="159"/>
        <v>0</v>
      </c>
      <c r="AD150" s="64">
        <f t="shared" si="159"/>
        <v>0</v>
      </c>
      <c r="AE150" s="64">
        <f t="shared" ref="AE150:AG150" si="160">AE148-AE149</f>
        <v>0</v>
      </c>
      <c r="AF150" s="64">
        <f t="shared" si="160"/>
        <v>0</v>
      </c>
      <c r="AG150" s="64">
        <f t="shared" si="160"/>
        <v>0</v>
      </c>
      <c r="AH150" s="64">
        <f t="shared" si="159"/>
        <v>0</v>
      </c>
      <c r="AI150" s="64">
        <f t="shared" ref="AI150" si="161">AI148-AI149</f>
        <v>0</v>
      </c>
      <c r="AJ150" s="97"/>
      <c r="AK150" s="99">
        <f>SUM(F150:AI150)</f>
        <v>0</v>
      </c>
      <c r="AM150" s="215"/>
      <c r="AO150" s="214"/>
      <c r="EA150" s="203"/>
      <c r="EB150" s="203"/>
      <c r="FH150" s="203"/>
      <c r="GP150" s="7"/>
      <c r="GQ150" s="203"/>
      <c r="GR150" s="203"/>
      <c r="GS150" s="203"/>
      <c r="GT150" s="203"/>
      <c r="IW150" s="203"/>
      <c r="MR150" s="203"/>
      <c r="MS150" s="203"/>
      <c r="MT150" s="203"/>
      <c r="MU150" s="203"/>
      <c r="RY150" s="203"/>
      <c r="RZ150" s="203"/>
      <c r="SB150" s="203"/>
      <c r="SP150" s="206"/>
      <c r="ST150" s="203"/>
      <c r="UW150" s="206"/>
    </row>
    <row r="151" spans="2:569 15038:15430" s="1" customFormat="1">
      <c r="B151" s="50"/>
      <c r="C151" s="194" t="s">
        <v>67</v>
      </c>
      <c r="D151" s="54"/>
      <c r="E151" s="5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97"/>
      <c r="AK151" s="102" t="s">
        <v>67</v>
      </c>
      <c r="AM151" s="98"/>
      <c r="EA151" s="203"/>
      <c r="EB151" s="203"/>
      <c r="FH151" s="203"/>
      <c r="GP151" s="7"/>
      <c r="GQ151" s="203"/>
      <c r="GR151" s="203"/>
      <c r="GS151" s="203"/>
      <c r="GT151" s="203"/>
      <c r="IW151" s="203"/>
      <c r="MR151" s="203"/>
      <c r="MS151" s="203"/>
      <c r="MT151" s="203"/>
      <c r="MU151" s="203"/>
      <c r="RY151" s="203"/>
      <c r="RZ151" s="203"/>
      <c r="SB151" s="203"/>
      <c r="SP151" s="206"/>
      <c r="ST151" s="203"/>
      <c r="UW151" s="206"/>
    </row>
    <row r="152" spans="2:569 15038:15430" s="6" customFormat="1" ht="13.8">
      <c r="B152" s="22"/>
      <c r="C152" s="20" t="s">
        <v>116</v>
      </c>
      <c r="D152" s="21"/>
      <c r="E152" s="196" t="s">
        <v>69</v>
      </c>
      <c r="F152" s="125">
        <v>0</v>
      </c>
      <c r="G152" s="125">
        <v>0</v>
      </c>
      <c r="H152" s="125">
        <v>0</v>
      </c>
      <c r="I152" s="125">
        <v>0</v>
      </c>
      <c r="J152" s="125">
        <v>0</v>
      </c>
      <c r="K152" s="125">
        <v>0</v>
      </c>
      <c r="L152" s="125">
        <v>0</v>
      </c>
      <c r="M152" s="125">
        <v>0</v>
      </c>
      <c r="N152" s="125">
        <v>0</v>
      </c>
      <c r="O152" s="125">
        <v>0</v>
      </c>
      <c r="P152" s="125">
        <v>0</v>
      </c>
      <c r="Q152" s="125">
        <v>0</v>
      </c>
      <c r="R152" s="125">
        <v>0</v>
      </c>
      <c r="S152" s="125">
        <v>0</v>
      </c>
      <c r="T152" s="125">
        <v>0</v>
      </c>
      <c r="U152" s="125">
        <v>0</v>
      </c>
      <c r="V152" s="125">
        <v>0</v>
      </c>
      <c r="W152" s="125">
        <v>0</v>
      </c>
      <c r="X152" s="125">
        <v>0</v>
      </c>
      <c r="Y152" s="125">
        <v>0</v>
      </c>
      <c r="Z152" s="125">
        <v>0</v>
      </c>
      <c r="AA152" s="125">
        <v>0</v>
      </c>
      <c r="AB152" s="125">
        <v>0</v>
      </c>
      <c r="AC152" s="125">
        <v>0</v>
      </c>
      <c r="AD152" s="125">
        <v>0</v>
      </c>
      <c r="AE152" s="125">
        <v>0</v>
      </c>
      <c r="AF152" s="125">
        <v>0</v>
      </c>
      <c r="AG152" s="125">
        <v>0</v>
      </c>
      <c r="AH152" s="125">
        <v>0</v>
      </c>
      <c r="AI152" s="125">
        <v>0</v>
      </c>
      <c r="AJ152" s="104"/>
      <c r="AK152" s="105">
        <f>SUM(F152:AI152)</f>
        <v>0</v>
      </c>
      <c r="AM152" s="138"/>
      <c r="EA152" s="233"/>
      <c r="EB152" s="233"/>
      <c r="FH152" s="233"/>
      <c r="GP152" s="245"/>
      <c r="GQ152" s="233"/>
      <c r="GR152" s="233"/>
      <c r="GS152" s="233"/>
      <c r="GT152" s="233"/>
      <c r="IW152" s="233"/>
      <c r="MR152" s="233"/>
      <c r="MS152" s="233"/>
      <c r="MT152" s="233"/>
      <c r="MU152" s="233"/>
      <c r="RY152" s="233"/>
      <c r="RZ152" s="233"/>
      <c r="SB152" s="233"/>
      <c r="SP152" s="297"/>
      <c r="ST152" s="233"/>
      <c r="UW152" s="297"/>
    </row>
    <row r="153" spans="2:569 15038:15430" s="6" customFormat="1" ht="13.8">
      <c r="B153" s="22"/>
      <c r="C153" s="20" t="s">
        <v>117</v>
      </c>
      <c r="D153" s="21"/>
      <c r="E153" s="196" t="s">
        <v>69</v>
      </c>
      <c r="F153" s="125">
        <v>0</v>
      </c>
      <c r="G153" s="125">
        <v>0</v>
      </c>
      <c r="H153" s="125">
        <v>0</v>
      </c>
      <c r="I153" s="125">
        <v>0</v>
      </c>
      <c r="J153" s="125">
        <v>0</v>
      </c>
      <c r="K153" s="125">
        <v>0</v>
      </c>
      <c r="L153" s="125">
        <v>0</v>
      </c>
      <c r="M153" s="125">
        <v>0</v>
      </c>
      <c r="N153" s="125">
        <v>0</v>
      </c>
      <c r="O153" s="125">
        <v>0</v>
      </c>
      <c r="P153" s="125">
        <v>0</v>
      </c>
      <c r="Q153" s="125">
        <v>0</v>
      </c>
      <c r="R153" s="125">
        <v>0</v>
      </c>
      <c r="S153" s="125">
        <v>0</v>
      </c>
      <c r="T153" s="125">
        <v>0</v>
      </c>
      <c r="U153" s="125">
        <v>0</v>
      </c>
      <c r="V153" s="125">
        <v>0</v>
      </c>
      <c r="W153" s="125">
        <v>0</v>
      </c>
      <c r="X153" s="125">
        <v>0</v>
      </c>
      <c r="Y153" s="125">
        <v>0</v>
      </c>
      <c r="Z153" s="125">
        <v>0</v>
      </c>
      <c r="AA153" s="125">
        <v>0</v>
      </c>
      <c r="AB153" s="125">
        <v>0</v>
      </c>
      <c r="AC153" s="125">
        <v>0</v>
      </c>
      <c r="AD153" s="125">
        <v>0</v>
      </c>
      <c r="AE153" s="125">
        <v>0</v>
      </c>
      <c r="AF153" s="125">
        <v>0</v>
      </c>
      <c r="AG153" s="125">
        <v>0</v>
      </c>
      <c r="AH153" s="125">
        <v>0</v>
      </c>
      <c r="AI153" s="125">
        <v>0</v>
      </c>
      <c r="AJ153" s="104"/>
      <c r="AK153" s="105">
        <f>SUM(F153:AI153)</f>
        <v>0</v>
      </c>
      <c r="AM153" s="138"/>
      <c r="EA153" s="233"/>
      <c r="EB153" s="233"/>
      <c r="FH153" s="233"/>
      <c r="GP153" s="245"/>
      <c r="GQ153" s="233"/>
      <c r="GR153" s="233"/>
      <c r="GS153" s="233"/>
      <c r="GT153" s="233"/>
      <c r="IW153" s="233"/>
      <c r="MR153" s="233"/>
      <c r="MS153" s="233"/>
      <c r="MT153" s="233"/>
      <c r="MU153" s="233"/>
      <c r="RY153" s="233"/>
      <c r="RZ153" s="233"/>
      <c r="SB153" s="233"/>
      <c r="SP153" s="297"/>
      <c r="ST153" s="233"/>
      <c r="UW153" s="297"/>
    </row>
    <row r="154" spans="2:569 15038:15430" s="6" customFormat="1" ht="13.8">
      <c r="B154" s="22"/>
      <c r="C154" s="20" t="s">
        <v>121</v>
      </c>
      <c r="D154" s="21"/>
      <c r="E154" s="196" t="s">
        <v>69</v>
      </c>
      <c r="F154" s="125">
        <v>0</v>
      </c>
      <c r="G154" s="125">
        <v>0</v>
      </c>
      <c r="H154" s="125">
        <v>0</v>
      </c>
      <c r="I154" s="125">
        <v>0</v>
      </c>
      <c r="J154" s="125">
        <v>0</v>
      </c>
      <c r="K154" s="125">
        <v>0</v>
      </c>
      <c r="L154" s="125">
        <v>0</v>
      </c>
      <c r="M154" s="125">
        <v>0</v>
      </c>
      <c r="N154" s="125">
        <v>0</v>
      </c>
      <c r="O154" s="125">
        <v>0</v>
      </c>
      <c r="P154" s="125">
        <v>0</v>
      </c>
      <c r="Q154" s="125">
        <v>0</v>
      </c>
      <c r="R154" s="125">
        <v>0</v>
      </c>
      <c r="S154" s="125">
        <v>0</v>
      </c>
      <c r="T154" s="125">
        <v>0</v>
      </c>
      <c r="U154" s="125">
        <v>0</v>
      </c>
      <c r="V154" s="125">
        <v>0</v>
      </c>
      <c r="W154" s="125">
        <v>0</v>
      </c>
      <c r="X154" s="125">
        <v>0</v>
      </c>
      <c r="Y154" s="125">
        <v>0</v>
      </c>
      <c r="Z154" s="125">
        <v>0</v>
      </c>
      <c r="AA154" s="125">
        <v>0</v>
      </c>
      <c r="AB154" s="125">
        <v>0</v>
      </c>
      <c r="AC154" s="125">
        <v>0</v>
      </c>
      <c r="AD154" s="125">
        <v>0</v>
      </c>
      <c r="AE154" s="125">
        <v>0</v>
      </c>
      <c r="AF154" s="125">
        <v>0</v>
      </c>
      <c r="AG154" s="125">
        <v>0</v>
      </c>
      <c r="AH154" s="125">
        <v>0</v>
      </c>
      <c r="AI154" s="125">
        <v>0</v>
      </c>
      <c r="AJ154" s="104"/>
      <c r="AK154" s="105">
        <f>SUM(F154:AI154)</f>
        <v>0</v>
      </c>
      <c r="AM154" s="138"/>
      <c r="EA154" s="233"/>
      <c r="EB154" s="233"/>
      <c r="FH154" s="233"/>
      <c r="GP154" s="245"/>
      <c r="GQ154" s="233"/>
      <c r="GR154" s="233"/>
      <c r="GS154" s="233"/>
      <c r="GT154" s="233"/>
      <c r="IW154" s="233"/>
      <c r="MR154" s="233"/>
      <c r="MS154" s="233"/>
      <c r="MT154" s="233"/>
      <c r="MU154" s="233"/>
      <c r="RY154" s="233"/>
      <c r="RZ154" s="233"/>
      <c r="SB154" s="233"/>
      <c r="SP154" s="297"/>
      <c r="ST154" s="233"/>
      <c r="UW154" s="297"/>
    </row>
    <row r="155" spans="2:569 15038:15430" s="1" customFormat="1">
      <c r="B155" s="50"/>
      <c r="C155" s="194" t="s">
        <v>71</v>
      </c>
      <c r="D155" s="54"/>
      <c r="E155" s="5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97"/>
      <c r="AK155" s="102" t="s">
        <v>71</v>
      </c>
      <c r="AM155" s="98"/>
      <c r="EA155" s="203"/>
      <c r="EB155" s="203"/>
      <c r="FH155" s="203"/>
      <c r="GP155" s="7"/>
      <c r="GQ155" s="203"/>
      <c r="GR155" s="203"/>
      <c r="GS155" s="203"/>
      <c r="GT155" s="203"/>
      <c r="IW155" s="203"/>
      <c r="MR155" s="203"/>
      <c r="MS155" s="203"/>
      <c r="MT155" s="203"/>
      <c r="MU155" s="203"/>
      <c r="RY155" s="203"/>
      <c r="RZ155" s="203"/>
      <c r="SB155" s="203"/>
      <c r="SP155" s="206"/>
      <c r="ST155" s="203"/>
      <c r="UW155" s="206"/>
    </row>
    <row r="156" spans="2:569 15038:15430" s="1" customFormat="1" ht="13.8">
      <c r="B156" s="50"/>
      <c r="C156" s="20" t="s">
        <v>116</v>
      </c>
      <c r="D156" s="54"/>
      <c r="E156" s="183" t="s">
        <v>71</v>
      </c>
      <c r="F156" s="40">
        <f>F152*24</f>
        <v>0</v>
      </c>
      <c r="G156" s="40">
        <f t="shared" ref="G156:AH156" si="162">G152*24</f>
        <v>0</v>
      </c>
      <c r="H156" s="40">
        <f t="shared" si="162"/>
        <v>0</v>
      </c>
      <c r="I156" s="40">
        <f t="shared" si="162"/>
        <v>0</v>
      </c>
      <c r="J156" s="40">
        <f t="shared" si="162"/>
        <v>0</v>
      </c>
      <c r="K156" s="40">
        <f t="shared" si="162"/>
        <v>0</v>
      </c>
      <c r="L156" s="40">
        <f t="shared" si="162"/>
        <v>0</v>
      </c>
      <c r="M156" s="40">
        <f t="shared" si="162"/>
        <v>0</v>
      </c>
      <c r="N156" s="40">
        <f t="shared" si="162"/>
        <v>0</v>
      </c>
      <c r="O156" s="40">
        <f t="shared" si="162"/>
        <v>0</v>
      </c>
      <c r="P156" s="40">
        <f t="shared" si="162"/>
        <v>0</v>
      </c>
      <c r="Q156" s="40">
        <f t="shared" si="162"/>
        <v>0</v>
      </c>
      <c r="R156" s="40">
        <f t="shared" si="162"/>
        <v>0</v>
      </c>
      <c r="S156" s="40">
        <f t="shared" si="162"/>
        <v>0</v>
      </c>
      <c r="T156" s="40">
        <f t="shared" si="162"/>
        <v>0</v>
      </c>
      <c r="U156" s="40">
        <f t="shared" si="162"/>
        <v>0</v>
      </c>
      <c r="V156" s="40">
        <f t="shared" si="162"/>
        <v>0</v>
      </c>
      <c r="W156" s="40">
        <f t="shared" si="162"/>
        <v>0</v>
      </c>
      <c r="X156" s="40">
        <f t="shared" si="162"/>
        <v>0</v>
      </c>
      <c r="Y156" s="40">
        <f t="shared" si="162"/>
        <v>0</v>
      </c>
      <c r="Z156" s="40">
        <f t="shared" si="162"/>
        <v>0</v>
      </c>
      <c r="AA156" s="40">
        <f t="shared" si="162"/>
        <v>0</v>
      </c>
      <c r="AB156" s="40">
        <f t="shared" si="162"/>
        <v>0</v>
      </c>
      <c r="AC156" s="40">
        <f t="shared" si="162"/>
        <v>0</v>
      </c>
      <c r="AD156" s="40">
        <f t="shared" si="162"/>
        <v>0</v>
      </c>
      <c r="AE156" s="40">
        <f t="shared" ref="AE156:AG156" si="163">AE152*24</f>
        <v>0</v>
      </c>
      <c r="AF156" s="40">
        <f t="shared" si="163"/>
        <v>0</v>
      </c>
      <c r="AG156" s="40">
        <f t="shared" si="163"/>
        <v>0</v>
      </c>
      <c r="AH156" s="40">
        <f t="shared" si="162"/>
        <v>0</v>
      </c>
      <c r="AI156" s="40">
        <f t="shared" ref="AI156" si="164">AI152*24</f>
        <v>0</v>
      </c>
      <c r="AJ156" s="97"/>
      <c r="AK156" s="96">
        <f>AK152*24</f>
        <v>0</v>
      </c>
      <c r="AM156" s="215"/>
      <c r="EA156" s="203"/>
      <c r="EB156" s="203"/>
      <c r="FH156" s="203"/>
      <c r="GP156" s="7"/>
      <c r="GQ156" s="203"/>
      <c r="GR156" s="203"/>
      <c r="GS156" s="203"/>
      <c r="GT156" s="203"/>
      <c r="IW156" s="203"/>
      <c r="MR156" s="203"/>
      <c r="MS156" s="203"/>
      <c r="MT156" s="203"/>
      <c r="MU156" s="203"/>
      <c r="RY156" s="203"/>
      <c r="RZ156" s="203"/>
      <c r="SB156" s="203"/>
      <c r="SP156" s="206"/>
      <c r="ST156" s="203"/>
      <c r="UW156" s="206"/>
    </row>
    <row r="157" spans="2:569 15038:15430" s="1" customFormat="1" ht="13.8">
      <c r="B157" s="50"/>
      <c r="C157" s="20" t="s">
        <v>117</v>
      </c>
      <c r="D157" s="54"/>
      <c r="E157" s="183" t="s">
        <v>71</v>
      </c>
      <c r="F157" s="40">
        <f>F153*12</f>
        <v>0</v>
      </c>
      <c r="G157" s="40">
        <f t="shared" ref="G157:AH158" si="165">G153*12</f>
        <v>0</v>
      </c>
      <c r="H157" s="40">
        <f t="shared" si="165"/>
        <v>0</v>
      </c>
      <c r="I157" s="40">
        <f t="shared" si="165"/>
        <v>0</v>
      </c>
      <c r="J157" s="40">
        <f t="shared" si="165"/>
        <v>0</v>
      </c>
      <c r="K157" s="40">
        <f t="shared" si="165"/>
        <v>0</v>
      </c>
      <c r="L157" s="40">
        <f t="shared" si="165"/>
        <v>0</v>
      </c>
      <c r="M157" s="40">
        <f t="shared" si="165"/>
        <v>0</v>
      </c>
      <c r="N157" s="40">
        <f t="shared" si="165"/>
        <v>0</v>
      </c>
      <c r="O157" s="40">
        <f t="shared" si="165"/>
        <v>0</v>
      </c>
      <c r="P157" s="40">
        <f t="shared" si="165"/>
        <v>0</v>
      </c>
      <c r="Q157" s="40">
        <f t="shared" si="165"/>
        <v>0</v>
      </c>
      <c r="R157" s="40">
        <f t="shared" si="165"/>
        <v>0</v>
      </c>
      <c r="S157" s="40">
        <f t="shared" si="165"/>
        <v>0</v>
      </c>
      <c r="T157" s="40">
        <f t="shared" si="165"/>
        <v>0</v>
      </c>
      <c r="U157" s="40">
        <f t="shared" si="165"/>
        <v>0</v>
      </c>
      <c r="V157" s="40">
        <f t="shared" si="165"/>
        <v>0</v>
      </c>
      <c r="W157" s="40">
        <f t="shared" si="165"/>
        <v>0</v>
      </c>
      <c r="X157" s="40">
        <f t="shared" si="165"/>
        <v>0</v>
      </c>
      <c r="Y157" s="40">
        <f t="shared" si="165"/>
        <v>0</v>
      </c>
      <c r="Z157" s="40">
        <f t="shared" si="165"/>
        <v>0</v>
      </c>
      <c r="AA157" s="40">
        <f t="shared" si="165"/>
        <v>0</v>
      </c>
      <c r="AB157" s="40">
        <f t="shared" si="165"/>
        <v>0</v>
      </c>
      <c r="AC157" s="40">
        <f t="shared" si="165"/>
        <v>0</v>
      </c>
      <c r="AD157" s="40">
        <f t="shared" si="165"/>
        <v>0</v>
      </c>
      <c r="AE157" s="40">
        <f t="shared" ref="AE157:AG157" si="166">AE153*12</f>
        <v>0</v>
      </c>
      <c r="AF157" s="40">
        <f t="shared" si="166"/>
        <v>0</v>
      </c>
      <c r="AG157" s="40">
        <f t="shared" si="166"/>
        <v>0</v>
      </c>
      <c r="AH157" s="40">
        <f t="shared" si="165"/>
        <v>0</v>
      </c>
      <c r="AI157" s="40">
        <f t="shared" ref="AI157" si="167">AI153*12</f>
        <v>0</v>
      </c>
      <c r="AJ157" s="97"/>
      <c r="AK157" s="96">
        <f>AK153*12</f>
        <v>0</v>
      </c>
      <c r="AM157" s="98"/>
      <c r="EA157" s="203"/>
      <c r="EB157" s="203"/>
      <c r="FH157" s="203"/>
      <c r="GP157" s="7"/>
      <c r="GQ157" s="203"/>
      <c r="GR157" s="203"/>
      <c r="GS157" s="203"/>
      <c r="GT157" s="203"/>
      <c r="IW157" s="203"/>
      <c r="MR157" s="203"/>
      <c r="MS157" s="203"/>
      <c r="MT157" s="203"/>
      <c r="MU157" s="203"/>
      <c r="RY157" s="203"/>
      <c r="RZ157" s="203"/>
      <c r="SB157" s="203"/>
      <c r="SP157" s="206"/>
      <c r="ST157" s="203"/>
      <c r="UW157" s="206"/>
    </row>
    <row r="158" spans="2:569 15038:15430" s="1" customFormat="1" ht="13.8">
      <c r="B158" s="50"/>
      <c r="C158" s="20" t="s">
        <v>121</v>
      </c>
      <c r="D158" s="54"/>
      <c r="E158" s="183" t="s">
        <v>71</v>
      </c>
      <c r="F158" s="40">
        <f>F154*6</f>
        <v>0</v>
      </c>
      <c r="G158" s="40">
        <f t="shared" ref="G158:AC158" si="168">G154*6</f>
        <v>0</v>
      </c>
      <c r="H158" s="40">
        <f t="shared" si="168"/>
        <v>0</v>
      </c>
      <c r="I158" s="40">
        <f t="shared" si="168"/>
        <v>0</v>
      </c>
      <c r="J158" s="40">
        <f t="shared" si="168"/>
        <v>0</v>
      </c>
      <c r="K158" s="40">
        <f t="shared" si="168"/>
        <v>0</v>
      </c>
      <c r="L158" s="40">
        <f t="shared" si="168"/>
        <v>0</v>
      </c>
      <c r="M158" s="40">
        <f t="shared" si="168"/>
        <v>0</v>
      </c>
      <c r="N158" s="40">
        <f t="shared" si="168"/>
        <v>0</v>
      </c>
      <c r="O158" s="40">
        <f t="shared" si="168"/>
        <v>0</v>
      </c>
      <c r="P158" s="40">
        <f t="shared" si="168"/>
        <v>0</v>
      </c>
      <c r="Q158" s="40">
        <f t="shared" si="168"/>
        <v>0</v>
      </c>
      <c r="R158" s="40">
        <f t="shared" si="168"/>
        <v>0</v>
      </c>
      <c r="S158" s="40">
        <f t="shared" si="168"/>
        <v>0</v>
      </c>
      <c r="T158" s="40">
        <f t="shared" si="168"/>
        <v>0</v>
      </c>
      <c r="U158" s="40">
        <f t="shared" si="168"/>
        <v>0</v>
      </c>
      <c r="V158" s="40">
        <f t="shared" si="168"/>
        <v>0</v>
      </c>
      <c r="W158" s="40">
        <f t="shared" si="168"/>
        <v>0</v>
      </c>
      <c r="X158" s="40">
        <f t="shared" si="168"/>
        <v>0</v>
      </c>
      <c r="Y158" s="40">
        <f t="shared" si="168"/>
        <v>0</v>
      </c>
      <c r="Z158" s="40">
        <f t="shared" si="168"/>
        <v>0</v>
      </c>
      <c r="AA158" s="40">
        <f t="shared" si="168"/>
        <v>0</v>
      </c>
      <c r="AB158" s="40">
        <f t="shared" si="168"/>
        <v>0</v>
      </c>
      <c r="AC158" s="40">
        <f t="shared" si="168"/>
        <v>0</v>
      </c>
      <c r="AD158" s="40">
        <f t="shared" si="165"/>
        <v>0</v>
      </c>
      <c r="AE158" s="40">
        <f t="shared" ref="AE158:AG158" si="169">AE154*12</f>
        <v>0</v>
      </c>
      <c r="AF158" s="40">
        <f t="shared" si="169"/>
        <v>0</v>
      </c>
      <c r="AG158" s="40">
        <f t="shared" si="169"/>
        <v>0</v>
      </c>
      <c r="AH158" s="40">
        <f t="shared" si="165"/>
        <v>0</v>
      </c>
      <c r="AI158" s="40">
        <f t="shared" ref="AI158" si="170">AI154*12</f>
        <v>0</v>
      </c>
      <c r="AJ158" s="97"/>
      <c r="AK158" s="96">
        <f>AK154*6</f>
        <v>0</v>
      </c>
      <c r="AM158" s="98"/>
      <c r="EA158" s="203"/>
      <c r="EB158" s="203"/>
      <c r="FH158" s="203"/>
      <c r="GP158" s="7"/>
      <c r="GQ158" s="203"/>
      <c r="GR158" s="203"/>
      <c r="GS158" s="203"/>
      <c r="GT158" s="203"/>
      <c r="IW158" s="203"/>
      <c r="MR158" s="203"/>
      <c r="MS158" s="203"/>
      <c r="MT158" s="203"/>
      <c r="MU158" s="203"/>
      <c r="RY158" s="203"/>
      <c r="RZ158" s="203"/>
      <c r="SB158" s="203"/>
      <c r="SP158" s="206"/>
      <c r="ST158" s="203"/>
      <c r="UW158" s="206"/>
    </row>
    <row r="159" spans="2:569 15038:15430" s="1" customFormat="1">
      <c r="B159" s="50"/>
      <c r="C159" s="194" t="s">
        <v>72</v>
      </c>
      <c r="D159" s="54"/>
      <c r="E159" s="183" t="s">
        <v>73</v>
      </c>
      <c r="F159" s="40">
        <f>F148*45/1700</f>
        <v>0</v>
      </c>
      <c r="G159" s="40">
        <f t="shared" ref="G159:AH159" si="171">G148*45/1700</f>
        <v>0</v>
      </c>
      <c r="H159" s="40">
        <f t="shared" si="171"/>
        <v>0</v>
      </c>
      <c r="I159" s="40">
        <f t="shared" si="171"/>
        <v>0</v>
      </c>
      <c r="J159" s="40">
        <f t="shared" si="171"/>
        <v>0</v>
      </c>
      <c r="K159" s="40">
        <f t="shared" si="171"/>
        <v>0</v>
      </c>
      <c r="L159" s="40">
        <f t="shared" si="171"/>
        <v>0</v>
      </c>
      <c r="M159" s="40">
        <f t="shared" si="171"/>
        <v>0</v>
      </c>
      <c r="N159" s="40">
        <f t="shared" si="171"/>
        <v>0</v>
      </c>
      <c r="O159" s="40">
        <f t="shared" si="171"/>
        <v>0</v>
      </c>
      <c r="P159" s="40">
        <f t="shared" si="171"/>
        <v>0</v>
      </c>
      <c r="Q159" s="40">
        <f t="shared" si="171"/>
        <v>0</v>
      </c>
      <c r="R159" s="40">
        <f t="shared" si="171"/>
        <v>0</v>
      </c>
      <c r="S159" s="40">
        <f>S148*45/1700</f>
        <v>0</v>
      </c>
      <c r="T159" s="40">
        <f t="shared" si="171"/>
        <v>0</v>
      </c>
      <c r="U159" s="40">
        <f t="shared" si="171"/>
        <v>0</v>
      </c>
      <c r="V159" s="40">
        <f t="shared" si="171"/>
        <v>0</v>
      </c>
      <c r="W159" s="40">
        <f t="shared" si="171"/>
        <v>0</v>
      </c>
      <c r="X159" s="40">
        <f>X148*45/1700</f>
        <v>0</v>
      </c>
      <c r="Y159" s="40">
        <f>Y148*45/1700</f>
        <v>0</v>
      </c>
      <c r="Z159" s="40">
        <f t="shared" si="171"/>
        <v>0</v>
      </c>
      <c r="AA159" s="40">
        <f t="shared" si="171"/>
        <v>0</v>
      </c>
      <c r="AB159" s="40">
        <f t="shared" si="171"/>
        <v>0</v>
      </c>
      <c r="AC159" s="40">
        <f t="shared" si="171"/>
        <v>0</v>
      </c>
      <c r="AD159" s="40">
        <f t="shared" si="171"/>
        <v>0</v>
      </c>
      <c r="AE159" s="40">
        <f t="shared" ref="AE159:AG159" si="172">AE148*45/1700</f>
        <v>0</v>
      </c>
      <c r="AF159" s="40">
        <f t="shared" si="172"/>
        <v>0</v>
      </c>
      <c r="AG159" s="40">
        <f t="shared" si="172"/>
        <v>0</v>
      </c>
      <c r="AH159" s="40">
        <f t="shared" si="171"/>
        <v>0</v>
      </c>
      <c r="AI159" s="40">
        <f t="shared" ref="AI159" si="173">AI148*45/1700</f>
        <v>0</v>
      </c>
      <c r="AJ159" s="97"/>
      <c r="AK159" s="96">
        <f>SUM(F159:AI159)</f>
        <v>0</v>
      </c>
      <c r="AM159" s="98"/>
      <c r="EA159" s="203"/>
      <c r="EB159" s="203"/>
      <c r="FH159" s="203"/>
      <c r="GP159" s="7"/>
      <c r="GQ159" s="203"/>
      <c r="GR159" s="203"/>
      <c r="GS159" s="203"/>
      <c r="GT159" s="203"/>
      <c r="IW159" s="203"/>
      <c r="MR159" s="203"/>
      <c r="MS159" s="203"/>
      <c r="MT159" s="203"/>
      <c r="MU159" s="203"/>
      <c r="RY159" s="203"/>
      <c r="RZ159" s="203"/>
      <c r="SB159" s="203"/>
      <c r="SP159" s="206"/>
      <c r="ST159" s="203"/>
      <c r="UW159" s="206"/>
    </row>
    <row r="160" spans="2:569 15038:15430" s="1" customFormat="1">
      <c r="B160" s="50"/>
      <c r="C160" s="194" t="s">
        <v>74</v>
      </c>
      <c r="D160" s="54"/>
      <c r="E160" s="183" t="s">
        <v>75</v>
      </c>
      <c r="F160" s="40">
        <f t="shared" ref="F160:AH160" si="174">SUM(F152:F154)/500</f>
        <v>0</v>
      </c>
      <c r="G160" s="40">
        <f t="shared" si="174"/>
        <v>0</v>
      </c>
      <c r="H160" s="40">
        <f t="shared" si="174"/>
        <v>0</v>
      </c>
      <c r="I160" s="40">
        <f t="shared" si="174"/>
        <v>0</v>
      </c>
      <c r="J160" s="40">
        <f t="shared" si="174"/>
        <v>0</v>
      </c>
      <c r="K160" s="40">
        <f t="shared" si="174"/>
        <v>0</v>
      </c>
      <c r="L160" s="40">
        <f t="shared" si="174"/>
        <v>0</v>
      </c>
      <c r="M160" s="40">
        <f t="shared" si="174"/>
        <v>0</v>
      </c>
      <c r="N160" s="40">
        <f t="shared" si="174"/>
        <v>0</v>
      </c>
      <c r="O160" s="40">
        <f t="shared" si="174"/>
        <v>0</v>
      </c>
      <c r="P160" s="40">
        <f>SUM(P152:P154)/500</f>
        <v>0</v>
      </c>
      <c r="Q160" s="40">
        <f t="shared" si="174"/>
        <v>0</v>
      </c>
      <c r="R160" s="40">
        <f t="shared" si="174"/>
        <v>0</v>
      </c>
      <c r="S160" s="40">
        <f t="shared" si="174"/>
        <v>0</v>
      </c>
      <c r="T160" s="40">
        <f t="shared" si="174"/>
        <v>0</v>
      </c>
      <c r="U160" s="40">
        <f t="shared" si="174"/>
        <v>0</v>
      </c>
      <c r="V160" s="40">
        <f>SUM(V152:V154)/500</f>
        <v>0</v>
      </c>
      <c r="W160" s="40">
        <f t="shared" si="174"/>
        <v>0</v>
      </c>
      <c r="X160" s="40">
        <f>SUM(X152:X154)/500</f>
        <v>0</v>
      </c>
      <c r="Y160" s="40">
        <f t="shared" si="174"/>
        <v>0</v>
      </c>
      <c r="Z160" s="40">
        <f t="shared" si="174"/>
        <v>0</v>
      </c>
      <c r="AA160" s="40">
        <f t="shared" si="174"/>
        <v>0</v>
      </c>
      <c r="AB160" s="40">
        <f t="shared" si="174"/>
        <v>0</v>
      </c>
      <c r="AC160" s="40">
        <f t="shared" si="174"/>
        <v>0</v>
      </c>
      <c r="AD160" s="40">
        <f t="shared" si="174"/>
        <v>0</v>
      </c>
      <c r="AE160" s="40">
        <f t="shared" ref="AE160:AG160" si="175">SUM(AE152:AE154)/500</f>
        <v>0</v>
      </c>
      <c r="AF160" s="40">
        <f t="shared" si="175"/>
        <v>0</v>
      </c>
      <c r="AG160" s="40">
        <f t="shared" si="175"/>
        <v>0</v>
      </c>
      <c r="AH160" s="40">
        <f t="shared" si="174"/>
        <v>0</v>
      </c>
      <c r="AI160" s="40">
        <f t="shared" ref="AI160" si="176">SUM(AI152:AI154)/500</f>
        <v>0</v>
      </c>
      <c r="AJ160" s="97"/>
      <c r="AK160" s="96">
        <f>SUM(F160:AI160)</f>
        <v>0</v>
      </c>
      <c r="AM160" s="98"/>
      <c r="EA160" s="203"/>
      <c r="EB160" s="203"/>
      <c r="FH160" s="203"/>
      <c r="GP160" s="7"/>
      <c r="GQ160" s="203"/>
      <c r="GR160" s="203"/>
      <c r="GS160" s="203"/>
      <c r="GT160" s="203"/>
      <c r="IW160" s="203"/>
      <c r="MR160" s="203"/>
      <c r="MS160" s="203"/>
      <c r="MT160" s="203"/>
      <c r="MU160" s="203"/>
      <c r="RY160" s="203"/>
      <c r="RZ160" s="203"/>
      <c r="SB160" s="203"/>
      <c r="SP160" s="206"/>
      <c r="ST160" s="203"/>
      <c r="UW160" s="206"/>
    </row>
    <row r="161" spans="2:943 15038:15430" s="1" customFormat="1" hidden="1">
      <c r="B161" s="37"/>
      <c r="C161" s="16" t="s">
        <v>76</v>
      </c>
      <c r="D161" s="35"/>
      <c r="E161" s="35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83"/>
      <c r="AD161" s="36"/>
      <c r="AE161" s="36"/>
      <c r="AF161" s="36"/>
      <c r="AG161" s="36"/>
      <c r="AH161" s="36"/>
      <c r="AI161" s="36"/>
      <c r="AJ161" s="87"/>
      <c r="AK161" s="180" t="s">
        <v>77</v>
      </c>
      <c r="AM161" s="10"/>
      <c r="EA161" s="219"/>
      <c r="EB161" s="219"/>
      <c r="FH161" s="219"/>
      <c r="GP161" s="7"/>
      <c r="GQ161" s="219"/>
      <c r="GR161" s="219"/>
      <c r="GS161" s="219"/>
      <c r="GT161" s="219"/>
      <c r="IW161" s="219"/>
      <c r="MR161" s="219"/>
      <c r="MS161" s="219"/>
      <c r="MT161" s="219"/>
      <c r="MU161" s="219"/>
      <c r="RY161" s="219"/>
      <c r="RZ161" s="219"/>
      <c r="SB161" s="219"/>
      <c r="SP161" s="240"/>
      <c r="ST161" s="219"/>
      <c r="UW161" s="240"/>
      <c r="VFJ161"/>
      <c r="VFK161"/>
      <c r="VFL161"/>
      <c r="VFM161"/>
      <c r="VFN161"/>
      <c r="VFO161"/>
      <c r="VFP161"/>
      <c r="VFQ161"/>
      <c r="VFR161"/>
      <c r="VFS161"/>
      <c r="VFT161"/>
      <c r="VFU161"/>
      <c r="VFV161"/>
      <c r="VFW161"/>
      <c r="VFX161"/>
      <c r="VFY161"/>
      <c r="VFZ161"/>
      <c r="VGA161"/>
      <c r="VGB161"/>
      <c r="VGC161"/>
      <c r="VGD161"/>
      <c r="VGE161"/>
      <c r="VGF161"/>
      <c r="VGG161"/>
      <c r="VGH161"/>
      <c r="VGI161"/>
      <c r="VGJ161"/>
      <c r="VGK161"/>
      <c r="VGL161"/>
      <c r="VGM161"/>
      <c r="VGN161"/>
      <c r="VGO161"/>
      <c r="VGP161"/>
      <c r="VGQ161"/>
      <c r="VGR161"/>
      <c r="VGS161"/>
      <c r="VGT161"/>
      <c r="VGU161"/>
      <c r="VGV161"/>
      <c r="VGW161"/>
      <c r="VGX161"/>
      <c r="VGY161"/>
      <c r="VGZ161"/>
      <c r="VHA161"/>
      <c r="VHB161"/>
      <c r="VHC161"/>
      <c r="VHD161"/>
      <c r="VHE161"/>
      <c r="VHF161"/>
      <c r="VHG161"/>
      <c r="VHH161"/>
      <c r="VHI161"/>
      <c r="VHJ161"/>
      <c r="VHK161"/>
      <c r="VHL161"/>
      <c r="VHM161"/>
      <c r="VHN161"/>
      <c r="VHO161"/>
      <c r="VHP161"/>
      <c r="VHQ161"/>
      <c r="VHR161"/>
      <c r="VHS161"/>
      <c r="VHT161"/>
      <c r="VHU161"/>
      <c r="VHV161"/>
      <c r="VHW161"/>
      <c r="VHX161"/>
      <c r="VHY161"/>
      <c r="VHZ161"/>
      <c r="VIA161"/>
      <c r="VIB161"/>
      <c r="VIC161"/>
      <c r="VID161"/>
      <c r="VIE161"/>
      <c r="VIF161"/>
      <c r="VIG161"/>
      <c r="VIH161"/>
      <c r="VII161"/>
      <c r="VIJ161"/>
      <c r="VIK161"/>
      <c r="VIL161"/>
      <c r="VIM161"/>
      <c r="VIN161"/>
      <c r="VIO161"/>
      <c r="VIP161"/>
      <c r="VIQ161"/>
      <c r="VIR161"/>
      <c r="VIS161"/>
      <c r="VIT161"/>
      <c r="VIU161"/>
      <c r="VIV161"/>
      <c r="VIW161"/>
      <c r="VIX161"/>
      <c r="VIY161"/>
      <c r="VIZ161"/>
      <c r="VJA161"/>
      <c r="VJB161"/>
      <c r="VJC161"/>
      <c r="VJD161"/>
      <c r="VJE161"/>
      <c r="VJF161"/>
      <c r="VJG161"/>
      <c r="VJH161"/>
      <c r="VJI161"/>
      <c r="VJJ161"/>
      <c r="VJK161"/>
      <c r="VJL161"/>
      <c r="VJM161"/>
      <c r="VJN161"/>
      <c r="VJO161"/>
      <c r="VJP161"/>
      <c r="VJQ161"/>
      <c r="VJR161"/>
      <c r="VJS161"/>
      <c r="VJT161"/>
      <c r="VJU161"/>
      <c r="VJV161"/>
      <c r="VJW161"/>
      <c r="VJX161"/>
      <c r="VJY161"/>
      <c r="VJZ161"/>
      <c r="VKA161"/>
      <c r="VKB161"/>
      <c r="VKC161"/>
      <c r="VKD161"/>
      <c r="VKE161"/>
      <c r="VKF161"/>
      <c r="VKG161"/>
      <c r="VKH161"/>
      <c r="VKI161"/>
      <c r="VKJ161"/>
      <c r="VKK161"/>
      <c r="VKL161"/>
      <c r="VKM161"/>
      <c r="VKN161"/>
      <c r="VKO161"/>
      <c r="VKP161"/>
      <c r="VKQ161"/>
      <c r="VKR161"/>
      <c r="VKS161"/>
      <c r="VKT161"/>
      <c r="VKU161"/>
      <c r="VKV161"/>
      <c r="VKW161"/>
      <c r="VKX161"/>
      <c r="VKY161"/>
      <c r="VKZ161"/>
      <c r="VLA161"/>
      <c r="VLB161"/>
      <c r="VLC161"/>
      <c r="VLD161"/>
      <c r="VLE161"/>
      <c r="VLF161"/>
      <c r="VLG161"/>
      <c r="VLH161"/>
      <c r="VLI161"/>
      <c r="VLJ161"/>
      <c r="VLK161"/>
      <c r="VLL161"/>
      <c r="VLM161"/>
      <c r="VLN161"/>
      <c r="VLO161"/>
      <c r="VLP161"/>
      <c r="VLQ161"/>
      <c r="VLR161"/>
      <c r="VLS161"/>
      <c r="VLT161"/>
      <c r="VLU161"/>
      <c r="VLV161"/>
      <c r="VLW161"/>
      <c r="VLX161"/>
      <c r="VLY161"/>
      <c r="VLZ161"/>
      <c r="VMA161"/>
      <c r="VMB161"/>
      <c r="VMC161"/>
      <c r="VMD161"/>
      <c r="VME161"/>
      <c r="VMF161"/>
      <c r="VMG161"/>
      <c r="VMH161"/>
      <c r="VMI161"/>
      <c r="VMJ161"/>
      <c r="VMK161"/>
      <c r="VML161"/>
      <c r="VMM161"/>
      <c r="VMN161"/>
      <c r="VMO161"/>
      <c r="VMP161"/>
      <c r="VMQ161"/>
      <c r="VMR161"/>
      <c r="VMS161"/>
      <c r="VMT161"/>
      <c r="VMU161"/>
      <c r="VMV161"/>
      <c r="VMW161"/>
      <c r="VMX161"/>
      <c r="VMY161"/>
      <c r="VMZ161"/>
      <c r="VNA161"/>
      <c r="VNB161"/>
      <c r="VNC161"/>
      <c r="VND161"/>
      <c r="VNE161"/>
      <c r="VNF161"/>
      <c r="VNG161"/>
      <c r="VNH161"/>
      <c r="VNI161"/>
      <c r="VNJ161"/>
      <c r="VNK161"/>
      <c r="VNL161"/>
      <c r="VNM161"/>
      <c r="VNN161"/>
      <c r="VNO161"/>
      <c r="VNP161"/>
      <c r="VNQ161"/>
      <c r="VNR161"/>
      <c r="VNS161"/>
      <c r="VNT161"/>
      <c r="VNU161"/>
      <c r="VNV161"/>
      <c r="VNW161"/>
      <c r="VNX161"/>
      <c r="VNY161"/>
      <c r="VNZ161"/>
      <c r="VOA161"/>
      <c r="VOB161"/>
      <c r="VOC161"/>
      <c r="VOD161"/>
      <c r="VOE161"/>
      <c r="VOF161"/>
      <c r="VOG161"/>
      <c r="VOH161"/>
      <c r="VOI161"/>
      <c r="VOJ161"/>
      <c r="VOK161"/>
      <c r="VOL161"/>
      <c r="VOM161"/>
      <c r="VON161"/>
      <c r="VOO161"/>
      <c r="VOP161"/>
      <c r="VOQ161"/>
      <c r="VOR161"/>
      <c r="VOS161"/>
      <c r="VOT161"/>
      <c r="VOU161"/>
      <c r="VOV161"/>
      <c r="VOW161"/>
      <c r="VOX161"/>
      <c r="VOY161"/>
      <c r="VOZ161"/>
      <c r="VPA161"/>
      <c r="VPB161"/>
      <c r="VPC161"/>
      <c r="VPD161"/>
      <c r="VPE161"/>
      <c r="VPF161"/>
      <c r="VPG161"/>
      <c r="VPH161"/>
      <c r="VPI161"/>
      <c r="VPJ161"/>
      <c r="VPK161"/>
      <c r="VPL161"/>
      <c r="VPM161"/>
      <c r="VPN161"/>
      <c r="VPO161"/>
      <c r="VPP161"/>
      <c r="VPQ161"/>
      <c r="VPR161"/>
      <c r="VPS161"/>
      <c r="VPT161"/>
      <c r="VPU161"/>
      <c r="VPV161"/>
      <c r="VPW161"/>
      <c r="VPX161"/>
      <c r="VPY161"/>
      <c r="VPZ161"/>
      <c r="VQA161"/>
      <c r="VQB161"/>
      <c r="VQC161"/>
      <c r="VQD161"/>
      <c r="VQE161"/>
      <c r="VQF161"/>
      <c r="VQG161"/>
      <c r="VQH161"/>
      <c r="VQI161"/>
      <c r="VQJ161"/>
      <c r="VQK161"/>
      <c r="VQL161"/>
      <c r="VQM161"/>
      <c r="VQN161"/>
      <c r="VQO161"/>
      <c r="VQP161"/>
      <c r="VQQ161"/>
      <c r="VQR161"/>
      <c r="VQS161"/>
      <c r="VQT161"/>
      <c r="VQU161"/>
      <c r="VQV161"/>
      <c r="VQW161"/>
      <c r="VQX161"/>
      <c r="VQY161"/>
      <c r="VQZ161"/>
      <c r="VRA161"/>
      <c r="VRB161"/>
      <c r="VRC161"/>
      <c r="VRD161"/>
      <c r="VRE161"/>
      <c r="VRF161"/>
      <c r="VRG161"/>
      <c r="VRH161"/>
      <c r="VRI161"/>
      <c r="VRJ161"/>
      <c r="VRK161"/>
      <c r="VRL161"/>
      <c r="VRM161"/>
      <c r="VRN161"/>
      <c r="VRO161"/>
      <c r="VRP161"/>
      <c r="VRQ161"/>
      <c r="VRR161"/>
      <c r="VRS161"/>
      <c r="VRT161"/>
      <c r="VRU161"/>
      <c r="VRV161"/>
      <c r="VRW161"/>
      <c r="VRX161"/>
      <c r="VRY161"/>
      <c r="VRZ161"/>
      <c r="VSA161"/>
      <c r="VSB161"/>
      <c r="VSC161"/>
      <c r="VSD161"/>
      <c r="VSE161"/>
      <c r="VSF161"/>
      <c r="VSG161"/>
      <c r="VSH161"/>
      <c r="VSI161"/>
      <c r="VSJ161"/>
      <c r="VSK161"/>
      <c r="VSL161"/>
      <c r="VSM161"/>
      <c r="VSN161"/>
      <c r="VSO161"/>
      <c r="VSP161"/>
      <c r="VSQ161"/>
      <c r="VSR161"/>
      <c r="VSS161"/>
      <c r="VST161"/>
      <c r="VSU161"/>
      <c r="VSV161"/>
      <c r="VSW161"/>
      <c r="VSX161"/>
      <c r="VSY161"/>
      <c r="VSZ161"/>
      <c r="VTA161"/>
      <c r="VTB161"/>
      <c r="VTC161"/>
      <c r="VTD161"/>
      <c r="VTE161"/>
      <c r="VTF161"/>
      <c r="VTG161"/>
      <c r="VTH161"/>
      <c r="VTI161"/>
      <c r="VTJ161"/>
      <c r="VTK161"/>
      <c r="VTL161"/>
      <c r="VTM161"/>
      <c r="VTN161"/>
      <c r="VTO161"/>
      <c r="VTP161"/>
      <c r="VTQ161"/>
      <c r="VTR161"/>
      <c r="VTS161"/>
      <c r="VTT161"/>
      <c r="VTU161"/>
      <c r="VTV161"/>
      <c r="VTW161"/>
      <c r="VTX161"/>
      <c r="VTY161"/>
      <c r="VTZ161"/>
      <c r="VUA161"/>
      <c r="VUB161"/>
      <c r="VUC161"/>
      <c r="VUD161"/>
      <c r="VUE161"/>
      <c r="VUF161"/>
      <c r="VUG161"/>
      <c r="VUH161"/>
      <c r="VUI161"/>
      <c r="VUJ161"/>
      <c r="VUK161"/>
      <c r="VUL161"/>
    </row>
    <row r="162" spans="2:943 15038:15430" s="1" customFormat="1" hidden="1">
      <c r="B162" s="50"/>
      <c r="C162" s="194" t="s">
        <v>67</v>
      </c>
      <c r="D162" s="54"/>
      <c r="E162" s="5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97"/>
      <c r="AK162" s="102" t="s">
        <v>67</v>
      </c>
      <c r="AM162" s="98"/>
      <c r="EA162" s="203"/>
      <c r="EB162" s="203"/>
      <c r="FH162" s="203"/>
      <c r="GP162" s="7"/>
      <c r="GQ162" s="203"/>
      <c r="GR162" s="203"/>
      <c r="GS162" s="203"/>
      <c r="GT162" s="203"/>
      <c r="IW162" s="203"/>
      <c r="MR162" s="203"/>
      <c r="MS162" s="203"/>
      <c r="MT162" s="203"/>
      <c r="MU162" s="203"/>
      <c r="RY162" s="203"/>
      <c r="RZ162" s="203"/>
      <c r="SB162" s="203"/>
      <c r="SP162" s="206"/>
      <c r="ST162" s="203"/>
      <c r="UW162" s="206"/>
    </row>
    <row r="163" spans="2:943 15038:15430" s="1" customFormat="1" ht="13.8" hidden="1">
      <c r="B163" s="50"/>
      <c r="C163" s="20" t="s">
        <v>116</v>
      </c>
      <c r="D163" s="54"/>
      <c r="E163" s="183" t="s">
        <v>69</v>
      </c>
      <c r="F163" s="40">
        <v>0</v>
      </c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97"/>
      <c r="AK163" s="96">
        <f>SUM(F163:AI163)</f>
        <v>0</v>
      </c>
      <c r="AM163" s="98"/>
      <c r="EA163" s="203"/>
      <c r="EB163" s="203"/>
      <c r="FH163" s="203"/>
      <c r="GP163" s="7"/>
      <c r="GQ163" s="203"/>
      <c r="GR163" s="203"/>
      <c r="GS163" s="203"/>
      <c r="GT163" s="203"/>
      <c r="IW163" s="203"/>
      <c r="MR163" s="203"/>
      <c r="MS163" s="203"/>
      <c r="MT163" s="203"/>
      <c r="MU163" s="203"/>
      <c r="RY163" s="203"/>
      <c r="RZ163" s="203"/>
      <c r="SB163" s="203"/>
      <c r="SP163" s="206"/>
      <c r="ST163" s="203"/>
      <c r="UW163" s="206"/>
    </row>
    <row r="164" spans="2:943 15038:15430" s="1" customFormat="1" ht="13.8" hidden="1">
      <c r="B164" s="50"/>
      <c r="C164" s="20" t="s">
        <v>117</v>
      </c>
      <c r="D164" s="54"/>
      <c r="E164" s="183" t="s">
        <v>69</v>
      </c>
      <c r="F164" s="40">
        <v>0</v>
      </c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97"/>
      <c r="AK164" s="96">
        <f>SUM(F164:AI164)</f>
        <v>0</v>
      </c>
      <c r="AM164" s="98"/>
      <c r="EA164" s="203"/>
      <c r="EB164" s="203"/>
      <c r="FH164" s="203"/>
      <c r="GP164" s="7"/>
      <c r="GQ164" s="203"/>
      <c r="GR164" s="203"/>
      <c r="GS164" s="203"/>
      <c r="GT164" s="203"/>
      <c r="IW164" s="203"/>
      <c r="MR164" s="203"/>
      <c r="MS164" s="203"/>
      <c r="MT164" s="203"/>
      <c r="MU164" s="203"/>
      <c r="RY164" s="203"/>
      <c r="RZ164" s="203"/>
      <c r="SB164" s="203"/>
      <c r="SP164" s="206"/>
      <c r="ST164" s="203"/>
      <c r="UW164" s="206"/>
    </row>
    <row r="165" spans="2:943 15038:15430" s="1" customFormat="1" hidden="1">
      <c r="B165" s="50"/>
      <c r="C165" s="194" t="s">
        <v>71</v>
      </c>
      <c r="D165" s="54"/>
      <c r="E165" s="5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97"/>
      <c r="AK165" s="102" t="s">
        <v>71</v>
      </c>
      <c r="AM165" s="98"/>
      <c r="EA165" s="203"/>
      <c r="EB165" s="203"/>
      <c r="FH165" s="203"/>
      <c r="GP165" s="7"/>
      <c r="GQ165" s="203"/>
      <c r="GR165" s="203"/>
      <c r="GS165" s="203"/>
      <c r="GT165" s="203"/>
      <c r="IW165" s="203"/>
      <c r="MR165" s="203"/>
      <c r="MS165" s="203"/>
      <c r="MT165" s="203"/>
      <c r="MU165" s="203"/>
      <c r="RY165" s="203"/>
      <c r="RZ165" s="203"/>
      <c r="SB165" s="203"/>
      <c r="SP165" s="206"/>
      <c r="ST165" s="203"/>
      <c r="UW165" s="206"/>
    </row>
    <row r="166" spans="2:943 15038:15430" s="1" customFormat="1" ht="13.8" hidden="1">
      <c r="B166" s="50"/>
      <c r="C166" s="20" t="s">
        <v>116</v>
      </c>
      <c r="D166" s="54"/>
      <c r="E166" s="183" t="s">
        <v>71</v>
      </c>
      <c r="F166" s="40">
        <v>0</v>
      </c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97"/>
      <c r="AK166" s="96">
        <f>SUM(F166:AI166)</f>
        <v>0</v>
      </c>
      <c r="AM166" s="98"/>
      <c r="EA166" s="203"/>
      <c r="EB166" s="203"/>
      <c r="FH166" s="203"/>
      <c r="GP166" s="7"/>
      <c r="GQ166" s="203"/>
      <c r="GR166" s="203"/>
      <c r="GS166" s="203"/>
      <c r="GT166" s="203"/>
      <c r="IW166" s="203"/>
      <c r="MR166" s="203"/>
      <c r="MS166" s="203"/>
      <c r="MT166" s="203"/>
      <c r="MU166" s="203"/>
      <c r="RY166" s="203"/>
      <c r="RZ166" s="203"/>
      <c r="SB166" s="203"/>
      <c r="SP166" s="206"/>
      <c r="ST166" s="203"/>
      <c r="UW166" s="206"/>
    </row>
    <row r="167" spans="2:943 15038:15430" s="1" customFormat="1" ht="13.8" hidden="1">
      <c r="B167" s="50"/>
      <c r="C167" s="20" t="s">
        <v>117</v>
      </c>
      <c r="D167" s="54"/>
      <c r="E167" s="183" t="s">
        <v>71</v>
      </c>
      <c r="F167" s="40">
        <v>0</v>
      </c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97"/>
      <c r="AK167" s="96">
        <f>SUM(F167:AI167)</f>
        <v>0</v>
      </c>
      <c r="AM167" s="98"/>
      <c r="EA167" s="203"/>
      <c r="EB167" s="203"/>
      <c r="FH167" s="203"/>
      <c r="GP167" s="7"/>
      <c r="GQ167" s="203"/>
      <c r="GR167" s="203"/>
      <c r="GS167" s="203"/>
      <c r="GT167" s="203"/>
      <c r="IW167" s="203"/>
      <c r="MR167" s="203"/>
      <c r="MS167" s="203"/>
      <c r="MT167" s="203"/>
      <c r="MU167" s="203"/>
      <c r="RY167" s="203"/>
      <c r="RZ167" s="203"/>
      <c r="SB167" s="203"/>
      <c r="SP167" s="206"/>
      <c r="ST167" s="203"/>
      <c r="UW167" s="206"/>
    </row>
    <row r="168" spans="2:943 15038:15430" s="1" customFormat="1" hidden="1">
      <c r="B168" s="37"/>
      <c r="C168" s="16" t="s">
        <v>78</v>
      </c>
      <c r="D168" s="35"/>
      <c r="E168" s="35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83"/>
      <c r="AD168" s="36"/>
      <c r="AE168" s="36"/>
      <c r="AF168" s="36"/>
      <c r="AG168" s="36"/>
      <c r="AH168" s="36"/>
      <c r="AI168" s="36"/>
      <c r="AJ168" s="87"/>
      <c r="AK168" s="180" t="s">
        <v>77</v>
      </c>
      <c r="AM168" s="10"/>
      <c r="EA168" s="219"/>
      <c r="EB168" s="219"/>
      <c r="FH168" s="219"/>
      <c r="GP168" s="7"/>
      <c r="GQ168" s="219"/>
      <c r="GR168" s="219"/>
      <c r="GS168" s="219"/>
      <c r="GT168" s="219"/>
      <c r="IW168" s="219"/>
      <c r="MR168" s="219"/>
      <c r="MS168" s="219"/>
      <c r="MT168" s="219"/>
      <c r="MU168" s="219"/>
      <c r="RY168" s="219"/>
      <c r="RZ168" s="219"/>
      <c r="SB168" s="219"/>
      <c r="SP168" s="240"/>
      <c r="ST168" s="219"/>
      <c r="UW168" s="240"/>
      <c r="VFJ168"/>
      <c r="VFK168"/>
      <c r="VFL168"/>
      <c r="VFM168"/>
      <c r="VFN168"/>
      <c r="VFO168"/>
      <c r="VFP168"/>
      <c r="VFQ168"/>
      <c r="VFR168"/>
      <c r="VFS168"/>
      <c r="VFT168"/>
      <c r="VFU168"/>
      <c r="VFV168"/>
      <c r="VFW168"/>
      <c r="VFX168"/>
      <c r="VFY168"/>
      <c r="VFZ168"/>
      <c r="VGA168"/>
      <c r="VGB168"/>
      <c r="VGC168"/>
      <c r="VGD168"/>
      <c r="VGE168"/>
      <c r="VGF168"/>
      <c r="VGG168"/>
      <c r="VGH168"/>
      <c r="VGI168"/>
      <c r="VGJ168"/>
      <c r="VGK168"/>
      <c r="VGL168"/>
      <c r="VGM168"/>
      <c r="VGN168"/>
      <c r="VGO168"/>
      <c r="VGP168"/>
      <c r="VGQ168"/>
      <c r="VGR168"/>
      <c r="VGS168"/>
      <c r="VGT168"/>
      <c r="VGU168"/>
      <c r="VGV168"/>
      <c r="VGW168"/>
      <c r="VGX168"/>
      <c r="VGY168"/>
      <c r="VGZ168"/>
      <c r="VHA168"/>
      <c r="VHB168"/>
      <c r="VHC168"/>
      <c r="VHD168"/>
      <c r="VHE168"/>
      <c r="VHF168"/>
      <c r="VHG168"/>
      <c r="VHH168"/>
      <c r="VHI168"/>
      <c r="VHJ168"/>
      <c r="VHK168"/>
      <c r="VHL168"/>
      <c r="VHM168"/>
      <c r="VHN168"/>
      <c r="VHO168"/>
      <c r="VHP168"/>
      <c r="VHQ168"/>
      <c r="VHR168"/>
      <c r="VHS168"/>
      <c r="VHT168"/>
      <c r="VHU168"/>
      <c r="VHV168"/>
      <c r="VHW168"/>
      <c r="VHX168"/>
      <c r="VHY168"/>
      <c r="VHZ168"/>
      <c r="VIA168"/>
      <c r="VIB168"/>
      <c r="VIC168"/>
      <c r="VID168"/>
      <c r="VIE168"/>
      <c r="VIF168"/>
      <c r="VIG168"/>
      <c r="VIH168"/>
      <c r="VII168"/>
      <c r="VIJ168"/>
      <c r="VIK168"/>
      <c r="VIL168"/>
      <c r="VIM168"/>
      <c r="VIN168"/>
      <c r="VIO168"/>
      <c r="VIP168"/>
      <c r="VIQ168"/>
      <c r="VIR168"/>
      <c r="VIS168"/>
      <c r="VIT168"/>
      <c r="VIU168"/>
      <c r="VIV168"/>
      <c r="VIW168"/>
      <c r="VIX168"/>
      <c r="VIY168"/>
      <c r="VIZ168"/>
      <c r="VJA168"/>
      <c r="VJB168"/>
      <c r="VJC168"/>
      <c r="VJD168"/>
      <c r="VJE168"/>
      <c r="VJF168"/>
      <c r="VJG168"/>
      <c r="VJH168"/>
      <c r="VJI168"/>
      <c r="VJJ168"/>
      <c r="VJK168"/>
      <c r="VJL168"/>
      <c r="VJM168"/>
      <c r="VJN168"/>
      <c r="VJO168"/>
      <c r="VJP168"/>
      <c r="VJQ168"/>
      <c r="VJR168"/>
      <c r="VJS168"/>
      <c r="VJT168"/>
      <c r="VJU168"/>
      <c r="VJV168"/>
      <c r="VJW168"/>
      <c r="VJX168"/>
      <c r="VJY168"/>
      <c r="VJZ168"/>
      <c r="VKA168"/>
      <c r="VKB168"/>
      <c r="VKC168"/>
      <c r="VKD168"/>
      <c r="VKE168"/>
      <c r="VKF168"/>
      <c r="VKG168"/>
      <c r="VKH168"/>
      <c r="VKI168"/>
      <c r="VKJ168"/>
      <c r="VKK168"/>
      <c r="VKL168"/>
      <c r="VKM168"/>
      <c r="VKN168"/>
      <c r="VKO168"/>
      <c r="VKP168"/>
      <c r="VKQ168"/>
      <c r="VKR168"/>
      <c r="VKS168"/>
      <c r="VKT168"/>
      <c r="VKU168"/>
      <c r="VKV168"/>
      <c r="VKW168"/>
      <c r="VKX168"/>
      <c r="VKY168"/>
      <c r="VKZ168"/>
      <c r="VLA168"/>
      <c r="VLB168"/>
      <c r="VLC168"/>
      <c r="VLD168"/>
      <c r="VLE168"/>
      <c r="VLF168"/>
      <c r="VLG168"/>
      <c r="VLH168"/>
      <c r="VLI168"/>
      <c r="VLJ168"/>
      <c r="VLK168"/>
      <c r="VLL168"/>
      <c r="VLM168"/>
      <c r="VLN168"/>
      <c r="VLO168"/>
      <c r="VLP168"/>
      <c r="VLQ168"/>
      <c r="VLR168"/>
      <c r="VLS168"/>
      <c r="VLT168"/>
      <c r="VLU168"/>
      <c r="VLV168"/>
      <c r="VLW168"/>
      <c r="VLX168"/>
      <c r="VLY168"/>
      <c r="VLZ168"/>
      <c r="VMA168"/>
      <c r="VMB168"/>
      <c r="VMC168"/>
      <c r="VMD168"/>
      <c r="VME168"/>
      <c r="VMF168"/>
      <c r="VMG168"/>
      <c r="VMH168"/>
      <c r="VMI168"/>
      <c r="VMJ168"/>
      <c r="VMK168"/>
      <c r="VML168"/>
      <c r="VMM168"/>
      <c r="VMN168"/>
      <c r="VMO168"/>
      <c r="VMP168"/>
      <c r="VMQ168"/>
      <c r="VMR168"/>
      <c r="VMS168"/>
      <c r="VMT168"/>
      <c r="VMU168"/>
      <c r="VMV168"/>
      <c r="VMW168"/>
      <c r="VMX168"/>
      <c r="VMY168"/>
      <c r="VMZ168"/>
      <c r="VNA168"/>
      <c r="VNB168"/>
      <c r="VNC168"/>
      <c r="VND168"/>
      <c r="VNE168"/>
      <c r="VNF168"/>
      <c r="VNG168"/>
      <c r="VNH168"/>
      <c r="VNI168"/>
      <c r="VNJ168"/>
      <c r="VNK168"/>
      <c r="VNL168"/>
      <c r="VNM168"/>
      <c r="VNN168"/>
      <c r="VNO168"/>
      <c r="VNP168"/>
      <c r="VNQ168"/>
      <c r="VNR168"/>
      <c r="VNS168"/>
      <c r="VNT168"/>
      <c r="VNU168"/>
      <c r="VNV168"/>
      <c r="VNW168"/>
      <c r="VNX168"/>
      <c r="VNY168"/>
      <c r="VNZ168"/>
      <c r="VOA168"/>
      <c r="VOB168"/>
      <c r="VOC168"/>
      <c r="VOD168"/>
      <c r="VOE168"/>
      <c r="VOF168"/>
      <c r="VOG168"/>
      <c r="VOH168"/>
      <c r="VOI168"/>
      <c r="VOJ168"/>
      <c r="VOK168"/>
      <c r="VOL168"/>
      <c r="VOM168"/>
      <c r="VON168"/>
      <c r="VOO168"/>
      <c r="VOP168"/>
      <c r="VOQ168"/>
      <c r="VOR168"/>
      <c r="VOS168"/>
      <c r="VOT168"/>
      <c r="VOU168"/>
      <c r="VOV168"/>
      <c r="VOW168"/>
      <c r="VOX168"/>
      <c r="VOY168"/>
      <c r="VOZ168"/>
      <c r="VPA168"/>
      <c r="VPB168"/>
      <c r="VPC168"/>
      <c r="VPD168"/>
      <c r="VPE168"/>
      <c r="VPF168"/>
      <c r="VPG168"/>
      <c r="VPH168"/>
      <c r="VPI168"/>
      <c r="VPJ168"/>
      <c r="VPK168"/>
      <c r="VPL168"/>
      <c r="VPM168"/>
      <c r="VPN168"/>
      <c r="VPO168"/>
      <c r="VPP168"/>
      <c r="VPQ168"/>
      <c r="VPR168"/>
      <c r="VPS168"/>
      <c r="VPT168"/>
      <c r="VPU168"/>
      <c r="VPV168"/>
      <c r="VPW168"/>
      <c r="VPX168"/>
      <c r="VPY168"/>
      <c r="VPZ168"/>
      <c r="VQA168"/>
      <c r="VQB168"/>
      <c r="VQC168"/>
      <c r="VQD168"/>
      <c r="VQE168"/>
      <c r="VQF168"/>
      <c r="VQG168"/>
      <c r="VQH168"/>
      <c r="VQI168"/>
      <c r="VQJ168"/>
      <c r="VQK168"/>
      <c r="VQL168"/>
      <c r="VQM168"/>
      <c r="VQN168"/>
      <c r="VQO168"/>
      <c r="VQP168"/>
      <c r="VQQ168"/>
      <c r="VQR168"/>
      <c r="VQS168"/>
      <c r="VQT168"/>
      <c r="VQU168"/>
      <c r="VQV168"/>
      <c r="VQW168"/>
      <c r="VQX168"/>
      <c r="VQY168"/>
      <c r="VQZ168"/>
      <c r="VRA168"/>
      <c r="VRB168"/>
      <c r="VRC168"/>
      <c r="VRD168"/>
      <c r="VRE168"/>
      <c r="VRF168"/>
      <c r="VRG168"/>
      <c r="VRH168"/>
      <c r="VRI168"/>
      <c r="VRJ168"/>
      <c r="VRK168"/>
      <c r="VRL168"/>
      <c r="VRM168"/>
      <c r="VRN168"/>
      <c r="VRO168"/>
      <c r="VRP168"/>
      <c r="VRQ168"/>
      <c r="VRR168"/>
      <c r="VRS168"/>
      <c r="VRT168"/>
      <c r="VRU168"/>
      <c r="VRV168"/>
      <c r="VRW168"/>
      <c r="VRX168"/>
      <c r="VRY168"/>
      <c r="VRZ168"/>
      <c r="VSA168"/>
      <c r="VSB168"/>
      <c r="VSC168"/>
      <c r="VSD168"/>
      <c r="VSE168"/>
      <c r="VSF168"/>
      <c r="VSG168"/>
      <c r="VSH168"/>
      <c r="VSI168"/>
      <c r="VSJ168"/>
      <c r="VSK168"/>
      <c r="VSL168"/>
      <c r="VSM168"/>
      <c r="VSN168"/>
      <c r="VSO168"/>
      <c r="VSP168"/>
      <c r="VSQ168"/>
      <c r="VSR168"/>
      <c r="VSS168"/>
      <c r="VST168"/>
      <c r="VSU168"/>
      <c r="VSV168"/>
      <c r="VSW168"/>
      <c r="VSX168"/>
      <c r="VSY168"/>
      <c r="VSZ168"/>
      <c r="VTA168"/>
      <c r="VTB168"/>
      <c r="VTC168"/>
      <c r="VTD168"/>
      <c r="VTE168"/>
      <c r="VTF168"/>
      <c r="VTG168"/>
      <c r="VTH168"/>
      <c r="VTI168"/>
      <c r="VTJ168"/>
      <c r="VTK168"/>
      <c r="VTL168"/>
      <c r="VTM168"/>
      <c r="VTN168"/>
      <c r="VTO168"/>
      <c r="VTP168"/>
      <c r="VTQ168"/>
      <c r="VTR168"/>
      <c r="VTS168"/>
      <c r="VTT168"/>
      <c r="VTU168"/>
      <c r="VTV168"/>
      <c r="VTW168"/>
      <c r="VTX168"/>
      <c r="VTY168"/>
      <c r="VTZ168"/>
      <c r="VUA168"/>
      <c r="VUB168"/>
      <c r="VUC168"/>
      <c r="VUD168"/>
      <c r="VUE168"/>
      <c r="VUF168"/>
      <c r="VUG168"/>
      <c r="VUH168"/>
      <c r="VUI168"/>
      <c r="VUJ168"/>
      <c r="VUK168"/>
      <c r="VUL168"/>
    </row>
    <row r="169" spans="2:943 15038:15430" s="1" customFormat="1" hidden="1">
      <c r="B169" s="50"/>
      <c r="C169" s="194" t="s">
        <v>67</v>
      </c>
      <c r="D169" s="54"/>
      <c r="E169" s="5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97"/>
      <c r="AK169" s="102" t="s">
        <v>67</v>
      </c>
      <c r="AM169" s="98"/>
      <c r="EA169" s="203"/>
      <c r="EB169" s="203"/>
      <c r="FH169" s="203"/>
      <c r="GP169" s="7"/>
      <c r="GQ169" s="203"/>
      <c r="GR169" s="203"/>
      <c r="GS169" s="203"/>
      <c r="GT169" s="203"/>
      <c r="IW169" s="203"/>
      <c r="MR169" s="203"/>
      <c r="MS169" s="203"/>
      <c r="MT169" s="203"/>
      <c r="MU169" s="203"/>
      <c r="RY169" s="203"/>
      <c r="RZ169" s="203"/>
      <c r="SB169" s="203"/>
      <c r="SP169" s="206"/>
      <c r="ST169" s="203"/>
      <c r="UW169" s="206"/>
    </row>
    <row r="170" spans="2:943 15038:15430" s="1" customFormat="1" ht="13.8" hidden="1">
      <c r="B170" s="50"/>
      <c r="C170" s="20" t="s">
        <v>116</v>
      </c>
      <c r="D170" s="49">
        <v>0.3</v>
      </c>
      <c r="E170" s="183" t="s">
        <v>12</v>
      </c>
      <c r="F170" s="64" t="e">
        <f t="shared" ref="F170:AH170" si="177">F163/F152*100</f>
        <v>#DIV/0!</v>
      </c>
      <c r="G170" s="64" t="e">
        <f t="shared" si="177"/>
        <v>#DIV/0!</v>
      </c>
      <c r="H170" s="64" t="e">
        <f t="shared" si="177"/>
        <v>#DIV/0!</v>
      </c>
      <c r="I170" s="64" t="e">
        <f t="shared" si="177"/>
        <v>#DIV/0!</v>
      </c>
      <c r="J170" s="64" t="e">
        <f t="shared" si="177"/>
        <v>#DIV/0!</v>
      </c>
      <c r="K170" s="64" t="e">
        <f t="shared" si="177"/>
        <v>#DIV/0!</v>
      </c>
      <c r="L170" s="64" t="e">
        <f t="shared" si="177"/>
        <v>#DIV/0!</v>
      </c>
      <c r="M170" s="64" t="e">
        <f t="shared" si="177"/>
        <v>#DIV/0!</v>
      </c>
      <c r="N170" s="64" t="e">
        <f t="shared" si="177"/>
        <v>#DIV/0!</v>
      </c>
      <c r="O170" s="64" t="e">
        <f t="shared" si="177"/>
        <v>#DIV/0!</v>
      </c>
      <c r="P170" s="64" t="e">
        <f t="shared" si="177"/>
        <v>#DIV/0!</v>
      </c>
      <c r="Q170" s="64" t="e">
        <f t="shared" si="177"/>
        <v>#DIV/0!</v>
      </c>
      <c r="R170" s="64" t="e">
        <f t="shared" si="177"/>
        <v>#DIV/0!</v>
      </c>
      <c r="S170" s="64" t="e">
        <f t="shared" si="177"/>
        <v>#DIV/0!</v>
      </c>
      <c r="T170" s="64" t="e">
        <f t="shared" si="177"/>
        <v>#DIV/0!</v>
      </c>
      <c r="U170" s="64" t="e">
        <f t="shared" si="177"/>
        <v>#DIV/0!</v>
      </c>
      <c r="V170" s="64" t="e">
        <f t="shared" si="177"/>
        <v>#DIV/0!</v>
      </c>
      <c r="W170" s="64" t="e">
        <f t="shared" si="177"/>
        <v>#DIV/0!</v>
      </c>
      <c r="X170" s="64" t="e">
        <f t="shared" si="177"/>
        <v>#DIV/0!</v>
      </c>
      <c r="Y170" s="64" t="e">
        <f t="shared" si="177"/>
        <v>#DIV/0!</v>
      </c>
      <c r="Z170" s="64" t="e">
        <f t="shared" si="177"/>
        <v>#DIV/0!</v>
      </c>
      <c r="AA170" s="64" t="e">
        <f t="shared" si="177"/>
        <v>#DIV/0!</v>
      </c>
      <c r="AB170" s="64" t="e">
        <f t="shared" si="177"/>
        <v>#DIV/0!</v>
      </c>
      <c r="AC170" s="64" t="e">
        <f t="shared" si="177"/>
        <v>#DIV/0!</v>
      </c>
      <c r="AD170" s="64" t="e">
        <f t="shared" si="177"/>
        <v>#DIV/0!</v>
      </c>
      <c r="AE170" s="64" t="e">
        <f t="shared" ref="AE170:AG170" si="178">AE163/AE152*100</f>
        <v>#DIV/0!</v>
      </c>
      <c r="AF170" s="64" t="e">
        <f t="shared" si="178"/>
        <v>#DIV/0!</v>
      </c>
      <c r="AG170" s="64" t="e">
        <f t="shared" si="178"/>
        <v>#DIV/0!</v>
      </c>
      <c r="AH170" s="64" t="e">
        <f t="shared" si="177"/>
        <v>#DIV/0!</v>
      </c>
      <c r="AI170" s="64" t="e">
        <f t="shared" ref="AI170" si="179">AI163/AI152*100</f>
        <v>#DIV/0!</v>
      </c>
      <c r="AJ170" s="97"/>
      <c r="AK170" s="99" t="e">
        <f>AK163/AK152*100</f>
        <v>#DIV/0!</v>
      </c>
      <c r="AM170" s="98"/>
      <c r="EA170" s="203"/>
      <c r="EB170" s="203"/>
      <c r="FH170" s="203"/>
      <c r="GP170" s="7"/>
      <c r="GQ170" s="203"/>
      <c r="GR170" s="203"/>
      <c r="GS170" s="203"/>
      <c r="GT170" s="203"/>
      <c r="IW170" s="203"/>
      <c r="MR170" s="203"/>
      <c r="MS170" s="203"/>
      <c r="MT170" s="203"/>
      <c r="MU170" s="203"/>
      <c r="RY170" s="203"/>
      <c r="RZ170" s="203"/>
      <c r="SB170" s="203"/>
      <c r="SP170" s="206"/>
      <c r="ST170" s="203"/>
      <c r="UW170" s="206"/>
    </row>
    <row r="171" spans="2:943 15038:15430" s="1" customFormat="1" ht="13.8" hidden="1">
      <c r="B171" s="50"/>
      <c r="C171" s="20" t="s">
        <v>117</v>
      </c>
      <c r="D171" s="49">
        <v>0.3</v>
      </c>
      <c r="E171" s="183" t="s">
        <v>12</v>
      </c>
      <c r="F171" s="64" t="e">
        <f t="shared" ref="F171:AH171" si="180">F164/F154*100</f>
        <v>#DIV/0!</v>
      </c>
      <c r="G171" s="64" t="e">
        <f t="shared" si="180"/>
        <v>#DIV/0!</v>
      </c>
      <c r="H171" s="64" t="e">
        <f t="shared" si="180"/>
        <v>#DIV/0!</v>
      </c>
      <c r="I171" s="64" t="e">
        <f t="shared" si="180"/>
        <v>#DIV/0!</v>
      </c>
      <c r="J171" s="64" t="e">
        <f t="shared" si="180"/>
        <v>#DIV/0!</v>
      </c>
      <c r="K171" s="64" t="e">
        <f t="shared" si="180"/>
        <v>#DIV/0!</v>
      </c>
      <c r="L171" s="64" t="e">
        <f t="shared" si="180"/>
        <v>#DIV/0!</v>
      </c>
      <c r="M171" s="64" t="e">
        <f t="shared" si="180"/>
        <v>#DIV/0!</v>
      </c>
      <c r="N171" s="64" t="e">
        <f t="shared" si="180"/>
        <v>#DIV/0!</v>
      </c>
      <c r="O171" s="64" t="e">
        <f t="shared" si="180"/>
        <v>#DIV/0!</v>
      </c>
      <c r="P171" s="64" t="e">
        <f t="shared" si="180"/>
        <v>#DIV/0!</v>
      </c>
      <c r="Q171" s="64" t="e">
        <f t="shared" si="180"/>
        <v>#DIV/0!</v>
      </c>
      <c r="R171" s="64" t="e">
        <f t="shared" si="180"/>
        <v>#DIV/0!</v>
      </c>
      <c r="S171" s="64" t="e">
        <f t="shared" si="180"/>
        <v>#DIV/0!</v>
      </c>
      <c r="T171" s="64" t="e">
        <f t="shared" si="180"/>
        <v>#DIV/0!</v>
      </c>
      <c r="U171" s="64" t="e">
        <f t="shared" si="180"/>
        <v>#DIV/0!</v>
      </c>
      <c r="V171" s="64" t="e">
        <f t="shared" si="180"/>
        <v>#DIV/0!</v>
      </c>
      <c r="W171" s="64" t="e">
        <f t="shared" si="180"/>
        <v>#DIV/0!</v>
      </c>
      <c r="X171" s="64" t="e">
        <f t="shared" si="180"/>
        <v>#DIV/0!</v>
      </c>
      <c r="Y171" s="64" t="e">
        <f t="shared" si="180"/>
        <v>#DIV/0!</v>
      </c>
      <c r="Z171" s="64" t="e">
        <f t="shared" si="180"/>
        <v>#DIV/0!</v>
      </c>
      <c r="AA171" s="64" t="e">
        <f t="shared" si="180"/>
        <v>#DIV/0!</v>
      </c>
      <c r="AB171" s="64" t="e">
        <f t="shared" si="180"/>
        <v>#DIV/0!</v>
      </c>
      <c r="AC171" s="64" t="e">
        <f t="shared" si="180"/>
        <v>#DIV/0!</v>
      </c>
      <c r="AD171" s="64" t="e">
        <f t="shared" si="180"/>
        <v>#DIV/0!</v>
      </c>
      <c r="AE171" s="64" t="e">
        <f t="shared" ref="AE171:AG171" si="181">AE164/AE154*100</f>
        <v>#DIV/0!</v>
      </c>
      <c r="AF171" s="64" t="e">
        <f t="shared" si="181"/>
        <v>#DIV/0!</v>
      </c>
      <c r="AG171" s="64" t="e">
        <f t="shared" si="181"/>
        <v>#DIV/0!</v>
      </c>
      <c r="AH171" s="64" t="e">
        <f t="shared" si="180"/>
        <v>#DIV/0!</v>
      </c>
      <c r="AI171" s="64" t="e">
        <f t="shared" ref="AI171" si="182">AI164/AI154*100</f>
        <v>#DIV/0!</v>
      </c>
      <c r="AJ171" s="97"/>
      <c r="AK171" s="99" t="e">
        <f>AK164/AK154*100</f>
        <v>#DIV/0!</v>
      </c>
      <c r="AM171" s="98"/>
      <c r="EA171" s="203"/>
      <c r="EB171" s="203"/>
      <c r="FH171" s="203"/>
      <c r="GP171" s="7"/>
      <c r="GQ171" s="203"/>
      <c r="GR171" s="203"/>
      <c r="GS171" s="203"/>
      <c r="GT171" s="203"/>
      <c r="IW171" s="203"/>
      <c r="MR171" s="203"/>
      <c r="MS171" s="203"/>
      <c r="MT171" s="203"/>
      <c r="MU171" s="203"/>
      <c r="RY171" s="203"/>
      <c r="RZ171" s="203"/>
      <c r="SB171" s="203"/>
      <c r="SP171" s="206"/>
      <c r="ST171" s="203"/>
      <c r="UW171" s="206"/>
    </row>
    <row r="172" spans="2:943 15038:15430" s="1" customFormat="1" hidden="1">
      <c r="B172" s="50"/>
      <c r="C172" s="194" t="s">
        <v>71</v>
      </c>
      <c r="D172" s="49"/>
      <c r="E172" s="50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97"/>
      <c r="AK172" s="102" t="s">
        <v>71</v>
      </c>
      <c r="AM172" s="98"/>
      <c r="EA172" s="203"/>
      <c r="EB172" s="203"/>
      <c r="FH172" s="203"/>
      <c r="GP172" s="7"/>
      <c r="GQ172" s="203"/>
      <c r="GR172" s="203"/>
      <c r="GS172" s="203"/>
      <c r="GT172" s="203"/>
      <c r="IW172" s="203"/>
      <c r="MR172" s="203"/>
      <c r="MS172" s="203"/>
      <c r="MT172" s="203"/>
      <c r="MU172" s="203"/>
      <c r="RY172" s="203"/>
      <c r="RZ172" s="203"/>
      <c r="SB172" s="203"/>
      <c r="SP172" s="206"/>
      <c r="ST172" s="203"/>
      <c r="UW172" s="206"/>
    </row>
    <row r="173" spans="2:943 15038:15430" s="1" customFormat="1" ht="13.8" hidden="1">
      <c r="B173" s="50"/>
      <c r="C173" s="20" t="s">
        <v>116</v>
      </c>
      <c r="D173" s="49">
        <v>0.5</v>
      </c>
      <c r="E173" s="183" t="s">
        <v>12</v>
      </c>
      <c r="F173" s="64" t="e">
        <f t="shared" ref="F173:AH173" si="183">F166/F156*100</f>
        <v>#DIV/0!</v>
      </c>
      <c r="G173" s="64" t="e">
        <f t="shared" si="183"/>
        <v>#DIV/0!</v>
      </c>
      <c r="H173" s="64" t="e">
        <f t="shared" si="183"/>
        <v>#DIV/0!</v>
      </c>
      <c r="I173" s="64" t="e">
        <f t="shared" si="183"/>
        <v>#DIV/0!</v>
      </c>
      <c r="J173" s="64" t="e">
        <f t="shared" si="183"/>
        <v>#DIV/0!</v>
      </c>
      <c r="K173" s="64" t="e">
        <f t="shared" si="183"/>
        <v>#DIV/0!</v>
      </c>
      <c r="L173" s="64" t="e">
        <f t="shared" si="183"/>
        <v>#DIV/0!</v>
      </c>
      <c r="M173" s="64" t="e">
        <f t="shared" si="183"/>
        <v>#DIV/0!</v>
      </c>
      <c r="N173" s="64" t="e">
        <f t="shared" si="183"/>
        <v>#DIV/0!</v>
      </c>
      <c r="O173" s="64" t="e">
        <f t="shared" si="183"/>
        <v>#DIV/0!</v>
      </c>
      <c r="P173" s="64" t="e">
        <f t="shared" si="183"/>
        <v>#DIV/0!</v>
      </c>
      <c r="Q173" s="64" t="e">
        <f t="shared" si="183"/>
        <v>#DIV/0!</v>
      </c>
      <c r="R173" s="64" t="e">
        <f t="shared" si="183"/>
        <v>#DIV/0!</v>
      </c>
      <c r="S173" s="64" t="e">
        <f t="shared" si="183"/>
        <v>#DIV/0!</v>
      </c>
      <c r="T173" s="64" t="e">
        <f t="shared" si="183"/>
        <v>#DIV/0!</v>
      </c>
      <c r="U173" s="64" t="e">
        <f t="shared" si="183"/>
        <v>#DIV/0!</v>
      </c>
      <c r="V173" s="64" t="e">
        <f t="shared" si="183"/>
        <v>#DIV/0!</v>
      </c>
      <c r="W173" s="64" t="e">
        <f t="shared" si="183"/>
        <v>#DIV/0!</v>
      </c>
      <c r="X173" s="64" t="e">
        <f t="shared" si="183"/>
        <v>#DIV/0!</v>
      </c>
      <c r="Y173" s="64" t="e">
        <f t="shared" si="183"/>
        <v>#DIV/0!</v>
      </c>
      <c r="Z173" s="64" t="e">
        <f t="shared" si="183"/>
        <v>#DIV/0!</v>
      </c>
      <c r="AA173" s="64" t="e">
        <f t="shared" si="183"/>
        <v>#DIV/0!</v>
      </c>
      <c r="AB173" s="64" t="e">
        <f t="shared" si="183"/>
        <v>#DIV/0!</v>
      </c>
      <c r="AC173" s="64" t="e">
        <f t="shared" si="183"/>
        <v>#DIV/0!</v>
      </c>
      <c r="AD173" s="64" t="e">
        <f t="shared" si="183"/>
        <v>#DIV/0!</v>
      </c>
      <c r="AE173" s="64" t="e">
        <f t="shared" ref="AE173:AG173" si="184">AE166/AE156*100</f>
        <v>#DIV/0!</v>
      </c>
      <c r="AF173" s="64" t="e">
        <f t="shared" si="184"/>
        <v>#DIV/0!</v>
      </c>
      <c r="AG173" s="64" t="e">
        <f t="shared" si="184"/>
        <v>#DIV/0!</v>
      </c>
      <c r="AH173" s="64" t="e">
        <f t="shared" si="183"/>
        <v>#DIV/0!</v>
      </c>
      <c r="AI173" s="64" t="e">
        <f t="shared" ref="AI173" si="185">AI166/AI156*100</f>
        <v>#DIV/0!</v>
      </c>
      <c r="AJ173" s="97"/>
      <c r="AK173" s="99" t="e">
        <f>AK166/AK156*100</f>
        <v>#DIV/0!</v>
      </c>
      <c r="AM173" s="98"/>
      <c r="EA173" s="203"/>
      <c r="EB173" s="203"/>
      <c r="FH173" s="203"/>
      <c r="GP173" s="7"/>
      <c r="GQ173" s="203"/>
      <c r="GR173" s="203"/>
      <c r="GS173" s="203"/>
      <c r="GT173" s="203"/>
      <c r="IW173" s="203"/>
      <c r="MR173" s="203"/>
      <c r="MS173" s="203"/>
      <c r="MT173" s="203"/>
      <c r="MU173" s="203"/>
      <c r="RY173" s="203"/>
      <c r="RZ173" s="203"/>
      <c r="SB173" s="203"/>
      <c r="SP173" s="206"/>
      <c r="ST173" s="203"/>
      <c r="UW173" s="206"/>
    </row>
    <row r="174" spans="2:943 15038:15430" s="1" customFormat="1" ht="13.8" hidden="1">
      <c r="B174" s="50"/>
      <c r="C174" s="20" t="s">
        <v>117</v>
      </c>
      <c r="D174" s="49">
        <v>0.5</v>
      </c>
      <c r="E174" s="183" t="s">
        <v>12</v>
      </c>
      <c r="F174" s="64" t="e">
        <f t="shared" ref="F174:AH174" si="186">F167/F158*100</f>
        <v>#DIV/0!</v>
      </c>
      <c r="G174" s="64" t="e">
        <f t="shared" si="186"/>
        <v>#DIV/0!</v>
      </c>
      <c r="H174" s="64" t="e">
        <f t="shared" si="186"/>
        <v>#DIV/0!</v>
      </c>
      <c r="I174" s="64" t="e">
        <f t="shared" si="186"/>
        <v>#DIV/0!</v>
      </c>
      <c r="J174" s="64" t="e">
        <f t="shared" si="186"/>
        <v>#DIV/0!</v>
      </c>
      <c r="K174" s="64" t="e">
        <f t="shared" si="186"/>
        <v>#DIV/0!</v>
      </c>
      <c r="L174" s="64" t="e">
        <f t="shared" si="186"/>
        <v>#DIV/0!</v>
      </c>
      <c r="M174" s="64" t="e">
        <f t="shared" si="186"/>
        <v>#DIV/0!</v>
      </c>
      <c r="N174" s="64" t="e">
        <f t="shared" si="186"/>
        <v>#DIV/0!</v>
      </c>
      <c r="O174" s="64" t="e">
        <f t="shared" si="186"/>
        <v>#DIV/0!</v>
      </c>
      <c r="P174" s="64" t="e">
        <f t="shared" si="186"/>
        <v>#DIV/0!</v>
      </c>
      <c r="Q174" s="64" t="e">
        <f t="shared" si="186"/>
        <v>#DIV/0!</v>
      </c>
      <c r="R174" s="64" t="e">
        <f t="shared" si="186"/>
        <v>#DIV/0!</v>
      </c>
      <c r="S174" s="64" t="e">
        <f t="shared" si="186"/>
        <v>#DIV/0!</v>
      </c>
      <c r="T174" s="64" t="e">
        <f t="shared" si="186"/>
        <v>#DIV/0!</v>
      </c>
      <c r="U174" s="64" t="e">
        <f t="shared" si="186"/>
        <v>#DIV/0!</v>
      </c>
      <c r="V174" s="64" t="e">
        <f t="shared" si="186"/>
        <v>#DIV/0!</v>
      </c>
      <c r="W174" s="64" t="e">
        <f t="shared" si="186"/>
        <v>#DIV/0!</v>
      </c>
      <c r="X174" s="64" t="e">
        <f t="shared" si="186"/>
        <v>#DIV/0!</v>
      </c>
      <c r="Y174" s="64" t="e">
        <f t="shared" si="186"/>
        <v>#DIV/0!</v>
      </c>
      <c r="Z174" s="64" t="e">
        <f t="shared" si="186"/>
        <v>#DIV/0!</v>
      </c>
      <c r="AA174" s="64" t="e">
        <f t="shared" si="186"/>
        <v>#DIV/0!</v>
      </c>
      <c r="AB174" s="64" t="e">
        <f t="shared" si="186"/>
        <v>#DIV/0!</v>
      </c>
      <c r="AC174" s="64" t="e">
        <f t="shared" si="186"/>
        <v>#DIV/0!</v>
      </c>
      <c r="AD174" s="64" t="e">
        <f t="shared" si="186"/>
        <v>#DIV/0!</v>
      </c>
      <c r="AE174" s="64" t="e">
        <f t="shared" ref="AE174:AG174" si="187">AE167/AE158*100</f>
        <v>#DIV/0!</v>
      </c>
      <c r="AF174" s="64" t="e">
        <f t="shared" si="187"/>
        <v>#DIV/0!</v>
      </c>
      <c r="AG174" s="64" t="e">
        <f t="shared" si="187"/>
        <v>#DIV/0!</v>
      </c>
      <c r="AH174" s="64" t="e">
        <f t="shared" si="186"/>
        <v>#DIV/0!</v>
      </c>
      <c r="AI174" s="64" t="e">
        <f t="shared" ref="AI174" si="188">AI167/AI158*100</f>
        <v>#DIV/0!</v>
      </c>
      <c r="AJ174" s="97"/>
      <c r="AK174" s="99" t="e">
        <f>AK167/AK158*100</f>
        <v>#DIV/0!</v>
      </c>
      <c r="AM174" s="98"/>
      <c r="EA174" s="203"/>
      <c r="EB174" s="203"/>
      <c r="FH174" s="203"/>
      <c r="GP174" s="7"/>
      <c r="GQ174" s="203"/>
      <c r="GR174" s="203"/>
      <c r="GS174" s="203"/>
      <c r="GT174" s="203"/>
      <c r="IW174" s="203"/>
      <c r="MR174" s="203"/>
      <c r="MS174" s="203"/>
      <c r="MT174" s="203"/>
      <c r="MU174" s="203"/>
      <c r="RY174" s="203"/>
      <c r="RZ174" s="203"/>
      <c r="SB174" s="203"/>
      <c r="SP174" s="206"/>
      <c r="ST174" s="203"/>
      <c r="UW174" s="206"/>
    </row>
    <row r="175" spans="2:943 15038:15430">
      <c r="B175" s="34">
        <v>9</v>
      </c>
      <c r="C175" s="179" t="s">
        <v>82</v>
      </c>
      <c r="D175" s="35"/>
      <c r="E175" s="62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97"/>
      <c r="AK175" s="108" t="s">
        <v>83</v>
      </c>
    </row>
    <row r="176" spans="2:943 15038:15430" s="1" customFormat="1" ht="13.8">
      <c r="B176" s="37"/>
      <c r="C176" s="176" t="s">
        <v>84</v>
      </c>
      <c r="D176" s="54"/>
      <c r="E176" s="183" t="s">
        <v>85</v>
      </c>
      <c r="F176" s="131">
        <v>1486.7937999999999</v>
      </c>
      <c r="G176" s="131">
        <v>1393.5084999999999</v>
      </c>
      <c r="H176" s="131">
        <v>1457.0001999999999</v>
      </c>
      <c r="I176" s="131">
        <v>1314.5603000000001</v>
      </c>
      <c r="J176" s="131">
        <v>1507.9403</v>
      </c>
      <c r="K176" s="131">
        <v>1429.8118999999999</v>
      </c>
      <c r="L176" s="131">
        <v>1376.7791999999999</v>
      </c>
      <c r="M176" s="131">
        <v>1335.9126000000001</v>
      </c>
      <c r="N176" s="131">
        <v>1398.3449000000001</v>
      </c>
      <c r="O176" s="131">
        <v>1403.9749999999999</v>
      </c>
      <c r="P176" s="131">
        <v>1417.9566</v>
      </c>
      <c r="Q176" s="131">
        <v>1292.5192</v>
      </c>
      <c r="R176" s="131">
        <v>1328.0814</v>
      </c>
      <c r="S176" s="131">
        <v>1417.9078999999999</v>
      </c>
      <c r="T176" s="311">
        <v>1211.6505999999999</v>
      </c>
      <c r="U176" s="311">
        <v>507.90370000000001</v>
      </c>
      <c r="V176" s="311">
        <v>273.3202</v>
      </c>
      <c r="W176" s="311">
        <v>322.17520000000002</v>
      </c>
      <c r="X176" s="311">
        <v>0</v>
      </c>
      <c r="Y176" s="311">
        <v>256.52359999999999</v>
      </c>
      <c r="Z176" s="311">
        <v>0</v>
      </c>
      <c r="AA176" s="133">
        <v>260.19209999999998</v>
      </c>
      <c r="AB176" s="133">
        <v>372.73349999999999</v>
      </c>
      <c r="AC176" s="133">
        <v>0</v>
      </c>
      <c r="AD176" s="133">
        <v>0</v>
      </c>
      <c r="AE176" s="133">
        <v>0</v>
      </c>
      <c r="AF176" s="133">
        <v>0</v>
      </c>
      <c r="AG176" s="133">
        <f>0.2462105*1000</f>
        <v>246.2105</v>
      </c>
      <c r="AH176" s="133">
        <v>276.64429999999999</v>
      </c>
      <c r="AI176" s="133">
        <v>577.45230000000004</v>
      </c>
      <c r="AJ176" s="97"/>
      <c r="AK176" s="139">
        <f>SUM(F176:AI176)</f>
        <v>23865.897799999995</v>
      </c>
      <c r="AM176" s="98"/>
      <c r="EA176" s="203"/>
      <c r="EB176" s="203"/>
      <c r="FH176" s="203"/>
      <c r="GP176" s="7"/>
      <c r="GQ176" s="203"/>
      <c r="GR176" s="203"/>
      <c r="GS176" s="203"/>
      <c r="GT176" s="203"/>
      <c r="IW176" s="203"/>
      <c r="MR176" s="203"/>
      <c r="MS176" s="203"/>
      <c r="MT176" s="203"/>
      <c r="MU176" s="203"/>
      <c r="RY176" s="203"/>
      <c r="RZ176" s="203"/>
      <c r="SB176" s="203"/>
      <c r="SP176" s="206"/>
      <c r="ST176" s="203"/>
      <c r="UW176" s="206"/>
      <c r="AJG176" s="211"/>
    </row>
    <row r="177" spans="2:928" s="4" customFormat="1" ht="13.8">
      <c r="B177" s="55"/>
      <c r="C177" s="181" t="s">
        <v>86</v>
      </c>
      <c r="D177" s="128">
        <v>1269.566</v>
      </c>
      <c r="E177" s="182" t="s">
        <v>85</v>
      </c>
      <c r="F177" s="131">
        <v>1336.5744</v>
      </c>
      <c r="G177" s="131">
        <v>1388.5962</v>
      </c>
      <c r="H177" s="305">
        <v>1248.5388</v>
      </c>
      <c r="I177" s="305">
        <v>1449.5060000000001</v>
      </c>
      <c r="J177" s="305">
        <v>1366.0636</v>
      </c>
      <c r="K177" s="306">
        <v>1316.3083999999999</v>
      </c>
      <c r="L177" s="306">
        <v>1271.6360999999999</v>
      </c>
      <c r="M177" s="131">
        <v>1335.2184</v>
      </c>
      <c r="N177" s="131">
        <v>1337.9507000000001</v>
      </c>
      <c r="O177" s="131">
        <v>1365.8521000000001</v>
      </c>
      <c r="P177" s="133">
        <v>1243.3715999999999</v>
      </c>
      <c r="Q177" s="133">
        <v>1266.732</v>
      </c>
      <c r="R177" s="131">
        <v>1365.3148000000001</v>
      </c>
      <c r="S177" s="133">
        <v>1181.8631</v>
      </c>
      <c r="T177" s="311">
        <v>388.47160000000002</v>
      </c>
      <c r="U177" s="311">
        <v>53.9392</v>
      </c>
      <c r="V177" s="311">
        <v>113.41930000000001</v>
      </c>
      <c r="W177" s="311">
        <v>113.8503</v>
      </c>
      <c r="X177" s="311">
        <v>0</v>
      </c>
      <c r="Y177" s="311">
        <v>124.3981</v>
      </c>
      <c r="Z177" s="311">
        <v>0</v>
      </c>
      <c r="AA177" s="133">
        <v>165.93459999999999</v>
      </c>
      <c r="AB177" s="133">
        <v>153.6994</v>
      </c>
      <c r="AC177" s="311">
        <v>0</v>
      </c>
      <c r="AD177" s="311">
        <v>0</v>
      </c>
      <c r="AE177" s="311">
        <v>0</v>
      </c>
      <c r="AF177" s="311">
        <v>0</v>
      </c>
      <c r="AG177" s="312">
        <v>38.392499999999998</v>
      </c>
      <c r="AH177" s="133">
        <v>383.84809999999999</v>
      </c>
      <c r="AI177" s="133">
        <v>359.65839999999997</v>
      </c>
      <c r="AK177" s="140">
        <f>SUM(F177:AI177)</f>
        <v>20369.137699999999</v>
      </c>
      <c r="AM177" s="222">
        <f>AK177/AK30</f>
        <v>1566.8567461538462</v>
      </c>
      <c r="EA177" s="237"/>
      <c r="EB177" s="237"/>
      <c r="FH177" s="237"/>
      <c r="GP177" s="246"/>
      <c r="GQ177" s="237"/>
      <c r="GR177" s="237"/>
      <c r="GS177" s="237"/>
      <c r="GT177" s="237"/>
      <c r="IW177" s="237"/>
      <c r="MR177" s="237"/>
      <c r="MS177" s="237"/>
      <c r="MT177" s="237"/>
      <c r="MU177" s="237"/>
      <c r="RY177" s="237"/>
      <c r="RZ177" s="237"/>
      <c r="SB177" s="237"/>
      <c r="SP177" s="222"/>
      <c r="ST177" s="237"/>
      <c r="UW177" s="222"/>
    </row>
    <row r="178" spans="2:928">
      <c r="B178" s="50"/>
      <c r="C178" s="192" t="s">
        <v>87</v>
      </c>
      <c r="D178" s="54"/>
      <c r="E178" s="50"/>
      <c r="F178" s="133"/>
      <c r="G178" s="129"/>
      <c r="H178" s="129"/>
      <c r="I178" s="40"/>
      <c r="J178" s="129"/>
      <c r="K178" s="132"/>
      <c r="L178" s="132"/>
      <c r="M178" s="40"/>
      <c r="N178" s="40"/>
      <c r="O178" s="40"/>
      <c r="P178" s="40"/>
      <c r="Q178" s="151"/>
      <c r="R178" s="151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64"/>
      <c r="AD178" s="64"/>
      <c r="AE178" s="64"/>
      <c r="AF178" s="64"/>
      <c r="AG178" s="64"/>
      <c r="AH178" s="64"/>
      <c r="AI178" s="64"/>
      <c r="AJ178" s="97"/>
      <c r="AK178" s="160" t="s">
        <v>87</v>
      </c>
    </row>
    <row r="179" spans="2:928">
      <c r="B179" s="50"/>
      <c r="C179" s="176" t="s">
        <v>88</v>
      </c>
      <c r="D179" s="49">
        <v>253.91319999999999</v>
      </c>
      <c r="E179" s="183" t="s">
        <v>85</v>
      </c>
      <c r="F179" s="133">
        <v>323.67089726818824</v>
      </c>
      <c r="G179" s="133">
        <v>319.63359201369298</v>
      </c>
      <c r="H179" s="133">
        <v>269.31788895728687</v>
      </c>
      <c r="I179" s="133">
        <v>327.88884582503601</v>
      </c>
      <c r="J179" s="133">
        <v>250.77415536273918</v>
      </c>
      <c r="K179" s="133">
        <v>236.27471570648714</v>
      </c>
      <c r="L179" s="133">
        <v>238.98359439279147</v>
      </c>
      <c r="M179" s="133">
        <v>240.27588113682305</v>
      </c>
      <c r="N179" s="133">
        <v>237.85650736908238</v>
      </c>
      <c r="O179" s="133">
        <v>220.08165015660256</v>
      </c>
      <c r="P179" s="133">
        <v>206.69594675747558</v>
      </c>
      <c r="Q179" s="133">
        <v>195.99552521778477</v>
      </c>
      <c r="R179" s="133">
        <v>215.89393912638695</v>
      </c>
      <c r="S179" s="133">
        <v>181.90058850502481</v>
      </c>
      <c r="T179" s="133">
        <v>0</v>
      </c>
      <c r="U179" s="40">
        <v>0</v>
      </c>
      <c r="V179" s="40">
        <v>0</v>
      </c>
      <c r="W179" s="40">
        <v>0</v>
      </c>
      <c r="X179" s="40">
        <v>0</v>
      </c>
      <c r="Y179" s="40">
        <v>0</v>
      </c>
      <c r="Z179" s="40">
        <v>0</v>
      </c>
      <c r="AA179" s="40">
        <v>0</v>
      </c>
      <c r="AB179" s="40">
        <v>0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0</v>
      </c>
      <c r="AI179" s="40">
        <v>0</v>
      </c>
      <c r="AJ179" s="97"/>
      <c r="AK179" s="161">
        <f>SUM(F179:AI179)</f>
        <v>3465.2437277954018</v>
      </c>
      <c r="AM179" s="240"/>
      <c r="BG179" s="211"/>
      <c r="AAA179" s="211"/>
      <c r="AIR179" s="211"/>
    </row>
    <row r="180" spans="2:928">
      <c r="B180" s="50"/>
      <c r="C180" s="176" t="s">
        <v>89</v>
      </c>
      <c r="D180" s="49">
        <v>1015.6528</v>
      </c>
      <c r="E180" s="183" t="s">
        <v>85</v>
      </c>
      <c r="F180" s="133">
        <f>F177-F179</f>
        <v>1012.9035027318117</v>
      </c>
      <c r="G180" s="133">
        <f t="shared" ref="G180:AH180" si="189">G177-G179</f>
        <v>1068.9626079863069</v>
      </c>
      <c r="H180" s="133">
        <f t="shared" si="189"/>
        <v>979.22091104271317</v>
      </c>
      <c r="I180" s="133">
        <f t="shared" si="189"/>
        <v>1121.6171541749641</v>
      </c>
      <c r="J180" s="133">
        <f t="shared" si="189"/>
        <v>1115.2894446372607</v>
      </c>
      <c r="K180" s="133">
        <f t="shared" si="189"/>
        <v>1080.0336842935128</v>
      </c>
      <c r="L180" s="133">
        <f t="shared" si="189"/>
        <v>1032.6525056072085</v>
      </c>
      <c r="M180" s="133">
        <f t="shared" si="189"/>
        <v>1094.9425188631769</v>
      </c>
      <c r="N180" s="133">
        <f t="shared" si="189"/>
        <v>1100.0941926309176</v>
      </c>
      <c r="O180" s="133">
        <f t="shared" si="189"/>
        <v>1145.7704498433975</v>
      </c>
      <c r="P180" s="133">
        <f t="shared" si="189"/>
        <v>1036.6756532425243</v>
      </c>
      <c r="Q180" s="133">
        <f t="shared" si="189"/>
        <v>1070.7364747822153</v>
      </c>
      <c r="R180" s="133">
        <f t="shared" si="189"/>
        <v>1149.420860873613</v>
      </c>
      <c r="S180" s="133">
        <f t="shared" si="189"/>
        <v>999.96251149497516</v>
      </c>
      <c r="T180" s="133">
        <f t="shared" si="189"/>
        <v>388.47160000000002</v>
      </c>
      <c r="U180" s="133">
        <f t="shared" si="189"/>
        <v>53.9392</v>
      </c>
      <c r="V180" s="133">
        <f t="shared" si="189"/>
        <v>113.41930000000001</v>
      </c>
      <c r="W180" s="133">
        <f t="shared" si="189"/>
        <v>113.8503</v>
      </c>
      <c r="X180" s="133">
        <f t="shared" si="189"/>
        <v>0</v>
      </c>
      <c r="Y180" s="133">
        <f t="shared" si="189"/>
        <v>124.3981</v>
      </c>
      <c r="Z180" s="133">
        <f t="shared" si="189"/>
        <v>0</v>
      </c>
      <c r="AA180" s="133">
        <f t="shared" si="189"/>
        <v>165.93459999999999</v>
      </c>
      <c r="AB180" s="133">
        <f t="shared" si="189"/>
        <v>153.6994</v>
      </c>
      <c r="AC180" s="133">
        <f t="shared" si="189"/>
        <v>0</v>
      </c>
      <c r="AD180" s="133">
        <f t="shared" si="189"/>
        <v>0</v>
      </c>
      <c r="AE180" s="133">
        <f t="shared" si="189"/>
        <v>0</v>
      </c>
      <c r="AF180" s="133">
        <f t="shared" si="189"/>
        <v>0</v>
      </c>
      <c r="AG180" s="133">
        <f t="shared" si="189"/>
        <v>38.392499999999998</v>
      </c>
      <c r="AH180" s="133">
        <f t="shared" si="189"/>
        <v>383.84809999999999</v>
      </c>
      <c r="AI180" s="133">
        <f t="shared" ref="AI180" si="190">AI177-AI179</f>
        <v>359.65839999999997</v>
      </c>
      <c r="AJ180" s="97"/>
      <c r="AK180" s="161">
        <f>SUM(F180:AI180)</f>
        <v>16903.893972204602</v>
      </c>
      <c r="ZZ180" s="211"/>
    </row>
    <row r="181" spans="2:928" s="5" customFormat="1" ht="13.8">
      <c r="B181" s="141"/>
      <c r="C181" s="197" t="s">
        <v>90</v>
      </c>
      <c r="D181" s="142">
        <f>SUM(D179:D180)</f>
        <v>1269.566</v>
      </c>
      <c r="E181" s="198" t="s">
        <v>85</v>
      </c>
      <c r="F181" s="157">
        <f t="shared" ref="F181:AH181" si="191">F177</f>
        <v>1336.5744</v>
      </c>
      <c r="G181" s="157">
        <f t="shared" si="191"/>
        <v>1388.5962</v>
      </c>
      <c r="H181" s="157">
        <f t="shared" si="191"/>
        <v>1248.5388</v>
      </c>
      <c r="I181" s="157">
        <f t="shared" si="191"/>
        <v>1449.5060000000001</v>
      </c>
      <c r="J181" s="157">
        <f t="shared" si="191"/>
        <v>1366.0636</v>
      </c>
      <c r="K181" s="157">
        <f t="shared" si="191"/>
        <v>1316.3083999999999</v>
      </c>
      <c r="L181" s="157">
        <f t="shared" si="191"/>
        <v>1271.6360999999999</v>
      </c>
      <c r="M181" s="157">
        <f t="shared" si="191"/>
        <v>1335.2184</v>
      </c>
      <c r="N181" s="157">
        <f t="shared" si="191"/>
        <v>1337.9507000000001</v>
      </c>
      <c r="O181" s="157">
        <f t="shared" si="191"/>
        <v>1365.8521000000001</v>
      </c>
      <c r="P181" s="157">
        <f t="shared" si="191"/>
        <v>1243.3715999999999</v>
      </c>
      <c r="Q181" s="157">
        <f t="shared" si="191"/>
        <v>1266.732</v>
      </c>
      <c r="R181" s="157">
        <f t="shared" si="191"/>
        <v>1365.3148000000001</v>
      </c>
      <c r="S181" s="157">
        <f t="shared" si="191"/>
        <v>1181.8631</v>
      </c>
      <c r="T181" s="157">
        <f t="shared" si="191"/>
        <v>388.47160000000002</v>
      </c>
      <c r="U181" s="157">
        <f t="shared" si="191"/>
        <v>53.9392</v>
      </c>
      <c r="V181" s="157">
        <f t="shared" si="191"/>
        <v>113.41930000000001</v>
      </c>
      <c r="W181" s="157">
        <f t="shared" si="191"/>
        <v>113.8503</v>
      </c>
      <c r="X181" s="157">
        <f t="shared" si="191"/>
        <v>0</v>
      </c>
      <c r="Y181" s="157">
        <f t="shared" si="191"/>
        <v>124.3981</v>
      </c>
      <c r="Z181" s="157">
        <f t="shared" si="191"/>
        <v>0</v>
      </c>
      <c r="AA181" s="157">
        <f t="shared" si="191"/>
        <v>165.93459999999999</v>
      </c>
      <c r="AB181" s="157">
        <f t="shared" si="191"/>
        <v>153.6994</v>
      </c>
      <c r="AC181" s="157">
        <f t="shared" si="191"/>
        <v>0</v>
      </c>
      <c r="AD181" s="157">
        <f t="shared" si="191"/>
        <v>0</v>
      </c>
      <c r="AE181" s="157">
        <f t="shared" ref="AE181:AG181" si="192">AE177</f>
        <v>0</v>
      </c>
      <c r="AF181" s="157">
        <f t="shared" si="192"/>
        <v>0</v>
      </c>
      <c r="AG181" s="157">
        <f t="shared" si="192"/>
        <v>38.392499999999998</v>
      </c>
      <c r="AH181" s="157">
        <f t="shared" si="191"/>
        <v>383.84809999999999</v>
      </c>
      <c r="AI181" s="157">
        <f t="shared" ref="AI181" si="193">AI177</f>
        <v>359.65839999999997</v>
      </c>
      <c r="AJ181" s="137"/>
      <c r="AK181" s="162">
        <f>SUM(AK179:AK180)</f>
        <v>20369.137700000003</v>
      </c>
      <c r="AM181" s="163"/>
      <c r="BG181" s="212"/>
      <c r="EA181" s="238"/>
      <c r="EB181" s="238"/>
      <c r="FH181" s="238"/>
      <c r="GP181" s="247"/>
      <c r="GQ181" s="238"/>
      <c r="GR181" s="238"/>
      <c r="GS181" s="238"/>
      <c r="GT181" s="238"/>
      <c r="IW181" s="238"/>
      <c r="MR181" s="238"/>
      <c r="MS181" s="238"/>
      <c r="MT181" s="238"/>
      <c r="MU181" s="238"/>
      <c r="RY181" s="238"/>
      <c r="RZ181" s="238"/>
      <c r="SB181" s="238"/>
      <c r="SP181" s="298"/>
      <c r="ST181" s="238"/>
      <c r="UW181" s="298"/>
    </row>
    <row r="182" spans="2:928" s="5" customFormat="1" ht="13.8">
      <c r="B182" s="37">
        <v>10</v>
      </c>
      <c r="C182" s="199" t="s">
        <v>91</v>
      </c>
      <c r="D182" s="143"/>
      <c r="E182" s="143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37"/>
      <c r="AK182" s="164" t="s">
        <v>92</v>
      </c>
      <c r="AM182" s="163"/>
      <c r="EA182" s="238"/>
      <c r="EB182" s="238"/>
      <c r="FH182" s="238"/>
      <c r="GP182" s="247"/>
      <c r="GQ182" s="238"/>
      <c r="GR182" s="238"/>
      <c r="GS182" s="238"/>
      <c r="GT182" s="238"/>
      <c r="IW182" s="238"/>
      <c r="MR182" s="238"/>
      <c r="MS182" s="238"/>
      <c r="MT182" s="238"/>
      <c r="MU182" s="238"/>
      <c r="RY182" s="238"/>
      <c r="RZ182" s="238"/>
      <c r="SB182" s="238"/>
      <c r="SP182" s="298"/>
      <c r="ST182" s="238"/>
      <c r="UW182" s="298"/>
    </row>
    <row r="183" spans="2:928" s="5" customFormat="1" ht="13.8">
      <c r="B183" s="37"/>
      <c r="C183" s="176" t="s">
        <v>93</v>
      </c>
      <c r="D183" s="42">
        <f>17000*24</f>
        <v>408000</v>
      </c>
      <c r="E183" s="183" t="s">
        <v>9</v>
      </c>
      <c r="F183" s="125">
        <v>302179</v>
      </c>
      <c r="G183" s="125">
        <v>302400</v>
      </c>
      <c r="H183" s="125">
        <v>236987</v>
      </c>
      <c r="I183" s="125">
        <v>313764</v>
      </c>
      <c r="J183" s="125">
        <v>309233</v>
      </c>
      <c r="K183" s="125">
        <v>211928</v>
      </c>
      <c r="L183" s="125">
        <v>280833</v>
      </c>
      <c r="M183" s="125">
        <v>297909</v>
      </c>
      <c r="N183" s="40">
        <v>294823</v>
      </c>
      <c r="O183" s="40">
        <v>322504</v>
      </c>
      <c r="P183" s="40">
        <v>266819</v>
      </c>
      <c r="Q183" s="40">
        <v>309870</v>
      </c>
      <c r="R183" s="122">
        <v>304863</v>
      </c>
      <c r="S183" s="122">
        <v>250394</v>
      </c>
      <c r="T183" s="122">
        <v>73332</v>
      </c>
      <c r="U183" s="122">
        <v>33</v>
      </c>
      <c r="V183" s="122">
        <v>41</v>
      </c>
      <c r="W183" s="122">
        <v>29</v>
      </c>
      <c r="X183" s="122">
        <v>0</v>
      </c>
      <c r="Y183" s="122">
        <f>0.045*1000</f>
        <v>45</v>
      </c>
      <c r="Z183" s="122">
        <v>0</v>
      </c>
      <c r="AA183" s="122">
        <v>23354</v>
      </c>
      <c r="AB183" s="122">
        <v>2200</v>
      </c>
      <c r="AC183" s="122">
        <v>0</v>
      </c>
      <c r="AD183" s="122">
        <v>0</v>
      </c>
      <c r="AE183" s="122">
        <v>0</v>
      </c>
      <c r="AF183" s="122">
        <v>0</v>
      </c>
      <c r="AG183" s="122">
        <v>0</v>
      </c>
      <c r="AH183" s="122">
        <v>96506</v>
      </c>
      <c r="AI183" s="122">
        <v>71666</v>
      </c>
      <c r="AJ183" s="137"/>
      <c r="AK183" s="165">
        <f>SUM(F183:AI183)</f>
        <v>4271712</v>
      </c>
      <c r="AL183" s="134"/>
      <c r="AM183" s="163">
        <f>AK183/AK30</f>
        <v>328593.23076923075</v>
      </c>
      <c r="AN183" s="1"/>
      <c r="EA183" s="238"/>
      <c r="EB183" s="238"/>
      <c r="FH183" s="238"/>
      <c r="GP183" s="247"/>
      <c r="GQ183" s="238"/>
      <c r="GR183" s="238"/>
      <c r="GS183" s="238"/>
      <c r="GT183" s="238"/>
      <c r="IW183" s="238"/>
      <c r="MR183" s="238"/>
      <c r="MS183" s="238"/>
      <c r="MT183" s="238"/>
      <c r="MU183" s="238"/>
      <c r="RY183" s="238"/>
      <c r="RZ183" s="238"/>
      <c r="SB183" s="238"/>
      <c r="SP183" s="298"/>
      <c r="ST183" s="238"/>
      <c r="UW183" s="298"/>
    </row>
    <row r="184" spans="2:928" s="5" customFormat="1">
      <c r="B184" s="37"/>
      <c r="C184" s="194" t="s">
        <v>94</v>
      </c>
      <c r="D184" s="123"/>
      <c r="E184" s="37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37"/>
      <c r="AK184" s="166" t="s">
        <v>94</v>
      </c>
      <c r="AL184" s="134"/>
      <c r="AM184" s="163">
        <f>AM183/24</f>
        <v>13691.384615384615</v>
      </c>
      <c r="EA184" s="238"/>
      <c r="EB184" s="238"/>
      <c r="FH184" s="238"/>
      <c r="GP184" s="247"/>
      <c r="GQ184" s="238"/>
      <c r="GR184" s="238"/>
      <c r="GS184" s="238"/>
      <c r="GT184" s="238"/>
      <c r="IW184" s="238"/>
      <c r="MR184" s="238"/>
      <c r="MS184" s="238"/>
      <c r="MT184" s="238"/>
      <c r="MU184" s="238"/>
      <c r="RY184" s="238"/>
      <c r="RZ184" s="238"/>
      <c r="SB184" s="238"/>
      <c r="SP184" s="298"/>
      <c r="ST184" s="238"/>
      <c r="UW184" s="298"/>
    </row>
    <row r="185" spans="2:928">
      <c r="B185" s="50"/>
      <c r="C185" s="176" t="s">
        <v>21</v>
      </c>
      <c r="D185" s="42">
        <v>180000</v>
      </c>
      <c r="E185" s="183" t="s">
        <v>9</v>
      </c>
      <c r="F185" s="125">
        <v>155899.99999999782</v>
      </c>
      <c r="G185" s="125">
        <v>150100.00000000218</v>
      </c>
      <c r="H185" s="303">
        <v>140500</v>
      </c>
      <c r="I185" s="303">
        <v>153399.99999999782</v>
      </c>
      <c r="J185" s="125">
        <v>149799.99999999927</v>
      </c>
      <c r="K185" s="125">
        <v>147200.00000000073</v>
      </c>
      <c r="L185" s="125">
        <v>146500</v>
      </c>
      <c r="M185" s="125">
        <v>144799.99999999927</v>
      </c>
      <c r="N185" s="40">
        <v>145800.00000000291</v>
      </c>
      <c r="O185" s="40">
        <v>150399.99999999782</v>
      </c>
      <c r="P185" s="40">
        <v>151200.00000000073</v>
      </c>
      <c r="Q185" s="40">
        <v>148700.00000000073</v>
      </c>
      <c r="R185" s="40">
        <v>151299.99999999927</v>
      </c>
      <c r="S185" s="40">
        <v>127200.00000000073</v>
      </c>
      <c r="T185" s="40"/>
      <c r="U185" s="40">
        <v>0</v>
      </c>
      <c r="V185" s="40">
        <v>0</v>
      </c>
      <c r="W185" s="40">
        <v>0</v>
      </c>
      <c r="X185" s="40">
        <v>0</v>
      </c>
      <c r="Y185" s="40">
        <v>0</v>
      </c>
      <c r="Z185" s="40">
        <v>0</v>
      </c>
      <c r="AA185" s="40">
        <v>0</v>
      </c>
      <c r="AB185" s="40">
        <v>0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0</v>
      </c>
      <c r="AI185" s="40">
        <v>0</v>
      </c>
      <c r="AJ185" s="97"/>
      <c r="AK185" s="96">
        <f>SUM(F185:AI185)</f>
        <v>2062799.9999999993</v>
      </c>
      <c r="AL185" s="240"/>
      <c r="AM185" s="240">
        <f>AM184/1000</f>
        <v>13.691384615384615</v>
      </c>
    </row>
    <row r="186" spans="2:928">
      <c r="B186" s="50"/>
      <c r="C186" s="176" t="s">
        <v>95</v>
      </c>
      <c r="D186" s="42">
        <v>122000</v>
      </c>
      <c r="E186" s="183" t="s">
        <v>9</v>
      </c>
      <c r="F186" s="125">
        <v>82699.999999999825</v>
      </c>
      <c r="G186" s="125">
        <v>98500</v>
      </c>
      <c r="H186" s="303">
        <v>81699.999999999825</v>
      </c>
      <c r="I186" s="303">
        <v>76900.000000000553</v>
      </c>
      <c r="J186" s="125">
        <v>76699.999999999825</v>
      </c>
      <c r="K186" s="125">
        <v>71199.999999999825</v>
      </c>
      <c r="L186" s="125">
        <v>82699.999999999825</v>
      </c>
      <c r="M186" s="125">
        <v>60500</v>
      </c>
      <c r="N186" s="40">
        <v>64400.000000000546</v>
      </c>
      <c r="O186" s="40">
        <v>73599.999999999447</v>
      </c>
      <c r="P186" s="40">
        <v>44100.000000000364</v>
      </c>
      <c r="Q186" s="40">
        <v>58199.999999999818</v>
      </c>
      <c r="R186" s="40">
        <v>81799.999999999272</v>
      </c>
      <c r="S186" s="40">
        <v>10300.000000001091</v>
      </c>
      <c r="T186" s="40"/>
      <c r="U186" s="40">
        <v>0</v>
      </c>
      <c r="V186" s="40">
        <v>0</v>
      </c>
      <c r="W186" s="40">
        <v>0</v>
      </c>
      <c r="X186" s="40">
        <v>0</v>
      </c>
      <c r="Y186" s="40">
        <v>0</v>
      </c>
      <c r="Z186" s="40">
        <v>0</v>
      </c>
      <c r="AA186" s="40">
        <v>0</v>
      </c>
      <c r="AB186" s="40">
        <v>0</v>
      </c>
      <c r="AC186" s="40">
        <v>0</v>
      </c>
      <c r="AD186" s="40">
        <v>0</v>
      </c>
      <c r="AE186" s="40">
        <v>0</v>
      </c>
      <c r="AF186" s="40">
        <v>0</v>
      </c>
      <c r="AG186" s="40">
        <v>0</v>
      </c>
      <c r="AH186" s="40">
        <v>0</v>
      </c>
      <c r="AI186" s="40">
        <v>0</v>
      </c>
      <c r="AJ186" s="97"/>
      <c r="AK186" s="96">
        <f>SUM(F186:AI186)</f>
        <v>963300.00000000023</v>
      </c>
    </row>
    <row r="187" spans="2:928">
      <c r="B187" s="50"/>
      <c r="C187" s="176" t="s">
        <v>96</v>
      </c>
      <c r="D187" s="42">
        <f>D183-D185-D186</f>
        <v>106000</v>
      </c>
      <c r="E187" s="183" t="s">
        <v>9</v>
      </c>
      <c r="F187" s="40">
        <f t="shared" ref="F187:AH187" si="194">F183-F185-F186</f>
        <v>63579.000000002357</v>
      </c>
      <c r="G187" s="40">
        <f t="shared" si="194"/>
        <v>53799.999999997817</v>
      </c>
      <c r="H187" s="40">
        <f t="shared" si="194"/>
        <v>14787.000000000175</v>
      </c>
      <c r="I187" s="40">
        <f t="shared" si="194"/>
        <v>83464.00000000163</v>
      </c>
      <c r="J187" s="40">
        <f t="shared" si="194"/>
        <v>82733.000000000902</v>
      </c>
      <c r="K187" s="40">
        <f t="shared" si="194"/>
        <v>-6472.000000000553</v>
      </c>
      <c r="L187" s="40">
        <f t="shared" si="194"/>
        <v>51633.000000000175</v>
      </c>
      <c r="M187" s="40">
        <f t="shared" si="194"/>
        <v>92609.000000000728</v>
      </c>
      <c r="N187" s="40">
        <f t="shared" si="194"/>
        <v>84622.999999996537</v>
      </c>
      <c r="O187" s="40">
        <f t="shared" si="194"/>
        <v>98504.000000002736</v>
      </c>
      <c r="P187" s="40">
        <f t="shared" si="194"/>
        <v>71518.999999998909</v>
      </c>
      <c r="Q187" s="40">
        <f t="shared" si="194"/>
        <v>102969.99999999945</v>
      </c>
      <c r="R187" s="40">
        <f t="shared" si="194"/>
        <v>71763.000000001455</v>
      </c>
      <c r="S187" s="40">
        <f t="shared" si="194"/>
        <v>112893.99999999818</v>
      </c>
      <c r="T187" s="40">
        <f t="shared" si="194"/>
        <v>73332</v>
      </c>
      <c r="U187" s="40">
        <f t="shared" si="194"/>
        <v>33</v>
      </c>
      <c r="V187" s="40">
        <f t="shared" si="194"/>
        <v>41</v>
      </c>
      <c r="W187" s="40">
        <f t="shared" si="194"/>
        <v>29</v>
      </c>
      <c r="X187" s="40">
        <f t="shared" si="194"/>
        <v>0</v>
      </c>
      <c r="Y187" s="40">
        <f t="shared" si="194"/>
        <v>45</v>
      </c>
      <c r="Z187" s="40">
        <f t="shared" si="194"/>
        <v>0</v>
      </c>
      <c r="AA187" s="40">
        <f t="shared" si="194"/>
        <v>23354</v>
      </c>
      <c r="AB187" s="40">
        <f t="shared" si="194"/>
        <v>2200</v>
      </c>
      <c r="AC187" s="40">
        <f t="shared" si="194"/>
        <v>0</v>
      </c>
      <c r="AD187" s="40">
        <f t="shared" si="194"/>
        <v>0</v>
      </c>
      <c r="AE187" s="40">
        <f t="shared" ref="AE187:AG187" si="195">AE183-AE185-AE186</f>
        <v>0</v>
      </c>
      <c r="AF187" s="40">
        <f t="shared" si="195"/>
        <v>0</v>
      </c>
      <c r="AG187" s="40">
        <f t="shared" si="195"/>
        <v>0</v>
      </c>
      <c r="AH187" s="40">
        <f t="shared" si="194"/>
        <v>96506</v>
      </c>
      <c r="AI187" s="40">
        <f t="shared" ref="AI187" si="196">AI183-AI185-AI186</f>
        <v>71666</v>
      </c>
      <c r="AJ187" s="97"/>
      <c r="AK187" s="96">
        <f>SUM(F187:AI187)</f>
        <v>1245612.0000000005</v>
      </c>
    </row>
    <row r="188" spans="2:928" s="5" customFormat="1" ht="13.8">
      <c r="B188" s="37"/>
      <c r="C188" s="192" t="s">
        <v>90</v>
      </c>
      <c r="D188" s="145">
        <f>SUM(D185:D187)</f>
        <v>408000</v>
      </c>
      <c r="E188" s="183" t="s">
        <v>9</v>
      </c>
      <c r="F188" s="122">
        <f t="shared" ref="F188:AH188" si="197">SUM(F185:F187)</f>
        <v>302179</v>
      </c>
      <c r="G188" s="122">
        <f t="shared" si="197"/>
        <v>302400</v>
      </c>
      <c r="H188" s="122">
        <f t="shared" si="197"/>
        <v>236987</v>
      </c>
      <c r="I188" s="122">
        <f t="shared" si="197"/>
        <v>313764</v>
      </c>
      <c r="J188" s="122">
        <f t="shared" si="197"/>
        <v>309233</v>
      </c>
      <c r="K188" s="122">
        <f t="shared" si="197"/>
        <v>211928</v>
      </c>
      <c r="L188" s="122">
        <f t="shared" si="197"/>
        <v>280833</v>
      </c>
      <c r="M188" s="122">
        <f t="shared" si="197"/>
        <v>297909</v>
      </c>
      <c r="N188" s="122">
        <f t="shared" si="197"/>
        <v>294823</v>
      </c>
      <c r="O188" s="122">
        <f t="shared" si="197"/>
        <v>322504</v>
      </c>
      <c r="P188" s="122">
        <f t="shared" si="197"/>
        <v>266819</v>
      </c>
      <c r="Q188" s="122">
        <f t="shared" si="197"/>
        <v>309870</v>
      </c>
      <c r="R188" s="122">
        <f t="shared" si="197"/>
        <v>304863</v>
      </c>
      <c r="S188" s="122">
        <f t="shared" si="197"/>
        <v>250394</v>
      </c>
      <c r="T188" s="122">
        <f t="shared" si="197"/>
        <v>73332</v>
      </c>
      <c r="U188" s="122">
        <f t="shared" si="197"/>
        <v>33</v>
      </c>
      <c r="V188" s="122">
        <f t="shared" si="197"/>
        <v>41</v>
      </c>
      <c r="W188" s="122">
        <f t="shared" si="197"/>
        <v>29</v>
      </c>
      <c r="X188" s="122">
        <f t="shared" si="197"/>
        <v>0</v>
      </c>
      <c r="Y188" s="122">
        <f t="shared" si="197"/>
        <v>45</v>
      </c>
      <c r="Z188" s="122">
        <f t="shared" si="197"/>
        <v>0</v>
      </c>
      <c r="AA188" s="122">
        <f t="shared" si="197"/>
        <v>23354</v>
      </c>
      <c r="AB188" s="122">
        <f t="shared" si="197"/>
        <v>2200</v>
      </c>
      <c r="AC188" s="122">
        <f t="shared" si="197"/>
        <v>0</v>
      </c>
      <c r="AD188" s="122">
        <f t="shared" si="197"/>
        <v>0</v>
      </c>
      <c r="AE188" s="122">
        <f t="shared" ref="AE188:AG188" si="198">SUM(AE185:AE187)</f>
        <v>0</v>
      </c>
      <c r="AF188" s="122">
        <f t="shared" si="198"/>
        <v>0</v>
      </c>
      <c r="AG188" s="122">
        <f t="shared" si="198"/>
        <v>0</v>
      </c>
      <c r="AH188" s="122">
        <f t="shared" si="197"/>
        <v>96506</v>
      </c>
      <c r="AI188" s="122">
        <f t="shared" ref="AI188" si="199">SUM(AI185:AI187)</f>
        <v>71666</v>
      </c>
      <c r="AJ188" s="137"/>
      <c r="AK188" s="165">
        <f>SUM(AK185:AK187)</f>
        <v>4271712</v>
      </c>
      <c r="AM188" s="163"/>
      <c r="EA188" s="238"/>
      <c r="EB188" s="238"/>
      <c r="FH188" s="238"/>
      <c r="GP188" s="247"/>
      <c r="GQ188" s="238"/>
      <c r="GR188" s="238"/>
      <c r="GS188" s="238"/>
      <c r="GT188" s="238"/>
      <c r="IW188" s="238"/>
      <c r="MR188" s="238"/>
      <c r="MS188" s="238"/>
      <c r="MT188" s="238"/>
      <c r="MU188" s="238"/>
      <c r="RY188" s="238"/>
      <c r="RZ188" s="238"/>
      <c r="SB188" s="238"/>
      <c r="SP188" s="298"/>
      <c r="ST188" s="238"/>
      <c r="UW188" s="298"/>
    </row>
    <row r="189" spans="2:928">
      <c r="B189" s="34">
        <v>11</v>
      </c>
      <c r="C189" s="179" t="s">
        <v>97</v>
      </c>
      <c r="D189" s="62"/>
      <c r="E189" s="62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159"/>
      <c r="AD189" s="159"/>
      <c r="AE189" s="159"/>
      <c r="AF189" s="159"/>
      <c r="AG189" s="159"/>
      <c r="AH189" s="159"/>
      <c r="AI189" s="159"/>
      <c r="AJ189" s="97"/>
      <c r="AK189" s="164" t="s">
        <v>98</v>
      </c>
    </row>
    <row r="190" spans="2:928" s="6" customFormat="1" ht="16.2">
      <c r="B190" s="22"/>
      <c r="C190" s="195" t="s">
        <v>99</v>
      </c>
      <c r="D190" s="146">
        <v>670</v>
      </c>
      <c r="E190" s="196" t="s">
        <v>120</v>
      </c>
      <c r="F190" s="147">
        <v>645</v>
      </c>
      <c r="G190" s="147">
        <v>797</v>
      </c>
      <c r="H190" s="147">
        <v>603</v>
      </c>
      <c r="I190" s="147">
        <v>843</v>
      </c>
      <c r="J190" s="147">
        <v>717</v>
      </c>
      <c r="K190" s="147">
        <v>729</v>
      </c>
      <c r="L190" s="147">
        <v>890</v>
      </c>
      <c r="M190" s="147">
        <v>686</v>
      </c>
      <c r="N190" s="147">
        <v>671</v>
      </c>
      <c r="O190" s="239">
        <v>722</v>
      </c>
      <c r="P190" s="239">
        <v>668</v>
      </c>
      <c r="Q190" s="239">
        <v>793</v>
      </c>
      <c r="R190" s="147">
        <v>601</v>
      </c>
      <c r="S190" s="147">
        <v>636</v>
      </c>
      <c r="T190" s="310">
        <v>202</v>
      </c>
      <c r="U190" s="310">
        <v>0</v>
      </c>
      <c r="V190" s="310">
        <v>158</v>
      </c>
      <c r="W190" s="310">
        <v>0</v>
      </c>
      <c r="X190" s="310">
        <v>0</v>
      </c>
      <c r="Y190" s="310">
        <v>0</v>
      </c>
      <c r="Z190" s="310">
        <v>296</v>
      </c>
      <c r="AA190" s="147">
        <v>244</v>
      </c>
      <c r="AB190" s="147">
        <v>199</v>
      </c>
      <c r="AC190" s="147">
        <v>220</v>
      </c>
      <c r="AD190" s="310">
        <v>0</v>
      </c>
      <c r="AE190" s="310">
        <v>0</v>
      </c>
      <c r="AF190" s="147">
        <v>174</v>
      </c>
      <c r="AG190" s="310">
        <v>0</v>
      </c>
      <c r="AH190" s="147">
        <v>236</v>
      </c>
      <c r="AI190" s="147">
        <v>237</v>
      </c>
      <c r="AK190" s="167">
        <f>SUM(F190:AI190)</f>
        <v>11967</v>
      </c>
      <c r="AM190" s="106">
        <f>AK190/AK30</f>
        <v>920.53846153846155</v>
      </c>
      <c r="EA190" s="210"/>
      <c r="EB190" s="210"/>
      <c r="FH190" s="210"/>
      <c r="GP190" s="245"/>
      <c r="GQ190" s="210"/>
      <c r="GR190" s="210"/>
      <c r="GS190" s="210"/>
      <c r="GT190" s="210"/>
      <c r="IW190" s="210"/>
      <c r="MR190" s="210"/>
      <c r="MS190" s="210"/>
      <c r="MT190" s="210"/>
      <c r="MU190" s="210"/>
      <c r="RY190" s="210"/>
      <c r="RZ190" s="210"/>
      <c r="SB190" s="210"/>
      <c r="SP190" s="292"/>
      <c r="ST190" s="210"/>
      <c r="UW190" s="292"/>
    </row>
    <row r="191" spans="2:928" s="6" customFormat="1">
      <c r="B191" s="22"/>
      <c r="C191" s="200" t="s">
        <v>87</v>
      </c>
      <c r="D191" s="21"/>
      <c r="E191" s="22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K191" s="168" t="s">
        <v>87</v>
      </c>
      <c r="AM191" s="106"/>
      <c r="EA191" s="210"/>
      <c r="EB191" s="210"/>
      <c r="FH191" s="210"/>
      <c r="GP191" s="245"/>
      <c r="GQ191" s="210"/>
      <c r="GR191" s="210"/>
      <c r="GS191" s="210"/>
      <c r="GT191" s="210"/>
      <c r="IW191" s="210"/>
      <c r="MR191" s="210"/>
      <c r="MS191" s="210"/>
      <c r="MT191" s="210"/>
      <c r="MU191" s="210"/>
      <c r="RY191" s="210"/>
      <c r="RZ191" s="210"/>
      <c r="SB191" s="210"/>
      <c r="SP191" s="292"/>
      <c r="ST191" s="210"/>
      <c r="UW191" s="292"/>
    </row>
    <row r="192" spans="2:928" s="6" customFormat="1" ht="16.2">
      <c r="B192" s="22"/>
      <c r="C192" s="195" t="s">
        <v>100</v>
      </c>
      <c r="D192" s="148">
        <v>78.959999999999994</v>
      </c>
      <c r="E192" s="196" t="s">
        <v>120</v>
      </c>
      <c r="F192" s="147">
        <v>97</v>
      </c>
      <c r="G192" s="147">
        <v>62</v>
      </c>
      <c r="H192" s="147">
        <v>39</v>
      </c>
      <c r="I192" s="147">
        <v>86</v>
      </c>
      <c r="J192" s="147">
        <v>75</v>
      </c>
      <c r="K192" s="147">
        <v>76</v>
      </c>
      <c r="L192" s="147">
        <v>77</v>
      </c>
      <c r="M192" s="147">
        <v>56</v>
      </c>
      <c r="N192" s="147">
        <v>61</v>
      </c>
      <c r="O192" s="147">
        <v>45</v>
      </c>
      <c r="P192" s="147">
        <v>54</v>
      </c>
      <c r="Q192" s="147">
        <v>55</v>
      </c>
      <c r="R192" s="147">
        <v>65</v>
      </c>
      <c r="S192" s="147">
        <v>90</v>
      </c>
      <c r="T192" s="147">
        <v>7</v>
      </c>
      <c r="U192" s="147">
        <v>0</v>
      </c>
      <c r="V192" s="147">
        <v>0</v>
      </c>
      <c r="W192" s="147">
        <v>0</v>
      </c>
      <c r="X192" s="147">
        <v>0</v>
      </c>
      <c r="Y192" s="147">
        <v>0</v>
      </c>
      <c r="Z192" s="147">
        <v>0</v>
      </c>
      <c r="AA192" s="147">
        <v>0</v>
      </c>
      <c r="AB192" s="147">
        <v>0</v>
      </c>
      <c r="AC192" s="147">
        <v>0</v>
      </c>
      <c r="AD192" s="147">
        <v>0</v>
      </c>
      <c r="AE192" s="147">
        <v>0</v>
      </c>
      <c r="AF192" s="147">
        <v>0</v>
      </c>
      <c r="AG192" s="147">
        <v>0</v>
      </c>
      <c r="AH192" s="147">
        <v>0</v>
      </c>
      <c r="AI192" s="147">
        <v>0</v>
      </c>
      <c r="AK192" s="169">
        <f>SUM(F192:AI192)</f>
        <v>945</v>
      </c>
      <c r="AM192" s="106">
        <v>945</v>
      </c>
      <c r="BF192" s="210"/>
      <c r="EA192" s="210"/>
      <c r="EB192" s="210"/>
      <c r="FH192" s="210"/>
      <c r="GP192" s="245"/>
      <c r="GQ192" s="210"/>
      <c r="GR192" s="210"/>
      <c r="GS192" s="210"/>
      <c r="GT192" s="210"/>
      <c r="IW192" s="210"/>
      <c r="MR192" s="210"/>
      <c r="MS192" s="210"/>
      <c r="MT192" s="210"/>
      <c r="MU192" s="210"/>
      <c r="RY192" s="210"/>
      <c r="RZ192" s="210"/>
      <c r="SB192" s="210"/>
      <c r="SP192" s="292"/>
      <c r="ST192" s="210"/>
      <c r="UW192" s="292"/>
      <c r="AIR192" s="227">
        <f>AM192-AK192</f>
        <v>0</v>
      </c>
    </row>
    <row r="193" spans="2:928" s="6" customFormat="1" ht="16.2">
      <c r="B193" s="22"/>
      <c r="C193" s="195" t="s">
        <v>101</v>
      </c>
      <c r="D193" s="148">
        <v>118.4</v>
      </c>
      <c r="E193" s="196" t="s">
        <v>120</v>
      </c>
      <c r="F193" s="147">
        <v>109</v>
      </c>
      <c r="G193" s="147">
        <v>129</v>
      </c>
      <c r="H193" s="147">
        <v>112</v>
      </c>
      <c r="I193" s="147">
        <v>91</v>
      </c>
      <c r="J193" s="147">
        <v>92</v>
      </c>
      <c r="K193" s="147">
        <v>76</v>
      </c>
      <c r="L193" s="147">
        <v>104</v>
      </c>
      <c r="M193" s="147">
        <v>75</v>
      </c>
      <c r="N193" s="147">
        <v>67</v>
      </c>
      <c r="O193" s="147">
        <v>70</v>
      </c>
      <c r="P193" s="147">
        <v>55</v>
      </c>
      <c r="Q193" s="147">
        <v>64</v>
      </c>
      <c r="R193" s="147">
        <v>96</v>
      </c>
      <c r="S193" s="147">
        <v>55</v>
      </c>
      <c r="T193" s="147">
        <v>0</v>
      </c>
      <c r="U193" s="147">
        <v>0</v>
      </c>
      <c r="V193" s="147">
        <v>0</v>
      </c>
      <c r="W193" s="147">
        <v>0</v>
      </c>
      <c r="X193" s="147">
        <v>0</v>
      </c>
      <c r="Y193" s="147">
        <v>0</v>
      </c>
      <c r="Z193" s="147">
        <v>108</v>
      </c>
      <c r="AA193" s="147">
        <v>0</v>
      </c>
      <c r="AB193" s="147">
        <v>0</v>
      </c>
      <c r="AC193" s="147">
        <v>0</v>
      </c>
      <c r="AD193" s="147">
        <v>0</v>
      </c>
      <c r="AE193" s="147">
        <v>0</v>
      </c>
      <c r="AF193" s="147">
        <v>0</v>
      </c>
      <c r="AG193" s="147">
        <v>0</v>
      </c>
      <c r="AH193" s="147">
        <v>0</v>
      </c>
      <c r="AI193" s="147">
        <v>0</v>
      </c>
      <c r="AK193" s="169">
        <f>SUM(F193:AI193)</f>
        <v>1303</v>
      </c>
      <c r="AM193" s="106">
        <v>1303</v>
      </c>
      <c r="BF193" s="210"/>
      <c r="EA193" s="210"/>
      <c r="EB193" s="210"/>
      <c r="FH193" s="210"/>
      <c r="GP193" s="245"/>
      <c r="GQ193" s="210"/>
      <c r="GR193" s="210"/>
      <c r="GS193" s="210"/>
      <c r="GT193" s="210"/>
      <c r="IW193" s="210"/>
      <c r="MR193" s="210"/>
      <c r="MS193" s="210"/>
      <c r="MT193" s="210"/>
      <c r="MU193" s="210"/>
      <c r="RY193" s="210"/>
      <c r="RZ193" s="210"/>
      <c r="SB193" s="210"/>
      <c r="SP193" s="292"/>
      <c r="ST193" s="210"/>
      <c r="UW193" s="292"/>
      <c r="AIR193" s="227">
        <f>AM193-AK193</f>
        <v>0</v>
      </c>
    </row>
    <row r="194" spans="2:928" s="6" customFormat="1" ht="16.2">
      <c r="B194" s="22"/>
      <c r="C194" s="195" t="s">
        <v>102</v>
      </c>
      <c r="D194" s="146">
        <f>44.69%*D190</f>
        <v>299.423</v>
      </c>
      <c r="E194" s="196" t="s">
        <v>120</v>
      </c>
      <c r="F194" s="147">
        <v>311.5</v>
      </c>
      <c r="G194" s="147">
        <v>350.4</v>
      </c>
      <c r="H194" s="147">
        <v>294.60000000000002</v>
      </c>
      <c r="I194" s="147">
        <v>335</v>
      </c>
      <c r="J194" s="147">
        <v>382.2</v>
      </c>
      <c r="K194" s="147">
        <v>345</v>
      </c>
      <c r="L194" s="147">
        <v>332.2</v>
      </c>
      <c r="M194" s="147">
        <v>349.7</v>
      </c>
      <c r="N194" s="147">
        <v>385</v>
      </c>
      <c r="O194" s="147">
        <v>355</v>
      </c>
      <c r="P194" s="147">
        <v>334.9</v>
      </c>
      <c r="Q194" s="147">
        <v>371.8</v>
      </c>
      <c r="R194" s="147">
        <v>340.9</v>
      </c>
      <c r="S194" s="147">
        <v>306</v>
      </c>
      <c r="T194" s="147">
        <v>88.9</v>
      </c>
      <c r="U194" s="147">
        <v>0</v>
      </c>
      <c r="V194" s="147">
        <v>50.3</v>
      </c>
      <c r="W194" s="147">
        <v>45.4</v>
      </c>
      <c r="X194" s="147">
        <v>0</v>
      </c>
      <c r="Y194" s="147">
        <v>19.600000000000001</v>
      </c>
      <c r="Z194" s="147">
        <v>63.5</v>
      </c>
      <c r="AA194" s="147">
        <v>81.400000000000006</v>
      </c>
      <c r="AB194" s="147">
        <v>59.9</v>
      </c>
      <c r="AC194" s="147">
        <v>47.3</v>
      </c>
      <c r="AD194" s="147">
        <v>0</v>
      </c>
      <c r="AE194" s="147">
        <v>0</v>
      </c>
      <c r="AF194" s="147">
        <v>0</v>
      </c>
      <c r="AG194" s="147">
        <v>0</v>
      </c>
      <c r="AH194" s="147">
        <v>136.9</v>
      </c>
      <c r="AI194" s="147">
        <v>136.6</v>
      </c>
      <c r="AK194" s="169">
        <f>SUM(F194:AI194)</f>
        <v>5523.9999999999991</v>
      </c>
      <c r="AL194" s="227"/>
      <c r="AM194" s="106"/>
      <c r="EA194" s="210"/>
      <c r="EB194" s="210"/>
      <c r="FH194" s="210"/>
      <c r="GP194" s="245"/>
      <c r="GQ194" s="210"/>
      <c r="GR194" s="210"/>
      <c r="GS194" s="210"/>
      <c r="GT194" s="210"/>
      <c r="IW194" s="210"/>
      <c r="MR194" s="210"/>
      <c r="MS194" s="210"/>
      <c r="MT194" s="210"/>
      <c r="MU194" s="210"/>
      <c r="RY194" s="210"/>
      <c r="RZ194" s="210"/>
      <c r="SB194" s="210"/>
      <c r="SP194" s="292"/>
      <c r="ST194" s="210"/>
      <c r="UW194" s="292"/>
    </row>
    <row r="195" spans="2:928" s="6" customFormat="1" ht="16.2">
      <c r="B195" s="22"/>
      <c r="C195" s="195" t="s">
        <v>96</v>
      </c>
      <c r="D195" s="146">
        <f>D190-SUM(D192:D194)</f>
        <v>173.21699999999998</v>
      </c>
      <c r="E195" s="196" t="s">
        <v>120</v>
      </c>
      <c r="F195" s="147">
        <f>F190-(SUM(F192:F194))</f>
        <v>127.5</v>
      </c>
      <c r="G195" s="147">
        <f t="shared" ref="G195:K195" si="200">G190-(SUM(G192:G194))</f>
        <v>255.60000000000002</v>
      </c>
      <c r="H195" s="147">
        <f t="shared" si="200"/>
        <v>157.39999999999998</v>
      </c>
      <c r="I195" s="147">
        <f t="shared" si="200"/>
        <v>331</v>
      </c>
      <c r="J195" s="147">
        <f t="shared" si="200"/>
        <v>167.79999999999995</v>
      </c>
      <c r="K195" s="147">
        <f t="shared" si="200"/>
        <v>232</v>
      </c>
      <c r="L195" s="147">
        <f t="shared" ref="L195:AH195" si="201">L190-(SUM(L192:L194))</f>
        <v>376.79999999999995</v>
      </c>
      <c r="M195" s="147">
        <f t="shared" si="201"/>
        <v>205.3</v>
      </c>
      <c r="N195" s="147">
        <f t="shared" si="201"/>
        <v>158</v>
      </c>
      <c r="O195" s="147">
        <f t="shared" si="201"/>
        <v>252</v>
      </c>
      <c r="P195" s="147">
        <f t="shared" si="201"/>
        <v>224.10000000000002</v>
      </c>
      <c r="Q195" s="147">
        <f t="shared" si="201"/>
        <v>302.2</v>
      </c>
      <c r="R195" s="147">
        <f t="shared" si="201"/>
        <v>99.100000000000023</v>
      </c>
      <c r="S195" s="147">
        <f t="shared" si="201"/>
        <v>185</v>
      </c>
      <c r="T195" s="147">
        <f t="shared" si="201"/>
        <v>106.1</v>
      </c>
      <c r="U195" s="147">
        <f t="shared" si="201"/>
        <v>0</v>
      </c>
      <c r="V195" s="147">
        <f t="shared" si="201"/>
        <v>107.7</v>
      </c>
      <c r="W195" s="147">
        <f t="shared" si="201"/>
        <v>-45.4</v>
      </c>
      <c r="X195" s="147">
        <f t="shared" si="201"/>
        <v>0</v>
      </c>
      <c r="Y195" s="147">
        <f t="shared" si="201"/>
        <v>-19.600000000000001</v>
      </c>
      <c r="Z195" s="147">
        <f t="shared" si="201"/>
        <v>124.5</v>
      </c>
      <c r="AA195" s="147">
        <f t="shared" si="201"/>
        <v>162.6</v>
      </c>
      <c r="AB195" s="147">
        <f t="shared" si="201"/>
        <v>139.1</v>
      </c>
      <c r="AC195" s="147">
        <f t="shared" si="201"/>
        <v>172.7</v>
      </c>
      <c r="AD195" s="147">
        <f t="shared" si="201"/>
        <v>0</v>
      </c>
      <c r="AE195" s="147">
        <f t="shared" ref="AE195:AG195" si="202">AE190-(SUM(AE192:AE194))</f>
        <v>0</v>
      </c>
      <c r="AF195" s="147">
        <f t="shared" si="202"/>
        <v>174</v>
      </c>
      <c r="AG195" s="147">
        <f t="shared" si="202"/>
        <v>0</v>
      </c>
      <c r="AH195" s="147">
        <f t="shared" si="201"/>
        <v>99.1</v>
      </c>
      <c r="AI195" s="147">
        <f t="shared" ref="AI195" si="203">AI190-(SUM(AI192:AI194))</f>
        <v>100.4</v>
      </c>
      <c r="AK195" s="169">
        <f>SUM(F195:AI195)</f>
        <v>4194.9999999999982</v>
      </c>
      <c r="AL195" s="118"/>
      <c r="AM195" s="106"/>
      <c r="EA195" s="210"/>
      <c r="EB195" s="210"/>
      <c r="FH195" s="210"/>
      <c r="GP195" s="245"/>
      <c r="GQ195" s="210"/>
      <c r="GR195" s="210"/>
      <c r="GS195" s="210"/>
      <c r="GT195" s="210"/>
      <c r="IW195" s="210"/>
      <c r="MR195" s="210"/>
      <c r="MS195" s="210"/>
      <c r="MT195" s="210"/>
      <c r="MU195" s="210"/>
      <c r="RY195" s="210"/>
      <c r="RZ195" s="210"/>
      <c r="SB195" s="210"/>
      <c r="SP195" s="292"/>
      <c r="ST195" s="210"/>
      <c r="UW195" s="292"/>
    </row>
    <row r="196" spans="2:928" s="6" customFormat="1" ht="16.2">
      <c r="B196" s="22"/>
      <c r="C196" s="195" t="s">
        <v>103</v>
      </c>
      <c r="D196" s="146">
        <v>287.83999999999997</v>
      </c>
      <c r="E196" s="196" t="s">
        <v>120</v>
      </c>
      <c r="F196" s="147">
        <v>118</v>
      </c>
      <c r="G196" s="147">
        <v>133</v>
      </c>
      <c r="H196" s="147">
        <v>141</v>
      </c>
      <c r="I196" s="147">
        <v>159</v>
      </c>
      <c r="J196" s="147">
        <v>197</v>
      </c>
      <c r="K196" s="147">
        <v>207</v>
      </c>
      <c r="L196" s="147">
        <v>181</v>
      </c>
      <c r="M196" s="147">
        <v>180</v>
      </c>
      <c r="N196" s="147">
        <v>181</v>
      </c>
      <c r="O196" s="147">
        <v>195</v>
      </c>
      <c r="P196" s="147">
        <v>200</v>
      </c>
      <c r="Q196" s="147">
        <v>182</v>
      </c>
      <c r="R196" s="147">
        <v>218</v>
      </c>
      <c r="S196" s="147">
        <v>140</v>
      </c>
      <c r="T196" s="147">
        <v>60</v>
      </c>
      <c r="U196" s="147">
        <v>0</v>
      </c>
      <c r="V196" s="147">
        <v>0</v>
      </c>
      <c r="W196" s="147">
        <v>0</v>
      </c>
      <c r="X196" s="147">
        <v>0</v>
      </c>
      <c r="Y196" s="147">
        <v>178</v>
      </c>
      <c r="Z196" s="147">
        <v>231</v>
      </c>
      <c r="AA196" s="147">
        <v>48</v>
      </c>
      <c r="AB196" s="147">
        <v>24</v>
      </c>
      <c r="AC196" s="147">
        <v>36</v>
      </c>
      <c r="AD196" s="147">
        <v>0</v>
      </c>
      <c r="AE196" s="147">
        <v>0</v>
      </c>
      <c r="AF196" s="147">
        <v>0</v>
      </c>
      <c r="AG196" s="147">
        <v>0</v>
      </c>
      <c r="AH196" s="147">
        <v>36</v>
      </c>
      <c r="AI196" s="147">
        <v>123</v>
      </c>
      <c r="AK196" s="169">
        <f>SUM(F196:AI196)</f>
        <v>3168</v>
      </c>
      <c r="AM196" s="106"/>
      <c r="EA196" s="210"/>
      <c r="EB196" s="210"/>
      <c r="FH196" s="210"/>
      <c r="GP196" s="245"/>
      <c r="GQ196" s="210"/>
      <c r="GR196" s="210"/>
      <c r="GS196" s="210"/>
      <c r="GT196" s="210"/>
      <c r="IW196" s="210"/>
      <c r="MR196" s="210"/>
      <c r="MS196" s="210"/>
      <c r="MT196" s="210"/>
      <c r="MU196" s="210"/>
      <c r="RY196" s="210"/>
      <c r="RZ196" s="210"/>
      <c r="SB196" s="210"/>
      <c r="SP196" s="292"/>
      <c r="ST196" s="210"/>
      <c r="UW196" s="292"/>
    </row>
    <row r="197" spans="2:928">
      <c r="B197" s="74">
        <v>12</v>
      </c>
      <c r="C197" s="179" t="s">
        <v>104</v>
      </c>
      <c r="D197" s="62"/>
      <c r="E197" s="62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97"/>
      <c r="AK197" s="170" t="s">
        <v>105</v>
      </c>
    </row>
    <row r="198" spans="2:928">
      <c r="B198" s="127"/>
      <c r="C198" s="201" t="s">
        <v>93</v>
      </c>
      <c r="D198" s="149"/>
      <c r="E198" s="15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97"/>
      <c r="AK198" s="160" t="s">
        <v>93</v>
      </c>
    </row>
    <row r="199" spans="2:928">
      <c r="B199" s="127"/>
      <c r="C199" s="181" t="s">
        <v>106</v>
      </c>
      <c r="D199" s="42">
        <v>28700</v>
      </c>
      <c r="E199" s="55" t="s">
        <v>107</v>
      </c>
      <c r="F199" s="40">
        <v>26500</v>
      </c>
      <c r="G199" s="40">
        <v>27900</v>
      </c>
      <c r="H199" s="202">
        <v>25800</v>
      </c>
      <c r="I199" s="158">
        <v>25700</v>
      </c>
      <c r="J199" s="40">
        <v>24800</v>
      </c>
      <c r="K199" s="158">
        <v>24400</v>
      </c>
      <c r="L199" s="40">
        <v>26000</v>
      </c>
      <c r="M199" s="158">
        <v>23500</v>
      </c>
      <c r="N199" s="40">
        <v>24600</v>
      </c>
      <c r="O199" s="40">
        <v>23600</v>
      </c>
      <c r="P199" s="40">
        <v>22400</v>
      </c>
      <c r="Q199" s="40">
        <v>22400</v>
      </c>
      <c r="R199" s="40">
        <v>15600</v>
      </c>
      <c r="S199" s="40">
        <v>17600</v>
      </c>
      <c r="T199" s="40">
        <v>9900</v>
      </c>
      <c r="U199" s="158">
        <v>5000</v>
      </c>
      <c r="V199" s="40">
        <v>5000</v>
      </c>
      <c r="W199" s="40">
        <v>5500</v>
      </c>
      <c r="X199" s="40">
        <v>2200</v>
      </c>
      <c r="Y199" s="158">
        <v>4800</v>
      </c>
      <c r="Z199" s="40">
        <v>4600</v>
      </c>
      <c r="AA199" s="40">
        <v>4800</v>
      </c>
      <c r="AB199" s="40">
        <v>4800</v>
      </c>
      <c r="AC199" s="40">
        <v>4300</v>
      </c>
      <c r="AD199" s="40">
        <v>3500</v>
      </c>
      <c r="AE199" s="40">
        <v>2400</v>
      </c>
      <c r="AF199" s="40">
        <v>4100</v>
      </c>
      <c r="AG199" s="40">
        <v>4700</v>
      </c>
      <c r="AH199" s="40">
        <v>5400</v>
      </c>
      <c r="AI199" s="40">
        <v>4900</v>
      </c>
      <c r="AJ199" s="97"/>
      <c r="AK199" s="89">
        <f>SUM(F199:AI199)</f>
        <v>406700</v>
      </c>
      <c r="AM199" s="10">
        <f>AK199/AK30</f>
        <v>31284.615384615383</v>
      </c>
    </row>
    <row r="200" spans="2:928" ht="15" thickBot="1">
      <c r="B200" s="155"/>
      <c r="C200" s="287" t="s">
        <v>90</v>
      </c>
      <c r="D200" s="154"/>
      <c r="E200" s="288" t="s">
        <v>108</v>
      </c>
      <c r="F200" s="289">
        <f t="shared" ref="F200:AH200" si="204">SUM(F199:F199)</f>
        <v>26500</v>
      </c>
      <c r="G200" s="289">
        <f t="shared" si="204"/>
        <v>27900</v>
      </c>
      <c r="H200" s="289">
        <f t="shared" si="204"/>
        <v>25800</v>
      </c>
      <c r="I200" s="289">
        <f t="shared" si="204"/>
        <v>25700</v>
      </c>
      <c r="J200" s="289">
        <f t="shared" si="204"/>
        <v>24800</v>
      </c>
      <c r="K200" s="289">
        <f t="shared" si="204"/>
        <v>24400</v>
      </c>
      <c r="L200" s="289">
        <f t="shared" si="204"/>
        <v>26000</v>
      </c>
      <c r="M200" s="289">
        <f t="shared" si="204"/>
        <v>23500</v>
      </c>
      <c r="N200" s="289">
        <f t="shared" si="204"/>
        <v>24600</v>
      </c>
      <c r="O200" s="289">
        <f t="shared" si="204"/>
        <v>23600</v>
      </c>
      <c r="P200" s="289">
        <f t="shared" si="204"/>
        <v>22400</v>
      </c>
      <c r="Q200" s="289">
        <f t="shared" si="204"/>
        <v>22400</v>
      </c>
      <c r="R200" s="289">
        <f t="shared" si="204"/>
        <v>15600</v>
      </c>
      <c r="S200" s="289">
        <f t="shared" si="204"/>
        <v>17600</v>
      </c>
      <c r="T200" s="289">
        <f t="shared" si="204"/>
        <v>9900</v>
      </c>
      <c r="U200" s="289">
        <f t="shared" si="204"/>
        <v>5000</v>
      </c>
      <c r="V200" s="289">
        <f t="shared" si="204"/>
        <v>5000</v>
      </c>
      <c r="W200" s="289">
        <f t="shared" si="204"/>
        <v>5500</v>
      </c>
      <c r="X200" s="289">
        <f t="shared" si="204"/>
        <v>2200</v>
      </c>
      <c r="Y200" s="289">
        <f t="shared" si="204"/>
        <v>4800</v>
      </c>
      <c r="Z200" s="289">
        <f t="shared" si="204"/>
        <v>4600</v>
      </c>
      <c r="AA200" s="289">
        <f t="shared" si="204"/>
        <v>4800</v>
      </c>
      <c r="AB200" s="289">
        <f t="shared" si="204"/>
        <v>4800</v>
      </c>
      <c r="AC200" s="289">
        <f t="shared" si="204"/>
        <v>4300</v>
      </c>
      <c r="AD200" s="289">
        <f t="shared" si="204"/>
        <v>3500</v>
      </c>
      <c r="AE200" s="289">
        <f t="shared" ref="AE200:AG200" si="205">SUM(AE199:AE199)</f>
        <v>2400</v>
      </c>
      <c r="AF200" s="289">
        <f t="shared" si="205"/>
        <v>4100</v>
      </c>
      <c r="AG200" s="289">
        <f t="shared" si="205"/>
        <v>4700</v>
      </c>
      <c r="AH200" s="289">
        <f t="shared" si="204"/>
        <v>5400</v>
      </c>
      <c r="AI200" s="289">
        <f t="shared" ref="AI200" si="206">SUM(AI199:AI199)</f>
        <v>4900</v>
      </c>
      <c r="AJ200" s="101"/>
      <c r="AK200" s="173">
        <f>SUM(F200:AI200)</f>
        <v>406700</v>
      </c>
    </row>
    <row r="201" spans="2:928" hidden="1">
      <c r="B201" s="34">
        <v>12</v>
      </c>
      <c r="C201" s="61" t="s">
        <v>109</v>
      </c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K201" s="172" t="s">
        <v>110</v>
      </c>
    </row>
    <row r="202" spans="2:928" hidden="1">
      <c r="B202" s="50"/>
      <c r="C202" s="63" t="s">
        <v>111</v>
      </c>
      <c r="D202" s="54"/>
      <c r="E202" s="55" t="s">
        <v>9</v>
      </c>
      <c r="F202" s="130">
        <v>44580</v>
      </c>
      <c r="G202" s="130">
        <v>0</v>
      </c>
      <c r="H202" s="130">
        <v>0</v>
      </c>
      <c r="I202" s="130">
        <v>145270</v>
      </c>
      <c r="J202" s="130">
        <v>144580</v>
      </c>
      <c r="K202" s="130">
        <v>146030</v>
      </c>
      <c r="L202" s="130">
        <v>0</v>
      </c>
      <c r="M202" s="130">
        <v>0</v>
      </c>
      <c r="N202" s="130">
        <v>0</v>
      </c>
      <c r="O202" s="130">
        <v>0</v>
      </c>
      <c r="P202" s="130">
        <v>117340</v>
      </c>
      <c r="Q202" s="130">
        <v>116400</v>
      </c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K202" s="89">
        <f>SUM(F202:AI202)</f>
        <v>714200</v>
      </c>
    </row>
    <row r="203" spans="2:928" hidden="1">
      <c r="B203" s="50"/>
      <c r="C203" s="63" t="s">
        <v>32</v>
      </c>
      <c r="D203" s="54"/>
      <c r="E203" s="55" t="s">
        <v>9</v>
      </c>
      <c r="F203" s="130">
        <v>0</v>
      </c>
      <c r="G203" s="130">
        <v>0</v>
      </c>
      <c r="H203" s="130">
        <v>0</v>
      </c>
      <c r="I203" s="130">
        <v>0</v>
      </c>
      <c r="J203" s="130">
        <v>0</v>
      </c>
      <c r="K203" s="130">
        <v>0</v>
      </c>
      <c r="L203" s="130">
        <v>0</v>
      </c>
      <c r="M203" s="130">
        <v>0</v>
      </c>
      <c r="N203" s="130">
        <v>0</v>
      </c>
      <c r="O203" s="130">
        <v>0</v>
      </c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K203" s="89">
        <f>SUM(F203:AI203)</f>
        <v>0</v>
      </c>
    </row>
    <row r="204" spans="2:928" hidden="1">
      <c r="B204" s="50"/>
      <c r="C204" s="63" t="s">
        <v>34</v>
      </c>
      <c r="D204" s="54"/>
      <c r="E204" s="55" t="s">
        <v>9</v>
      </c>
      <c r="F204" s="130">
        <v>464980</v>
      </c>
      <c r="G204" s="130">
        <v>630070</v>
      </c>
      <c r="H204" s="130">
        <v>0</v>
      </c>
      <c r="I204" s="130">
        <v>409010</v>
      </c>
      <c r="J204" s="130">
        <v>789380</v>
      </c>
      <c r="K204" s="130">
        <v>669020</v>
      </c>
      <c r="L204" s="130">
        <v>596730</v>
      </c>
      <c r="M204" s="130">
        <v>359600</v>
      </c>
      <c r="N204" s="130">
        <v>476850</v>
      </c>
      <c r="O204" s="130">
        <v>0</v>
      </c>
      <c r="P204" s="130">
        <v>146070</v>
      </c>
      <c r="Q204" s="130">
        <v>346220</v>
      </c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K204" s="89">
        <f>SUM(F204:AI204)</f>
        <v>4887930</v>
      </c>
    </row>
    <row r="205" spans="2:928" hidden="1">
      <c r="B205" s="50"/>
      <c r="C205" s="63" t="s">
        <v>39</v>
      </c>
      <c r="D205" s="54"/>
      <c r="E205" s="55" t="s">
        <v>9</v>
      </c>
      <c r="F205" s="130"/>
      <c r="G205" s="130"/>
      <c r="H205" s="130">
        <v>0</v>
      </c>
      <c r="I205" s="130"/>
      <c r="J205" s="130"/>
      <c r="K205" s="130"/>
      <c r="L205" s="130"/>
      <c r="M205" s="130"/>
      <c r="N205" s="130"/>
      <c r="O205" s="130">
        <v>0</v>
      </c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40"/>
      <c r="AK205" s="89">
        <f>SUM(F205:AI205)</f>
        <v>0</v>
      </c>
    </row>
    <row r="206" spans="2:928" hidden="1">
      <c r="B206" s="50"/>
      <c r="C206" s="63" t="s">
        <v>50</v>
      </c>
      <c r="D206" s="54"/>
      <c r="E206" s="55" t="s">
        <v>9</v>
      </c>
      <c r="F206" s="130">
        <v>0</v>
      </c>
      <c r="G206" s="130">
        <v>0</v>
      </c>
      <c r="H206" s="130">
        <v>0</v>
      </c>
      <c r="I206" s="130">
        <v>0</v>
      </c>
      <c r="J206" s="130">
        <v>0</v>
      </c>
      <c r="K206" s="130">
        <v>0</v>
      </c>
      <c r="L206" s="130">
        <v>230010</v>
      </c>
      <c r="M206" s="130">
        <v>229580</v>
      </c>
      <c r="N206" s="130">
        <v>142710</v>
      </c>
      <c r="O206" s="130">
        <v>0</v>
      </c>
      <c r="P206" s="130">
        <v>42630</v>
      </c>
      <c r="Q206" s="130">
        <v>61960</v>
      </c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K206" s="89">
        <f>SUM(F206:AI206)</f>
        <v>706890</v>
      </c>
      <c r="AL206" s="163"/>
    </row>
    <row r="207" spans="2:928" s="5" customFormat="1" ht="13.8" hidden="1">
      <c r="B207" s="141"/>
      <c r="C207" s="153" t="s">
        <v>90</v>
      </c>
      <c r="D207" s="154"/>
      <c r="E207" s="155" t="s">
        <v>9</v>
      </c>
      <c r="F207" s="156">
        <f t="shared" ref="F207:AH207" si="207">SUM(F202:F206)</f>
        <v>509560</v>
      </c>
      <c r="G207" s="156">
        <f t="shared" si="207"/>
        <v>630070</v>
      </c>
      <c r="H207" s="156">
        <f t="shared" si="207"/>
        <v>0</v>
      </c>
      <c r="I207" s="156">
        <f t="shared" si="207"/>
        <v>554280</v>
      </c>
      <c r="J207" s="156">
        <f t="shared" si="207"/>
        <v>933960</v>
      </c>
      <c r="K207" s="156">
        <f t="shared" si="207"/>
        <v>815050</v>
      </c>
      <c r="L207" s="156">
        <f t="shared" si="207"/>
        <v>826740</v>
      </c>
      <c r="M207" s="156">
        <f t="shared" si="207"/>
        <v>589180</v>
      </c>
      <c r="N207" s="156">
        <f t="shared" si="207"/>
        <v>619560</v>
      </c>
      <c r="O207" s="156">
        <f t="shared" si="207"/>
        <v>0</v>
      </c>
      <c r="P207" s="156">
        <f t="shared" si="207"/>
        <v>306040</v>
      </c>
      <c r="Q207" s="156">
        <f t="shared" si="207"/>
        <v>524580</v>
      </c>
      <c r="R207" s="156">
        <f t="shared" si="207"/>
        <v>0</v>
      </c>
      <c r="S207" s="156">
        <f t="shared" si="207"/>
        <v>0</v>
      </c>
      <c r="T207" s="156">
        <f t="shared" si="207"/>
        <v>0</v>
      </c>
      <c r="U207" s="156">
        <f t="shared" si="207"/>
        <v>0</v>
      </c>
      <c r="V207" s="156">
        <f t="shared" si="207"/>
        <v>0</v>
      </c>
      <c r="W207" s="156">
        <f t="shared" si="207"/>
        <v>0</v>
      </c>
      <c r="X207" s="156">
        <f t="shared" si="207"/>
        <v>0</v>
      </c>
      <c r="Y207" s="156">
        <f t="shared" si="207"/>
        <v>0</v>
      </c>
      <c r="Z207" s="156">
        <f t="shared" si="207"/>
        <v>0</v>
      </c>
      <c r="AA207" s="156">
        <f t="shared" si="207"/>
        <v>0</v>
      </c>
      <c r="AB207" s="156">
        <f t="shared" si="207"/>
        <v>0</v>
      </c>
      <c r="AC207" s="156">
        <f t="shared" si="207"/>
        <v>0</v>
      </c>
      <c r="AD207" s="156">
        <f>SUM(AD202:AD206)</f>
        <v>0</v>
      </c>
      <c r="AE207" s="156">
        <f t="shared" ref="AE207:AG207" si="208">SUM(AE202:AE206)</f>
        <v>0</v>
      </c>
      <c r="AF207" s="156">
        <f t="shared" si="208"/>
        <v>0</v>
      </c>
      <c r="AG207" s="156">
        <f t="shared" si="208"/>
        <v>0</v>
      </c>
      <c r="AH207" s="156">
        <f t="shared" si="207"/>
        <v>0</v>
      </c>
      <c r="AI207" s="156">
        <f t="shared" ref="AI207" si="209">SUM(AI202:AI206)</f>
        <v>0</v>
      </c>
      <c r="AK207" s="171">
        <f>SUM(AK202:AK206)</f>
        <v>6309020</v>
      </c>
      <c r="AL207" s="163"/>
      <c r="AM207" s="134"/>
      <c r="EA207" s="238"/>
      <c r="EB207" s="238"/>
      <c r="FH207" s="238"/>
      <c r="GP207" s="247"/>
      <c r="GQ207" s="238"/>
      <c r="GR207" s="238"/>
      <c r="GS207" s="238"/>
      <c r="GT207" s="238"/>
      <c r="IW207" s="238"/>
      <c r="MR207" s="238"/>
      <c r="MS207" s="238"/>
      <c r="MT207" s="238"/>
      <c r="MU207" s="238"/>
      <c r="RY207" s="238"/>
      <c r="RZ207" s="238"/>
      <c r="SB207" s="238"/>
      <c r="SP207" s="298"/>
      <c r="ST207" s="238"/>
      <c r="UW207" s="298"/>
    </row>
    <row r="208" spans="2:928" hidden="1">
      <c r="B208" s="34">
        <v>13</v>
      </c>
      <c r="C208" s="61" t="s">
        <v>112</v>
      </c>
      <c r="D208" s="152"/>
      <c r="E208" s="152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K208" s="172" t="s">
        <v>113</v>
      </c>
    </row>
    <row r="209" spans="2:569" hidden="1">
      <c r="B209" s="50"/>
      <c r="C209" s="63" t="s">
        <v>111</v>
      </c>
      <c r="D209" s="54"/>
      <c r="E209" s="55" t="s">
        <v>9</v>
      </c>
      <c r="F209" s="130">
        <v>0</v>
      </c>
      <c r="G209" s="130">
        <v>0</v>
      </c>
      <c r="H209" s="130">
        <v>0</v>
      </c>
      <c r="I209" s="130">
        <v>0</v>
      </c>
      <c r="J209" s="130">
        <v>0</v>
      </c>
      <c r="K209" s="130">
        <v>0</v>
      </c>
      <c r="L209" s="130">
        <v>0</v>
      </c>
      <c r="M209" s="130">
        <v>0</v>
      </c>
      <c r="N209" s="130">
        <v>0</v>
      </c>
      <c r="O209" s="130">
        <v>0</v>
      </c>
      <c r="P209" s="130">
        <v>0</v>
      </c>
      <c r="Q209" s="130">
        <v>0</v>
      </c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K209" s="89">
        <f>SUM(F209:AI209)</f>
        <v>0</v>
      </c>
    </row>
    <row r="210" spans="2:569" hidden="1">
      <c r="B210" s="50"/>
      <c r="C210" s="63" t="s">
        <v>32</v>
      </c>
      <c r="D210" s="54"/>
      <c r="E210" s="55" t="s">
        <v>9</v>
      </c>
      <c r="F210" s="130">
        <v>61480</v>
      </c>
      <c r="G210" s="130">
        <v>82750</v>
      </c>
      <c r="H210" s="130">
        <v>62120</v>
      </c>
      <c r="I210" s="130">
        <v>166980</v>
      </c>
      <c r="J210" s="130">
        <v>147640</v>
      </c>
      <c r="K210" s="130">
        <v>84470</v>
      </c>
      <c r="L210" s="130">
        <v>84100</v>
      </c>
      <c r="M210" s="130">
        <v>127220</v>
      </c>
      <c r="N210" s="130">
        <v>0</v>
      </c>
      <c r="O210" s="130">
        <v>0</v>
      </c>
      <c r="P210" s="130">
        <v>60000</v>
      </c>
      <c r="Q210" s="130">
        <v>0</v>
      </c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K210" s="89">
        <f>SUM(F210:AI210)</f>
        <v>876760</v>
      </c>
    </row>
    <row r="211" spans="2:569" hidden="1">
      <c r="B211" s="50"/>
      <c r="C211" s="63" t="s">
        <v>34</v>
      </c>
      <c r="D211" s="54"/>
      <c r="E211" s="55" t="s">
        <v>9</v>
      </c>
      <c r="F211" s="130">
        <v>0</v>
      </c>
      <c r="G211" s="130">
        <v>532990</v>
      </c>
      <c r="H211" s="130">
        <v>0</v>
      </c>
      <c r="I211" s="130">
        <v>973870</v>
      </c>
      <c r="J211" s="130">
        <v>485940</v>
      </c>
      <c r="K211" s="130">
        <v>432600</v>
      </c>
      <c r="L211" s="130">
        <v>750120</v>
      </c>
      <c r="M211" s="130">
        <v>664440</v>
      </c>
      <c r="N211" s="130">
        <v>431630</v>
      </c>
      <c r="O211" s="130">
        <v>244650</v>
      </c>
      <c r="P211" s="130">
        <v>1430420</v>
      </c>
      <c r="Q211" s="130">
        <v>0</v>
      </c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K211" s="89">
        <f>SUM(F211:AI211)</f>
        <v>5946660</v>
      </c>
    </row>
    <row r="212" spans="2:569" hidden="1">
      <c r="B212" s="50"/>
      <c r="C212" s="63" t="s">
        <v>43</v>
      </c>
      <c r="D212" s="54"/>
      <c r="E212" s="55" t="s">
        <v>9</v>
      </c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K212" s="89">
        <f>SUM(F212:AI212)</f>
        <v>0</v>
      </c>
    </row>
    <row r="213" spans="2:569" hidden="1">
      <c r="B213" s="50"/>
      <c r="C213" s="63" t="s">
        <v>50</v>
      </c>
      <c r="D213" s="54"/>
      <c r="E213" s="55" t="s">
        <v>9</v>
      </c>
      <c r="F213" s="130">
        <v>412220</v>
      </c>
      <c r="G213" s="130">
        <v>112790</v>
      </c>
      <c r="H213" s="130">
        <v>83610</v>
      </c>
      <c r="I213" s="130">
        <v>537040</v>
      </c>
      <c r="J213" s="130">
        <v>320790</v>
      </c>
      <c r="K213" s="130">
        <v>312750</v>
      </c>
      <c r="L213" s="130">
        <v>413960</v>
      </c>
      <c r="M213" s="130">
        <v>403080</v>
      </c>
      <c r="N213" s="130">
        <v>168100</v>
      </c>
      <c r="O213" s="130">
        <v>0</v>
      </c>
      <c r="P213" s="130">
        <v>212150</v>
      </c>
      <c r="Q213" s="130">
        <v>222110</v>
      </c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K213" s="89">
        <f>SUM(F213:AI213)</f>
        <v>3198600</v>
      </c>
    </row>
    <row r="214" spans="2:569" s="5" customFormat="1" hidden="1" thickBot="1">
      <c r="B214" s="141"/>
      <c r="C214" s="153" t="s">
        <v>90</v>
      </c>
      <c r="D214" s="154"/>
      <c r="E214" s="155" t="s">
        <v>9</v>
      </c>
      <c r="F214" s="156">
        <f t="shared" ref="F214:AH214" si="210">SUM(F209:F213)</f>
        <v>473700</v>
      </c>
      <c r="G214" s="156">
        <f t="shared" si="210"/>
        <v>728530</v>
      </c>
      <c r="H214" s="156">
        <f t="shared" si="210"/>
        <v>145730</v>
      </c>
      <c r="I214" s="156">
        <f t="shared" si="210"/>
        <v>1677890</v>
      </c>
      <c r="J214" s="156">
        <f t="shared" si="210"/>
        <v>954370</v>
      </c>
      <c r="K214" s="156">
        <f t="shared" si="210"/>
        <v>829820</v>
      </c>
      <c r="L214" s="156">
        <f t="shared" si="210"/>
        <v>1248180</v>
      </c>
      <c r="M214" s="156">
        <f t="shared" si="210"/>
        <v>1194740</v>
      </c>
      <c r="N214" s="156">
        <f t="shared" si="210"/>
        <v>599730</v>
      </c>
      <c r="O214" s="156">
        <f t="shared" si="210"/>
        <v>244650</v>
      </c>
      <c r="P214" s="156">
        <f t="shared" si="210"/>
        <v>1702570</v>
      </c>
      <c r="Q214" s="156">
        <f t="shared" si="210"/>
        <v>222110</v>
      </c>
      <c r="R214" s="156">
        <f t="shared" si="210"/>
        <v>0</v>
      </c>
      <c r="S214" s="156">
        <f t="shared" si="210"/>
        <v>0</v>
      </c>
      <c r="T214" s="156">
        <f t="shared" si="210"/>
        <v>0</v>
      </c>
      <c r="U214" s="156">
        <f t="shared" si="210"/>
        <v>0</v>
      </c>
      <c r="V214" s="156">
        <f t="shared" si="210"/>
        <v>0</v>
      </c>
      <c r="W214" s="156">
        <f t="shared" si="210"/>
        <v>0</v>
      </c>
      <c r="X214" s="156">
        <f t="shared" si="210"/>
        <v>0</v>
      </c>
      <c r="Y214" s="156">
        <f t="shared" si="210"/>
        <v>0</v>
      </c>
      <c r="Z214" s="156">
        <f t="shared" si="210"/>
        <v>0</v>
      </c>
      <c r="AA214" s="156">
        <f t="shared" si="210"/>
        <v>0</v>
      </c>
      <c r="AB214" s="156">
        <f t="shared" si="210"/>
        <v>0</v>
      </c>
      <c r="AC214" s="156">
        <f t="shared" si="210"/>
        <v>0</v>
      </c>
      <c r="AD214" s="156">
        <f t="shared" si="210"/>
        <v>0</v>
      </c>
      <c r="AE214" s="156">
        <f t="shared" ref="AE214:AG214" si="211">SUM(AE209:AE213)</f>
        <v>0</v>
      </c>
      <c r="AF214" s="156">
        <f t="shared" si="211"/>
        <v>0</v>
      </c>
      <c r="AG214" s="156">
        <f t="shared" si="211"/>
        <v>0</v>
      </c>
      <c r="AH214" s="156">
        <f t="shared" si="210"/>
        <v>0</v>
      </c>
      <c r="AI214" s="156">
        <f t="shared" ref="AI214" si="212">SUM(AI209:AI213)</f>
        <v>0</v>
      </c>
      <c r="AK214" s="173">
        <f>SUM(AK209:AK213)</f>
        <v>10022020</v>
      </c>
      <c r="AM214" s="134"/>
      <c r="EA214" s="238"/>
      <c r="EB214" s="238"/>
      <c r="FH214" s="238"/>
      <c r="GP214" s="247"/>
      <c r="GQ214" s="238"/>
      <c r="GR214" s="238"/>
      <c r="GS214" s="238"/>
      <c r="GT214" s="238"/>
      <c r="IW214" s="238"/>
      <c r="MR214" s="238"/>
      <c r="MS214" s="238"/>
      <c r="MT214" s="238"/>
      <c r="MU214" s="238"/>
      <c r="RY214" s="238"/>
      <c r="RZ214" s="238"/>
      <c r="SB214" s="238"/>
      <c r="SP214" s="298"/>
      <c r="ST214" s="238"/>
      <c r="UW214" s="298"/>
    </row>
    <row r="215" spans="2:569" hidden="1"/>
    <row r="222" spans="2:569">
      <c r="AI222" s="219"/>
      <c r="AJ222" s="219"/>
    </row>
    <row r="223" spans="2:569">
      <c r="AI223" s="219"/>
      <c r="AJ223" s="219"/>
    </row>
    <row r="224" spans="2:569">
      <c r="AI224" s="219"/>
      <c r="AJ224" s="219"/>
    </row>
    <row r="225" spans="35:35">
      <c r="AI225" s="204"/>
    </row>
    <row r="226" spans="35:35">
      <c r="AI226" s="204"/>
    </row>
  </sheetData>
  <mergeCells count="11">
    <mergeCell ref="B2:AI2"/>
    <mergeCell ref="B5:B6"/>
    <mergeCell ref="C5:C6"/>
    <mergeCell ref="D5:D6"/>
    <mergeCell ref="E5:E6"/>
    <mergeCell ref="F5:AI5"/>
    <mergeCell ref="GQ27:GS27"/>
    <mergeCell ref="GR38:GS38"/>
    <mergeCell ref="GO27:GP28"/>
    <mergeCell ref="GO38:GP39"/>
    <mergeCell ref="AK5:AK6"/>
  </mergeCells>
  <pageMargins left="0.7" right="0.7" top="0.75" bottom="0.75" header="0.3" footer="0.3"/>
  <pageSetup paperSize="9" orientation="portrait" horizontalDpi="300" verticalDpi="300" r:id="rId1"/>
  <ignoredErrors>
    <ignoredError sqref="L18 F18:K19 M15:O15 F67:M67 M10:O10 F10:K10 O67 T14 T18 U10:U11 U14:U15 U18:U19 W22:Y23 U67:W67 V69:Z69 U65:Z65 AB69:AC69 AC22:AC23 W26:AC26 F57:F62 F14:K15 AK10:AK22 P10:S11 P14:S15 M18:S19 F22:U22 O14 L14:M14 T10 V14 V18 W18:Z19 AB19 G56:AD62 W14:AF15 AA18:AB18 Z22:AB22 W10:AF11 AE61:AF62 AD67:AF67 AG58:AG63 AG55:AG57 AD22:AF22 AC18:AF19 AG18 Q67:S67 AK55:AK62 AM67 F65:Q65 G69:Q69 X67:AA67 G55:W55 X55:AD55 AG14:AH14 AH67:AI67 AH55:AH62 AF65:AH65 AF69 AH69 AF57:AF58 AE59:AF60 AE57:AE58 AG69 AG67 AI59:AI62 SC34:SC35 S69:U69 AB67 AA65:AA66 AA68:AA69 AD69:AE69 AC65 AB65 AD65:AE65 AE55:AF56 S65:T65 AI55:AI58 AI65:AI66 AI68:AI69" evalError="1"/>
    <ignoredError sqref="L70:M70 N70:Q70 V70:AA70 G70:K70 AB70:AC70 AE70:AG70 S70:U70 AD70 AI70" evalError="1" formulaRange="1"/>
    <ignoredError sqref="AK65:AK66 AK148 AH160:AI160 AH103:AI103 AI76:AI79 AI112 AI82:AI86 U129 AH76 AH86" formula="1"/>
    <ignoredError sqref="F70 W76 W86 R70 AK33:AK35 AK71" formulaRange="1"/>
    <ignoredError sqref="T67 AC67 N67 AK72 P67 AK67" evalError="1" formula="1"/>
    <ignoredError sqref="AH70" evalError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4DFE-1945-4EAA-AC26-FE0FA9EAF345}">
  <dimension ref="A1:VUL227"/>
  <sheetViews>
    <sheetView showGridLines="0" tabSelected="1" topLeftCell="A4" zoomScale="80" zoomScaleNormal="80" workbookViewId="0">
      <pane xSplit="5" ySplit="3" topLeftCell="W28" activePane="bottomRight" state="frozen"/>
      <selection pane="topRight"/>
      <selection pane="bottomLeft"/>
      <selection pane="bottomRight" activeCell="AK40" sqref="AK40"/>
    </sheetView>
  </sheetViews>
  <sheetFormatPr defaultColWidth="9" defaultRowHeight="14.4"/>
  <cols>
    <col min="1" max="1" width="1.5546875" style="1" customWidth="1"/>
    <col min="2" max="2" width="4.6640625" style="7" customWidth="1"/>
    <col min="3" max="3" width="41" style="1" customWidth="1"/>
    <col min="4" max="4" width="14" style="1" hidden="1" customWidth="1"/>
    <col min="5" max="5" width="8.109375" style="1" bestFit="1" customWidth="1"/>
    <col min="6" max="6" width="15.109375" style="1" customWidth="1"/>
    <col min="7" max="7" width="13.6640625" style="1" bestFit="1" customWidth="1"/>
    <col min="8" max="9" width="14.88671875" style="1" customWidth="1"/>
    <col min="10" max="10" width="14.5546875" style="318" customWidth="1"/>
    <col min="11" max="11" width="13.6640625" style="318" bestFit="1" customWidth="1"/>
    <col min="12" max="14" width="13.6640625" style="1" bestFit="1" customWidth="1"/>
    <col min="15" max="16" width="15.109375" style="1" customWidth="1"/>
    <col min="17" max="18" width="13.6640625" style="318" bestFit="1" customWidth="1"/>
    <col min="19" max="19" width="13.6640625" style="1" bestFit="1" customWidth="1"/>
    <col min="20" max="20" width="13.6640625" style="1" customWidth="1"/>
    <col min="21" max="23" width="12.44140625" style="1" bestFit="1" customWidth="1"/>
    <col min="24" max="24" width="13.109375" style="1" customWidth="1"/>
    <col min="25" max="25" width="12.44140625" style="1" bestFit="1" customWidth="1"/>
    <col min="26" max="26" width="13.109375" style="1" customWidth="1"/>
    <col min="27" max="28" width="12" style="1" bestFit="1" customWidth="1"/>
    <col min="29" max="30" width="11.88671875" style="1" customWidth="1"/>
    <col min="31" max="32" width="12.88671875" style="1" customWidth="1"/>
    <col min="33" max="35" width="12.44140625" style="1" bestFit="1" customWidth="1"/>
    <col min="36" max="36" width="12.6640625" style="1" customWidth="1"/>
    <col min="37" max="37" width="17.109375" style="1" bestFit="1" customWidth="1"/>
    <col min="38" max="38" width="14.5546875" style="1" hidden="1" customWidth="1"/>
    <col min="39" max="39" width="13.6640625" style="10" bestFit="1" customWidth="1"/>
    <col min="40" max="40" width="13.6640625" style="1" hidden="1" customWidth="1"/>
    <col min="41" max="41" width="12.44140625" style="1" hidden="1" customWidth="1"/>
    <col min="42" max="44" width="11.33203125" style="1" hidden="1" customWidth="1"/>
    <col min="45" max="45" width="7.88671875" style="1" hidden="1" customWidth="1"/>
    <col min="46" max="49" width="11.33203125" style="1" hidden="1" customWidth="1"/>
    <col min="50" max="86" width="8.109375" style="1" hidden="1" customWidth="1"/>
    <col min="87" max="87" width="8" style="1" hidden="1" customWidth="1"/>
    <col min="88" max="88" width="6.33203125" style="1" hidden="1" customWidth="1"/>
    <col min="89" max="94" width="8.109375" style="1" hidden="1" customWidth="1"/>
    <col min="95" max="106" width="0" style="1" hidden="1" customWidth="1"/>
    <col min="107" max="107" width="12.6640625" style="1" hidden="1" customWidth="1"/>
    <col min="108" max="108" width="12.109375" style="1" hidden="1" customWidth="1"/>
    <col min="109" max="109" width="9.109375" style="1" hidden="1" customWidth="1"/>
    <col min="110" max="110" width="9.88671875" style="1" hidden="1" customWidth="1"/>
    <col min="111" max="111" width="15.88671875" style="1" hidden="1" customWidth="1"/>
    <col min="112" max="112" width="12.88671875" style="1" hidden="1" customWidth="1"/>
    <col min="113" max="113" width="14.109375" style="1" hidden="1" customWidth="1"/>
    <col min="114" max="130" width="0" style="1" hidden="1" customWidth="1"/>
    <col min="131" max="132" width="0" style="219" hidden="1" customWidth="1"/>
    <col min="133" max="133" width="5.88671875" style="1" hidden="1" customWidth="1"/>
    <col min="134" max="134" width="0" style="1" hidden="1" customWidth="1"/>
    <col min="135" max="135" width="14" style="1" hidden="1" customWidth="1"/>
    <col min="136" max="163" width="0" style="1" hidden="1" customWidth="1"/>
    <col min="164" max="164" width="14.88671875" style="219" hidden="1" customWidth="1"/>
    <col min="165" max="188" width="0" style="1" hidden="1" customWidth="1"/>
    <col min="189" max="189" width="18.6640625" style="1" hidden="1" customWidth="1"/>
    <col min="190" max="196" width="0" style="1" hidden="1" customWidth="1"/>
    <col min="197" max="197" width="13" style="1" hidden="1" customWidth="1"/>
    <col min="198" max="198" width="8.109375" style="7" hidden="1" customWidth="1"/>
    <col min="199" max="201" width="12.44140625" style="219" hidden="1" customWidth="1"/>
    <col min="202" max="202" width="0" style="219" hidden="1" customWidth="1"/>
    <col min="203" max="219" width="0" style="1" hidden="1" customWidth="1"/>
    <col min="220" max="220" width="12.109375" style="1" hidden="1" customWidth="1"/>
    <col min="221" max="256" width="0" style="1" hidden="1" customWidth="1"/>
    <col min="257" max="257" width="11.6640625" style="219" hidden="1" customWidth="1"/>
    <col min="258" max="258" width="9.44140625" style="1" hidden="1" customWidth="1"/>
    <col min="259" max="354" width="0" style="1" hidden="1" customWidth="1"/>
    <col min="355" max="355" width="15.33203125" style="1" hidden="1" customWidth="1"/>
    <col min="356" max="356" width="12.44140625" style="219" hidden="1" customWidth="1"/>
    <col min="357" max="357" width="10.6640625" style="219" hidden="1" customWidth="1"/>
    <col min="358" max="358" width="13.6640625" style="219" hidden="1" customWidth="1"/>
    <col min="359" max="359" width="0" style="219" hidden="1" customWidth="1"/>
    <col min="360" max="465" width="0" style="1" hidden="1" customWidth="1"/>
    <col min="466" max="466" width="6.88671875" style="1" hidden="1" customWidth="1"/>
    <col min="467" max="492" width="0" style="1" hidden="1" customWidth="1"/>
    <col min="493" max="494" width="9.44140625" style="219" hidden="1" customWidth="1"/>
    <col min="495" max="495" width="0.88671875" style="1" hidden="1" customWidth="1"/>
    <col min="496" max="496" width="15.6640625" style="219" hidden="1" customWidth="1"/>
    <col min="497" max="497" width="22.44140625" style="1" hidden="1" customWidth="1"/>
    <col min="498" max="508" width="0" style="1" hidden="1" customWidth="1"/>
    <col min="509" max="509" width="13.5546875" style="1" hidden="1" customWidth="1"/>
    <col min="510" max="510" width="8.109375" style="240" hidden="1" customWidth="1"/>
    <col min="511" max="511" width="0" style="1" hidden="1" customWidth="1"/>
    <col min="512" max="513" width="12.109375" style="1" hidden="1" customWidth="1"/>
    <col min="514" max="514" width="12.109375" style="219" hidden="1" customWidth="1"/>
    <col min="515" max="515" width="14.44140625" style="1" hidden="1" customWidth="1"/>
    <col min="516" max="567" width="0" style="1" hidden="1" customWidth="1"/>
    <col min="568" max="568" width="9.44140625" style="1" hidden="1" customWidth="1"/>
    <col min="569" max="569" width="7.6640625" style="240" hidden="1" customWidth="1"/>
    <col min="570" max="701" width="0" style="1" hidden="1" customWidth="1"/>
    <col min="702" max="702" width="11.33203125" style="1" hidden="1" customWidth="1"/>
    <col min="703" max="703" width="10" style="1" hidden="1" customWidth="1"/>
    <col min="704" max="728" width="0" style="1" hidden="1" customWidth="1"/>
    <col min="729" max="729" width="14.109375" style="1" hidden="1" customWidth="1"/>
    <col min="730" max="730" width="18.44140625" style="1" hidden="1" customWidth="1"/>
    <col min="731" max="839" width="0" style="1" hidden="1" customWidth="1"/>
    <col min="840" max="840" width="14.88671875" style="1" hidden="1" customWidth="1"/>
    <col min="841" max="898" width="0" style="1" hidden="1" customWidth="1"/>
    <col min="899" max="900" width="10.6640625" style="1" hidden="1" customWidth="1"/>
    <col min="901" max="901" width="12.88671875" style="1" hidden="1" customWidth="1"/>
    <col min="902" max="910" width="0" style="1" hidden="1" customWidth="1"/>
    <col min="911" max="911" width="9.44140625" style="1" hidden="1" customWidth="1"/>
    <col min="912" max="912" width="18" style="1" hidden="1" customWidth="1"/>
    <col min="913" max="927" width="0" style="1" hidden="1" customWidth="1"/>
    <col min="928" max="928" width="5.88671875" style="1" bestFit="1" customWidth="1"/>
    <col min="929" max="929" width="27.33203125" style="1" bestFit="1" customWidth="1"/>
    <col min="930" max="942" width="0" style="1" hidden="1" customWidth="1"/>
    <col min="943" max="943" width="12" style="1" hidden="1" customWidth="1"/>
    <col min="944" max="966" width="0" style="1" hidden="1" customWidth="1"/>
    <col min="967" max="15037" width="9" style="1"/>
  </cols>
  <sheetData>
    <row r="1" spans="2:37">
      <c r="B1" s="11"/>
    </row>
    <row r="2" spans="2:37" ht="17.399999999999999">
      <c r="B2" s="330" t="s">
        <v>0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228"/>
    </row>
    <row r="3" spans="2:37">
      <c r="B3" s="12"/>
    </row>
    <row r="4" spans="2:37" ht="15" thickBot="1">
      <c r="C4" s="13"/>
      <c r="D4" s="10"/>
      <c r="Z4" s="87"/>
      <c r="AB4" s="87"/>
    </row>
    <row r="5" spans="2:37">
      <c r="B5" s="331" t="s">
        <v>1</v>
      </c>
      <c r="C5" s="331" t="s">
        <v>2</v>
      </c>
      <c r="D5" s="332" t="s">
        <v>3</v>
      </c>
      <c r="E5" s="334" t="s">
        <v>4</v>
      </c>
      <c r="F5" s="336" t="s">
        <v>160</v>
      </c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K5" s="328" t="s">
        <v>5</v>
      </c>
    </row>
    <row r="6" spans="2:37">
      <c r="B6" s="331"/>
      <c r="C6" s="331"/>
      <c r="D6" s="333"/>
      <c r="E6" s="335"/>
      <c r="F6" s="14">
        <v>1</v>
      </c>
      <c r="G6" s="14">
        <v>2</v>
      </c>
      <c r="H6" s="14">
        <v>3</v>
      </c>
      <c r="I6" s="14">
        <v>4</v>
      </c>
      <c r="J6" s="345">
        <v>5</v>
      </c>
      <c r="K6" s="345">
        <v>6</v>
      </c>
      <c r="L6" s="14">
        <v>7</v>
      </c>
      <c r="M6" s="14">
        <v>8</v>
      </c>
      <c r="N6" s="14">
        <v>9</v>
      </c>
      <c r="O6" s="14">
        <v>10</v>
      </c>
      <c r="P6" s="14">
        <v>11</v>
      </c>
      <c r="Q6" s="345">
        <v>12</v>
      </c>
      <c r="R6" s="345">
        <v>13</v>
      </c>
      <c r="S6" s="14">
        <v>14</v>
      </c>
      <c r="T6" s="14">
        <v>15</v>
      </c>
      <c r="U6" s="14">
        <v>16</v>
      </c>
      <c r="V6" s="14">
        <v>17</v>
      </c>
      <c r="W6" s="14">
        <v>18</v>
      </c>
      <c r="X6" s="14">
        <v>19</v>
      </c>
      <c r="Y6" s="14">
        <v>20</v>
      </c>
      <c r="Z6" s="14">
        <v>21</v>
      </c>
      <c r="AA6" s="14">
        <v>22</v>
      </c>
      <c r="AB6" s="14">
        <v>23</v>
      </c>
      <c r="AC6" s="14">
        <v>24</v>
      </c>
      <c r="AD6" s="14">
        <v>25</v>
      </c>
      <c r="AE6" s="14">
        <v>26</v>
      </c>
      <c r="AF6" s="14">
        <v>27</v>
      </c>
      <c r="AG6" s="14">
        <v>28</v>
      </c>
      <c r="AH6" s="14">
        <v>29</v>
      </c>
      <c r="AI6" s="14">
        <v>30</v>
      </c>
      <c r="AK6" s="329"/>
    </row>
    <row r="7" spans="2:37" hidden="1">
      <c r="B7" s="15">
        <v>1</v>
      </c>
      <c r="C7" s="16" t="s">
        <v>6</v>
      </c>
      <c r="D7" s="17"/>
      <c r="E7" s="18"/>
      <c r="F7" s="19"/>
      <c r="G7" s="19"/>
      <c r="H7" s="19"/>
      <c r="I7" s="19"/>
      <c r="J7" s="83"/>
      <c r="K7" s="83"/>
      <c r="L7" s="19"/>
      <c r="M7" s="19"/>
      <c r="N7" s="19"/>
      <c r="O7" s="19"/>
      <c r="P7" s="19"/>
      <c r="Q7" s="83"/>
      <c r="R7" s="83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87"/>
      <c r="AK7" s="88" t="s">
        <v>7</v>
      </c>
    </row>
    <row r="8" spans="2:37" hidden="1">
      <c r="B8" s="15"/>
      <c r="C8" s="20" t="s">
        <v>8</v>
      </c>
      <c r="D8" s="21"/>
      <c r="E8" s="22" t="s">
        <v>9</v>
      </c>
      <c r="F8" s="23">
        <v>2772050</v>
      </c>
      <c r="G8" s="23">
        <v>1701660</v>
      </c>
      <c r="H8" s="23">
        <v>787010</v>
      </c>
      <c r="I8" s="23">
        <v>1524850</v>
      </c>
      <c r="J8" s="346">
        <v>1360110</v>
      </c>
      <c r="K8" s="346">
        <v>1251880</v>
      </c>
      <c r="L8" s="23">
        <v>1286090</v>
      </c>
      <c r="M8" s="23">
        <v>1048360</v>
      </c>
      <c r="N8" s="23">
        <v>1825350</v>
      </c>
      <c r="O8" s="23">
        <v>534120</v>
      </c>
      <c r="P8" s="23">
        <v>1081380</v>
      </c>
      <c r="Q8" s="346">
        <v>1285710</v>
      </c>
      <c r="R8" s="3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87"/>
      <c r="AK8" s="89">
        <f>SUM(F8:AI8)</f>
        <v>16458570</v>
      </c>
    </row>
    <row r="9" spans="2:37" hidden="1">
      <c r="B9" s="15"/>
      <c r="C9" s="20" t="s">
        <v>10</v>
      </c>
      <c r="D9" s="21"/>
      <c r="E9" s="22" t="s">
        <v>9</v>
      </c>
      <c r="F9" s="23">
        <v>2768810</v>
      </c>
      <c r="G9" s="23">
        <v>1699190</v>
      </c>
      <c r="H9" s="23">
        <v>786040</v>
      </c>
      <c r="I9" s="23">
        <v>1522340</v>
      </c>
      <c r="J9" s="346">
        <v>1358810</v>
      </c>
      <c r="K9" s="346">
        <v>1250040</v>
      </c>
      <c r="L9" s="23">
        <v>1284570</v>
      </c>
      <c r="M9" s="23">
        <v>1047030</v>
      </c>
      <c r="N9" s="23">
        <v>1823270</v>
      </c>
      <c r="O9" s="23">
        <v>533710</v>
      </c>
      <c r="P9" s="23">
        <v>1080050</v>
      </c>
      <c r="Q9" s="346">
        <v>1283930</v>
      </c>
      <c r="R9" s="3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87"/>
      <c r="AK9" s="89">
        <f>SUM(F9:AI9)</f>
        <v>16437790</v>
      </c>
    </row>
    <row r="10" spans="2:37" hidden="1">
      <c r="B10" s="15"/>
      <c r="C10" s="24" t="s">
        <v>11</v>
      </c>
      <c r="D10" s="25"/>
      <c r="E10" s="26" t="s">
        <v>12</v>
      </c>
      <c r="F10" s="27">
        <f t="shared" ref="F10:AD10" si="0">((F9-F8)/F8)*100</f>
        <v>-0.11688100863981529</v>
      </c>
      <c r="G10" s="27">
        <f t="shared" si="0"/>
        <v>-0.1451523806165744</v>
      </c>
      <c r="H10" s="27">
        <f t="shared" si="0"/>
        <v>-0.12325129286794323</v>
      </c>
      <c r="I10" s="27">
        <f t="shared" si="0"/>
        <v>-0.16460635472341542</v>
      </c>
      <c r="J10" s="347">
        <f t="shared" si="0"/>
        <v>-9.5580504518016932E-2</v>
      </c>
      <c r="K10" s="347">
        <f t="shared" si="0"/>
        <v>-0.14697894366872225</v>
      </c>
      <c r="L10" s="27">
        <f t="shared" si="0"/>
        <v>-0.11818768515422715</v>
      </c>
      <c r="M10" s="27">
        <f t="shared" si="0"/>
        <v>-0.12686481742912739</v>
      </c>
      <c r="N10" s="27">
        <f t="shared" si="0"/>
        <v>-0.11395074917139179</v>
      </c>
      <c r="O10" s="27">
        <f t="shared" si="0"/>
        <v>-7.6761776379839733E-2</v>
      </c>
      <c r="P10" s="27">
        <f t="shared" si="0"/>
        <v>-0.12299099299043816</v>
      </c>
      <c r="Q10" s="347">
        <f t="shared" si="0"/>
        <v>-0.13844490592746422</v>
      </c>
      <c r="R10" s="347" t="e">
        <f t="shared" si="0"/>
        <v>#DIV/0!</v>
      </c>
      <c r="S10" s="27" t="e">
        <f t="shared" si="0"/>
        <v>#DIV/0!</v>
      </c>
      <c r="T10" s="27" t="e">
        <f t="shared" si="0"/>
        <v>#DIV/0!</v>
      </c>
      <c r="U10" s="27" t="e">
        <f t="shared" si="0"/>
        <v>#DIV/0!</v>
      </c>
      <c r="V10" s="27" t="e">
        <f t="shared" si="0"/>
        <v>#DIV/0!</v>
      </c>
      <c r="W10" s="27" t="e">
        <f t="shared" si="0"/>
        <v>#DIV/0!</v>
      </c>
      <c r="X10" s="27" t="e">
        <f t="shared" si="0"/>
        <v>#DIV/0!</v>
      </c>
      <c r="Y10" s="27" t="e">
        <f t="shared" si="0"/>
        <v>#DIV/0!</v>
      </c>
      <c r="Z10" s="27" t="e">
        <f t="shared" si="0"/>
        <v>#DIV/0!</v>
      </c>
      <c r="AA10" s="27" t="e">
        <f t="shared" si="0"/>
        <v>#DIV/0!</v>
      </c>
      <c r="AB10" s="27" t="e">
        <f t="shared" si="0"/>
        <v>#DIV/0!</v>
      </c>
      <c r="AC10" s="27" t="e">
        <f t="shared" si="0"/>
        <v>#DIV/0!</v>
      </c>
      <c r="AD10" s="27" t="e">
        <f t="shared" si="0"/>
        <v>#DIV/0!</v>
      </c>
      <c r="AE10" s="27" t="e">
        <f>((AE9-AE8)/AE8)*100</f>
        <v>#DIV/0!</v>
      </c>
      <c r="AF10" s="27" t="e">
        <f t="shared" ref="AF10:AG10" si="1">((AF9-AF8)/AF8)*100</f>
        <v>#DIV/0!</v>
      </c>
      <c r="AG10" s="27" t="e">
        <f t="shared" si="1"/>
        <v>#DIV/0!</v>
      </c>
      <c r="AH10" s="27" t="e">
        <f>((AH9-AH8)/AH8)*100</f>
        <v>#DIV/0!</v>
      </c>
      <c r="AI10" s="27" t="e">
        <f t="shared" ref="AI10" si="2">((AI9-AI8)/AI8)*100</f>
        <v>#DIV/0!</v>
      </c>
      <c r="AJ10" s="87"/>
      <c r="AK10" s="90">
        <f>((AK9-AK8)/AK8)*100</f>
        <v>-0.12625641231285586</v>
      </c>
    </row>
    <row r="11" spans="2:37" hidden="1">
      <c r="B11" s="15"/>
      <c r="C11" s="16" t="s">
        <v>122</v>
      </c>
      <c r="D11" s="17"/>
      <c r="E11" s="18"/>
      <c r="F11" s="19"/>
      <c r="G11" s="19"/>
      <c r="H11" s="19"/>
      <c r="I11" s="19"/>
      <c r="J11" s="83"/>
      <c r="K11" s="83"/>
      <c r="L11" s="19"/>
      <c r="M11" s="19"/>
      <c r="N11" s="19"/>
      <c r="O11" s="19"/>
      <c r="P11" s="19"/>
      <c r="Q11" s="83"/>
      <c r="R11" s="83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87"/>
      <c r="AK11" s="88" t="s">
        <v>7</v>
      </c>
    </row>
    <row r="12" spans="2:37" hidden="1">
      <c r="B12" s="15"/>
      <c r="C12" s="20" t="s">
        <v>13</v>
      </c>
      <c r="D12" s="21"/>
      <c r="E12" s="22" t="s">
        <v>9</v>
      </c>
      <c r="F12" s="23">
        <v>0</v>
      </c>
      <c r="G12" s="23">
        <v>0</v>
      </c>
      <c r="H12" s="23">
        <v>0</v>
      </c>
      <c r="I12" s="23">
        <v>0</v>
      </c>
      <c r="J12" s="346">
        <v>648749</v>
      </c>
      <c r="K12" s="346">
        <v>0</v>
      </c>
      <c r="L12" s="23">
        <v>0</v>
      </c>
      <c r="M12" s="23">
        <v>0</v>
      </c>
      <c r="N12" s="23">
        <v>495725</v>
      </c>
      <c r="O12" s="23">
        <v>0</v>
      </c>
      <c r="P12" s="23">
        <v>0</v>
      </c>
      <c r="Q12" s="346">
        <v>518445</v>
      </c>
      <c r="R12" s="346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87"/>
      <c r="AK12" s="89">
        <f>SUM(F12:AI12)</f>
        <v>1662919</v>
      </c>
    </row>
    <row r="13" spans="2:37" hidden="1">
      <c r="B13" s="15"/>
      <c r="C13" s="20" t="s">
        <v>14</v>
      </c>
      <c r="D13" s="21"/>
      <c r="E13" s="22" t="s">
        <v>9</v>
      </c>
      <c r="F13" s="23">
        <v>0</v>
      </c>
      <c r="G13" s="23">
        <v>0</v>
      </c>
      <c r="H13" s="23">
        <v>0</v>
      </c>
      <c r="I13" s="23">
        <v>0</v>
      </c>
      <c r="J13" s="346">
        <v>652659</v>
      </c>
      <c r="K13" s="346">
        <v>0</v>
      </c>
      <c r="L13" s="23">
        <v>0</v>
      </c>
      <c r="M13" s="23">
        <v>0</v>
      </c>
      <c r="N13" s="23">
        <v>505768</v>
      </c>
      <c r="O13" s="23">
        <v>0</v>
      </c>
      <c r="P13" s="23">
        <v>0</v>
      </c>
      <c r="Q13" s="346">
        <v>522507</v>
      </c>
      <c r="R13" s="346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87"/>
      <c r="AK13" s="89">
        <f>SUM(F13:AI13)</f>
        <v>1680934</v>
      </c>
    </row>
    <row r="14" spans="2:37" hidden="1">
      <c r="B14" s="15"/>
      <c r="C14" s="24" t="s">
        <v>15</v>
      </c>
      <c r="D14" s="25"/>
      <c r="E14" s="26" t="s">
        <v>12</v>
      </c>
      <c r="F14" s="27" t="e">
        <f t="shared" ref="F14:AI14" si="3">((F13-F12)/F12)*100</f>
        <v>#DIV/0!</v>
      </c>
      <c r="G14" s="27" t="e">
        <f t="shared" si="3"/>
        <v>#DIV/0!</v>
      </c>
      <c r="H14" s="27" t="e">
        <f t="shared" si="3"/>
        <v>#DIV/0!</v>
      </c>
      <c r="I14" s="27" t="e">
        <f t="shared" si="3"/>
        <v>#DIV/0!</v>
      </c>
      <c r="J14" s="347">
        <f t="shared" si="3"/>
        <v>0.60269842419795638</v>
      </c>
      <c r="K14" s="347" t="e">
        <f t="shared" si="3"/>
        <v>#DIV/0!</v>
      </c>
      <c r="L14" s="27" t="e">
        <f t="shared" si="3"/>
        <v>#DIV/0!</v>
      </c>
      <c r="M14" s="27" t="e">
        <f t="shared" si="3"/>
        <v>#DIV/0!</v>
      </c>
      <c r="N14" s="27">
        <f t="shared" si="3"/>
        <v>2.0259216299359522</v>
      </c>
      <c r="O14" s="27" t="e">
        <f t="shared" si="3"/>
        <v>#DIV/0!</v>
      </c>
      <c r="P14" s="27" t="e">
        <f t="shared" si="3"/>
        <v>#DIV/0!</v>
      </c>
      <c r="Q14" s="347">
        <f t="shared" si="3"/>
        <v>0.7834968029395597</v>
      </c>
      <c r="R14" s="347" t="e">
        <f t="shared" si="3"/>
        <v>#DIV/0!</v>
      </c>
      <c r="S14" s="27" t="e">
        <f t="shared" si="3"/>
        <v>#DIV/0!</v>
      </c>
      <c r="T14" s="27" t="e">
        <f t="shared" si="3"/>
        <v>#DIV/0!</v>
      </c>
      <c r="U14" s="27" t="e">
        <f t="shared" si="3"/>
        <v>#DIV/0!</v>
      </c>
      <c r="V14" s="27" t="e">
        <f t="shared" si="3"/>
        <v>#DIV/0!</v>
      </c>
      <c r="W14" s="27" t="e">
        <f t="shared" si="3"/>
        <v>#DIV/0!</v>
      </c>
      <c r="X14" s="27" t="e">
        <f t="shared" si="3"/>
        <v>#DIV/0!</v>
      </c>
      <c r="Y14" s="27" t="e">
        <f t="shared" si="3"/>
        <v>#DIV/0!</v>
      </c>
      <c r="Z14" s="27" t="e">
        <f t="shared" si="3"/>
        <v>#DIV/0!</v>
      </c>
      <c r="AA14" s="27" t="e">
        <f t="shared" si="3"/>
        <v>#DIV/0!</v>
      </c>
      <c r="AB14" s="27" t="e">
        <f t="shared" si="3"/>
        <v>#DIV/0!</v>
      </c>
      <c r="AC14" s="27" t="e">
        <f t="shared" si="3"/>
        <v>#DIV/0!</v>
      </c>
      <c r="AD14" s="27" t="e">
        <f t="shared" si="3"/>
        <v>#DIV/0!</v>
      </c>
      <c r="AE14" s="27" t="e">
        <f t="shared" si="3"/>
        <v>#DIV/0!</v>
      </c>
      <c r="AF14" s="27" t="e">
        <f t="shared" si="3"/>
        <v>#DIV/0!</v>
      </c>
      <c r="AG14" s="27" t="e">
        <f t="shared" si="3"/>
        <v>#DIV/0!</v>
      </c>
      <c r="AH14" s="27" t="e">
        <f t="shared" si="3"/>
        <v>#DIV/0!</v>
      </c>
      <c r="AI14" s="27" t="e">
        <f t="shared" si="3"/>
        <v>#DIV/0!</v>
      </c>
      <c r="AJ14" s="87"/>
      <c r="AK14" s="90">
        <f>((AK13-AK12)/AK12)*100</f>
        <v>1.0833359893055525</v>
      </c>
    </row>
    <row r="15" spans="2:37" hidden="1">
      <c r="B15" s="15"/>
      <c r="C15" s="16" t="s">
        <v>123</v>
      </c>
      <c r="D15" s="17"/>
      <c r="E15" s="18"/>
      <c r="F15" s="19"/>
      <c r="G15" s="19"/>
      <c r="H15" s="19"/>
      <c r="I15" s="19"/>
      <c r="J15" s="83"/>
      <c r="K15" s="83"/>
      <c r="L15" s="19"/>
      <c r="M15" s="19"/>
      <c r="N15" s="19"/>
      <c r="O15" s="19"/>
      <c r="P15" s="19"/>
      <c r="Q15" s="83"/>
      <c r="R15" s="83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87"/>
      <c r="AK15" s="88" t="s">
        <v>7</v>
      </c>
    </row>
    <row r="16" spans="2:37" hidden="1">
      <c r="B16" s="15"/>
      <c r="C16" s="20" t="s">
        <v>13</v>
      </c>
      <c r="D16" s="21"/>
      <c r="E16" s="22" t="s">
        <v>9</v>
      </c>
      <c r="F16" s="23">
        <v>0</v>
      </c>
      <c r="G16" s="23">
        <v>0</v>
      </c>
      <c r="H16" s="23">
        <v>0</v>
      </c>
      <c r="I16" s="23">
        <v>0</v>
      </c>
      <c r="J16" s="346">
        <v>233670</v>
      </c>
      <c r="K16" s="346">
        <v>88470</v>
      </c>
      <c r="L16" s="23">
        <v>205020</v>
      </c>
      <c r="M16" s="23">
        <v>0</v>
      </c>
      <c r="N16" s="23">
        <v>138880</v>
      </c>
      <c r="O16" s="23">
        <v>0</v>
      </c>
      <c r="P16" s="23">
        <v>565920</v>
      </c>
      <c r="Q16" s="346">
        <v>0</v>
      </c>
      <c r="R16" s="3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87"/>
      <c r="AK16" s="89">
        <f>SUM(F16:AI16)</f>
        <v>1231960</v>
      </c>
    </row>
    <row r="17" spans="2:900" hidden="1">
      <c r="B17" s="15"/>
      <c r="C17" s="20" t="s">
        <v>14</v>
      </c>
      <c r="D17" s="21"/>
      <c r="E17" s="22" t="s">
        <v>9</v>
      </c>
      <c r="F17" s="23">
        <v>0</v>
      </c>
      <c r="G17" s="23">
        <v>0</v>
      </c>
      <c r="H17" s="23">
        <v>0</v>
      </c>
      <c r="I17" s="23">
        <v>0</v>
      </c>
      <c r="J17" s="346">
        <v>233900</v>
      </c>
      <c r="K17" s="346">
        <v>88400</v>
      </c>
      <c r="L17" s="23">
        <v>205240</v>
      </c>
      <c r="M17" s="23">
        <v>0</v>
      </c>
      <c r="N17" s="23">
        <v>138240</v>
      </c>
      <c r="O17" s="23">
        <v>0</v>
      </c>
      <c r="P17" s="23">
        <v>565500</v>
      </c>
      <c r="Q17" s="346">
        <v>0</v>
      </c>
      <c r="R17" s="3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87"/>
      <c r="AK17" s="89">
        <f>SUM(F17:AI17)</f>
        <v>1231280</v>
      </c>
    </row>
    <row r="18" spans="2:900" hidden="1">
      <c r="B18" s="15"/>
      <c r="C18" s="24" t="s">
        <v>15</v>
      </c>
      <c r="D18" s="25"/>
      <c r="E18" s="26" t="s">
        <v>12</v>
      </c>
      <c r="F18" s="27" t="e">
        <f t="shared" ref="F18:AI18" si="4">((F17-F16)/F16)*100</f>
        <v>#DIV/0!</v>
      </c>
      <c r="G18" s="27" t="e">
        <f t="shared" si="4"/>
        <v>#DIV/0!</v>
      </c>
      <c r="H18" s="27" t="e">
        <f t="shared" si="4"/>
        <v>#DIV/0!</v>
      </c>
      <c r="I18" s="27" t="e">
        <f t="shared" si="4"/>
        <v>#DIV/0!</v>
      </c>
      <c r="J18" s="347">
        <f t="shared" si="4"/>
        <v>9.8429408995592063E-2</v>
      </c>
      <c r="K18" s="347">
        <f t="shared" si="4"/>
        <v>-7.912286650842093E-2</v>
      </c>
      <c r="L18" s="27">
        <f t="shared" si="4"/>
        <v>0.1073066042337333</v>
      </c>
      <c r="M18" s="27" t="e">
        <f t="shared" si="4"/>
        <v>#DIV/0!</v>
      </c>
      <c r="N18" s="27">
        <f t="shared" si="4"/>
        <v>-0.46082949308755761</v>
      </c>
      <c r="O18" s="27" t="e">
        <f t="shared" si="4"/>
        <v>#DIV/0!</v>
      </c>
      <c r="P18" s="27">
        <f t="shared" si="4"/>
        <v>-7.4215436810856655E-2</v>
      </c>
      <c r="Q18" s="347" t="e">
        <f t="shared" si="4"/>
        <v>#DIV/0!</v>
      </c>
      <c r="R18" s="347" t="e">
        <f t="shared" si="4"/>
        <v>#DIV/0!</v>
      </c>
      <c r="S18" s="27" t="e">
        <f t="shared" si="4"/>
        <v>#DIV/0!</v>
      </c>
      <c r="T18" s="27" t="e">
        <f t="shared" si="4"/>
        <v>#DIV/0!</v>
      </c>
      <c r="U18" s="27" t="e">
        <f t="shared" si="4"/>
        <v>#DIV/0!</v>
      </c>
      <c r="V18" s="27" t="e">
        <f t="shared" si="4"/>
        <v>#DIV/0!</v>
      </c>
      <c r="W18" s="27" t="e">
        <f t="shared" si="4"/>
        <v>#DIV/0!</v>
      </c>
      <c r="X18" s="27" t="e">
        <f t="shared" si="4"/>
        <v>#DIV/0!</v>
      </c>
      <c r="Y18" s="27" t="e">
        <f t="shared" si="4"/>
        <v>#DIV/0!</v>
      </c>
      <c r="Z18" s="27" t="e">
        <f t="shared" si="4"/>
        <v>#DIV/0!</v>
      </c>
      <c r="AA18" s="27" t="e">
        <f t="shared" si="4"/>
        <v>#DIV/0!</v>
      </c>
      <c r="AB18" s="27" t="e">
        <f t="shared" si="4"/>
        <v>#DIV/0!</v>
      </c>
      <c r="AC18" s="27" t="e">
        <f t="shared" si="4"/>
        <v>#DIV/0!</v>
      </c>
      <c r="AD18" s="27" t="e">
        <f t="shared" si="4"/>
        <v>#DIV/0!</v>
      </c>
      <c r="AE18" s="27" t="e">
        <f t="shared" si="4"/>
        <v>#DIV/0!</v>
      </c>
      <c r="AF18" s="27" t="e">
        <f t="shared" si="4"/>
        <v>#DIV/0!</v>
      </c>
      <c r="AG18" s="27" t="e">
        <f t="shared" si="4"/>
        <v>#DIV/0!</v>
      </c>
      <c r="AH18" s="27" t="e">
        <f t="shared" si="4"/>
        <v>#DIV/0!</v>
      </c>
      <c r="AI18" s="27" t="e">
        <f t="shared" si="4"/>
        <v>#DIV/0!</v>
      </c>
      <c r="AJ18" s="87"/>
      <c r="AK18" s="90">
        <f>((AK17-AK16)/AK16)*100</f>
        <v>-5.5196597292119877E-2</v>
      </c>
    </row>
    <row r="19" spans="2:900" hidden="1">
      <c r="B19" s="15"/>
      <c r="C19" s="28" t="s">
        <v>16</v>
      </c>
      <c r="D19" s="21"/>
      <c r="E19" s="22"/>
      <c r="F19" s="23"/>
      <c r="G19" s="23"/>
      <c r="H19" s="23"/>
      <c r="I19" s="23"/>
      <c r="J19" s="346"/>
      <c r="K19" s="346"/>
      <c r="L19" s="23"/>
      <c r="M19" s="23"/>
      <c r="N19" s="23"/>
      <c r="O19" s="23"/>
      <c r="P19" s="23"/>
      <c r="Q19" s="346"/>
      <c r="R19" s="3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87"/>
      <c r="AK19" s="91" t="s">
        <v>17</v>
      </c>
    </row>
    <row r="20" spans="2:900" hidden="1">
      <c r="B20" s="15"/>
      <c r="C20" s="20" t="s">
        <v>8</v>
      </c>
      <c r="D20" s="21"/>
      <c r="E20" s="22" t="s">
        <v>9</v>
      </c>
      <c r="F20" s="23">
        <v>67650</v>
      </c>
      <c r="G20" s="23">
        <v>0</v>
      </c>
      <c r="H20" s="23">
        <v>65690</v>
      </c>
      <c r="I20" s="23">
        <v>32470</v>
      </c>
      <c r="J20" s="346">
        <v>81830</v>
      </c>
      <c r="K20" s="346">
        <v>80500</v>
      </c>
      <c r="L20" s="23">
        <v>82180</v>
      </c>
      <c r="M20" s="23">
        <v>79490</v>
      </c>
      <c r="N20" s="23">
        <v>0</v>
      </c>
      <c r="O20" s="23">
        <v>0</v>
      </c>
      <c r="P20" s="23">
        <v>0</v>
      </c>
      <c r="Q20" s="346">
        <v>0</v>
      </c>
      <c r="R20" s="3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87"/>
      <c r="AK20" s="89">
        <f>SUM(F20:AI20)</f>
        <v>489810</v>
      </c>
      <c r="AL20" s="87"/>
    </row>
    <row r="21" spans="2:900" hidden="1">
      <c r="B21" s="15"/>
      <c r="C21" s="20" t="s">
        <v>10</v>
      </c>
      <c r="D21" s="21"/>
      <c r="E21" s="22" t="s">
        <v>9</v>
      </c>
      <c r="F21" s="23">
        <v>67320</v>
      </c>
      <c r="G21" s="23">
        <v>0</v>
      </c>
      <c r="H21" s="23">
        <v>65380</v>
      </c>
      <c r="I21" s="23">
        <v>32250</v>
      </c>
      <c r="J21" s="346">
        <v>81790</v>
      </c>
      <c r="K21" s="346">
        <v>80550</v>
      </c>
      <c r="L21" s="23">
        <v>82050</v>
      </c>
      <c r="M21" s="23">
        <v>79410</v>
      </c>
      <c r="N21" s="23">
        <v>0</v>
      </c>
      <c r="O21" s="23">
        <v>0</v>
      </c>
      <c r="P21" s="23">
        <v>0</v>
      </c>
      <c r="Q21" s="346">
        <v>0</v>
      </c>
      <c r="R21" s="3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87"/>
      <c r="AK21" s="89">
        <f>SUM(F21:AI21)</f>
        <v>488750</v>
      </c>
    </row>
    <row r="22" spans="2:900" hidden="1">
      <c r="B22" s="15"/>
      <c r="C22" s="20" t="s">
        <v>11</v>
      </c>
      <c r="D22" s="21"/>
      <c r="E22" s="22" t="s">
        <v>12</v>
      </c>
      <c r="F22" s="29">
        <f t="shared" ref="F22:AI22" si="5">((F21-F20)/F20)*100</f>
        <v>-0.48780487804878048</v>
      </c>
      <c r="G22" s="29" t="e">
        <f t="shared" si="5"/>
        <v>#DIV/0!</v>
      </c>
      <c r="H22" s="29">
        <f t="shared" si="5"/>
        <v>-0.47191353326229257</v>
      </c>
      <c r="I22" s="29">
        <f t="shared" si="5"/>
        <v>-0.67754850631352015</v>
      </c>
      <c r="J22" s="348">
        <f t="shared" si="5"/>
        <v>-4.888182818037394E-2</v>
      </c>
      <c r="K22" s="348">
        <f t="shared" si="5"/>
        <v>6.2111801242236024E-2</v>
      </c>
      <c r="L22" s="29">
        <f t="shared" si="5"/>
        <v>-0.15818934047213434</v>
      </c>
      <c r="M22" s="29">
        <f t="shared" si="5"/>
        <v>-0.10064159013712416</v>
      </c>
      <c r="N22" s="29" t="e">
        <f t="shared" si="5"/>
        <v>#DIV/0!</v>
      </c>
      <c r="O22" s="29" t="e">
        <f t="shared" si="5"/>
        <v>#DIV/0!</v>
      </c>
      <c r="P22" s="29" t="e">
        <f t="shared" si="5"/>
        <v>#DIV/0!</v>
      </c>
      <c r="Q22" s="348" t="e">
        <f t="shared" si="5"/>
        <v>#DIV/0!</v>
      </c>
      <c r="R22" s="348" t="e">
        <f t="shared" si="5"/>
        <v>#DIV/0!</v>
      </c>
      <c r="S22" s="29" t="e">
        <f t="shared" si="5"/>
        <v>#DIV/0!</v>
      </c>
      <c r="T22" s="29" t="e">
        <f t="shared" si="5"/>
        <v>#DIV/0!</v>
      </c>
      <c r="U22" s="29" t="e">
        <f t="shared" si="5"/>
        <v>#DIV/0!</v>
      </c>
      <c r="V22" s="29" t="e">
        <f t="shared" si="5"/>
        <v>#DIV/0!</v>
      </c>
      <c r="W22" s="29" t="e">
        <f t="shared" si="5"/>
        <v>#DIV/0!</v>
      </c>
      <c r="X22" s="29" t="e">
        <f t="shared" si="5"/>
        <v>#DIV/0!</v>
      </c>
      <c r="Y22" s="29" t="e">
        <f t="shared" si="5"/>
        <v>#DIV/0!</v>
      </c>
      <c r="Z22" s="29" t="e">
        <f t="shared" si="5"/>
        <v>#DIV/0!</v>
      </c>
      <c r="AA22" s="29" t="e">
        <f t="shared" si="5"/>
        <v>#DIV/0!</v>
      </c>
      <c r="AB22" s="29" t="e">
        <f t="shared" si="5"/>
        <v>#DIV/0!</v>
      </c>
      <c r="AC22" s="29" t="e">
        <f t="shared" si="5"/>
        <v>#DIV/0!</v>
      </c>
      <c r="AD22" s="29" t="e">
        <f t="shared" si="5"/>
        <v>#DIV/0!</v>
      </c>
      <c r="AE22" s="29" t="e">
        <f t="shared" si="5"/>
        <v>#DIV/0!</v>
      </c>
      <c r="AF22" s="29" t="e">
        <f t="shared" si="5"/>
        <v>#DIV/0!</v>
      </c>
      <c r="AG22" s="29" t="e">
        <f t="shared" si="5"/>
        <v>#DIV/0!</v>
      </c>
      <c r="AH22" s="29" t="e">
        <f t="shared" si="5"/>
        <v>#DIV/0!</v>
      </c>
      <c r="AI22" s="29" t="e">
        <f t="shared" si="5"/>
        <v>#DIV/0!</v>
      </c>
      <c r="AJ22" s="92"/>
      <c r="AK22" s="93">
        <f>((AK21-AK20)/AK20)*100</f>
        <v>-0.21641044486637676</v>
      </c>
      <c r="GO22" s="270" t="s">
        <v>145</v>
      </c>
    </row>
    <row r="23" spans="2:900" hidden="1">
      <c r="B23" s="15"/>
      <c r="C23" s="16" t="s">
        <v>124</v>
      </c>
      <c r="D23" s="17"/>
      <c r="E23" s="18"/>
      <c r="F23" s="19"/>
      <c r="G23" s="19"/>
      <c r="H23" s="19"/>
      <c r="I23" s="19"/>
      <c r="J23" s="83"/>
      <c r="K23" s="83"/>
      <c r="L23" s="19"/>
      <c r="M23" s="19"/>
      <c r="N23" s="19"/>
      <c r="O23" s="19"/>
      <c r="P23" s="19"/>
      <c r="Q23" s="83"/>
      <c r="R23" s="83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87"/>
      <c r="AK23" s="91" t="s">
        <v>17</v>
      </c>
    </row>
    <row r="24" spans="2:900" hidden="1">
      <c r="B24" s="15"/>
      <c r="C24" s="20" t="s">
        <v>8</v>
      </c>
      <c r="D24" s="21"/>
      <c r="E24" s="22" t="s">
        <v>9</v>
      </c>
      <c r="F24" s="23"/>
      <c r="G24" s="23"/>
      <c r="H24" s="23"/>
      <c r="I24" s="23"/>
      <c r="J24" s="346"/>
      <c r="K24" s="346"/>
      <c r="L24" s="23"/>
      <c r="M24" s="23"/>
      <c r="N24" s="23"/>
      <c r="O24" s="23"/>
      <c r="P24" s="23"/>
      <c r="Q24" s="346"/>
      <c r="R24" s="346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87"/>
      <c r="AK24" s="89">
        <f>SUM(F24:AI24)</f>
        <v>0</v>
      </c>
    </row>
    <row r="25" spans="2:900" hidden="1">
      <c r="B25" s="15"/>
      <c r="C25" s="20" t="s">
        <v>10</v>
      </c>
      <c r="D25" s="21"/>
      <c r="E25" s="22" t="s">
        <v>9</v>
      </c>
      <c r="F25" s="23"/>
      <c r="G25" s="23"/>
      <c r="H25" s="23"/>
      <c r="I25" s="23"/>
      <c r="J25" s="346"/>
      <c r="K25" s="346"/>
      <c r="L25" s="23"/>
      <c r="M25" s="23"/>
      <c r="N25" s="23"/>
      <c r="O25" s="23"/>
      <c r="P25" s="23"/>
      <c r="Q25" s="346"/>
      <c r="R25" s="346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87"/>
      <c r="AK25" s="89">
        <f>SUM(F25:AI25)</f>
        <v>0</v>
      </c>
    </row>
    <row r="26" spans="2:900" hidden="1">
      <c r="B26" s="15"/>
      <c r="C26" s="24" t="s">
        <v>11</v>
      </c>
      <c r="D26" s="25"/>
      <c r="E26" s="26" t="s">
        <v>12</v>
      </c>
      <c r="F26" s="27" t="e">
        <f t="shared" ref="F26:AI26" si="6">((F25-F24)/F24)*100</f>
        <v>#DIV/0!</v>
      </c>
      <c r="G26" s="27" t="e">
        <f t="shared" si="6"/>
        <v>#DIV/0!</v>
      </c>
      <c r="H26" s="27" t="e">
        <f t="shared" si="6"/>
        <v>#DIV/0!</v>
      </c>
      <c r="I26" s="27" t="e">
        <f t="shared" si="6"/>
        <v>#DIV/0!</v>
      </c>
      <c r="J26" s="347" t="e">
        <f t="shared" si="6"/>
        <v>#DIV/0!</v>
      </c>
      <c r="K26" s="347" t="e">
        <f t="shared" si="6"/>
        <v>#DIV/0!</v>
      </c>
      <c r="L26" s="27" t="e">
        <f t="shared" si="6"/>
        <v>#DIV/0!</v>
      </c>
      <c r="M26" s="27" t="e">
        <f t="shared" si="6"/>
        <v>#DIV/0!</v>
      </c>
      <c r="N26" s="27" t="e">
        <f t="shared" si="6"/>
        <v>#DIV/0!</v>
      </c>
      <c r="O26" s="27" t="e">
        <f t="shared" si="6"/>
        <v>#DIV/0!</v>
      </c>
      <c r="P26" s="27" t="e">
        <f t="shared" si="6"/>
        <v>#DIV/0!</v>
      </c>
      <c r="Q26" s="347" t="e">
        <f t="shared" si="6"/>
        <v>#DIV/0!</v>
      </c>
      <c r="R26" s="347" t="e">
        <f t="shared" si="6"/>
        <v>#DIV/0!</v>
      </c>
      <c r="S26" s="27" t="e">
        <f t="shared" si="6"/>
        <v>#DIV/0!</v>
      </c>
      <c r="T26" s="27" t="e">
        <f t="shared" si="6"/>
        <v>#DIV/0!</v>
      </c>
      <c r="U26" s="27" t="e">
        <f t="shared" si="6"/>
        <v>#DIV/0!</v>
      </c>
      <c r="V26" s="27" t="e">
        <f t="shared" si="6"/>
        <v>#DIV/0!</v>
      </c>
      <c r="W26" s="27" t="e">
        <f t="shared" si="6"/>
        <v>#DIV/0!</v>
      </c>
      <c r="X26" s="27" t="e">
        <f t="shared" si="6"/>
        <v>#DIV/0!</v>
      </c>
      <c r="Y26" s="27" t="e">
        <f t="shared" si="6"/>
        <v>#DIV/0!</v>
      </c>
      <c r="Z26" s="27" t="e">
        <f t="shared" si="6"/>
        <v>#DIV/0!</v>
      </c>
      <c r="AA26" s="27" t="e">
        <f t="shared" si="6"/>
        <v>#DIV/0!</v>
      </c>
      <c r="AB26" s="27" t="e">
        <f t="shared" si="6"/>
        <v>#DIV/0!</v>
      </c>
      <c r="AC26" s="27" t="e">
        <f t="shared" si="6"/>
        <v>#DIV/0!</v>
      </c>
      <c r="AD26" s="27" t="e">
        <f t="shared" si="6"/>
        <v>#DIV/0!</v>
      </c>
      <c r="AE26" s="27" t="e">
        <f t="shared" si="6"/>
        <v>#DIV/0!</v>
      </c>
      <c r="AF26" s="27" t="e">
        <f t="shared" si="6"/>
        <v>#DIV/0!</v>
      </c>
      <c r="AG26" s="27" t="e">
        <f t="shared" si="6"/>
        <v>#DIV/0!</v>
      </c>
      <c r="AH26" s="27" t="e">
        <f t="shared" si="6"/>
        <v>#DIV/0!</v>
      </c>
      <c r="AI26" s="27" t="e">
        <f t="shared" si="6"/>
        <v>#DIV/0!</v>
      </c>
      <c r="AJ26" s="92"/>
      <c r="AK26" s="93" t="e">
        <f>((AK25-AK24)/AK24)*100</f>
        <v>#DIV/0!</v>
      </c>
      <c r="DC26" s="87"/>
    </row>
    <row r="27" spans="2:900" hidden="1">
      <c r="B27" s="15"/>
      <c r="C27" s="30" t="s">
        <v>18</v>
      </c>
      <c r="D27" s="31"/>
      <c r="E27" s="32" t="s">
        <v>9</v>
      </c>
      <c r="F27" s="243">
        <f>SUM(F9,F17,F21)+F13+F25</f>
        <v>2836130</v>
      </c>
      <c r="G27" s="243">
        <f t="shared" ref="G27:AI27" si="7">SUM(G9,G17,G21)+G13+G25</f>
        <v>1699190</v>
      </c>
      <c r="H27" s="33">
        <f t="shared" si="7"/>
        <v>851420</v>
      </c>
      <c r="I27" s="33">
        <f t="shared" si="7"/>
        <v>1554590</v>
      </c>
      <c r="J27" s="243">
        <f t="shared" si="7"/>
        <v>2327159</v>
      </c>
      <c r="K27" s="243">
        <f t="shared" si="7"/>
        <v>1418990</v>
      </c>
      <c r="L27" s="33">
        <f t="shared" si="7"/>
        <v>1571860</v>
      </c>
      <c r="M27" s="243">
        <f t="shared" si="7"/>
        <v>1126440</v>
      </c>
      <c r="N27" s="33">
        <f>SUM(N9,N17,N21)+N13+N25</f>
        <v>2467278</v>
      </c>
      <c r="O27" s="33">
        <f t="shared" si="7"/>
        <v>533710</v>
      </c>
      <c r="P27" s="33">
        <f t="shared" si="7"/>
        <v>1645550</v>
      </c>
      <c r="Q27" s="243">
        <f t="shared" si="7"/>
        <v>1806437</v>
      </c>
      <c r="R27" s="243">
        <f t="shared" si="7"/>
        <v>0</v>
      </c>
      <c r="S27" s="33">
        <f t="shared" si="7"/>
        <v>0</v>
      </c>
      <c r="T27" s="33">
        <f t="shared" si="7"/>
        <v>0</v>
      </c>
      <c r="U27" s="33">
        <f t="shared" si="7"/>
        <v>0</v>
      </c>
      <c r="V27" s="33">
        <f t="shared" si="7"/>
        <v>0</v>
      </c>
      <c r="W27" s="33">
        <f t="shared" si="7"/>
        <v>0</v>
      </c>
      <c r="X27" s="243">
        <f t="shared" si="7"/>
        <v>0</v>
      </c>
      <c r="Y27" s="33">
        <f>SUM(Y9,Y17,Y21)+Y13+Y25</f>
        <v>0</v>
      </c>
      <c r="Z27" s="243">
        <f t="shared" si="7"/>
        <v>0</v>
      </c>
      <c r="AA27" s="244">
        <f>SUM(AA9,AA17,AA21)+AA13+AA25</f>
        <v>0</v>
      </c>
      <c r="AB27" s="33">
        <f t="shared" si="7"/>
        <v>0</v>
      </c>
      <c r="AC27" s="33">
        <f t="shared" si="7"/>
        <v>0</v>
      </c>
      <c r="AD27" s="33">
        <f t="shared" si="7"/>
        <v>0</v>
      </c>
      <c r="AE27" s="33">
        <f>SUM(AE9,AE17,AE21)+AE13+AE25</f>
        <v>0</v>
      </c>
      <c r="AF27" s="33">
        <f t="shared" ref="AF27" si="8">SUM(AF9,AF17,AF21)+AF13+AF25</f>
        <v>0</v>
      </c>
      <c r="AG27" s="244">
        <f>SUM(AG9,AG17,AG21)+AG13+AG25</f>
        <v>0</v>
      </c>
      <c r="AH27" s="33">
        <f t="shared" si="7"/>
        <v>0</v>
      </c>
      <c r="AI27" s="33">
        <f t="shared" si="7"/>
        <v>0</v>
      </c>
      <c r="AJ27" s="87"/>
      <c r="AK27" s="94">
        <f>SUM(AK9,AK17,AK21)+AK13+AK25</f>
        <v>19838754</v>
      </c>
      <c r="AL27" s="87"/>
      <c r="AM27" s="10">
        <f>AK27/AK30/1000</f>
        <v>1526.058</v>
      </c>
      <c r="GO27" s="322" t="s">
        <v>142</v>
      </c>
      <c r="GP27" s="323"/>
      <c r="GQ27" s="319" t="s">
        <v>143</v>
      </c>
      <c r="GR27" s="320"/>
      <c r="GS27" s="321"/>
    </row>
    <row r="28" spans="2:900" ht="15" thickBot="1">
      <c r="B28" s="34">
        <v>2</v>
      </c>
      <c r="C28" s="16" t="s">
        <v>19</v>
      </c>
      <c r="D28" s="35"/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83"/>
      <c r="AD28" s="36"/>
      <c r="AE28" s="36"/>
      <c r="AF28" s="36"/>
      <c r="AG28" s="36"/>
      <c r="AH28" s="36"/>
      <c r="AI28" s="36"/>
      <c r="AJ28" s="87"/>
      <c r="AK28" s="174" t="s">
        <v>20</v>
      </c>
      <c r="AN28" s="1">
        <v>1796</v>
      </c>
      <c r="GO28" s="324"/>
      <c r="GP28" s="325"/>
      <c r="GQ28" s="266">
        <v>29</v>
      </c>
      <c r="GR28" s="267">
        <v>30</v>
      </c>
      <c r="GS28" s="268">
        <v>31</v>
      </c>
    </row>
    <row r="29" spans="2:900">
      <c r="B29" s="37"/>
      <c r="C29" s="38" t="s">
        <v>21</v>
      </c>
      <c r="D29" s="17"/>
      <c r="E29" s="18"/>
      <c r="F29" s="39"/>
      <c r="G29" s="207"/>
      <c r="H29" s="39"/>
      <c r="I29" s="39"/>
      <c r="J29" s="376"/>
      <c r="K29" s="36"/>
      <c r="L29" s="39"/>
      <c r="M29" s="39"/>
      <c r="N29" s="39"/>
      <c r="O29" s="39"/>
      <c r="P29" s="39"/>
      <c r="Q29" s="36"/>
      <c r="R29" s="36"/>
      <c r="S29" s="39"/>
      <c r="T29" s="80"/>
      <c r="U29" s="81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87"/>
      <c r="AK29" s="95" t="s">
        <v>21</v>
      </c>
      <c r="AN29" s="87">
        <f>Q31/1000</f>
        <v>1175.19</v>
      </c>
      <c r="AO29" s="9">
        <f>AN29/AN28*100</f>
        <v>65.433741648106903</v>
      </c>
      <c r="GO29" s="248" t="s">
        <v>136</v>
      </c>
      <c r="GP29" s="7" t="s">
        <v>9</v>
      </c>
      <c r="GQ29" s="263">
        <v>1971319.99999999</v>
      </c>
      <c r="GR29" s="249">
        <v>2015120.0000000098</v>
      </c>
      <c r="GS29" s="250">
        <v>2015230</v>
      </c>
    </row>
    <row r="30" spans="2:900">
      <c r="B30" s="37"/>
      <c r="C30" s="20" t="s">
        <v>22</v>
      </c>
      <c r="D30" s="21"/>
      <c r="E30" s="22" t="s">
        <v>23</v>
      </c>
      <c r="F30" s="40">
        <v>1</v>
      </c>
      <c r="G30" s="40">
        <v>1</v>
      </c>
      <c r="H30" s="40">
        <v>1</v>
      </c>
      <c r="I30" s="40">
        <v>1</v>
      </c>
      <c r="J30" s="349">
        <v>1</v>
      </c>
      <c r="K30" s="349">
        <v>1</v>
      </c>
      <c r="L30" s="40">
        <v>1</v>
      </c>
      <c r="M30" s="40">
        <v>1</v>
      </c>
      <c r="N30" s="40">
        <v>1</v>
      </c>
      <c r="O30" s="40">
        <v>1</v>
      </c>
      <c r="P30" s="40">
        <v>1</v>
      </c>
      <c r="Q30" s="349">
        <v>1</v>
      </c>
      <c r="R30" s="349">
        <v>1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87"/>
      <c r="AK30" s="96">
        <f>SUM(F30:AI30)</f>
        <v>13</v>
      </c>
      <c r="AL30" s="10"/>
      <c r="AM30" s="286"/>
      <c r="AN30" s="219"/>
      <c r="AO30" s="219">
        <v>55688.622754491022</v>
      </c>
      <c r="GO30" s="248"/>
      <c r="GQ30" s="263"/>
      <c r="GR30" s="249"/>
      <c r="GS30" s="250"/>
      <c r="IX30" s="87"/>
      <c r="SB30" s="219" t="s">
        <v>161</v>
      </c>
      <c r="AHO30" s="7" t="s">
        <v>178</v>
      </c>
      <c r="AHP30" s="7" t="s">
        <v>179</v>
      </c>
    </row>
    <row r="31" spans="2:900" s="1" customFormat="1" ht="13.8">
      <c r="B31" s="37"/>
      <c r="C31" s="41" t="s">
        <v>24</v>
      </c>
      <c r="D31" s="42"/>
      <c r="E31" s="43" t="s">
        <v>9</v>
      </c>
      <c r="F31" s="44">
        <v>2098190</v>
      </c>
      <c r="G31" s="44">
        <v>2077260</v>
      </c>
      <c r="H31" s="44">
        <v>1654440</v>
      </c>
      <c r="I31" s="44">
        <v>2159530</v>
      </c>
      <c r="J31" s="349">
        <v>1669470</v>
      </c>
      <c r="K31" s="349">
        <v>1560220</v>
      </c>
      <c r="L31" s="44">
        <v>1560120</v>
      </c>
      <c r="M31" s="44">
        <f>1561.26999999999*1000</f>
        <v>1561269.99999999</v>
      </c>
      <c r="N31" s="44">
        <v>1545560</v>
      </c>
      <c r="O31" s="44">
        <v>1429500</v>
      </c>
      <c r="P31" s="44">
        <f>1344.83000000002*1000</f>
        <v>1344830.00000002</v>
      </c>
      <c r="Q31" s="349">
        <v>1175190</v>
      </c>
      <c r="R31" s="349">
        <f>1714.10999999999*1000</f>
        <v>1714109.99999999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44">
        <v>0</v>
      </c>
      <c r="AJ31" s="97"/>
      <c r="AK31" s="96">
        <f>SUM(F31:AI31)</f>
        <v>21549690</v>
      </c>
      <c r="AL31" s="98"/>
      <c r="AM31" s="98">
        <f>AK31/1000/AK30</f>
        <v>1657.6684615384615</v>
      </c>
      <c r="AN31" s="87">
        <f>AK31</f>
        <v>21549690</v>
      </c>
      <c r="AO31" s="87">
        <f>AN34</f>
        <v>21549.69</v>
      </c>
      <c r="CO31" s="204"/>
      <c r="EA31" s="203"/>
      <c r="EB31" s="203"/>
      <c r="FH31" s="203"/>
      <c r="GO31" s="251" t="s">
        <v>139</v>
      </c>
      <c r="GP31" s="252" t="s">
        <v>85</v>
      </c>
      <c r="GQ31" s="264">
        <v>251.19641540408293</v>
      </c>
      <c r="GR31" s="253">
        <v>257.91391043490887</v>
      </c>
      <c r="GS31" s="254">
        <v>251.5126532332811</v>
      </c>
      <c r="GT31" s="203"/>
      <c r="IW31" s="219"/>
      <c r="IX31" s="87"/>
      <c r="MR31" s="203"/>
      <c r="MS31" s="203"/>
      <c r="MT31" s="219"/>
      <c r="MU31" s="203"/>
      <c r="RY31" s="203">
        <v>26946.10778443114</v>
      </c>
      <c r="RZ31" s="203">
        <v>17383.233532934133</v>
      </c>
      <c r="SB31" s="203" t="s">
        <v>151</v>
      </c>
      <c r="SP31" s="206"/>
      <c r="ST31" s="203"/>
      <c r="UW31" s="206"/>
      <c r="AHO31" s="219">
        <f>35.8500000000058*1000</f>
        <v>35850.000000005799</v>
      </c>
    </row>
    <row r="32" spans="2:900" s="1" customFormat="1" ht="13.8" hidden="1">
      <c r="B32" s="37"/>
      <c r="C32" s="41" t="s">
        <v>25</v>
      </c>
      <c r="D32" s="42"/>
      <c r="E32" s="43" t="s">
        <v>9</v>
      </c>
      <c r="F32" s="44"/>
      <c r="G32" s="44"/>
      <c r="H32" s="44"/>
      <c r="I32" s="44"/>
      <c r="J32" s="349"/>
      <c r="K32" s="349"/>
      <c r="L32" s="44"/>
      <c r="M32" s="44"/>
      <c r="N32" s="44"/>
      <c r="O32" s="44"/>
      <c r="P32" s="44"/>
      <c r="Q32" s="349"/>
      <c r="R32" s="349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97"/>
      <c r="AK32" s="89">
        <f>SUM(F32:AI32)</f>
        <v>0</v>
      </c>
      <c r="AL32" s="98"/>
      <c r="AM32" s="98"/>
      <c r="EA32" s="203"/>
      <c r="EB32" s="203"/>
      <c r="FH32" s="203"/>
      <c r="GO32" s="248"/>
      <c r="GP32" s="7"/>
      <c r="GQ32" s="271"/>
      <c r="GR32" s="255"/>
      <c r="GS32" s="256"/>
      <c r="GT32" s="203"/>
      <c r="IW32" s="203"/>
      <c r="MR32" s="203"/>
      <c r="MS32" s="203"/>
      <c r="MT32" s="203"/>
      <c r="MU32" s="203"/>
      <c r="RY32" s="203"/>
      <c r="RZ32" s="203"/>
      <c r="SB32" s="203"/>
      <c r="SP32" s="206"/>
      <c r="ST32" s="203"/>
      <c r="UW32" s="206"/>
    </row>
    <row r="33" spans="1:15085" s="2" customFormat="1" ht="13.8">
      <c r="B33" s="45"/>
      <c r="C33" s="175" t="s">
        <v>26</v>
      </c>
      <c r="D33" s="46">
        <v>5</v>
      </c>
      <c r="E33" s="47" t="s">
        <v>12</v>
      </c>
      <c r="F33" s="48">
        <v>4.2</v>
      </c>
      <c r="G33" s="48">
        <v>4.2300000000000004</v>
      </c>
      <c r="H33" s="48">
        <v>4.25</v>
      </c>
      <c r="I33" s="48">
        <v>4.25</v>
      </c>
      <c r="J33" s="350">
        <v>4.25</v>
      </c>
      <c r="K33" s="350">
        <v>4.26</v>
      </c>
      <c r="L33" s="48">
        <v>4.25</v>
      </c>
      <c r="M33" s="48">
        <v>4.29</v>
      </c>
      <c r="N33" s="48">
        <v>4.26</v>
      </c>
      <c r="O33" s="48">
        <v>4.25</v>
      </c>
      <c r="P33" s="48">
        <v>4.2300000000000004</v>
      </c>
      <c r="Q33" s="350">
        <v>4.26</v>
      </c>
      <c r="R33" s="350">
        <v>4.22</v>
      </c>
      <c r="S33" s="48">
        <v>0</v>
      </c>
      <c r="T33" s="48">
        <v>0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48">
        <v>0</v>
      </c>
      <c r="AC33" s="48">
        <v>0</v>
      </c>
      <c r="AD33" s="48">
        <v>0</v>
      </c>
      <c r="AE33" s="48">
        <v>0</v>
      </c>
      <c r="AF33" s="48">
        <v>0</v>
      </c>
      <c r="AG33" s="48">
        <v>0</v>
      </c>
      <c r="AH33" s="48">
        <v>0</v>
      </c>
      <c r="AI33" s="48">
        <v>0</v>
      </c>
      <c r="AK33" s="99">
        <f>AVERAGE(F33:R33)</f>
        <v>4.2461538461538462</v>
      </c>
      <c r="AL33" s="218"/>
      <c r="AM33" s="100"/>
      <c r="AN33" s="285">
        <f>AN31-AN30</f>
        <v>21549690</v>
      </c>
      <c r="AO33" s="220">
        <f>AO31/AO30*100</f>
        <v>38.696755161290319</v>
      </c>
      <c r="AP33" s="226"/>
      <c r="AS33" s="226"/>
      <c r="EA33" s="218"/>
      <c r="EB33" s="218"/>
      <c r="FH33" s="218"/>
      <c r="GO33" s="248" t="s">
        <v>137</v>
      </c>
      <c r="GP33" s="7" t="s">
        <v>9</v>
      </c>
      <c r="GQ33" s="263">
        <v>182229.99999999956</v>
      </c>
      <c r="GR33" s="249">
        <v>190069.99999999971</v>
      </c>
      <c r="GS33" s="250">
        <v>197800.00000000111</v>
      </c>
      <c r="GT33" s="218"/>
      <c r="IW33" s="218"/>
      <c r="IX33" s="218"/>
      <c r="MR33" s="218"/>
      <c r="MS33" s="218"/>
      <c r="MT33" s="283"/>
      <c r="MU33" s="218"/>
      <c r="RY33" s="218">
        <f>AK31/1000</f>
        <v>21549.69</v>
      </c>
      <c r="RZ33" s="218">
        <f>(AK40+AK50+AK45)/1000</f>
        <v>15314.999999999989</v>
      </c>
      <c r="SB33" s="218">
        <f>SUM(SB34:SB35)</f>
        <v>1321.6999999999891</v>
      </c>
      <c r="SP33" s="295"/>
      <c r="ST33" s="218"/>
      <c r="UW33" s="295"/>
    </row>
    <row r="34" spans="1:15085" s="1" customFormat="1" thickBot="1">
      <c r="B34" s="37"/>
      <c r="C34" s="176" t="s">
        <v>27</v>
      </c>
      <c r="D34" s="49">
        <v>0.5</v>
      </c>
      <c r="E34" s="50" t="s">
        <v>12</v>
      </c>
      <c r="F34" s="48">
        <v>0.4</v>
      </c>
      <c r="G34" s="48">
        <v>0.41</v>
      </c>
      <c r="H34" s="48">
        <v>0.41</v>
      </c>
      <c r="I34" s="48">
        <v>0.41</v>
      </c>
      <c r="J34" s="350">
        <v>0.4</v>
      </c>
      <c r="K34" s="350">
        <v>0.4</v>
      </c>
      <c r="L34" s="48">
        <v>0.4</v>
      </c>
      <c r="M34" s="48">
        <v>0.4</v>
      </c>
      <c r="N34" s="48">
        <v>0.4</v>
      </c>
      <c r="O34" s="48">
        <v>0.4</v>
      </c>
      <c r="P34" s="48">
        <v>0.4</v>
      </c>
      <c r="Q34" s="350">
        <v>0.41</v>
      </c>
      <c r="R34" s="350">
        <v>0.4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</v>
      </c>
      <c r="AH34" s="48">
        <v>0</v>
      </c>
      <c r="AI34" s="48">
        <v>0</v>
      </c>
      <c r="AJ34" s="97"/>
      <c r="AK34" s="99">
        <f t="shared" ref="AK34:AK35" si="9">AVERAGE(F34:R34)</f>
        <v>0.40307692307692311</v>
      </c>
      <c r="AM34" s="98"/>
      <c r="AN34" s="87">
        <f>AN33/1000</f>
        <v>21549.69</v>
      </c>
      <c r="AS34" s="226"/>
      <c r="CO34" s="204"/>
      <c r="EA34" s="203"/>
      <c r="EB34" s="203"/>
      <c r="FH34" s="203"/>
      <c r="GO34" s="257"/>
      <c r="GP34" s="258" t="s">
        <v>138</v>
      </c>
      <c r="GQ34" s="272">
        <f>GQ33/(GQ29/1000)</f>
        <v>92.44059817787091</v>
      </c>
      <c r="GR34" s="259">
        <f>GR33/(GR29/1000)</f>
        <v>94.321926237642813</v>
      </c>
      <c r="GS34" s="260">
        <f>GS33/(GS29/1000)</f>
        <v>98.152568193209262</v>
      </c>
      <c r="GT34" s="203"/>
      <c r="IW34" s="203"/>
      <c r="MR34" s="203"/>
      <c r="MS34" s="218"/>
      <c r="MT34" s="203"/>
      <c r="MU34" s="203"/>
      <c r="RY34" s="294"/>
      <c r="RZ34" s="294"/>
      <c r="SB34" s="294">
        <f>R41/1000</f>
        <v>1098.3999999999901</v>
      </c>
      <c r="SC34" s="206">
        <f>SB34/SB33*100</f>
        <v>83.105091927063569</v>
      </c>
      <c r="SP34" s="206"/>
      <c r="ST34" s="203"/>
      <c r="UW34" s="206"/>
    </row>
    <row r="35" spans="1:15085" s="1" customFormat="1" ht="13.8">
      <c r="B35" s="37"/>
      <c r="C35" s="176" t="s">
        <v>28</v>
      </c>
      <c r="D35" s="51" t="s">
        <v>29</v>
      </c>
      <c r="E35" s="50" t="s">
        <v>12</v>
      </c>
      <c r="F35" s="48">
        <v>2.23</v>
      </c>
      <c r="G35" s="48">
        <v>2.2200000000000002</v>
      </c>
      <c r="H35" s="48">
        <v>2.2200000000000002</v>
      </c>
      <c r="I35" s="48">
        <v>2.2200000000000002</v>
      </c>
      <c r="J35" s="350">
        <v>2.2200000000000002</v>
      </c>
      <c r="K35" s="350">
        <v>2.2200000000000002</v>
      </c>
      <c r="L35" s="48">
        <v>2.2400000000000002</v>
      </c>
      <c r="M35" s="48">
        <v>2.21</v>
      </c>
      <c r="N35" s="48">
        <v>2.2200000000000002</v>
      </c>
      <c r="O35" s="48">
        <v>2.21</v>
      </c>
      <c r="P35" s="48">
        <v>2.21</v>
      </c>
      <c r="Q35" s="351">
        <v>2.2200000000000002</v>
      </c>
      <c r="R35" s="350">
        <v>2.21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  <c r="AA35" s="48">
        <v>0</v>
      </c>
      <c r="AB35" s="48">
        <v>0</v>
      </c>
      <c r="AC35" s="48">
        <v>0</v>
      </c>
      <c r="AD35" s="48">
        <v>0</v>
      </c>
      <c r="AE35" s="48">
        <v>0</v>
      </c>
      <c r="AF35" s="48">
        <v>0</v>
      </c>
      <c r="AG35" s="48">
        <v>0</v>
      </c>
      <c r="AH35" s="48">
        <v>0</v>
      </c>
      <c r="AI35" s="48">
        <v>0</v>
      </c>
      <c r="AJ35" s="97"/>
      <c r="AK35" s="99">
        <f t="shared" si="9"/>
        <v>2.2192307692307693</v>
      </c>
      <c r="AL35" s="218"/>
      <c r="AM35" s="98"/>
      <c r="AN35" s="87">
        <f>AO31-AN34</f>
        <v>0</v>
      </c>
      <c r="AO35" s="204">
        <f>AO30-AO31</f>
        <v>34138.932754491019</v>
      </c>
      <c r="AP35" s="226"/>
      <c r="AS35" s="226"/>
      <c r="EA35" s="203"/>
      <c r="EB35" s="203"/>
      <c r="FH35" s="203"/>
      <c r="GT35" s="203"/>
      <c r="IW35" s="203"/>
      <c r="MR35" s="203"/>
      <c r="MS35" s="203"/>
      <c r="MT35" s="203"/>
      <c r="MU35" s="203"/>
      <c r="RY35" s="203">
        <f>SUM(RY33:RY34)</f>
        <v>21549.69</v>
      </c>
      <c r="RZ35" s="203">
        <f>SUM(RZ33:RZ34)</f>
        <v>15314.999999999989</v>
      </c>
      <c r="SB35" s="294">
        <f>R42/1000</f>
        <v>223.29999999999899</v>
      </c>
      <c r="SC35" s="206">
        <f>SB35/SB33*100</f>
        <v>16.894908072936431</v>
      </c>
      <c r="SP35" s="206"/>
      <c r="ST35" s="203"/>
      <c r="UW35" s="206"/>
    </row>
    <row r="36" spans="1:15085" s="1" customFormat="1">
      <c r="B36" s="37"/>
      <c r="C36" s="53" t="s">
        <v>30</v>
      </c>
      <c r="D36" s="54"/>
      <c r="E36" s="55"/>
      <c r="F36" s="40"/>
      <c r="G36" s="40"/>
      <c r="H36" s="40"/>
      <c r="I36" s="40"/>
      <c r="J36" s="349"/>
      <c r="K36" s="349"/>
      <c r="L36" s="40"/>
      <c r="M36" s="40"/>
      <c r="N36" s="40"/>
      <c r="O36" s="40"/>
      <c r="P36" s="40"/>
      <c r="Q36" s="349"/>
      <c r="R36" s="349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101"/>
      <c r="AK36" s="102" t="s">
        <v>30</v>
      </c>
      <c r="AL36" s="98"/>
      <c r="AM36" s="98"/>
      <c r="AO36" s="203">
        <f>31-12</f>
        <v>19</v>
      </c>
      <c r="EA36" s="203"/>
      <c r="EB36" s="203"/>
      <c r="FH36" s="203"/>
      <c r="GP36" s="7"/>
      <c r="GQ36" s="203"/>
      <c r="GR36" s="203"/>
      <c r="GS36" s="203"/>
      <c r="GT36" s="203"/>
      <c r="IW36" s="203"/>
      <c r="MR36" s="203"/>
      <c r="MS36" s="203"/>
      <c r="MT36" s="203"/>
      <c r="MU36" s="203"/>
      <c r="RY36" s="206">
        <f>RY35/RY31*100</f>
        <v>79.973293999999981</v>
      </c>
      <c r="RZ36" s="206">
        <f>RZ35/RZ31*100</f>
        <v>88.102135721667167</v>
      </c>
      <c r="SB36" s="203"/>
      <c r="SP36" s="206"/>
      <c r="ST36" s="203"/>
      <c r="UW36" s="206"/>
      <c r="AHQ36" s="11" t="s">
        <v>175</v>
      </c>
      <c r="AHR36" s="11"/>
      <c r="AHS36" s="11"/>
      <c r="AHT36" s="11"/>
      <c r="AHU36" s="11"/>
      <c r="AHV36" s="11"/>
      <c r="AHW36" s="11"/>
      <c r="AHX36" s="11"/>
      <c r="AHY36" s="11"/>
      <c r="AHZ36" s="11"/>
      <c r="AIA36" s="7" t="s">
        <v>174</v>
      </c>
      <c r="AIB36" s="11" t="s">
        <v>176</v>
      </c>
    </row>
    <row r="37" spans="1:15085" s="1" customFormat="1" ht="15" thickBot="1">
      <c r="B37" s="50"/>
      <c r="C37" s="177" t="s">
        <v>31</v>
      </c>
      <c r="D37" s="42">
        <f>D55%*D31</f>
        <v>0</v>
      </c>
      <c r="E37" s="178" t="s">
        <v>9</v>
      </c>
      <c r="F37" s="44">
        <v>1996000</v>
      </c>
      <c r="G37" s="44">
        <v>1974470</v>
      </c>
      <c r="H37" s="44">
        <f>1571.43999999997*1000</f>
        <v>1571439.99999997</v>
      </c>
      <c r="I37" s="44">
        <f>2055.17000000001*1000</f>
        <v>2055170.00000001</v>
      </c>
      <c r="J37" s="349">
        <f>1588.32999999999*1000</f>
        <v>1588329.99999999</v>
      </c>
      <c r="K37" s="349">
        <f>1483.33000000002*1000</f>
        <v>1483330.00000002</v>
      </c>
      <c r="L37" s="44">
        <v>1485910</v>
      </c>
      <c r="M37" s="44">
        <v>1485530</v>
      </c>
      <c r="N37" s="217">
        <v>1470160</v>
      </c>
      <c r="O37" s="217">
        <f>1361.84999999998*1000</f>
        <v>1361849.99999998</v>
      </c>
      <c r="P37" s="217">
        <f>1281.83000000002*1000</f>
        <v>1281830.00000002</v>
      </c>
      <c r="Q37" s="349">
        <v>1118440</v>
      </c>
      <c r="R37" s="349">
        <f>1418.35000000001*1000</f>
        <v>1418350.00000001</v>
      </c>
      <c r="S37" s="44">
        <f>245.699999999983*1000</f>
        <v>245699.999999983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4">
        <v>0</v>
      </c>
      <c r="AJ37" s="97"/>
      <c r="AK37" s="96">
        <f>SUM(F37:AI37)</f>
        <v>20536509.999999981</v>
      </c>
      <c r="AL37" s="10"/>
      <c r="AM37" s="10"/>
      <c r="AN37" s="87">
        <f>AK37</f>
        <v>20536509.999999981</v>
      </c>
      <c r="AO37" s="204">
        <f>AO35/AO36</f>
        <v>1796.7859344468957</v>
      </c>
      <c r="BJ37" s="87"/>
      <c r="EA37" s="219"/>
      <c r="EB37" s="219"/>
      <c r="EC37" s="87">
        <f>AM37/1000</f>
        <v>0</v>
      </c>
      <c r="FH37" s="219"/>
      <c r="GO37" s="270" t="s">
        <v>144</v>
      </c>
      <c r="GP37" s="7"/>
      <c r="GQ37" s="219"/>
      <c r="GR37" s="219"/>
      <c r="GS37" s="219"/>
      <c r="GT37" s="219"/>
      <c r="IW37" s="219"/>
      <c r="MR37" s="219"/>
      <c r="MS37" s="219"/>
      <c r="MT37" s="219"/>
      <c r="MU37" s="219"/>
      <c r="RY37" s="219"/>
      <c r="RZ37" s="219"/>
      <c r="SB37" s="219"/>
      <c r="SP37" s="240"/>
      <c r="ST37" s="219"/>
      <c r="UW37" s="240"/>
      <c r="AHO37" s="219">
        <v>136359.999999986</v>
      </c>
      <c r="AHP37" s="219">
        <v>109339.999999997</v>
      </c>
      <c r="AHQ37" s="314">
        <f>SUM(AHO37:AHP37)</f>
        <v>245699.999999983</v>
      </c>
      <c r="AIA37" s="219">
        <v>34157.880000005527</v>
      </c>
      <c r="AIB37" s="314">
        <f>AHQ37-AIA37</f>
        <v>211542.11999997747</v>
      </c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</row>
    <row r="38" spans="1:15085" s="1" customFormat="1">
      <c r="B38" s="50"/>
      <c r="C38" s="177" t="s">
        <v>32</v>
      </c>
      <c r="D38" s="42">
        <f>D56%*D31</f>
        <v>0</v>
      </c>
      <c r="E38" s="178" t="s">
        <v>9</v>
      </c>
      <c r="F38" s="44">
        <f>87.4700000000003*1000</f>
        <v>87470.000000000291</v>
      </c>
      <c r="G38" s="44">
        <f>86.8699999999999*1000</f>
        <v>86869.999999999898</v>
      </c>
      <c r="H38" s="44">
        <f>70.5300000000007*1000</f>
        <v>70530.000000000698</v>
      </c>
      <c r="I38" s="44">
        <f>89.4799999999996*1000</f>
        <v>89479.999999999607</v>
      </c>
      <c r="J38" s="349">
        <f>68.6800000000003*1000</f>
        <v>68680.000000000306</v>
      </c>
      <c r="K38" s="349">
        <f>66.1299999999992*1000</f>
        <v>66129.9999999992</v>
      </c>
      <c r="L38" s="44">
        <f>63.9700000000012*1000</f>
        <v>63970.000000001201</v>
      </c>
      <c r="M38" s="44">
        <f>65.5599999999995*1000</f>
        <v>65559.999999999505</v>
      </c>
      <c r="N38" s="217">
        <f>65.369999999999*1000</f>
        <v>65369.999999998996</v>
      </c>
      <c r="O38" s="217">
        <f>58.2100000000009*1000</f>
        <v>58210.000000000902</v>
      </c>
      <c r="P38" s="217">
        <f>54.4699999999993*1000</f>
        <v>54469.999999999302</v>
      </c>
      <c r="Q38" s="349">
        <f>49.3900000000012*1000</f>
        <v>49390.000000001201</v>
      </c>
      <c r="R38" s="349">
        <f>63.1999999999989*1000</f>
        <v>63199.999999998901</v>
      </c>
      <c r="S38" s="44">
        <f>16.6000000000004*1000</f>
        <v>16600.0000000004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44">
        <v>0</v>
      </c>
      <c r="AJ38" s="97"/>
      <c r="AK38" s="96">
        <f>SUM(F38:AI38)</f>
        <v>905930.00000000035</v>
      </c>
      <c r="AL38" s="10"/>
      <c r="AM38" s="10"/>
      <c r="AN38" s="87">
        <f>AK38</f>
        <v>905930.00000000035</v>
      </c>
      <c r="EA38" s="219"/>
      <c r="EB38" s="219"/>
      <c r="EC38" s="87">
        <f>AM38/1000</f>
        <v>0</v>
      </c>
      <c r="FH38" s="219"/>
      <c r="GO38" s="322" t="s">
        <v>142</v>
      </c>
      <c r="GP38" s="326"/>
      <c r="GQ38" s="269" t="s">
        <v>140</v>
      </c>
      <c r="GR38" s="320" t="s">
        <v>141</v>
      </c>
      <c r="GS38" s="321"/>
      <c r="GT38" s="219"/>
      <c r="IW38" s="219"/>
      <c r="MR38" s="219"/>
      <c r="MS38" s="219"/>
      <c r="MT38" s="219"/>
      <c r="MU38" s="219"/>
      <c r="RY38" s="219">
        <f>RY31-RY35</f>
        <v>5396.4177844311416</v>
      </c>
      <c r="RZ38" s="219">
        <f>RZ31-RZ35</f>
        <v>2068.233532934144</v>
      </c>
      <c r="SB38" s="308" t="s">
        <v>39</v>
      </c>
      <c r="SC38" s="291">
        <v>0</v>
      </c>
      <c r="SO38" s="219">
        <v>564.70506750000004</v>
      </c>
      <c r="SP38" s="240">
        <f>SC38/SO38*100</f>
        <v>0</v>
      </c>
      <c r="SS38" s="293"/>
      <c r="ST38" s="219"/>
      <c r="UW38" s="240"/>
      <c r="AHO38" s="219">
        <v>13799.999999999302</v>
      </c>
      <c r="AHP38" s="219">
        <v>2799.9999999992701</v>
      </c>
      <c r="AHQ38" s="314">
        <f>SUM(AHO38:AHP38)</f>
        <v>16599.99999999857</v>
      </c>
      <c r="AIA38" s="219">
        <v>1469.8500000002375</v>
      </c>
      <c r="AIB38" s="314">
        <f>AHQ38-AIA38</f>
        <v>15130.149999998333</v>
      </c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</row>
    <row r="39" spans="1:15085" ht="15" thickBot="1">
      <c r="B39" s="50"/>
      <c r="C39" s="56" t="s">
        <v>33</v>
      </c>
      <c r="D39" s="57"/>
      <c r="E39" s="58"/>
      <c r="F39" s="39"/>
      <c r="G39" s="39"/>
      <c r="H39" s="39"/>
      <c r="I39" s="39"/>
      <c r="J39" s="36"/>
      <c r="K39" s="36"/>
      <c r="L39" s="39"/>
      <c r="M39" s="39"/>
      <c r="N39" s="39"/>
      <c r="O39" s="39"/>
      <c r="P39" s="39"/>
      <c r="Q39" s="36"/>
      <c r="R39" s="36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97"/>
      <c r="AK39" s="103" t="s">
        <v>34</v>
      </c>
      <c r="AL39" s="10"/>
      <c r="GO39" s="324"/>
      <c r="GP39" s="327"/>
      <c r="GQ39" s="266">
        <v>24</v>
      </c>
      <c r="GR39" s="267">
        <v>2</v>
      </c>
      <c r="GS39" s="268">
        <v>3</v>
      </c>
      <c r="SB39" s="308" t="s">
        <v>43</v>
      </c>
      <c r="SC39" s="240">
        <f>376.46518+SP45</f>
        <v>416.90781999999996</v>
      </c>
      <c r="SO39" s="219">
        <v>4695.7554</v>
      </c>
      <c r="SP39" s="240">
        <f>SC39/SO39*100</f>
        <v>8.8783972861959537</v>
      </c>
    </row>
    <row r="40" spans="1:15085" s="1" customFormat="1" ht="13.8">
      <c r="B40" s="50"/>
      <c r="C40" s="177" t="s">
        <v>35</v>
      </c>
      <c r="D40" s="229">
        <f>SUM(D41:D42)</f>
        <v>0</v>
      </c>
      <c r="E40" s="178" t="s">
        <v>9</v>
      </c>
      <c r="F40" s="44">
        <f>SUM(F41:F42)</f>
        <v>1556600.0000000021</v>
      </c>
      <c r="G40" s="44">
        <f t="shared" ref="G40:N40" si="10">SUM(G41:G42)</f>
        <v>2106799.9999999991</v>
      </c>
      <c r="H40" s="44">
        <f t="shared" si="10"/>
        <v>1684299.9999999991</v>
      </c>
      <c r="I40" s="44">
        <f t="shared" si="10"/>
        <v>1288000</v>
      </c>
      <c r="J40" s="349">
        <f t="shared" si="10"/>
        <v>1082100.000000013</v>
      </c>
      <c r="K40" s="349">
        <f t="shared" si="10"/>
        <v>1117299.9999999949</v>
      </c>
      <c r="L40" s="44">
        <f t="shared" si="10"/>
        <v>1357599.9999999991</v>
      </c>
      <c r="M40" s="44">
        <f t="shared" si="10"/>
        <v>897500.00000001094</v>
      </c>
      <c r="N40" s="44">
        <f t="shared" si="10"/>
        <v>462199.99999999331</v>
      </c>
      <c r="O40" s="44">
        <f>SUM(O41:O42)</f>
        <v>481099.99999999849</v>
      </c>
      <c r="P40" s="44">
        <f>SUM(P41:P42)</f>
        <v>527599.99999999476</v>
      </c>
      <c r="Q40" s="349">
        <f>SUM(Q41:Q42)</f>
        <v>887600.00000000605</v>
      </c>
      <c r="R40" s="349">
        <f t="shared" ref="R40:AI40" si="11">SUM(R41:R42)</f>
        <v>1321699.9999999891</v>
      </c>
      <c r="S40" s="44">
        <f t="shared" si="11"/>
        <v>151200</v>
      </c>
      <c r="T40" s="44">
        <f t="shared" si="11"/>
        <v>0</v>
      </c>
      <c r="U40" s="44">
        <f t="shared" si="11"/>
        <v>0</v>
      </c>
      <c r="V40" s="44">
        <f t="shared" si="11"/>
        <v>0</v>
      </c>
      <c r="W40" s="44">
        <f t="shared" si="11"/>
        <v>0</v>
      </c>
      <c r="X40" s="44">
        <f t="shared" si="11"/>
        <v>0</v>
      </c>
      <c r="Y40" s="44">
        <f t="shared" si="11"/>
        <v>0</v>
      </c>
      <c r="Z40" s="44">
        <f t="shared" si="11"/>
        <v>0</v>
      </c>
      <c r="AA40" s="44">
        <f t="shared" si="11"/>
        <v>0</v>
      </c>
      <c r="AB40" s="44">
        <f t="shared" si="11"/>
        <v>0</v>
      </c>
      <c r="AC40" s="44">
        <f t="shared" si="11"/>
        <v>0</v>
      </c>
      <c r="AD40" s="44">
        <f t="shared" si="11"/>
        <v>0</v>
      </c>
      <c r="AE40" s="44">
        <f t="shared" si="11"/>
        <v>0</v>
      </c>
      <c r="AF40" s="44">
        <f t="shared" si="11"/>
        <v>0</v>
      </c>
      <c r="AG40" s="44">
        <f t="shared" si="11"/>
        <v>0</v>
      </c>
      <c r="AH40" s="44">
        <f t="shared" si="11"/>
        <v>0</v>
      </c>
      <c r="AI40" s="44">
        <f t="shared" si="11"/>
        <v>0</v>
      </c>
      <c r="AJ40" s="97"/>
      <c r="AK40" s="96">
        <f>SUM(F40:AI40)</f>
        <v>14921599.999999998</v>
      </c>
      <c r="AL40" s="98"/>
      <c r="AM40" s="98"/>
      <c r="AN40" s="206">
        <f>AN37/AN33*100</f>
        <v>95.298401044284077</v>
      </c>
      <c r="EA40" s="203"/>
      <c r="EB40" s="203"/>
      <c r="FH40" s="203"/>
      <c r="GO40" s="248" t="s">
        <v>136</v>
      </c>
      <c r="GP40" s="7" t="s">
        <v>9</v>
      </c>
      <c r="GQ40" s="263">
        <v>2000530</v>
      </c>
      <c r="GR40" s="255">
        <v>2005167</v>
      </c>
      <c r="GS40" s="250">
        <v>2025879</v>
      </c>
      <c r="GT40" s="203"/>
      <c r="IW40" s="203"/>
      <c r="MR40" s="203"/>
      <c r="MS40" s="203"/>
      <c r="MT40" s="203"/>
      <c r="MU40" s="203"/>
      <c r="RY40" s="203"/>
      <c r="RZ40" s="203"/>
      <c r="SB40" s="203"/>
      <c r="SP40" s="206"/>
      <c r="ST40" s="203"/>
      <c r="UW40" s="206"/>
      <c r="AHO40" s="204">
        <f>95.28%*AHO31</f>
        <v>34157.880000005527</v>
      </c>
      <c r="AHQ40" s="204">
        <f>AHO37-AIA37</f>
        <v>102202.11999998047</v>
      </c>
    </row>
    <row r="41" spans="1:15085">
      <c r="B41" s="50"/>
      <c r="C41" s="177" t="s">
        <v>36</v>
      </c>
      <c r="D41" s="229"/>
      <c r="E41" s="178" t="s">
        <v>9</v>
      </c>
      <c r="F41" s="44">
        <v>1278000</v>
      </c>
      <c r="G41" s="44">
        <v>1760000</v>
      </c>
      <c r="H41" s="44">
        <v>1395000</v>
      </c>
      <c r="I41" s="44">
        <v>1069000</v>
      </c>
      <c r="J41" s="349">
        <f>887.300000000017*1000</f>
        <v>887300.000000017</v>
      </c>
      <c r="K41" s="349">
        <f>911.899999999994*1000</f>
        <v>911899.99999999395</v>
      </c>
      <c r="L41" s="44">
        <v>1131500</v>
      </c>
      <c r="M41" s="44">
        <f>727.400000000009*1000</f>
        <v>727400.00000000896</v>
      </c>
      <c r="N41" s="44">
        <f>391.899999999994*1000</f>
        <v>391899.999999994</v>
      </c>
      <c r="O41" s="217">
        <f>393.699999999997*1000</f>
        <v>393699.99999999697</v>
      </c>
      <c r="P41" s="217">
        <f>448.199999999997*1000</f>
        <v>448199.99999999697</v>
      </c>
      <c r="Q41" s="349">
        <f>733.100000000006*1000</f>
        <v>733100.00000000605</v>
      </c>
      <c r="R41" s="349">
        <f>1098.39999999999*1000</f>
        <v>1098399.99999999</v>
      </c>
      <c r="S41" s="44">
        <v>103400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97"/>
      <c r="AK41" s="96">
        <f>SUM(F41:AI41)</f>
        <v>12328800.000000004</v>
      </c>
      <c r="AL41" s="219"/>
      <c r="AN41" s="240">
        <f>AN38/AN33*100</f>
        <v>4.2039119820285133</v>
      </c>
      <c r="AO41" s="219">
        <v>44458.68263473054</v>
      </c>
      <c r="EC41" s="87">
        <f t="shared" ref="EC41:EC42" si="12">AM41/1000</f>
        <v>0</v>
      </c>
      <c r="GO41" s="251" t="s">
        <v>139</v>
      </c>
      <c r="GP41" s="252" t="s">
        <v>85</v>
      </c>
      <c r="GQ41" s="264">
        <v>255.536188590634</v>
      </c>
      <c r="GR41" s="273">
        <v>255.09239449100701</v>
      </c>
      <c r="GS41" s="254">
        <v>260.824545250543</v>
      </c>
      <c r="RY41" s="294">
        <f>R31/1000</f>
        <v>1714.1099999999899</v>
      </c>
      <c r="SB41" s="309" t="s">
        <v>152</v>
      </c>
      <c r="SC41" s="219">
        <v>0</v>
      </c>
      <c r="SO41" s="219">
        <v>9.7534799999999997</v>
      </c>
      <c r="SP41" s="240">
        <f>(SC41*SO41)/1000</f>
        <v>0</v>
      </c>
      <c r="AHO41" s="204">
        <f>4.1%*AHO31</f>
        <v>1469.8500000002375</v>
      </c>
      <c r="AHQ41" s="204">
        <f>AHO38-AIA38</f>
        <v>12330.149999999065</v>
      </c>
    </row>
    <row r="42" spans="1:15085">
      <c r="B42" s="50"/>
      <c r="C42" s="177" t="s">
        <v>37</v>
      </c>
      <c r="D42" s="229"/>
      <c r="E42" s="178" t="s">
        <v>9</v>
      </c>
      <c r="F42" s="44">
        <f>278.600000000002*1000</f>
        <v>278600.00000000204</v>
      </c>
      <c r="G42" s="44">
        <f>346.799999999999*1000</f>
        <v>346799.99999999901</v>
      </c>
      <c r="H42" s="44">
        <f>289.299999999999*1000</f>
        <v>289299.99999999901</v>
      </c>
      <c r="I42" s="44">
        <v>219000</v>
      </c>
      <c r="J42" s="349">
        <f>194.799999999996*1000</f>
        <v>194799.99999999601</v>
      </c>
      <c r="K42" s="349">
        <f>205.400000000001*1000</f>
        <v>205400.00000000099</v>
      </c>
      <c r="L42" s="44">
        <f>226.099999999999*1000</f>
        <v>226099.99999999901</v>
      </c>
      <c r="M42" s="44">
        <f>170.100000000002*1000</f>
        <v>170100.00000000201</v>
      </c>
      <c r="N42" s="44">
        <f>70.2999999999993*1000</f>
        <v>70299.999999999302</v>
      </c>
      <c r="O42" s="217">
        <f>87.4000000000015*1000</f>
        <v>87400.000000001499</v>
      </c>
      <c r="P42" s="217">
        <f>79.3999999999978*1000</f>
        <v>79399.999999997803</v>
      </c>
      <c r="Q42" s="349">
        <v>154500</v>
      </c>
      <c r="R42" s="349">
        <f>223.299999999999*1000</f>
        <v>223299.99999999898</v>
      </c>
      <c r="S42" s="44">
        <v>47800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225">
        <v>0</v>
      </c>
      <c r="AB42" s="225">
        <v>0</v>
      </c>
      <c r="AC42" s="225">
        <v>0</v>
      </c>
      <c r="AD42" s="225">
        <v>0</v>
      </c>
      <c r="AE42" s="225">
        <v>0</v>
      </c>
      <c r="AF42" s="225">
        <v>0</v>
      </c>
      <c r="AG42" s="225">
        <v>0</v>
      </c>
      <c r="AH42" s="225">
        <v>0</v>
      </c>
      <c r="AI42" s="225">
        <v>0</v>
      </c>
      <c r="AJ42" s="97"/>
      <c r="AK42" s="96">
        <f>SUM(F42:AI42)</f>
        <v>2592799.9999999958</v>
      </c>
      <c r="AL42" s="219"/>
      <c r="AN42" s="240">
        <f>100-AN40-AN41</f>
        <v>0.49768697368740966</v>
      </c>
      <c r="AO42" s="87">
        <f>SUM(AK40,AK45,AK50)/1000</f>
        <v>15314.999999999989</v>
      </c>
      <c r="EC42" s="87">
        <f t="shared" si="12"/>
        <v>0</v>
      </c>
      <c r="GO42" s="248" t="s">
        <v>137</v>
      </c>
      <c r="GP42" s="7" t="s">
        <v>9</v>
      </c>
      <c r="GQ42" s="263">
        <v>146000</v>
      </c>
      <c r="GR42" s="249">
        <v>151100</v>
      </c>
      <c r="GS42" s="250">
        <v>152900</v>
      </c>
      <c r="RY42" s="219">
        <v>1796</v>
      </c>
      <c r="SA42" s="240"/>
      <c r="SB42" s="309" t="s">
        <v>162</v>
      </c>
      <c r="SC42" s="219">
        <v>1267</v>
      </c>
      <c r="SO42" s="1">
        <v>10.86</v>
      </c>
      <c r="SP42" s="240">
        <f t="shared" ref="SP42:SP43" si="13">(SC42*SO42)/1000</f>
        <v>13.759619999999998</v>
      </c>
    </row>
    <row r="43" spans="1:15085" ht="15" thickBot="1">
      <c r="B43" s="50"/>
      <c r="C43" s="56" t="s">
        <v>38</v>
      </c>
      <c r="D43" s="230"/>
      <c r="E43" s="58"/>
      <c r="F43" s="39"/>
      <c r="G43" s="39"/>
      <c r="H43" s="39"/>
      <c r="I43" s="79"/>
      <c r="J43" s="36"/>
      <c r="K43" s="36"/>
      <c r="L43" s="39"/>
      <c r="M43" s="39"/>
      <c r="N43" s="39"/>
      <c r="O43" s="39"/>
      <c r="P43" s="39"/>
      <c r="Q43" s="36"/>
      <c r="R43" s="36"/>
      <c r="S43" s="39"/>
      <c r="T43" s="39"/>
      <c r="U43" s="39"/>
      <c r="V43" s="39"/>
      <c r="W43" s="39"/>
      <c r="X43" s="39"/>
      <c r="Y43" s="84"/>
      <c r="Z43" s="223"/>
      <c r="AA43" s="224"/>
      <c r="AB43" s="84"/>
      <c r="AC43" s="84"/>
      <c r="AD43" s="84"/>
      <c r="AE43" s="84"/>
      <c r="AF43" s="84"/>
      <c r="AG43" s="84"/>
      <c r="AH43" s="84"/>
      <c r="AI43" s="84"/>
      <c r="AJ43" s="97"/>
      <c r="AK43" s="103" t="s">
        <v>39</v>
      </c>
      <c r="AL43" s="219"/>
      <c r="AO43" s="221">
        <f>AO42/AO41*100</f>
        <v>34.447714354982061</v>
      </c>
      <c r="GO43" s="257"/>
      <c r="GP43" s="258" t="s">
        <v>138</v>
      </c>
      <c r="GQ43" s="265">
        <f>GQ42/(GQ40/1000)</f>
        <v>72.980660125066862</v>
      </c>
      <c r="GR43" s="261">
        <f t="shared" ref="GR43:GS43" si="14">GR42/(GR40/1000)</f>
        <v>75.35531953198911</v>
      </c>
      <c r="GS43" s="262">
        <f t="shared" si="14"/>
        <v>75.473411788167013</v>
      </c>
      <c r="RY43" s="240">
        <f>RY41/RY42*100</f>
        <v>95.44042316258296</v>
      </c>
      <c r="SA43" s="240"/>
      <c r="SB43" s="309" t="s">
        <v>163</v>
      </c>
      <c r="SC43" s="219">
        <v>2457</v>
      </c>
      <c r="SO43" s="1">
        <v>10.86</v>
      </c>
      <c r="SP43" s="240">
        <f t="shared" si="13"/>
        <v>26.683019999999996</v>
      </c>
    </row>
    <row r="44" spans="1:15085" s="3" customFormat="1" hidden="1">
      <c r="A44" s="6"/>
      <c r="B44" s="22"/>
      <c r="C44" s="59" t="s">
        <v>24</v>
      </c>
      <c r="D44" s="231"/>
      <c r="E44" s="60" t="s">
        <v>9</v>
      </c>
      <c r="F44" s="44"/>
      <c r="G44" s="44"/>
      <c r="H44" s="44"/>
      <c r="I44" s="44"/>
      <c r="J44" s="349"/>
      <c r="K44" s="349"/>
      <c r="L44" s="44"/>
      <c r="M44" s="44"/>
      <c r="N44" s="44"/>
      <c r="O44" s="44"/>
      <c r="P44" s="44"/>
      <c r="Q44" s="349"/>
      <c r="R44" s="349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85"/>
      <c r="AE44" s="85"/>
      <c r="AF44" s="85"/>
      <c r="AG44" s="85"/>
      <c r="AH44" s="85"/>
      <c r="AI44" s="85"/>
      <c r="AJ44" s="104"/>
      <c r="AK44" s="105">
        <f>SUM(F44:AI44)</f>
        <v>0</v>
      </c>
      <c r="AL44" s="210"/>
      <c r="AM44" s="10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210"/>
      <c r="EB44" s="210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210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1"/>
      <c r="GP44" s="7" t="s">
        <v>138</v>
      </c>
      <c r="GQ44" s="206" t="e">
        <f>GQ42/(GQ38/1000)</f>
        <v>#VALUE!</v>
      </c>
      <c r="GR44" s="206" t="e">
        <f>GS42/(GR38/1000)</f>
        <v>#VALUE!</v>
      </c>
      <c r="GS44" s="206" t="e">
        <f>#REF!/(GS38/1000)</f>
        <v>#REF!</v>
      </c>
      <c r="GT44" s="210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210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210"/>
      <c r="MS44" s="210"/>
      <c r="MT44" s="210"/>
      <c r="MU44" s="210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210"/>
      <c r="RZ44" s="210"/>
      <c r="SA44" s="292"/>
      <c r="SB44" s="210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292"/>
      <c r="SQ44" s="6"/>
      <c r="SR44" s="6"/>
      <c r="SS44" s="6"/>
      <c r="ST44" s="210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292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  <c r="CDD44" s="6"/>
      <c r="CDE44" s="6"/>
      <c r="CDF44" s="6"/>
      <c r="CDG44" s="6"/>
      <c r="CDH44" s="6"/>
      <c r="CDI44" s="6"/>
      <c r="CDJ44" s="6"/>
      <c r="CDK44" s="6"/>
      <c r="CDL44" s="6"/>
      <c r="CDM44" s="6"/>
      <c r="CDN44" s="6"/>
      <c r="CDO44" s="6"/>
      <c r="CDP44" s="6"/>
      <c r="CDQ44" s="6"/>
      <c r="CDR44" s="6"/>
      <c r="CDS44" s="6"/>
      <c r="CDT44" s="6"/>
      <c r="CDU44" s="6"/>
      <c r="CDV44" s="6"/>
      <c r="CDW44" s="6"/>
      <c r="CDX44" s="6"/>
      <c r="CDY44" s="6"/>
      <c r="CDZ44" s="6"/>
      <c r="CEA44" s="6"/>
      <c r="CEB44" s="6"/>
      <c r="CEC44" s="6"/>
      <c r="CED44" s="6"/>
      <c r="CEE44" s="6"/>
      <c r="CEF44" s="6"/>
      <c r="CEG44" s="6"/>
      <c r="CEH44" s="6"/>
      <c r="CEI44" s="6"/>
      <c r="CEJ44" s="6"/>
      <c r="CEK44" s="6"/>
      <c r="CEL44" s="6"/>
      <c r="CEM44" s="6"/>
      <c r="CEN44" s="6"/>
      <c r="CEO44" s="6"/>
      <c r="CEP44" s="6"/>
      <c r="CEQ44" s="6"/>
      <c r="CER44" s="6"/>
      <c r="CES44" s="6"/>
      <c r="CET44" s="6"/>
      <c r="CEU44" s="6"/>
      <c r="CEV44" s="6"/>
      <c r="CEW44" s="6"/>
      <c r="CEX44" s="6"/>
      <c r="CEY44" s="6"/>
      <c r="CEZ44" s="6"/>
      <c r="CFA44" s="6"/>
      <c r="CFB44" s="6"/>
      <c r="CFC44" s="6"/>
      <c r="CFD44" s="6"/>
      <c r="CFE44" s="6"/>
      <c r="CFF44" s="6"/>
      <c r="CFG44" s="6"/>
      <c r="CFH44" s="6"/>
      <c r="CFI44" s="6"/>
      <c r="CFJ44" s="6"/>
      <c r="CFK44" s="6"/>
      <c r="CFL44" s="6"/>
      <c r="CFM44" s="6"/>
      <c r="CFN44" s="6"/>
      <c r="CFO44" s="6"/>
      <c r="CFP44" s="6"/>
      <c r="CFQ44" s="6"/>
      <c r="CFR44" s="6"/>
      <c r="CFS44" s="6"/>
      <c r="CFT44" s="6"/>
      <c r="CFU44" s="6"/>
      <c r="CFV44" s="6"/>
      <c r="CFW44" s="6"/>
      <c r="CFX44" s="6"/>
      <c r="CFY44" s="6"/>
      <c r="CFZ44" s="6"/>
      <c r="CGA44" s="6"/>
      <c r="CGB44" s="6"/>
      <c r="CGC44" s="6"/>
      <c r="CGD44" s="6"/>
      <c r="CGE44" s="6"/>
      <c r="CGF44" s="6"/>
      <c r="CGG44" s="6"/>
      <c r="CGH44" s="6"/>
      <c r="CGI44" s="6"/>
      <c r="CGJ44" s="6"/>
      <c r="CGK44" s="6"/>
      <c r="CGL44" s="6"/>
      <c r="CGM44" s="6"/>
      <c r="CGN44" s="6"/>
      <c r="CGO44" s="6"/>
      <c r="CGP44" s="6"/>
      <c r="CGQ44" s="6"/>
      <c r="CGR44" s="6"/>
      <c r="CGS44" s="6"/>
      <c r="CGT44" s="6"/>
      <c r="CGU44" s="6"/>
      <c r="CGV44" s="6"/>
      <c r="CGW44" s="6"/>
      <c r="CGX44" s="6"/>
      <c r="CGY44" s="6"/>
      <c r="CGZ44" s="6"/>
      <c r="CHA44" s="6"/>
      <c r="CHB44" s="6"/>
      <c r="CHC44" s="6"/>
      <c r="CHD44" s="6"/>
      <c r="CHE44" s="6"/>
      <c r="CHF44" s="6"/>
      <c r="CHG44" s="6"/>
      <c r="CHH44" s="6"/>
      <c r="CHI44" s="6"/>
      <c r="CHJ44" s="6"/>
      <c r="CHK44" s="6"/>
      <c r="CHL44" s="6"/>
      <c r="CHM44" s="6"/>
      <c r="CHN44" s="6"/>
      <c r="CHO44" s="6"/>
      <c r="CHP44" s="6"/>
      <c r="CHQ44" s="6"/>
      <c r="CHR44" s="6"/>
      <c r="CHS44" s="6"/>
      <c r="CHT44" s="6"/>
      <c r="CHU44" s="6"/>
      <c r="CHV44" s="6"/>
      <c r="CHW44" s="6"/>
      <c r="CHX44" s="6"/>
      <c r="CHY44" s="6"/>
      <c r="CHZ44" s="6"/>
      <c r="CIA44" s="6"/>
      <c r="CIB44" s="6"/>
      <c r="CIC44" s="6"/>
      <c r="CID44" s="6"/>
      <c r="CIE44" s="6"/>
      <c r="CIF44" s="6"/>
      <c r="CIG44" s="6"/>
      <c r="CIH44" s="6"/>
      <c r="CII44" s="6"/>
      <c r="CIJ44" s="6"/>
      <c r="CIK44" s="6"/>
      <c r="CIL44" s="6"/>
      <c r="CIM44" s="6"/>
      <c r="CIN44" s="6"/>
      <c r="CIO44" s="6"/>
      <c r="CIP44" s="6"/>
      <c r="CIQ44" s="6"/>
      <c r="CIR44" s="6"/>
      <c r="CIS44" s="6"/>
      <c r="CIT44" s="6"/>
      <c r="CIU44" s="6"/>
      <c r="CIV44" s="6"/>
      <c r="CIW44" s="6"/>
      <c r="CIX44" s="6"/>
      <c r="CIY44" s="6"/>
      <c r="CIZ44" s="6"/>
      <c r="CJA44" s="6"/>
      <c r="CJB44" s="6"/>
      <c r="CJC44" s="6"/>
      <c r="CJD44" s="6"/>
      <c r="CJE44" s="6"/>
      <c r="CJF44" s="6"/>
      <c r="CJG44" s="6"/>
      <c r="CJH44" s="6"/>
      <c r="CJI44" s="6"/>
      <c r="CJJ44" s="6"/>
      <c r="CJK44" s="6"/>
      <c r="CJL44" s="6"/>
      <c r="CJM44" s="6"/>
      <c r="CJN44" s="6"/>
      <c r="CJO44" s="6"/>
      <c r="CJP44" s="6"/>
      <c r="CJQ44" s="6"/>
      <c r="CJR44" s="6"/>
      <c r="CJS44" s="6"/>
      <c r="CJT44" s="6"/>
      <c r="CJU44" s="6"/>
      <c r="CJV44" s="6"/>
      <c r="CJW44" s="6"/>
      <c r="CJX44" s="6"/>
      <c r="CJY44" s="6"/>
      <c r="CJZ44" s="6"/>
      <c r="CKA44" s="6"/>
      <c r="CKB44" s="6"/>
      <c r="CKC44" s="6"/>
      <c r="CKD44" s="6"/>
      <c r="CKE44" s="6"/>
      <c r="CKF44" s="6"/>
      <c r="CKG44" s="6"/>
      <c r="CKH44" s="6"/>
      <c r="CKI44" s="6"/>
      <c r="CKJ44" s="6"/>
      <c r="CKK44" s="6"/>
      <c r="CKL44" s="6"/>
      <c r="CKM44" s="6"/>
      <c r="CKN44" s="6"/>
      <c r="CKO44" s="6"/>
      <c r="CKP44" s="6"/>
      <c r="CKQ44" s="6"/>
      <c r="CKR44" s="6"/>
      <c r="CKS44" s="6"/>
      <c r="CKT44" s="6"/>
      <c r="CKU44" s="6"/>
      <c r="CKV44" s="6"/>
      <c r="CKW44" s="6"/>
      <c r="CKX44" s="6"/>
      <c r="CKY44" s="6"/>
      <c r="CKZ44" s="6"/>
      <c r="CLA44" s="6"/>
      <c r="CLB44" s="6"/>
      <c r="CLC44" s="6"/>
      <c r="CLD44" s="6"/>
      <c r="CLE44" s="6"/>
      <c r="CLF44" s="6"/>
      <c r="CLG44" s="6"/>
      <c r="CLH44" s="6"/>
      <c r="CLI44" s="6"/>
      <c r="CLJ44" s="6"/>
      <c r="CLK44" s="6"/>
      <c r="CLL44" s="6"/>
      <c r="CLM44" s="6"/>
      <c r="CLN44" s="6"/>
      <c r="CLO44" s="6"/>
      <c r="CLP44" s="6"/>
      <c r="CLQ44" s="6"/>
      <c r="CLR44" s="6"/>
      <c r="CLS44" s="6"/>
      <c r="CLT44" s="6"/>
      <c r="CLU44" s="6"/>
      <c r="CLV44" s="6"/>
      <c r="CLW44" s="6"/>
      <c r="CLX44" s="6"/>
      <c r="CLY44" s="6"/>
      <c r="CLZ44" s="6"/>
      <c r="CMA44" s="6"/>
      <c r="CMB44" s="6"/>
      <c r="CMC44" s="6"/>
      <c r="CMD44" s="6"/>
      <c r="CME44" s="6"/>
      <c r="CMF44" s="6"/>
      <c r="CMG44" s="6"/>
      <c r="CMH44" s="6"/>
      <c r="CMI44" s="6"/>
      <c r="CMJ44" s="6"/>
      <c r="CMK44" s="6"/>
      <c r="CML44" s="6"/>
      <c r="CMM44" s="6"/>
      <c r="CMN44" s="6"/>
      <c r="CMO44" s="6"/>
      <c r="CMP44" s="6"/>
      <c r="CMQ44" s="6"/>
      <c r="CMR44" s="6"/>
      <c r="CMS44" s="6"/>
      <c r="CMT44" s="6"/>
      <c r="CMU44" s="6"/>
      <c r="CMV44" s="6"/>
      <c r="CMW44" s="6"/>
      <c r="CMX44" s="6"/>
      <c r="CMY44" s="6"/>
      <c r="CMZ44" s="6"/>
      <c r="CNA44" s="6"/>
      <c r="CNB44" s="6"/>
      <c r="CNC44" s="6"/>
      <c r="CND44" s="6"/>
      <c r="CNE44" s="6"/>
      <c r="CNF44" s="6"/>
      <c r="CNG44" s="6"/>
      <c r="CNH44" s="6"/>
      <c r="CNI44" s="6"/>
      <c r="CNJ44" s="6"/>
      <c r="CNK44" s="6"/>
      <c r="CNL44" s="6"/>
      <c r="CNM44" s="6"/>
      <c r="CNN44" s="6"/>
      <c r="CNO44" s="6"/>
      <c r="CNP44" s="6"/>
      <c r="CNQ44" s="6"/>
      <c r="CNR44" s="6"/>
      <c r="CNS44" s="6"/>
      <c r="CNT44" s="6"/>
      <c r="CNU44" s="6"/>
      <c r="CNV44" s="6"/>
      <c r="CNW44" s="6"/>
      <c r="CNX44" s="6"/>
      <c r="CNY44" s="6"/>
      <c r="CNZ44" s="6"/>
      <c r="COA44" s="6"/>
      <c r="COB44" s="6"/>
      <c r="COC44" s="6"/>
      <c r="COD44" s="6"/>
      <c r="COE44" s="6"/>
      <c r="COF44" s="6"/>
      <c r="COG44" s="6"/>
      <c r="COH44" s="6"/>
      <c r="COI44" s="6"/>
      <c r="COJ44" s="6"/>
      <c r="COK44" s="6"/>
      <c r="COL44" s="6"/>
      <c r="COM44" s="6"/>
      <c r="CON44" s="6"/>
      <c r="COO44" s="6"/>
      <c r="COP44" s="6"/>
      <c r="COQ44" s="6"/>
      <c r="COR44" s="6"/>
      <c r="COS44" s="6"/>
      <c r="COT44" s="6"/>
      <c r="COU44" s="6"/>
      <c r="COV44" s="6"/>
      <c r="COW44" s="6"/>
      <c r="COX44" s="6"/>
      <c r="COY44" s="6"/>
      <c r="COZ44" s="6"/>
      <c r="CPA44" s="6"/>
      <c r="CPB44" s="6"/>
      <c r="CPC44" s="6"/>
      <c r="CPD44" s="6"/>
      <c r="CPE44" s="6"/>
      <c r="CPF44" s="6"/>
      <c r="CPG44" s="6"/>
      <c r="CPH44" s="6"/>
      <c r="CPI44" s="6"/>
      <c r="CPJ44" s="6"/>
      <c r="CPK44" s="6"/>
      <c r="CPL44" s="6"/>
      <c r="CPM44" s="6"/>
      <c r="CPN44" s="6"/>
      <c r="CPO44" s="6"/>
      <c r="CPP44" s="6"/>
      <c r="CPQ44" s="6"/>
      <c r="CPR44" s="6"/>
      <c r="CPS44" s="6"/>
      <c r="CPT44" s="6"/>
      <c r="CPU44" s="6"/>
      <c r="CPV44" s="6"/>
      <c r="CPW44" s="6"/>
      <c r="CPX44" s="6"/>
      <c r="CPY44" s="6"/>
      <c r="CPZ44" s="6"/>
      <c r="CQA44" s="6"/>
      <c r="CQB44" s="6"/>
      <c r="CQC44" s="6"/>
      <c r="CQD44" s="6"/>
      <c r="CQE44" s="6"/>
      <c r="CQF44" s="6"/>
      <c r="CQG44" s="6"/>
      <c r="CQH44" s="6"/>
      <c r="CQI44" s="6"/>
      <c r="CQJ44" s="6"/>
      <c r="CQK44" s="6"/>
      <c r="CQL44" s="6"/>
      <c r="CQM44" s="6"/>
      <c r="CQN44" s="6"/>
      <c r="CQO44" s="6"/>
      <c r="CQP44" s="6"/>
      <c r="CQQ44" s="6"/>
      <c r="CQR44" s="6"/>
      <c r="CQS44" s="6"/>
      <c r="CQT44" s="6"/>
      <c r="CQU44" s="6"/>
      <c r="CQV44" s="6"/>
      <c r="CQW44" s="6"/>
      <c r="CQX44" s="6"/>
      <c r="CQY44" s="6"/>
      <c r="CQZ44" s="6"/>
      <c r="CRA44" s="6"/>
      <c r="CRB44" s="6"/>
      <c r="CRC44" s="6"/>
      <c r="CRD44" s="6"/>
      <c r="CRE44" s="6"/>
      <c r="CRF44" s="6"/>
      <c r="CRG44" s="6"/>
      <c r="CRH44" s="6"/>
      <c r="CRI44" s="6"/>
      <c r="CRJ44" s="6"/>
      <c r="CRK44" s="6"/>
      <c r="CRL44" s="6"/>
      <c r="CRM44" s="6"/>
      <c r="CRN44" s="6"/>
      <c r="CRO44" s="6"/>
      <c r="CRP44" s="6"/>
      <c r="CRQ44" s="6"/>
      <c r="CRR44" s="6"/>
      <c r="CRS44" s="6"/>
      <c r="CRT44" s="6"/>
      <c r="CRU44" s="6"/>
      <c r="CRV44" s="6"/>
      <c r="CRW44" s="6"/>
      <c r="CRX44" s="6"/>
      <c r="CRY44" s="6"/>
      <c r="CRZ44" s="6"/>
      <c r="CSA44" s="6"/>
      <c r="CSB44" s="6"/>
      <c r="CSC44" s="6"/>
      <c r="CSD44" s="6"/>
      <c r="CSE44" s="6"/>
      <c r="CSF44" s="6"/>
      <c r="CSG44" s="6"/>
      <c r="CSH44" s="6"/>
      <c r="CSI44" s="6"/>
      <c r="CSJ44" s="6"/>
      <c r="CSK44" s="6"/>
      <c r="CSL44" s="6"/>
      <c r="CSM44" s="6"/>
      <c r="CSN44" s="6"/>
      <c r="CSO44" s="6"/>
      <c r="CSP44" s="6"/>
      <c r="CSQ44" s="6"/>
      <c r="CSR44" s="6"/>
      <c r="CSS44" s="6"/>
      <c r="CST44" s="6"/>
      <c r="CSU44" s="6"/>
      <c r="CSV44" s="6"/>
      <c r="CSW44" s="6"/>
      <c r="CSX44" s="6"/>
      <c r="CSY44" s="6"/>
      <c r="CSZ44" s="6"/>
      <c r="CTA44" s="6"/>
      <c r="CTB44" s="6"/>
      <c r="CTC44" s="6"/>
      <c r="CTD44" s="6"/>
      <c r="CTE44" s="6"/>
      <c r="CTF44" s="6"/>
      <c r="CTG44" s="6"/>
      <c r="CTH44" s="6"/>
      <c r="CTI44" s="6"/>
      <c r="CTJ44" s="6"/>
      <c r="CTK44" s="6"/>
      <c r="CTL44" s="6"/>
      <c r="CTM44" s="6"/>
      <c r="CTN44" s="6"/>
      <c r="CTO44" s="6"/>
      <c r="CTP44" s="6"/>
      <c r="CTQ44" s="6"/>
      <c r="CTR44" s="6"/>
      <c r="CTS44" s="6"/>
      <c r="CTT44" s="6"/>
      <c r="CTU44" s="6"/>
      <c r="CTV44" s="6"/>
      <c r="CTW44" s="6"/>
      <c r="CTX44" s="6"/>
      <c r="CTY44" s="6"/>
      <c r="CTZ44" s="6"/>
      <c r="CUA44" s="6"/>
      <c r="CUB44" s="6"/>
      <c r="CUC44" s="6"/>
      <c r="CUD44" s="6"/>
      <c r="CUE44" s="6"/>
      <c r="CUF44" s="6"/>
      <c r="CUG44" s="6"/>
      <c r="CUH44" s="6"/>
      <c r="CUI44" s="6"/>
      <c r="CUJ44" s="6"/>
      <c r="CUK44" s="6"/>
      <c r="CUL44" s="6"/>
      <c r="CUM44" s="6"/>
      <c r="CUN44" s="6"/>
      <c r="CUO44" s="6"/>
      <c r="CUP44" s="6"/>
      <c r="CUQ44" s="6"/>
      <c r="CUR44" s="6"/>
      <c r="CUS44" s="6"/>
      <c r="CUT44" s="6"/>
      <c r="CUU44" s="6"/>
      <c r="CUV44" s="6"/>
      <c r="CUW44" s="6"/>
      <c r="CUX44" s="6"/>
      <c r="CUY44" s="6"/>
      <c r="CUZ44" s="6"/>
      <c r="CVA44" s="6"/>
      <c r="CVB44" s="6"/>
      <c r="CVC44" s="6"/>
      <c r="CVD44" s="6"/>
      <c r="CVE44" s="6"/>
      <c r="CVF44" s="6"/>
      <c r="CVG44" s="6"/>
      <c r="CVH44" s="6"/>
      <c r="CVI44" s="6"/>
      <c r="CVJ44" s="6"/>
      <c r="CVK44" s="6"/>
      <c r="CVL44" s="6"/>
      <c r="CVM44" s="6"/>
      <c r="CVN44" s="6"/>
      <c r="CVO44" s="6"/>
      <c r="CVP44" s="6"/>
      <c r="CVQ44" s="6"/>
      <c r="CVR44" s="6"/>
      <c r="CVS44" s="6"/>
      <c r="CVT44" s="6"/>
      <c r="CVU44" s="6"/>
      <c r="CVV44" s="6"/>
      <c r="CVW44" s="6"/>
      <c r="CVX44" s="6"/>
      <c r="CVY44" s="6"/>
      <c r="CVZ44" s="6"/>
      <c r="CWA44" s="6"/>
      <c r="CWB44" s="6"/>
      <c r="CWC44" s="6"/>
      <c r="CWD44" s="6"/>
      <c r="CWE44" s="6"/>
      <c r="CWF44" s="6"/>
      <c r="CWG44" s="6"/>
      <c r="CWH44" s="6"/>
      <c r="CWI44" s="6"/>
      <c r="CWJ44" s="6"/>
      <c r="CWK44" s="6"/>
      <c r="CWL44" s="6"/>
      <c r="CWM44" s="6"/>
      <c r="CWN44" s="6"/>
      <c r="CWO44" s="6"/>
      <c r="CWP44" s="6"/>
      <c r="CWQ44" s="6"/>
      <c r="CWR44" s="6"/>
      <c r="CWS44" s="6"/>
      <c r="CWT44" s="6"/>
      <c r="CWU44" s="6"/>
      <c r="CWV44" s="6"/>
      <c r="CWW44" s="6"/>
      <c r="CWX44" s="6"/>
      <c r="CWY44" s="6"/>
      <c r="CWZ44" s="6"/>
      <c r="CXA44" s="6"/>
      <c r="CXB44" s="6"/>
      <c r="CXC44" s="6"/>
      <c r="CXD44" s="6"/>
      <c r="CXE44" s="6"/>
      <c r="CXF44" s="6"/>
      <c r="CXG44" s="6"/>
      <c r="CXH44" s="6"/>
      <c r="CXI44" s="6"/>
      <c r="CXJ44" s="6"/>
      <c r="CXK44" s="6"/>
      <c r="CXL44" s="6"/>
      <c r="CXM44" s="6"/>
      <c r="CXN44" s="6"/>
      <c r="CXO44" s="6"/>
      <c r="CXP44" s="6"/>
      <c r="CXQ44" s="6"/>
      <c r="CXR44" s="6"/>
      <c r="CXS44" s="6"/>
      <c r="CXT44" s="6"/>
      <c r="CXU44" s="6"/>
      <c r="CXV44" s="6"/>
      <c r="CXW44" s="6"/>
      <c r="CXX44" s="6"/>
      <c r="CXY44" s="6"/>
      <c r="CXZ44" s="6"/>
      <c r="CYA44" s="6"/>
      <c r="CYB44" s="6"/>
      <c r="CYC44" s="6"/>
      <c r="CYD44" s="6"/>
      <c r="CYE44" s="6"/>
      <c r="CYF44" s="6"/>
      <c r="CYG44" s="6"/>
      <c r="CYH44" s="6"/>
      <c r="CYI44" s="6"/>
      <c r="CYJ44" s="6"/>
      <c r="CYK44" s="6"/>
      <c r="CYL44" s="6"/>
      <c r="CYM44" s="6"/>
      <c r="CYN44" s="6"/>
      <c r="CYO44" s="6"/>
      <c r="CYP44" s="6"/>
      <c r="CYQ44" s="6"/>
      <c r="CYR44" s="6"/>
      <c r="CYS44" s="6"/>
      <c r="CYT44" s="6"/>
      <c r="CYU44" s="6"/>
      <c r="CYV44" s="6"/>
      <c r="CYW44" s="6"/>
      <c r="CYX44" s="6"/>
      <c r="CYY44" s="6"/>
      <c r="CYZ44" s="6"/>
      <c r="CZA44" s="6"/>
      <c r="CZB44" s="6"/>
      <c r="CZC44" s="6"/>
      <c r="CZD44" s="6"/>
      <c r="CZE44" s="6"/>
      <c r="CZF44" s="6"/>
      <c r="CZG44" s="6"/>
      <c r="CZH44" s="6"/>
      <c r="CZI44" s="6"/>
      <c r="CZJ44" s="6"/>
      <c r="CZK44" s="6"/>
      <c r="CZL44" s="6"/>
      <c r="CZM44" s="6"/>
      <c r="CZN44" s="6"/>
      <c r="CZO44" s="6"/>
      <c r="CZP44" s="6"/>
      <c r="CZQ44" s="6"/>
      <c r="CZR44" s="6"/>
      <c r="CZS44" s="6"/>
      <c r="CZT44" s="6"/>
      <c r="CZU44" s="6"/>
      <c r="CZV44" s="6"/>
      <c r="CZW44" s="6"/>
      <c r="CZX44" s="6"/>
      <c r="CZY44" s="6"/>
      <c r="CZZ44" s="6"/>
      <c r="DAA44" s="6"/>
      <c r="DAB44" s="6"/>
      <c r="DAC44" s="6"/>
      <c r="DAD44" s="6"/>
      <c r="DAE44" s="6"/>
      <c r="DAF44" s="6"/>
      <c r="DAG44" s="6"/>
      <c r="DAH44" s="6"/>
      <c r="DAI44" s="6"/>
      <c r="DAJ44" s="6"/>
      <c r="DAK44" s="6"/>
      <c r="DAL44" s="6"/>
      <c r="DAM44" s="6"/>
      <c r="DAN44" s="6"/>
      <c r="DAO44" s="6"/>
      <c r="DAP44" s="6"/>
      <c r="DAQ44" s="6"/>
      <c r="DAR44" s="6"/>
      <c r="DAS44" s="6"/>
      <c r="DAT44" s="6"/>
      <c r="DAU44" s="6"/>
      <c r="DAV44" s="6"/>
      <c r="DAW44" s="6"/>
      <c r="DAX44" s="6"/>
      <c r="DAY44" s="6"/>
      <c r="DAZ44" s="6"/>
      <c r="DBA44" s="6"/>
      <c r="DBB44" s="6"/>
      <c r="DBC44" s="6"/>
      <c r="DBD44" s="6"/>
      <c r="DBE44" s="6"/>
      <c r="DBF44" s="6"/>
      <c r="DBG44" s="6"/>
      <c r="DBH44" s="6"/>
      <c r="DBI44" s="6"/>
      <c r="DBJ44" s="6"/>
      <c r="DBK44" s="6"/>
      <c r="DBL44" s="6"/>
      <c r="DBM44" s="6"/>
      <c r="DBN44" s="6"/>
      <c r="DBO44" s="6"/>
      <c r="DBP44" s="6"/>
      <c r="DBQ44" s="6"/>
      <c r="DBR44" s="6"/>
      <c r="DBS44" s="6"/>
      <c r="DBT44" s="6"/>
      <c r="DBU44" s="6"/>
      <c r="DBV44" s="6"/>
      <c r="DBW44" s="6"/>
      <c r="DBX44" s="6"/>
      <c r="DBY44" s="6"/>
      <c r="DBZ44" s="6"/>
      <c r="DCA44" s="6"/>
      <c r="DCB44" s="6"/>
      <c r="DCC44" s="6"/>
      <c r="DCD44" s="6"/>
      <c r="DCE44" s="6"/>
      <c r="DCF44" s="6"/>
      <c r="DCG44" s="6"/>
      <c r="DCH44" s="6"/>
      <c r="DCI44" s="6"/>
      <c r="DCJ44" s="6"/>
      <c r="DCK44" s="6"/>
      <c r="DCL44" s="6"/>
      <c r="DCM44" s="6"/>
      <c r="DCN44" s="6"/>
      <c r="DCO44" s="6"/>
      <c r="DCP44" s="6"/>
      <c r="DCQ44" s="6"/>
      <c r="DCR44" s="6"/>
      <c r="DCS44" s="6"/>
      <c r="DCT44" s="6"/>
      <c r="DCU44" s="6"/>
      <c r="DCV44" s="6"/>
      <c r="DCW44" s="6"/>
      <c r="DCX44" s="6"/>
      <c r="DCY44" s="6"/>
      <c r="DCZ44" s="6"/>
      <c r="DDA44" s="6"/>
      <c r="DDB44" s="6"/>
      <c r="DDC44" s="6"/>
      <c r="DDD44" s="6"/>
      <c r="DDE44" s="6"/>
      <c r="DDF44" s="6"/>
      <c r="DDG44" s="6"/>
      <c r="DDH44" s="6"/>
      <c r="DDI44" s="6"/>
      <c r="DDJ44" s="6"/>
      <c r="DDK44" s="6"/>
      <c r="DDL44" s="6"/>
      <c r="DDM44" s="6"/>
      <c r="DDN44" s="6"/>
      <c r="DDO44" s="6"/>
      <c r="DDP44" s="6"/>
      <c r="DDQ44" s="6"/>
      <c r="DDR44" s="6"/>
      <c r="DDS44" s="6"/>
      <c r="DDT44" s="6"/>
      <c r="DDU44" s="6"/>
      <c r="DDV44" s="6"/>
      <c r="DDW44" s="6"/>
      <c r="DDX44" s="6"/>
      <c r="DDY44" s="6"/>
      <c r="DDZ44" s="6"/>
      <c r="DEA44" s="6"/>
      <c r="DEB44" s="6"/>
      <c r="DEC44" s="6"/>
      <c r="DED44" s="6"/>
      <c r="DEE44" s="6"/>
      <c r="DEF44" s="6"/>
      <c r="DEG44" s="6"/>
      <c r="DEH44" s="6"/>
      <c r="DEI44" s="6"/>
      <c r="DEJ44" s="6"/>
      <c r="DEK44" s="6"/>
      <c r="DEL44" s="6"/>
      <c r="DEM44" s="6"/>
      <c r="DEN44" s="6"/>
      <c r="DEO44" s="6"/>
      <c r="DEP44" s="6"/>
      <c r="DEQ44" s="6"/>
      <c r="DER44" s="6"/>
      <c r="DES44" s="6"/>
      <c r="DET44" s="6"/>
      <c r="DEU44" s="6"/>
      <c r="DEV44" s="6"/>
      <c r="DEW44" s="6"/>
      <c r="DEX44" s="6"/>
      <c r="DEY44" s="6"/>
      <c r="DEZ44" s="6"/>
      <c r="DFA44" s="6"/>
      <c r="DFB44" s="6"/>
      <c r="DFC44" s="6"/>
      <c r="DFD44" s="6"/>
      <c r="DFE44" s="6"/>
      <c r="DFF44" s="6"/>
      <c r="DFG44" s="6"/>
      <c r="DFH44" s="6"/>
      <c r="DFI44" s="6"/>
      <c r="DFJ44" s="6"/>
      <c r="DFK44" s="6"/>
      <c r="DFL44" s="6"/>
      <c r="DFM44" s="6"/>
      <c r="DFN44" s="6"/>
      <c r="DFO44" s="6"/>
      <c r="DFP44" s="6"/>
      <c r="DFQ44" s="6"/>
      <c r="DFR44" s="6"/>
      <c r="DFS44" s="6"/>
      <c r="DFT44" s="6"/>
      <c r="DFU44" s="6"/>
      <c r="DFV44" s="6"/>
      <c r="DFW44" s="6"/>
      <c r="DFX44" s="6"/>
      <c r="DFY44" s="6"/>
      <c r="DFZ44" s="6"/>
      <c r="DGA44" s="6"/>
      <c r="DGB44" s="6"/>
      <c r="DGC44" s="6"/>
      <c r="DGD44" s="6"/>
      <c r="DGE44" s="6"/>
      <c r="DGF44" s="6"/>
      <c r="DGG44" s="6"/>
      <c r="DGH44" s="6"/>
      <c r="DGI44" s="6"/>
      <c r="DGJ44" s="6"/>
      <c r="DGK44" s="6"/>
      <c r="DGL44" s="6"/>
      <c r="DGM44" s="6"/>
      <c r="DGN44" s="6"/>
      <c r="DGO44" s="6"/>
      <c r="DGP44" s="6"/>
      <c r="DGQ44" s="6"/>
      <c r="DGR44" s="6"/>
      <c r="DGS44" s="6"/>
      <c r="DGT44" s="6"/>
      <c r="DGU44" s="6"/>
      <c r="DGV44" s="6"/>
      <c r="DGW44" s="6"/>
      <c r="DGX44" s="6"/>
      <c r="DGY44" s="6"/>
      <c r="DGZ44" s="6"/>
      <c r="DHA44" s="6"/>
      <c r="DHB44" s="6"/>
      <c r="DHC44" s="6"/>
      <c r="DHD44" s="6"/>
      <c r="DHE44" s="6"/>
      <c r="DHF44" s="6"/>
      <c r="DHG44" s="6"/>
      <c r="DHH44" s="6"/>
      <c r="DHI44" s="6"/>
      <c r="DHJ44" s="6"/>
      <c r="DHK44" s="6"/>
      <c r="DHL44" s="6"/>
      <c r="DHM44" s="6"/>
      <c r="DHN44" s="6"/>
      <c r="DHO44" s="6"/>
      <c r="DHP44" s="6"/>
      <c r="DHQ44" s="6"/>
      <c r="DHR44" s="6"/>
      <c r="DHS44" s="6"/>
      <c r="DHT44" s="6"/>
      <c r="DHU44" s="6"/>
      <c r="DHV44" s="6"/>
      <c r="DHW44" s="6"/>
      <c r="DHX44" s="6"/>
      <c r="DHY44" s="6"/>
      <c r="DHZ44" s="6"/>
      <c r="DIA44" s="6"/>
      <c r="DIB44" s="6"/>
      <c r="DIC44" s="6"/>
      <c r="DID44" s="6"/>
      <c r="DIE44" s="6"/>
      <c r="DIF44" s="6"/>
      <c r="DIG44" s="6"/>
      <c r="DIH44" s="6"/>
      <c r="DII44" s="6"/>
      <c r="DIJ44" s="6"/>
      <c r="DIK44" s="6"/>
      <c r="DIL44" s="6"/>
      <c r="DIM44" s="6"/>
      <c r="DIN44" s="6"/>
      <c r="DIO44" s="6"/>
      <c r="DIP44" s="6"/>
      <c r="DIQ44" s="6"/>
      <c r="DIR44" s="6"/>
      <c r="DIS44" s="6"/>
      <c r="DIT44" s="6"/>
      <c r="DIU44" s="6"/>
      <c r="DIV44" s="6"/>
      <c r="DIW44" s="6"/>
      <c r="DIX44" s="6"/>
      <c r="DIY44" s="6"/>
      <c r="DIZ44" s="6"/>
      <c r="DJA44" s="6"/>
      <c r="DJB44" s="6"/>
      <c r="DJC44" s="6"/>
      <c r="DJD44" s="6"/>
      <c r="DJE44" s="6"/>
      <c r="DJF44" s="6"/>
      <c r="DJG44" s="6"/>
      <c r="DJH44" s="6"/>
      <c r="DJI44" s="6"/>
      <c r="DJJ44" s="6"/>
      <c r="DJK44" s="6"/>
      <c r="DJL44" s="6"/>
      <c r="DJM44" s="6"/>
      <c r="DJN44" s="6"/>
      <c r="DJO44" s="6"/>
      <c r="DJP44" s="6"/>
      <c r="DJQ44" s="6"/>
      <c r="DJR44" s="6"/>
      <c r="DJS44" s="6"/>
      <c r="DJT44" s="6"/>
      <c r="DJU44" s="6"/>
      <c r="DJV44" s="6"/>
      <c r="DJW44" s="6"/>
      <c r="DJX44" s="6"/>
      <c r="DJY44" s="6"/>
      <c r="DJZ44" s="6"/>
      <c r="DKA44" s="6"/>
      <c r="DKB44" s="6"/>
      <c r="DKC44" s="6"/>
      <c r="DKD44" s="6"/>
      <c r="DKE44" s="6"/>
      <c r="DKF44" s="6"/>
      <c r="DKG44" s="6"/>
      <c r="DKH44" s="6"/>
      <c r="DKI44" s="6"/>
      <c r="DKJ44" s="6"/>
      <c r="DKK44" s="6"/>
      <c r="DKL44" s="6"/>
      <c r="DKM44" s="6"/>
      <c r="DKN44" s="6"/>
      <c r="DKO44" s="6"/>
      <c r="DKP44" s="6"/>
      <c r="DKQ44" s="6"/>
      <c r="DKR44" s="6"/>
      <c r="DKS44" s="6"/>
      <c r="DKT44" s="6"/>
      <c r="DKU44" s="6"/>
      <c r="DKV44" s="6"/>
      <c r="DKW44" s="6"/>
      <c r="DKX44" s="6"/>
      <c r="DKY44" s="6"/>
      <c r="DKZ44" s="6"/>
      <c r="DLA44" s="6"/>
      <c r="DLB44" s="6"/>
      <c r="DLC44" s="6"/>
      <c r="DLD44" s="6"/>
      <c r="DLE44" s="6"/>
      <c r="DLF44" s="6"/>
      <c r="DLG44" s="6"/>
      <c r="DLH44" s="6"/>
      <c r="DLI44" s="6"/>
      <c r="DLJ44" s="6"/>
      <c r="DLK44" s="6"/>
      <c r="DLL44" s="6"/>
      <c r="DLM44" s="6"/>
      <c r="DLN44" s="6"/>
      <c r="DLO44" s="6"/>
      <c r="DLP44" s="6"/>
      <c r="DLQ44" s="6"/>
      <c r="DLR44" s="6"/>
      <c r="DLS44" s="6"/>
      <c r="DLT44" s="6"/>
      <c r="DLU44" s="6"/>
      <c r="DLV44" s="6"/>
      <c r="DLW44" s="6"/>
      <c r="DLX44" s="6"/>
      <c r="DLY44" s="6"/>
      <c r="DLZ44" s="6"/>
      <c r="DMA44" s="6"/>
      <c r="DMB44" s="6"/>
      <c r="DMC44" s="6"/>
      <c r="DMD44" s="6"/>
      <c r="DME44" s="6"/>
      <c r="DMF44" s="6"/>
      <c r="DMG44" s="6"/>
      <c r="DMH44" s="6"/>
      <c r="DMI44" s="6"/>
      <c r="DMJ44" s="6"/>
      <c r="DMK44" s="6"/>
      <c r="DML44" s="6"/>
      <c r="DMM44" s="6"/>
      <c r="DMN44" s="6"/>
      <c r="DMO44" s="6"/>
      <c r="DMP44" s="6"/>
      <c r="DMQ44" s="6"/>
      <c r="DMR44" s="6"/>
      <c r="DMS44" s="6"/>
      <c r="DMT44" s="6"/>
      <c r="DMU44" s="6"/>
      <c r="DMV44" s="6"/>
      <c r="DMW44" s="6"/>
      <c r="DMX44" s="6"/>
      <c r="DMY44" s="6"/>
      <c r="DMZ44" s="6"/>
      <c r="DNA44" s="6"/>
      <c r="DNB44" s="6"/>
      <c r="DNC44" s="6"/>
      <c r="DND44" s="6"/>
      <c r="DNE44" s="6"/>
      <c r="DNF44" s="6"/>
      <c r="DNG44" s="6"/>
      <c r="DNH44" s="6"/>
      <c r="DNI44" s="6"/>
      <c r="DNJ44" s="6"/>
      <c r="DNK44" s="6"/>
      <c r="DNL44" s="6"/>
      <c r="DNM44" s="6"/>
      <c r="DNN44" s="6"/>
      <c r="DNO44" s="6"/>
      <c r="DNP44" s="6"/>
      <c r="DNQ44" s="6"/>
      <c r="DNR44" s="6"/>
      <c r="DNS44" s="6"/>
      <c r="DNT44" s="6"/>
      <c r="DNU44" s="6"/>
      <c r="DNV44" s="6"/>
      <c r="DNW44" s="6"/>
      <c r="DNX44" s="6"/>
      <c r="DNY44" s="6"/>
      <c r="DNZ44" s="6"/>
      <c r="DOA44" s="6"/>
      <c r="DOB44" s="6"/>
      <c r="DOC44" s="6"/>
      <c r="DOD44" s="6"/>
      <c r="DOE44" s="6"/>
      <c r="DOF44" s="6"/>
      <c r="DOG44" s="6"/>
      <c r="DOH44" s="6"/>
      <c r="DOI44" s="6"/>
      <c r="DOJ44" s="6"/>
      <c r="DOK44" s="6"/>
      <c r="DOL44" s="6"/>
      <c r="DOM44" s="6"/>
      <c r="DON44" s="6"/>
      <c r="DOO44" s="6"/>
      <c r="DOP44" s="6"/>
      <c r="DOQ44" s="6"/>
      <c r="DOR44" s="6"/>
      <c r="DOS44" s="6"/>
      <c r="DOT44" s="6"/>
      <c r="DOU44" s="6"/>
      <c r="DOV44" s="6"/>
      <c r="DOW44" s="6"/>
      <c r="DOX44" s="6"/>
      <c r="DOY44" s="6"/>
      <c r="DOZ44" s="6"/>
      <c r="DPA44" s="6"/>
      <c r="DPB44" s="6"/>
      <c r="DPC44" s="6"/>
      <c r="DPD44" s="6"/>
      <c r="DPE44" s="6"/>
      <c r="DPF44" s="6"/>
      <c r="DPG44" s="6"/>
      <c r="DPH44" s="6"/>
      <c r="DPI44" s="6"/>
      <c r="DPJ44" s="6"/>
      <c r="DPK44" s="6"/>
      <c r="DPL44" s="6"/>
      <c r="DPM44" s="6"/>
      <c r="DPN44" s="6"/>
      <c r="DPO44" s="6"/>
      <c r="DPP44" s="6"/>
      <c r="DPQ44" s="6"/>
      <c r="DPR44" s="6"/>
      <c r="DPS44" s="6"/>
      <c r="DPT44" s="6"/>
      <c r="DPU44" s="6"/>
      <c r="DPV44" s="6"/>
      <c r="DPW44" s="6"/>
      <c r="DPX44" s="6"/>
      <c r="DPY44" s="6"/>
      <c r="DPZ44" s="6"/>
      <c r="DQA44" s="6"/>
      <c r="DQB44" s="6"/>
      <c r="DQC44" s="6"/>
      <c r="DQD44" s="6"/>
      <c r="DQE44" s="6"/>
      <c r="DQF44" s="6"/>
      <c r="DQG44" s="6"/>
      <c r="DQH44" s="6"/>
      <c r="DQI44" s="6"/>
      <c r="DQJ44" s="6"/>
      <c r="DQK44" s="6"/>
      <c r="DQL44" s="6"/>
      <c r="DQM44" s="6"/>
      <c r="DQN44" s="6"/>
      <c r="DQO44" s="6"/>
      <c r="DQP44" s="6"/>
      <c r="DQQ44" s="6"/>
      <c r="DQR44" s="6"/>
      <c r="DQS44" s="6"/>
      <c r="DQT44" s="6"/>
      <c r="DQU44" s="6"/>
      <c r="DQV44" s="6"/>
      <c r="DQW44" s="6"/>
      <c r="DQX44" s="6"/>
      <c r="DQY44" s="6"/>
      <c r="DQZ44" s="6"/>
      <c r="DRA44" s="6"/>
      <c r="DRB44" s="6"/>
      <c r="DRC44" s="6"/>
      <c r="DRD44" s="6"/>
      <c r="DRE44" s="6"/>
      <c r="DRF44" s="6"/>
      <c r="DRG44" s="6"/>
      <c r="DRH44" s="6"/>
      <c r="DRI44" s="6"/>
      <c r="DRJ44" s="6"/>
      <c r="DRK44" s="6"/>
      <c r="DRL44" s="6"/>
      <c r="DRM44" s="6"/>
      <c r="DRN44" s="6"/>
      <c r="DRO44" s="6"/>
      <c r="DRP44" s="6"/>
      <c r="DRQ44" s="6"/>
      <c r="DRR44" s="6"/>
      <c r="DRS44" s="6"/>
      <c r="DRT44" s="6"/>
      <c r="DRU44" s="6"/>
      <c r="DRV44" s="6"/>
      <c r="DRW44" s="6"/>
      <c r="DRX44" s="6"/>
      <c r="DRY44" s="6"/>
      <c r="DRZ44" s="6"/>
      <c r="DSA44" s="6"/>
      <c r="DSB44" s="6"/>
      <c r="DSC44" s="6"/>
      <c r="DSD44" s="6"/>
      <c r="DSE44" s="6"/>
      <c r="DSF44" s="6"/>
      <c r="DSG44" s="6"/>
      <c r="DSH44" s="6"/>
      <c r="DSI44" s="6"/>
      <c r="DSJ44" s="6"/>
      <c r="DSK44" s="6"/>
      <c r="DSL44" s="6"/>
      <c r="DSM44" s="6"/>
      <c r="DSN44" s="6"/>
      <c r="DSO44" s="6"/>
      <c r="DSP44" s="6"/>
      <c r="DSQ44" s="6"/>
      <c r="DSR44" s="6"/>
      <c r="DSS44" s="6"/>
      <c r="DST44" s="6"/>
      <c r="DSU44" s="6"/>
      <c r="DSV44" s="6"/>
      <c r="DSW44" s="6"/>
      <c r="DSX44" s="6"/>
      <c r="DSY44" s="6"/>
      <c r="DSZ44" s="6"/>
      <c r="DTA44" s="6"/>
      <c r="DTB44" s="6"/>
      <c r="DTC44" s="6"/>
      <c r="DTD44" s="6"/>
      <c r="DTE44" s="6"/>
      <c r="DTF44" s="6"/>
      <c r="DTG44" s="6"/>
      <c r="DTH44" s="6"/>
      <c r="DTI44" s="6"/>
      <c r="DTJ44" s="6"/>
      <c r="DTK44" s="6"/>
      <c r="DTL44" s="6"/>
      <c r="DTM44" s="6"/>
      <c r="DTN44" s="6"/>
      <c r="DTO44" s="6"/>
      <c r="DTP44" s="6"/>
      <c r="DTQ44" s="6"/>
      <c r="DTR44" s="6"/>
      <c r="DTS44" s="6"/>
      <c r="DTT44" s="6"/>
      <c r="DTU44" s="6"/>
      <c r="DTV44" s="6"/>
      <c r="DTW44" s="6"/>
      <c r="DTX44" s="6"/>
      <c r="DTY44" s="6"/>
      <c r="DTZ44" s="6"/>
      <c r="DUA44" s="6"/>
      <c r="DUB44" s="6"/>
      <c r="DUC44" s="6"/>
      <c r="DUD44" s="6"/>
      <c r="DUE44" s="6"/>
      <c r="DUF44" s="6"/>
      <c r="DUG44" s="6"/>
      <c r="DUH44" s="6"/>
      <c r="DUI44" s="6"/>
      <c r="DUJ44" s="6"/>
      <c r="DUK44" s="6"/>
      <c r="DUL44" s="6"/>
      <c r="DUM44" s="6"/>
      <c r="DUN44" s="6"/>
      <c r="DUO44" s="6"/>
      <c r="DUP44" s="6"/>
      <c r="DUQ44" s="6"/>
      <c r="DUR44" s="6"/>
      <c r="DUS44" s="6"/>
      <c r="DUT44" s="6"/>
      <c r="DUU44" s="6"/>
      <c r="DUV44" s="6"/>
      <c r="DUW44" s="6"/>
      <c r="DUX44" s="6"/>
      <c r="DUY44" s="6"/>
      <c r="DUZ44" s="6"/>
      <c r="DVA44" s="6"/>
      <c r="DVB44" s="6"/>
      <c r="DVC44" s="6"/>
      <c r="DVD44" s="6"/>
      <c r="DVE44" s="6"/>
      <c r="DVF44" s="6"/>
      <c r="DVG44" s="6"/>
      <c r="DVH44" s="6"/>
      <c r="DVI44" s="6"/>
      <c r="DVJ44" s="6"/>
      <c r="DVK44" s="6"/>
      <c r="DVL44" s="6"/>
      <c r="DVM44" s="6"/>
      <c r="DVN44" s="6"/>
      <c r="DVO44" s="6"/>
      <c r="DVP44" s="6"/>
      <c r="DVQ44" s="6"/>
      <c r="DVR44" s="6"/>
      <c r="DVS44" s="6"/>
      <c r="DVT44" s="6"/>
      <c r="DVU44" s="6"/>
      <c r="DVV44" s="6"/>
      <c r="DVW44" s="6"/>
      <c r="DVX44" s="6"/>
      <c r="DVY44" s="6"/>
      <c r="DVZ44" s="6"/>
      <c r="DWA44" s="6"/>
      <c r="DWB44" s="6"/>
      <c r="DWC44" s="6"/>
      <c r="DWD44" s="6"/>
      <c r="DWE44" s="6"/>
      <c r="DWF44" s="6"/>
      <c r="DWG44" s="6"/>
      <c r="DWH44" s="6"/>
      <c r="DWI44" s="6"/>
      <c r="DWJ44" s="6"/>
      <c r="DWK44" s="6"/>
      <c r="DWL44" s="6"/>
      <c r="DWM44" s="6"/>
      <c r="DWN44" s="6"/>
      <c r="DWO44" s="6"/>
      <c r="DWP44" s="6"/>
      <c r="DWQ44" s="6"/>
      <c r="DWR44" s="6"/>
      <c r="DWS44" s="6"/>
      <c r="DWT44" s="6"/>
      <c r="DWU44" s="6"/>
      <c r="DWV44" s="6"/>
      <c r="DWW44" s="6"/>
      <c r="DWX44" s="6"/>
      <c r="DWY44" s="6"/>
      <c r="DWZ44" s="6"/>
      <c r="DXA44" s="6"/>
      <c r="DXB44" s="6"/>
      <c r="DXC44" s="6"/>
      <c r="DXD44" s="6"/>
      <c r="DXE44" s="6"/>
      <c r="DXF44" s="6"/>
      <c r="DXG44" s="6"/>
      <c r="DXH44" s="6"/>
      <c r="DXI44" s="6"/>
      <c r="DXJ44" s="6"/>
      <c r="DXK44" s="6"/>
      <c r="DXL44" s="6"/>
      <c r="DXM44" s="6"/>
      <c r="DXN44" s="6"/>
      <c r="DXO44" s="6"/>
      <c r="DXP44" s="6"/>
      <c r="DXQ44" s="6"/>
      <c r="DXR44" s="6"/>
      <c r="DXS44" s="6"/>
      <c r="DXT44" s="6"/>
      <c r="DXU44" s="6"/>
      <c r="DXV44" s="6"/>
      <c r="DXW44" s="6"/>
      <c r="DXX44" s="6"/>
      <c r="DXY44" s="6"/>
      <c r="DXZ44" s="6"/>
      <c r="DYA44" s="6"/>
      <c r="DYB44" s="6"/>
      <c r="DYC44" s="6"/>
      <c r="DYD44" s="6"/>
      <c r="DYE44" s="6"/>
      <c r="DYF44" s="6"/>
      <c r="DYG44" s="6"/>
      <c r="DYH44" s="6"/>
      <c r="DYI44" s="6"/>
      <c r="DYJ44" s="6"/>
      <c r="DYK44" s="6"/>
      <c r="DYL44" s="6"/>
      <c r="DYM44" s="6"/>
      <c r="DYN44" s="6"/>
      <c r="DYO44" s="6"/>
      <c r="DYP44" s="6"/>
      <c r="DYQ44" s="6"/>
      <c r="DYR44" s="6"/>
      <c r="DYS44" s="6"/>
      <c r="DYT44" s="6"/>
      <c r="DYU44" s="6"/>
      <c r="DYV44" s="6"/>
      <c r="DYW44" s="6"/>
      <c r="DYX44" s="6"/>
      <c r="DYY44" s="6"/>
      <c r="DYZ44" s="6"/>
      <c r="DZA44" s="6"/>
      <c r="DZB44" s="6"/>
      <c r="DZC44" s="6"/>
      <c r="DZD44" s="6"/>
      <c r="DZE44" s="6"/>
      <c r="DZF44" s="6"/>
      <c r="DZG44" s="6"/>
      <c r="DZH44" s="6"/>
      <c r="DZI44" s="6"/>
      <c r="DZJ44" s="6"/>
      <c r="DZK44" s="6"/>
      <c r="DZL44" s="6"/>
      <c r="DZM44" s="6"/>
      <c r="DZN44" s="6"/>
      <c r="DZO44" s="6"/>
      <c r="DZP44" s="6"/>
      <c r="DZQ44" s="6"/>
      <c r="DZR44" s="6"/>
      <c r="DZS44" s="6"/>
      <c r="DZT44" s="6"/>
      <c r="DZU44" s="6"/>
      <c r="DZV44" s="6"/>
      <c r="DZW44" s="6"/>
      <c r="DZX44" s="6"/>
      <c r="DZY44" s="6"/>
      <c r="DZZ44" s="6"/>
      <c r="EAA44" s="6"/>
      <c r="EAB44" s="6"/>
      <c r="EAC44" s="6"/>
      <c r="EAD44" s="6"/>
      <c r="EAE44" s="6"/>
      <c r="EAF44" s="6"/>
      <c r="EAG44" s="6"/>
      <c r="EAH44" s="6"/>
      <c r="EAI44" s="6"/>
      <c r="EAJ44" s="6"/>
      <c r="EAK44" s="6"/>
      <c r="EAL44" s="6"/>
      <c r="EAM44" s="6"/>
      <c r="EAN44" s="6"/>
      <c r="EAO44" s="6"/>
      <c r="EAP44" s="6"/>
      <c r="EAQ44" s="6"/>
      <c r="EAR44" s="6"/>
      <c r="EAS44" s="6"/>
      <c r="EAT44" s="6"/>
      <c r="EAU44" s="6"/>
      <c r="EAV44" s="6"/>
      <c r="EAW44" s="6"/>
      <c r="EAX44" s="6"/>
      <c r="EAY44" s="6"/>
      <c r="EAZ44" s="6"/>
      <c r="EBA44" s="6"/>
      <c r="EBB44" s="6"/>
      <c r="EBC44" s="6"/>
      <c r="EBD44" s="6"/>
      <c r="EBE44" s="6"/>
      <c r="EBF44" s="6"/>
      <c r="EBG44" s="6"/>
      <c r="EBH44" s="6"/>
      <c r="EBI44" s="6"/>
      <c r="EBJ44" s="6"/>
      <c r="EBK44" s="6"/>
      <c r="EBL44" s="6"/>
      <c r="EBM44" s="6"/>
      <c r="EBN44" s="6"/>
      <c r="EBO44" s="6"/>
      <c r="EBP44" s="6"/>
      <c r="EBQ44" s="6"/>
      <c r="EBR44" s="6"/>
      <c r="EBS44" s="6"/>
      <c r="EBT44" s="6"/>
      <c r="EBU44" s="6"/>
      <c r="EBV44" s="6"/>
      <c r="EBW44" s="6"/>
      <c r="EBX44" s="6"/>
      <c r="EBY44" s="6"/>
      <c r="EBZ44" s="6"/>
      <c r="ECA44" s="6"/>
      <c r="ECB44" s="6"/>
      <c r="ECC44" s="6"/>
      <c r="ECD44" s="6"/>
      <c r="ECE44" s="6"/>
      <c r="ECF44" s="6"/>
      <c r="ECG44" s="6"/>
      <c r="ECH44" s="6"/>
      <c r="ECI44" s="6"/>
      <c r="ECJ44" s="6"/>
      <c r="ECK44" s="6"/>
      <c r="ECL44" s="6"/>
      <c r="ECM44" s="6"/>
      <c r="ECN44" s="6"/>
      <c r="ECO44" s="6"/>
      <c r="ECP44" s="6"/>
      <c r="ECQ44" s="6"/>
      <c r="ECR44" s="6"/>
      <c r="ECS44" s="6"/>
      <c r="ECT44" s="6"/>
      <c r="ECU44" s="6"/>
      <c r="ECV44" s="6"/>
      <c r="ECW44" s="6"/>
      <c r="ECX44" s="6"/>
      <c r="ECY44" s="6"/>
      <c r="ECZ44" s="6"/>
      <c r="EDA44" s="6"/>
      <c r="EDB44" s="6"/>
      <c r="EDC44" s="6"/>
      <c r="EDD44" s="6"/>
      <c r="EDE44" s="6"/>
      <c r="EDF44" s="6"/>
      <c r="EDG44" s="6"/>
      <c r="EDH44" s="6"/>
      <c r="EDI44" s="6"/>
      <c r="EDJ44" s="6"/>
      <c r="EDK44" s="6"/>
      <c r="EDL44" s="6"/>
      <c r="EDM44" s="6"/>
      <c r="EDN44" s="6"/>
      <c r="EDO44" s="6"/>
      <c r="EDP44" s="6"/>
      <c r="EDQ44" s="6"/>
      <c r="EDR44" s="6"/>
      <c r="EDS44" s="6"/>
      <c r="EDT44" s="6"/>
      <c r="EDU44" s="6"/>
      <c r="EDV44" s="6"/>
      <c r="EDW44" s="6"/>
      <c r="EDX44" s="6"/>
      <c r="EDY44" s="6"/>
      <c r="EDZ44" s="6"/>
      <c r="EEA44" s="6"/>
      <c r="EEB44" s="6"/>
      <c r="EEC44" s="6"/>
      <c r="EED44" s="6"/>
      <c r="EEE44" s="6"/>
      <c r="EEF44" s="6"/>
      <c r="EEG44" s="6"/>
      <c r="EEH44" s="6"/>
      <c r="EEI44" s="6"/>
      <c r="EEJ44" s="6"/>
      <c r="EEK44" s="6"/>
      <c r="EEL44" s="6"/>
      <c r="EEM44" s="6"/>
      <c r="EEN44" s="6"/>
      <c r="EEO44" s="6"/>
      <c r="EEP44" s="6"/>
      <c r="EEQ44" s="6"/>
      <c r="EER44" s="6"/>
      <c r="EES44" s="6"/>
      <c r="EET44" s="6"/>
      <c r="EEU44" s="6"/>
      <c r="EEV44" s="6"/>
      <c r="EEW44" s="6"/>
      <c r="EEX44" s="6"/>
      <c r="EEY44" s="6"/>
      <c r="EEZ44" s="6"/>
      <c r="EFA44" s="6"/>
      <c r="EFB44" s="6"/>
      <c r="EFC44" s="6"/>
      <c r="EFD44" s="6"/>
      <c r="EFE44" s="6"/>
      <c r="EFF44" s="6"/>
      <c r="EFG44" s="6"/>
      <c r="EFH44" s="6"/>
      <c r="EFI44" s="6"/>
      <c r="EFJ44" s="6"/>
      <c r="EFK44" s="6"/>
      <c r="EFL44" s="6"/>
      <c r="EFM44" s="6"/>
      <c r="EFN44" s="6"/>
      <c r="EFO44" s="6"/>
      <c r="EFP44" s="6"/>
      <c r="EFQ44" s="6"/>
      <c r="EFR44" s="6"/>
      <c r="EFS44" s="6"/>
      <c r="EFT44" s="6"/>
      <c r="EFU44" s="6"/>
      <c r="EFV44" s="6"/>
      <c r="EFW44" s="6"/>
      <c r="EFX44" s="6"/>
      <c r="EFY44" s="6"/>
      <c r="EFZ44" s="6"/>
      <c r="EGA44" s="6"/>
      <c r="EGB44" s="6"/>
      <c r="EGC44" s="6"/>
      <c r="EGD44" s="6"/>
      <c r="EGE44" s="6"/>
      <c r="EGF44" s="6"/>
      <c r="EGG44" s="6"/>
      <c r="EGH44" s="6"/>
      <c r="EGI44" s="6"/>
      <c r="EGJ44" s="6"/>
      <c r="EGK44" s="6"/>
      <c r="EGL44" s="6"/>
      <c r="EGM44" s="6"/>
      <c r="EGN44" s="6"/>
      <c r="EGO44" s="6"/>
      <c r="EGP44" s="6"/>
      <c r="EGQ44" s="6"/>
      <c r="EGR44" s="6"/>
      <c r="EGS44" s="6"/>
      <c r="EGT44" s="6"/>
      <c r="EGU44" s="6"/>
      <c r="EGV44" s="6"/>
      <c r="EGW44" s="6"/>
      <c r="EGX44" s="6"/>
      <c r="EGY44" s="6"/>
      <c r="EGZ44" s="6"/>
      <c r="EHA44" s="6"/>
      <c r="EHB44" s="6"/>
      <c r="EHC44" s="6"/>
      <c r="EHD44" s="6"/>
      <c r="EHE44" s="6"/>
      <c r="EHF44" s="6"/>
      <c r="EHG44" s="6"/>
      <c r="EHH44" s="6"/>
      <c r="EHI44" s="6"/>
      <c r="EHJ44" s="6"/>
      <c r="EHK44" s="6"/>
      <c r="EHL44" s="6"/>
      <c r="EHM44" s="6"/>
      <c r="EHN44" s="6"/>
      <c r="EHO44" s="6"/>
      <c r="EHP44" s="6"/>
      <c r="EHQ44" s="6"/>
      <c r="EHR44" s="6"/>
      <c r="EHS44" s="6"/>
      <c r="EHT44" s="6"/>
      <c r="EHU44" s="6"/>
      <c r="EHV44" s="6"/>
      <c r="EHW44" s="6"/>
      <c r="EHX44" s="6"/>
      <c r="EHY44" s="6"/>
      <c r="EHZ44" s="6"/>
      <c r="EIA44" s="6"/>
      <c r="EIB44" s="6"/>
      <c r="EIC44" s="6"/>
      <c r="EID44" s="6"/>
      <c r="EIE44" s="6"/>
      <c r="EIF44" s="6"/>
      <c r="EIG44" s="6"/>
      <c r="EIH44" s="6"/>
      <c r="EII44" s="6"/>
      <c r="EIJ44" s="6"/>
      <c r="EIK44" s="6"/>
      <c r="EIL44" s="6"/>
      <c r="EIM44" s="6"/>
      <c r="EIN44" s="6"/>
      <c r="EIO44" s="6"/>
      <c r="EIP44" s="6"/>
      <c r="EIQ44" s="6"/>
      <c r="EIR44" s="6"/>
      <c r="EIS44" s="6"/>
      <c r="EIT44" s="6"/>
      <c r="EIU44" s="6"/>
      <c r="EIV44" s="6"/>
      <c r="EIW44" s="6"/>
      <c r="EIX44" s="6"/>
      <c r="EIY44" s="6"/>
      <c r="EIZ44" s="6"/>
      <c r="EJA44" s="6"/>
      <c r="EJB44" s="6"/>
      <c r="EJC44" s="6"/>
      <c r="EJD44" s="6"/>
      <c r="EJE44" s="6"/>
      <c r="EJF44" s="6"/>
      <c r="EJG44" s="6"/>
      <c r="EJH44" s="6"/>
      <c r="EJI44" s="6"/>
      <c r="EJJ44" s="6"/>
      <c r="EJK44" s="6"/>
      <c r="EJL44" s="6"/>
      <c r="EJM44" s="6"/>
      <c r="EJN44" s="6"/>
      <c r="EJO44" s="6"/>
      <c r="EJP44" s="6"/>
      <c r="EJQ44" s="6"/>
      <c r="EJR44" s="6"/>
      <c r="EJS44" s="6"/>
      <c r="EJT44" s="6"/>
      <c r="EJU44" s="6"/>
      <c r="EJV44" s="6"/>
      <c r="EJW44" s="6"/>
      <c r="EJX44" s="6"/>
      <c r="EJY44" s="6"/>
      <c r="EJZ44" s="6"/>
      <c r="EKA44" s="6"/>
      <c r="EKB44" s="6"/>
      <c r="EKC44" s="6"/>
      <c r="EKD44" s="6"/>
      <c r="EKE44" s="6"/>
      <c r="EKF44" s="6"/>
      <c r="EKG44" s="6"/>
      <c r="EKH44" s="6"/>
      <c r="EKI44" s="6"/>
      <c r="EKJ44" s="6"/>
      <c r="EKK44" s="6"/>
      <c r="EKL44" s="6"/>
      <c r="EKM44" s="6"/>
      <c r="EKN44" s="6"/>
      <c r="EKO44" s="6"/>
      <c r="EKP44" s="6"/>
      <c r="EKQ44" s="6"/>
      <c r="EKR44" s="6"/>
      <c r="EKS44" s="6"/>
      <c r="EKT44" s="6"/>
      <c r="EKU44" s="6"/>
      <c r="EKV44" s="6"/>
      <c r="EKW44" s="6"/>
      <c r="EKX44" s="6"/>
      <c r="EKY44" s="6"/>
      <c r="EKZ44" s="6"/>
      <c r="ELA44" s="6"/>
      <c r="ELB44" s="6"/>
      <c r="ELC44" s="6"/>
      <c r="ELD44" s="6"/>
      <c r="ELE44" s="6"/>
      <c r="ELF44" s="6"/>
      <c r="ELG44" s="6"/>
      <c r="ELH44" s="6"/>
      <c r="ELI44" s="6"/>
      <c r="ELJ44" s="6"/>
      <c r="ELK44" s="6"/>
      <c r="ELL44" s="6"/>
      <c r="ELM44" s="6"/>
      <c r="ELN44" s="6"/>
      <c r="ELO44" s="6"/>
      <c r="ELP44" s="6"/>
      <c r="ELQ44" s="6"/>
      <c r="ELR44" s="6"/>
      <c r="ELS44" s="6"/>
      <c r="ELT44" s="6"/>
      <c r="ELU44" s="6"/>
      <c r="ELV44" s="6"/>
      <c r="ELW44" s="6"/>
      <c r="ELX44" s="6"/>
      <c r="ELY44" s="6"/>
      <c r="ELZ44" s="6"/>
      <c r="EMA44" s="6"/>
      <c r="EMB44" s="6"/>
      <c r="EMC44" s="6"/>
      <c r="EMD44" s="6"/>
      <c r="EME44" s="6"/>
      <c r="EMF44" s="6"/>
      <c r="EMG44" s="6"/>
      <c r="EMH44" s="6"/>
      <c r="EMI44" s="6"/>
      <c r="EMJ44" s="6"/>
      <c r="EMK44" s="6"/>
      <c r="EML44" s="6"/>
      <c r="EMM44" s="6"/>
      <c r="EMN44" s="6"/>
      <c r="EMO44" s="6"/>
      <c r="EMP44" s="6"/>
      <c r="EMQ44" s="6"/>
      <c r="EMR44" s="6"/>
      <c r="EMS44" s="6"/>
      <c r="EMT44" s="6"/>
      <c r="EMU44" s="6"/>
      <c r="EMV44" s="6"/>
      <c r="EMW44" s="6"/>
      <c r="EMX44" s="6"/>
      <c r="EMY44" s="6"/>
      <c r="EMZ44" s="6"/>
      <c r="ENA44" s="6"/>
      <c r="ENB44" s="6"/>
      <c r="ENC44" s="6"/>
      <c r="END44" s="6"/>
      <c r="ENE44" s="6"/>
      <c r="ENF44" s="6"/>
      <c r="ENG44" s="6"/>
      <c r="ENH44" s="6"/>
      <c r="ENI44" s="6"/>
      <c r="ENJ44" s="6"/>
      <c r="ENK44" s="6"/>
      <c r="ENL44" s="6"/>
      <c r="ENM44" s="6"/>
      <c r="ENN44" s="6"/>
      <c r="ENO44" s="6"/>
      <c r="ENP44" s="6"/>
      <c r="ENQ44" s="6"/>
      <c r="ENR44" s="6"/>
      <c r="ENS44" s="6"/>
      <c r="ENT44" s="6"/>
      <c r="ENU44" s="6"/>
      <c r="ENV44" s="6"/>
      <c r="ENW44" s="6"/>
      <c r="ENX44" s="6"/>
      <c r="ENY44" s="6"/>
      <c r="ENZ44" s="6"/>
      <c r="EOA44" s="6"/>
      <c r="EOB44" s="6"/>
      <c r="EOC44" s="6"/>
      <c r="EOD44" s="6"/>
      <c r="EOE44" s="6"/>
      <c r="EOF44" s="6"/>
      <c r="EOG44" s="6"/>
      <c r="EOH44" s="6"/>
      <c r="EOI44" s="6"/>
      <c r="EOJ44" s="6"/>
      <c r="EOK44" s="6"/>
      <c r="EOL44" s="6"/>
      <c r="EOM44" s="6"/>
      <c r="EON44" s="6"/>
      <c r="EOO44" s="6"/>
      <c r="EOP44" s="6"/>
      <c r="EOQ44" s="6"/>
      <c r="EOR44" s="6"/>
      <c r="EOS44" s="6"/>
      <c r="EOT44" s="6"/>
      <c r="EOU44" s="6"/>
      <c r="EOV44" s="6"/>
      <c r="EOW44" s="6"/>
      <c r="EOX44" s="6"/>
      <c r="EOY44" s="6"/>
      <c r="EOZ44" s="6"/>
      <c r="EPA44" s="6"/>
      <c r="EPB44" s="6"/>
      <c r="EPC44" s="6"/>
      <c r="EPD44" s="6"/>
      <c r="EPE44" s="6"/>
      <c r="EPF44" s="6"/>
      <c r="EPG44" s="6"/>
      <c r="EPH44" s="6"/>
      <c r="EPI44" s="6"/>
      <c r="EPJ44" s="6"/>
      <c r="EPK44" s="6"/>
      <c r="EPL44" s="6"/>
      <c r="EPM44" s="6"/>
      <c r="EPN44" s="6"/>
      <c r="EPO44" s="6"/>
      <c r="EPP44" s="6"/>
      <c r="EPQ44" s="6"/>
      <c r="EPR44" s="6"/>
      <c r="EPS44" s="6"/>
      <c r="EPT44" s="6"/>
      <c r="EPU44" s="6"/>
      <c r="EPV44" s="6"/>
      <c r="EPW44" s="6"/>
      <c r="EPX44" s="6"/>
      <c r="EPY44" s="6"/>
      <c r="EPZ44" s="6"/>
      <c r="EQA44" s="6"/>
      <c r="EQB44" s="6"/>
      <c r="EQC44" s="6"/>
      <c r="EQD44" s="6"/>
      <c r="EQE44" s="6"/>
      <c r="EQF44" s="6"/>
      <c r="EQG44" s="6"/>
      <c r="EQH44" s="6"/>
      <c r="EQI44" s="6"/>
      <c r="EQJ44" s="6"/>
      <c r="EQK44" s="6"/>
      <c r="EQL44" s="6"/>
      <c r="EQM44" s="6"/>
      <c r="EQN44" s="6"/>
      <c r="EQO44" s="6"/>
      <c r="EQP44" s="6"/>
      <c r="EQQ44" s="6"/>
      <c r="EQR44" s="6"/>
      <c r="EQS44" s="6"/>
      <c r="EQT44" s="6"/>
      <c r="EQU44" s="6"/>
      <c r="EQV44" s="6"/>
      <c r="EQW44" s="6"/>
      <c r="EQX44" s="6"/>
      <c r="EQY44" s="6"/>
      <c r="EQZ44" s="6"/>
      <c r="ERA44" s="6"/>
      <c r="ERB44" s="6"/>
      <c r="ERC44" s="6"/>
      <c r="ERD44" s="6"/>
      <c r="ERE44" s="6"/>
      <c r="ERF44" s="6"/>
      <c r="ERG44" s="6"/>
      <c r="ERH44" s="6"/>
      <c r="ERI44" s="6"/>
      <c r="ERJ44" s="6"/>
      <c r="ERK44" s="6"/>
      <c r="ERL44" s="6"/>
      <c r="ERM44" s="6"/>
      <c r="ERN44" s="6"/>
      <c r="ERO44" s="6"/>
      <c r="ERP44" s="6"/>
      <c r="ERQ44" s="6"/>
      <c r="ERR44" s="6"/>
      <c r="ERS44" s="6"/>
      <c r="ERT44" s="6"/>
      <c r="ERU44" s="6"/>
      <c r="ERV44" s="6"/>
      <c r="ERW44" s="6"/>
      <c r="ERX44" s="6"/>
      <c r="ERY44" s="6"/>
      <c r="ERZ44" s="6"/>
      <c r="ESA44" s="6"/>
      <c r="ESB44" s="6"/>
      <c r="ESC44" s="6"/>
      <c r="ESD44" s="6"/>
      <c r="ESE44" s="6"/>
      <c r="ESF44" s="6"/>
      <c r="ESG44" s="6"/>
      <c r="ESH44" s="6"/>
      <c r="ESI44" s="6"/>
      <c r="ESJ44" s="6"/>
      <c r="ESK44" s="6"/>
      <c r="ESL44" s="6"/>
      <c r="ESM44" s="6"/>
      <c r="ESN44" s="6"/>
      <c r="ESO44" s="6"/>
      <c r="ESP44" s="6"/>
      <c r="ESQ44" s="6"/>
      <c r="ESR44" s="6"/>
      <c r="ESS44" s="6"/>
      <c r="EST44" s="6"/>
      <c r="ESU44" s="6"/>
      <c r="ESV44" s="6"/>
      <c r="ESW44" s="6"/>
      <c r="ESX44" s="6"/>
      <c r="ESY44" s="6"/>
      <c r="ESZ44" s="6"/>
      <c r="ETA44" s="6"/>
      <c r="ETB44" s="6"/>
      <c r="ETC44" s="6"/>
      <c r="ETD44" s="6"/>
      <c r="ETE44" s="6"/>
      <c r="ETF44" s="6"/>
      <c r="ETG44" s="6"/>
      <c r="ETH44" s="6"/>
      <c r="ETI44" s="6"/>
      <c r="ETJ44" s="6"/>
      <c r="ETK44" s="6"/>
      <c r="ETL44" s="6"/>
      <c r="ETM44" s="6"/>
      <c r="ETN44" s="6"/>
      <c r="ETO44" s="6"/>
      <c r="ETP44" s="6"/>
      <c r="ETQ44" s="6"/>
      <c r="ETR44" s="6"/>
      <c r="ETS44" s="6"/>
      <c r="ETT44" s="6"/>
      <c r="ETU44" s="6"/>
      <c r="ETV44" s="6"/>
      <c r="ETW44" s="6"/>
      <c r="ETX44" s="6"/>
      <c r="ETY44" s="6"/>
      <c r="ETZ44" s="6"/>
      <c r="EUA44" s="6"/>
      <c r="EUB44" s="6"/>
      <c r="EUC44" s="6"/>
      <c r="EUD44" s="6"/>
      <c r="EUE44" s="6"/>
      <c r="EUF44" s="6"/>
      <c r="EUG44" s="6"/>
      <c r="EUH44" s="6"/>
      <c r="EUI44" s="6"/>
      <c r="EUJ44" s="6"/>
      <c r="EUK44" s="6"/>
      <c r="EUL44" s="6"/>
      <c r="EUM44" s="6"/>
      <c r="EUN44" s="6"/>
      <c r="EUO44" s="6"/>
      <c r="EUP44" s="6"/>
      <c r="EUQ44" s="6"/>
      <c r="EUR44" s="6"/>
      <c r="EUS44" s="6"/>
      <c r="EUT44" s="6"/>
      <c r="EUU44" s="6"/>
      <c r="EUV44" s="6"/>
      <c r="EUW44" s="6"/>
      <c r="EUX44" s="6"/>
      <c r="EUY44" s="6"/>
      <c r="EUZ44" s="6"/>
      <c r="EVA44" s="6"/>
      <c r="EVB44" s="6"/>
      <c r="EVC44" s="6"/>
      <c r="EVD44" s="6"/>
      <c r="EVE44" s="6"/>
      <c r="EVF44" s="6"/>
      <c r="EVG44" s="6"/>
      <c r="EVH44" s="6"/>
      <c r="EVI44" s="6"/>
      <c r="EVJ44" s="6"/>
      <c r="EVK44" s="6"/>
      <c r="EVL44" s="6"/>
      <c r="EVM44" s="6"/>
      <c r="EVN44" s="6"/>
      <c r="EVO44" s="6"/>
      <c r="EVP44" s="6"/>
      <c r="EVQ44" s="6"/>
      <c r="EVR44" s="6"/>
      <c r="EVS44" s="6"/>
      <c r="EVT44" s="6"/>
      <c r="EVU44" s="6"/>
      <c r="EVV44" s="6"/>
      <c r="EVW44" s="6"/>
      <c r="EVX44" s="6"/>
      <c r="EVY44" s="6"/>
      <c r="EVZ44" s="6"/>
      <c r="EWA44" s="6"/>
      <c r="EWB44" s="6"/>
      <c r="EWC44" s="6"/>
      <c r="EWD44" s="6"/>
      <c r="EWE44" s="6"/>
      <c r="EWF44" s="6"/>
      <c r="EWG44" s="6"/>
      <c r="EWH44" s="6"/>
      <c r="EWI44" s="6"/>
      <c r="EWJ44" s="6"/>
      <c r="EWK44" s="6"/>
      <c r="EWL44" s="6"/>
      <c r="EWM44" s="6"/>
      <c r="EWN44" s="6"/>
      <c r="EWO44" s="6"/>
      <c r="EWP44" s="6"/>
      <c r="EWQ44" s="6"/>
      <c r="EWR44" s="6"/>
      <c r="EWS44" s="6"/>
      <c r="EWT44" s="6"/>
      <c r="EWU44" s="6"/>
      <c r="EWV44" s="6"/>
      <c r="EWW44" s="6"/>
      <c r="EWX44" s="6"/>
      <c r="EWY44" s="6"/>
      <c r="EWZ44" s="6"/>
      <c r="EXA44" s="6"/>
      <c r="EXB44" s="6"/>
      <c r="EXC44" s="6"/>
      <c r="EXD44" s="6"/>
      <c r="EXE44" s="6"/>
      <c r="EXF44" s="6"/>
      <c r="EXG44" s="6"/>
      <c r="EXH44" s="6"/>
      <c r="EXI44" s="6"/>
      <c r="EXJ44" s="6"/>
      <c r="EXK44" s="6"/>
      <c r="EXL44" s="6"/>
      <c r="EXM44" s="6"/>
      <c r="EXN44" s="6"/>
      <c r="EXO44" s="6"/>
      <c r="EXP44" s="6"/>
      <c r="EXQ44" s="6"/>
      <c r="EXR44" s="6"/>
      <c r="EXS44" s="6"/>
      <c r="EXT44" s="6"/>
      <c r="EXU44" s="6"/>
      <c r="EXV44" s="6"/>
      <c r="EXW44" s="6"/>
      <c r="EXX44" s="6"/>
      <c r="EXY44" s="6"/>
      <c r="EXZ44" s="6"/>
      <c r="EYA44" s="6"/>
      <c r="EYB44" s="6"/>
      <c r="EYC44" s="6"/>
      <c r="EYD44" s="6"/>
      <c r="EYE44" s="6"/>
      <c r="EYF44" s="6"/>
      <c r="EYG44" s="6"/>
      <c r="EYH44" s="6"/>
      <c r="EYI44" s="6"/>
      <c r="EYJ44" s="6"/>
      <c r="EYK44" s="6"/>
      <c r="EYL44" s="6"/>
      <c r="EYM44" s="6"/>
      <c r="EYN44" s="6"/>
      <c r="EYO44" s="6"/>
      <c r="EYP44" s="6"/>
      <c r="EYQ44" s="6"/>
      <c r="EYR44" s="6"/>
      <c r="EYS44" s="6"/>
      <c r="EYT44" s="6"/>
      <c r="EYU44" s="6"/>
      <c r="EYV44" s="6"/>
      <c r="EYW44" s="6"/>
      <c r="EYX44" s="6"/>
      <c r="EYY44" s="6"/>
      <c r="EYZ44" s="6"/>
      <c r="EZA44" s="6"/>
      <c r="EZB44" s="6"/>
      <c r="EZC44" s="6"/>
      <c r="EZD44" s="6"/>
      <c r="EZE44" s="6"/>
      <c r="EZF44" s="6"/>
      <c r="EZG44" s="6"/>
      <c r="EZH44" s="6"/>
      <c r="EZI44" s="6"/>
      <c r="EZJ44" s="6"/>
      <c r="EZK44" s="6"/>
      <c r="EZL44" s="6"/>
      <c r="EZM44" s="6"/>
      <c r="EZN44" s="6"/>
      <c r="EZO44" s="6"/>
      <c r="EZP44" s="6"/>
      <c r="EZQ44" s="6"/>
      <c r="EZR44" s="6"/>
      <c r="EZS44" s="6"/>
      <c r="EZT44" s="6"/>
      <c r="EZU44" s="6"/>
      <c r="EZV44" s="6"/>
      <c r="EZW44" s="6"/>
      <c r="EZX44" s="6"/>
      <c r="EZY44" s="6"/>
      <c r="EZZ44" s="6"/>
      <c r="FAA44" s="6"/>
      <c r="FAB44" s="6"/>
      <c r="FAC44" s="6"/>
      <c r="FAD44" s="6"/>
      <c r="FAE44" s="6"/>
      <c r="FAF44" s="6"/>
      <c r="FAG44" s="6"/>
      <c r="FAH44" s="6"/>
      <c r="FAI44" s="6"/>
      <c r="FAJ44" s="6"/>
      <c r="FAK44" s="6"/>
      <c r="FAL44" s="6"/>
      <c r="FAM44" s="6"/>
      <c r="FAN44" s="6"/>
      <c r="FAO44" s="6"/>
      <c r="FAP44" s="6"/>
      <c r="FAQ44" s="6"/>
      <c r="FAR44" s="6"/>
      <c r="FAS44" s="6"/>
      <c r="FAT44" s="6"/>
      <c r="FAU44" s="6"/>
      <c r="FAV44" s="6"/>
      <c r="FAW44" s="6"/>
      <c r="FAX44" s="6"/>
      <c r="FAY44" s="6"/>
      <c r="FAZ44" s="6"/>
      <c r="FBA44" s="6"/>
      <c r="FBB44" s="6"/>
      <c r="FBC44" s="6"/>
      <c r="FBD44" s="6"/>
      <c r="FBE44" s="6"/>
      <c r="FBF44" s="6"/>
      <c r="FBG44" s="6"/>
      <c r="FBH44" s="6"/>
      <c r="FBI44" s="6"/>
      <c r="FBJ44" s="6"/>
      <c r="FBK44" s="6"/>
      <c r="FBL44" s="6"/>
      <c r="FBM44" s="6"/>
      <c r="FBN44" s="6"/>
      <c r="FBO44" s="6"/>
      <c r="FBP44" s="6"/>
      <c r="FBQ44" s="6"/>
      <c r="FBR44" s="6"/>
      <c r="FBS44" s="6"/>
      <c r="FBT44" s="6"/>
      <c r="FBU44" s="6"/>
      <c r="FBV44" s="6"/>
      <c r="FBW44" s="6"/>
      <c r="FBX44" s="6"/>
      <c r="FBY44" s="6"/>
      <c r="FBZ44" s="6"/>
      <c r="FCA44" s="6"/>
      <c r="FCB44" s="6"/>
      <c r="FCC44" s="6"/>
      <c r="FCD44" s="6"/>
      <c r="FCE44" s="6"/>
      <c r="FCF44" s="6"/>
      <c r="FCG44" s="6"/>
      <c r="FCH44" s="6"/>
      <c r="FCI44" s="6"/>
      <c r="FCJ44" s="6"/>
      <c r="FCK44" s="6"/>
      <c r="FCL44" s="6"/>
      <c r="FCM44" s="6"/>
      <c r="FCN44" s="6"/>
      <c r="FCO44" s="6"/>
      <c r="FCP44" s="6"/>
      <c r="FCQ44" s="6"/>
      <c r="FCR44" s="6"/>
      <c r="FCS44" s="6"/>
      <c r="FCT44" s="6"/>
      <c r="FCU44" s="6"/>
      <c r="FCV44" s="6"/>
      <c r="FCW44" s="6"/>
      <c r="FCX44" s="6"/>
      <c r="FCY44" s="6"/>
      <c r="FCZ44" s="6"/>
      <c r="FDA44" s="6"/>
      <c r="FDB44" s="6"/>
      <c r="FDC44" s="6"/>
      <c r="FDD44" s="6"/>
      <c r="FDE44" s="6"/>
      <c r="FDF44" s="6"/>
      <c r="FDG44" s="6"/>
      <c r="FDH44" s="6"/>
      <c r="FDI44" s="6"/>
      <c r="FDJ44" s="6"/>
      <c r="FDK44" s="6"/>
      <c r="FDL44" s="6"/>
      <c r="FDM44" s="6"/>
      <c r="FDN44" s="6"/>
      <c r="FDO44" s="6"/>
      <c r="FDP44" s="6"/>
      <c r="FDQ44" s="6"/>
      <c r="FDR44" s="6"/>
      <c r="FDS44" s="6"/>
      <c r="FDT44" s="6"/>
      <c r="FDU44" s="6"/>
      <c r="FDV44" s="6"/>
      <c r="FDW44" s="6"/>
      <c r="FDX44" s="6"/>
      <c r="FDY44" s="6"/>
      <c r="FDZ44" s="6"/>
      <c r="FEA44" s="6"/>
      <c r="FEB44" s="6"/>
      <c r="FEC44" s="6"/>
      <c r="FED44" s="6"/>
      <c r="FEE44" s="6"/>
      <c r="FEF44" s="6"/>
      <c r="FEG44" s="6"/>
      <c r="FEH44" s="6"/>
      <c r="FEI44" s="6"/>
      <c r="FEJ44" s="6"/>
      <c r="FEK44" s="6"/>
      <c r="FEL44" s="6"/>
      <c r="FEM44" s="6"/>
      <c r="FEN44" s="6"/>
      <c r="FEO44" s="6"/>
      <c r="FEP44" s="6"/>
      <c r="FEQ44" s="6"/>
      <c r="FER44" s="6"/>
      <c r="FES44" s="6"/>
      <c r="FET44" s="6"/>
      <c r="FEU44" s="6"/>
      <c r="FEV44" s="6"/>
      <c r="FEW44" s="6"/>
      <c r="FEX44" s="6"/>
      <c r="FEY44" s="6"/>
      <c r="FEZ44" s="6"/>
      <c r="FFA44" s="6"/>
      <c r="FFB44" s="6"/>
      <c r="FFC44" s="6"/>
      <c r="FFD44" s="6"/>
      <c r="FFE44" s="6"/>
      <c r="FFF44" s="6"/>
      <c r="FFG44" s="6"/>
      <c r="FFH44" s="6"/>
      <c r="FFI44" s="6"/>
      <c r="FFJ44" s="6"/>
      <c r="FFK44" s="6"/>
      <c r="FFL44" s="6"/>
      <c r="FFM44" s="6"/>
      <c r="FFN44" s="6"/>
      <c r="FFO44" s="6"/>
      <c r="FFP44" s="6"/>
      <c r="FFQ44" s="6"/>
      <c r="FFR44" s="6"/>
      <c r="FFS44" s="6"/>
      <c r="FFT44" s="6"/>
      <c r="FFU44" s="6"/>
      <c r="FFV44" s="6"/>
      <c r="FFW44" s="6"/>
      <c r="FFX44" s="6"/>
      <c r="FFY44" s="6"/>
      <c r="FFZ44" s="6"/>
      <c r="FGA44" s="6"/>
      <c r="FGB44" s="6"/>
      <c r="FGC44" s="6"/>
      <c r="FGD44" s="6"/>
      <c r="FGE44" s="6"/>
      <c r="FGF44" s="6"/>
      <c r="FGG44" s="6"/>
      <c r="FGH44" s="6"/>
      <c r="FGI44" s="6"/>
      <c r="FGJ44" s="6"/>
      <c r="FGK44" s="6"/>
      <c r="FGL44" s="6"/>
      <c r="FGM44" s="6"/>
      <c r="FGN44" s="6"/>
      <c r="FGO44" s="6"/>
      <c r="FGP44" s="6"/>
      <c r="FGQ44" s="6"/>
      <c r="FGR44" s="6"/>
      <c r="FGS44" s="6"/>
      <c r="FGT44" s="6"/>
      <c r="FGU44" s="6"/>
      <c r="FGV44" s="6"/>
      <c r="FGW44" s="6"/>
      <c r="FGX44" s="6"/>
      <c r="FGY44" s="6"/>
      <c r="FGZ44" s="6"/>
      <c r="FHA44" s="6"/>
      <c r="FHB44" s="6"/>
      <c r="FHC44" s="6"/>
      <c r="FHD44" s="6"/>
      <c r="FHE44" s="6"/>
      <c r="FHF44" s="6"/>
      <c r="FHG44" s="6"/>
      <c r="FHH44" s="6"/>
      <c r="FHI44" s="6"/>
      <c r="FHJ44" s="6"/>
      <c r="FHK44" s="6"/>
      <c r="FHL44" s="6"/>
      <c r="FHM44" s="6"/>
      <c r="FHN44" s="6"/>
      <c r="FHO44" s="6"/>
      <c r="FHP44" s="6"/>
      <c r="FHQ44" s="6"/>
      <c r="FHR44" s="6"/>
      <c r="FHS44" s="6"/>
      <c r="FHT44" s="6"/>
      <c r="FHU44" s="6"/>
      <c r="FHV44" s="6"/>
      <c r="FHW44" s="6"/>
      <c r="FHX44" s="6"/>
      <c r="FHY44" s="6"/>
      <c r="FHZ44" s="6"/>
      <c r="FIA44" s="6"/>
      <c r="FIB44" s="6"/>
      <c r="FIC44" s="6"/>
      <c r="FID44" s="6"/>
      <c r="FIE44" s="6"/>
      <c r="FIF44" s="6"/>
      <c r="FIG44" s="6"/>
      <c r="FIH44" s="6"/>
      <c r="FII44" s="6"/>
      <c r="FIJ44" s="6"/>
      <c r="FIK44" s="6"/>
      <c r="FIL44" s="6"/>
      <c r="FIM44" s="6"/>
      <c r="FIN44" s="6"/>
      <c r="FIO44" s="6"/>
      <c r="FIP44" s="6"/>
      <c r="FIQ44" s="6"/>
      <c r="FIR44" s="6"/>
      <c r="FIS44" s="6"/>
      <c r="FIT44" s="6"/>
      <c r="FIU44" s="6"/>
      <c r="FIV44" s="6"/>
      <c r="FIW44" s="6"/>
      <c r="FIX44" s="6"/>
      <c r="FIY44" s="6"/>
      <c r="FIZ44" s="6"/>
      <c r="FJA44" s="6"/>
      <c r="FJB44" s="6"/>
      <c r="FJC44" s="6"/>
      <c r="FJD44" s="6"/>
      <c r="FJE44" s="6"/>
      <c r="FJF44" s="6"/>
      <c r="FJG44" s="6"/>
      <c r="FJH44" s="6"/>
      <c r="FJI44" s="6"/>
      <c r="FJJ44" s="6"/>
      <c r="FJK44" s="6"/>
      <c r="FJL44" s="6"/>
      <c r="FJM44" s="6"/>
      <c r="FJN44" s="6"/>
      <c r="FJO44" s="6"/>
      <c r="FJP44" s="6"/>
      <c r="FJQ44" s="6"/>
      <c r="FJR44" s="6"/>
      <c r="FJS44" s="6"/>
      <c r="FJT44" s="6"/>
      <c r="FJU44" s="6"/>
      <c r="FJV44" s="6"/>
      <c r="FJW44" s="6"/>
      <c r="FJX44" s="6"/>
      <c r="FJY44" s="6"/>
      <c r="FJZ44" s="6"/>
      <c r="FKA44" s="6"/>
      <c r="FKB44" s="6"/>
      <c r="FKC44" s="6"/>
      <c r="FKD44" s="6"/>
      <c r="FKE44" s="6"/>
      <c r="FKF44" s="6"/>
      <c r="FKG44" s="6"/>
      <c r="FKH44" s="6"/>
      <c r="FKI44" s="6"/>
      <c r="FKJ44" s="6"/>
      <c r="FKK44" s="6"/>
      <c r="FKL44" s="6"/>
      <c r="FKM44" s="6"/>
      <c r="FKN44" s="6"/>
      <c r="FKO44" s="6"/>
      <c r="FKP44" s="6"/>
      <c r="FKQ44" s="6"/>
      <c r="FKR44" s="6"/>
      <c r="FKS44" s="6"/>
      <c r="FKT44" s="6"/>
      <c r="FKU44" s="6"/>
      <c r="FKV44" s="6"/>
      <c r="FKW44" s="6"/>
      <c r="FKX44" s="6"/>
      <c r="FKY44" s="6"/>
      <c r="FKZ44" s="6"/>
      <c r="FLA44" s="6"/>
      <c r="FLB44" s="6"/>
      <c r="FLC44" s="6"/>
      <c r="FLD44" s="6"/>
      <c r="FLE44" s="6"/>
      <c r="FLF44" s="6"/>
      <c r="FLG44" s="6"/>
      <c r="FLH44" s="6"/>
      <c r="FLI44" s="6"/>
      <c r="FLJ44" s="6"/>
      <c r="FLK44" s="6"/>
      <c r="FLL44" s="6"/>
      <c r="FLM44" s="6"/>
      <c r="FLN44" s="6"/>
      <c r="FLO44" s="6"/>
      <c r="FLP44" s="6"/>
      <c r="FLQ44" s="6"/>
      <c r="FLR44" s="6"/>
      <c r="FLS44" s="6"/>
      <c r="FLT44" s="6"/>
      <c r="FLU44" s="6"/>
      <c r="FLV44" s="6"/>
      <c r="FLW44" s="6"/>
      <c r="FLX44" s="6"/>
      <c r="FLY44" s="6"/>
      <c r="FLZ44" s="6"/>
      <c r="FMA44" s="6"/>
      <c r="FMB44" s="6"/>
      <c r="FMC44" s="6"/>
      <c r="FMD44" s="6"/>
      <c r="FME44" s="6"/>
      <c r="FMF44" s="6"/>
      <c r="FMG44" s="6"/>
      <c r="FMH44" s="6"/>
      <c r="FMI44" s="6"/>
      <c r="FMJ44" s="6"/>
      <c r="FMK44" s="6"/>
      <c r="FML44" s="6"/>
      <c r="FMM44" s="6"/>
      <c r="FMN44" s="6"/>
      <c r="FMO44" s="6"/>
      <c r="FMP44" s="6"/>
      <c r="FMQ44" s="6"/>
      <c r="FMR44" s="6"/>
      <c r="FMS44" s="6"/>
      <c r="FMT44" s="6"/>
      <c r="FMU44" s="6"/>
      <c r="FMV44" s="6"/>
      <c r="FMW44" s="6"/>
      <c r="FMX44" s="6"/>
      <c r="FMY44" s="6"/>
      <c r="FMZ44" s="6"/>
      <c r="FNA44" s="6"/>
      <c r="FNB44" s="6"/>
      <c r="FNC44" s="6"/>
      <c r="FND44" s="6"/>
      <c r="FNE44" s="6"/>
      <c r="FNF44" s="6"/>
      <c r="FNG44" s="6"/>
      <c r="FNH44" s="6"/>
      <c r="FNI44" s="6"/>
      <c r="FNJ44" s="6"/>
      <c r="FNK44" s="6"/>
      <c r="FNL44" s="6"/>
      <c r="FNM44" s="6"/>
      <c r="FNN44" s="6"/>
      <c r="FNO44" s="6"/>
      <c r="FNP44" s="6"/>
      <c r="FNQ44" s="6"/>
      <c r="FNR44" s="6"/>
      <c r="FNS44" s="6"/>
      <c r="FNT44" s="6"/>
      <c r="FNU44" s="6"/>
      <c r="FNV44" s="6"/>
      <c r="FNW44" s="6"/>
      <c r="FNX44" s="6"/>
      <c r="FNY44" s="6"/>
      <c r="FNZ44" s="6"/>
      <c r="FOA44" s="6"/>
      <c r="FOB44" s="6"/>
      <c r="FOC44" s="6"/>
      <c r="FOD44" s="6"/>
      <c r="FOE44" s="6"/>
      <c r="FOF44" s="6"/>
      <c r="FOG44" s="6"/>
      <c r="FOH44" s="6"/>
      <c r="FOI44" s="6"/>
      <c r="FOJ44" s="6"/>
      <c r="FOK44" s="6"/>
      <c r="FOL44" s="6"/>
      <c r="FOM44" s="6"/>
      <c r="FON44" s="6"/>
      <c r="FOO44" s="6"/>
      <c r="FOP44" s="6"/>
      <c r="FOQ44" s="6"/>
      <c r="FOR44" s="6"/>
      <c r="FOS44" s="6"/>
      <c r="FOT44" s="6"/>
      <c r="FOU44" s="6"/>
      <c r="FOV44" s="6"/>
      <c r="FOW44" s="6"/>
      <c r="FOX44" s="6"/>
      <c r="FOY44" s="6"/>
      <c r="FOZ44" s="6"/>
      <c r="FPA44" s="6"/>
      <c r="FPB44" s="6"/>
      <c r="FPC44" s="6"/>
      <c r="FPD44" s="6"/>
      <c r="FPE44" s="6"/>
      <c r="FPF44" s="6"/>
      <c r="FPG44" s="6"/>
      <c r="FPH44" s="6"/>
      <c r="FPI44" s="6"/>
      <c r="FPJ44" s="6"/>
      <c r="FPK44" s="6"/>
      <c r="FPL44" s="6"/>
      <c r="FPM44" s="6"/>
      <c r="FPN44" s="6"/>
      <c r="FPO44" s="6"/>
      <c r="FPP44" s="6"/>
      <c r="FPQ44" s="6"/>
      <c r="FPR44" s="6"/>
      <c r="FPS44" s="6"/>
      <c r="FPT44" s="6"/>
      <c r="FPU44" s="6"/>
      <c r="FPV44" s="6"/>
      <c r="FPW44" s="6"/>
      <c r="FPX44" s="6"/>
      <c r="FPY44" s="6"/>
      <c r="FPZ44" s="6"/>
      <c r="FQA44" s="6"/>
      <c r="FQB44" s="6"/>
      <c r="FQC44" s="6"/>
      <c r="FQD44" s="6"/>
      <c r="FQE44" s="6"/>
      <c r="FQF44" s="6"/>
      <c r="FQG44" s="6"/>
      <c r="FQH44" s="6"/>
      <c r="FQI44" s="6"/>
      <c r="FQJ44" s="6"/>
      <c r="FQK44" s="6"/>
      <c r="FQL44" s="6"/>
      <c r="FQM44" s="6"/>
      <c r="FQN44" s="6"/>
      <c r="FQO44" s="6"/>
      <c r="FQP44" s="6"/>
      <c r="FQQ44" s="6"/>
      <c r="FQR44" s="6"/>
      <c r="FQS44" s="6"/>
      <c r="FQT44" s="6"/>
      <c r="FQU44" s="6"/>
      <c r="FQV44" s="6"/>
      <c r="FQW44" s="6"/>
      <c r="FQX44" s="6"/>
      <c r="FQY44" s="6"/>
      <c r="FQZ44" s="6"/>
      <c r="FRA44" s="6"/>
      <c r="FRB44" s="6"/>
      <c r="FRC44" s="6"/>
      <c r="FRD44" s="6"/>
      <c r="FRE44" s="6"/>
      <c r="FRF44" s="6"/>
      <c r="FRG44" s="6"/>
      <c r="FRH44" s="6"/>
      <c r="FRI44" s="6"/>
      <c r="FRJ44" s="6"/>
      <c r="FRK44" s="6"/>
      <c r="FRL44" s="6"/>
      <c r="FRM44" s="6"/>
      <c r="FRN44" s="6"/>
      <c r="FRO44" s="6"/>
      <c r="FRP44" s="6"/>
      <c r="FRQ44" s="6"/>
      <c r="FRR44" s="6"/>
      <c r="FRS44" s="6"/>
      <c r="FRT44" s="6"/>
      <c r="FRU44" s="6"/>
      <c r="FRV44" s="6"/>
      <c r="FRW44" s="6"/>
      <c r="FRX44" s="6"/>
      <c r="FRY44" s="6"/>
      <c r="FRZ44" s="6"/>
      <c r="FSA44" s="6"/>
      <c r="FSB44" s="6"/>
      <c r="FSC44" s="6"/>
      <c r="FSD44" s="6"/>
      <c r="FSE44" s="6"/>
      <c r="FSF44" s="6"/>
      <c r="FSG44" s="6"/>
      <c r="FSH44" s="6"/>
      <c r="FSI44" s="6"/>
      <c r="FSJ44" s="6"/>
      <c r="FSK44" s="6"/>
      <c r="FSL44" s="6"/>
      <c r="FSM44" s="6"/>
      <c r="FSN44" s="6"/>
      <c r="FSO44" s="6"/>
      <c r="FSP44" s="6"/>
      <c r="FSQ44" s="6"/>
      <c r="FSR44" s="6"/>
      <c r="FSS44" s="6"/>
      <c r="FST44" s="6"/>
      <c r="FSU44" s="6"/>
      <c r="FSV44" s="6"/>
      <c r="FSW44" s="6"/>
      <c r="FSX44" s="6"/>
      <c r="FSY44" s="6"/>
      <c r="FSZ44" s="6"/>
      <c r="FTA44" s="6"/>
      <c r="FTB44" s="6"/>
      <c r="FTC44" s="6"/>
      <c r="FTD44" s="6"/>
      <c r="FTE44" s="6"/>
      <c r="FTF44" s="6"/>
      <c r="FTG44" s="6"/>
      <c r="FTH44" s="6"/>
      <c r="FTI44" s="6"/>
      <c r="FTJ44" s="6"/>
      <c r="FTK44" s="6"/>
      <c r="FTL44" s="6"/>
      <c r="FTM44" s="6"/>
      <c r="FTN44" s="6"/>
      <c r="FTO44" s="6"/>
      <c r="FTP44" s="6"/>
      <c r="FTQ44" s="6"/>
      <c r="FTR44" s="6"/>
      <c r="FTS44" s="6"/>
      <c r="FTT44" s="6"/>
      <c r="FTU44" s="6"/>
      <c r="FTV44" s="6"/>
      <c r="FTW44" s="6"/>
      <c r="FTX44" s="6"/>
      <c r="FTY44" s="6"/>
      <c r="FTZ44" s="6"/>
      <c r="FUA44" s="6"/>
      <c r="FUB44" s="6"/>
      <c r="FUC44" s="6"/>
      <c r="FUD44" s="6"/>
      <c r="FUE44" s="6"/>
      <c r="FUF44" s="6"/>
      <c r="FUG44" s="6"/>
      <c r="FUH44" s="6"/>
      <c r="FUI44" s="6"/>
      <c r="FUJ44" s="6"/>
      <c r="FUK44" s="6"/>
      <c r="FUL44" s="6"/>
      <c r="FUM44" s="6"/>
      <c r="FUN44" s="6"/>
      <c r="FUO44" s="6"/>
      <c r="FUP44" s="6"/>
      <c r="FUQ44" s="6"/>
      <c r="FUR44" s="6"/>
      <c r="FUS44" s="6"/>
      <c r="FUT44" s="6"/>
      <c r="FUU44" s="6"/>
      <c r="FUV44" s="6"/>
      <c r="FUW44" s="6"/>
      <c r="FUX44" s="6"/>
      <c r="FUY44" s="6"/>
      <c r="FUZ44" s="6"/>
      <c r="FVA44" s="6"/>
      <c r="FVB44" s="6"/>
      <c r="FVC44" s="6"/>
      <c r="FVD44" s="6"/>
      <c r="FVE44" s="6"/>
      <c r="FVF44" s="6"/>
      <c r="FVG44" s="6"/>
      <c r="FVH44" s="6"/>
      <c r="FVI44" s="6"/>
      <c r="FVJ44" s="6"/>
      <c r="FVK44" s="6"/>
      <c r="FVL44" s="6"/>
      <c r="FVM44" s="6"/>
      <c r="FVN44" s="6"/>
      <c r="FVO44" s="6"/>
      <c r="FVP44" s="6"/>
      <c r="FVQ44" s="6"/>
      <c r="FVR44" s="6"/>
      <c r="FVS44" s="6"/>
      <c r="FVT44" s="6"/>
      <c r="FVU44" s="6"/>
      <c r="FVV44" s="6"/>
      <c r="FVW44" s="6"/>
      <c r="FVX44" s="6"/>
      <c r="FVY44" s="6"/>
      <c r="FVZ44" s="6"/>
      <c r="FWA44" s="6"/>
      <c r="FWB44" s="6"/>
      <c r="FWC44" s="6"/>
      <c r="FWD44" s="6"/>
      <c r="FWE44" s="6"/>
      <c r="FWF44" s="6"/>
      <c r="FWG44" s="6"/>
      <c r="FWH44" s="6"/>
      <c r="FWI44" s="6"/>
      <c r="FWJ44" s="6"/>
      <c r="FWK44" s="6"/>
      <c r="FWL44" s="6"/>
      <c r="FWM44" s="6"/>
      <c r="FWN44" s="6"/>
      <c r="FWO44" s="6"/>
      <c r="FWP44" s="6"/>
      <c r="FWQ44" s="6"/>
      <c r="FWR44" s="6"/>
      <c r="FWS44" s="6"/>
      <c r="FWT44" s="6"/>
      <c r="FWU44" s="6"/>
      <c r="FWV44" s="6"/>
      <c r="FWW44" s="6"/>
      <c r="FWX44" s="6"/>
      <c r="FWY44" s="6"/>
      <c r="FWZ44" s="6"/>
      <c r="FXA44" s="6"/>
      <c r="FXB44" s="6"/>
      <c r="FXC44" s="6"/>
      <c r="FXD44" s="6"/>
      <c r="FXE44" s="6"/>
      <c r="FXF44" s="6"/>
      <c r="FXG44" s="6"/>
      <c r="FXH44" s="6"/>
      <c r="FXI44" s="6"/>
      <c r="FXJ44" s="6"/>
      <c r="FXK44" s="6"/>
      <c r="FXL44" s="6"/>
      <c r="FXM44" s="6"/>
      <c r="FXN44" s="6"/>
      <c r="FXO44" s="6"/>
      <c r="FXP44" s="6"/>
      <c r="FXQ44" s="6"/>
      <c r="FXR44" s="6"/>
      <c r="FXS44" s="6"/>
      <c r="FXT44" s="6"/>
      <c r="FXU44" s="6"/>
      <c r="FXV44" s="6"/>
      <c r="FXW44" s="6"/>
      <c r="FXX44" s="6"/>
      <c r="FXY44" s="6"/>
      <c r="FXZ44" s="6"/>
      <c r="FYA44" s="6"/>
      <c r="FYB44" s="6"/>
      <c r="FYC44" s="6"/>
      <c r="FYD44" s="6"/>
      <c r="FYE44" s="6"/>
      <c r="FYF44" s="6"/>
      <c r="FYG44" s="6"/>
      <c r="FYH44" s="6"/>
      <c r="FYI44" s="6"/>
      <c r="FYJ44" s="6"/>
      <c r="FYK44" s="6"/>
      <c r="FYL44" s="6"/>
      <c r="FYM44" s="6"/>
      <c r="FYN44" s="6"/>
      <c r="FYO44" s="6"/>
      <c r="FYP44" s="6"/>
      <c r="FYQ44" s="6"/>
      <c r="FYR44" s="6"/>
      <c r="FYS44" s="6"/>
      <c r="FYT44" s="6"/>
      <c r="FYU44" s="6"/>
      <c r="FYV44" s="6"/>
      <c r="FYW44" s="6"/>
      <c r="FYX44" s="6"/>
      <c r="FYY44" s="6"/>
      <c r="FYZ44" s="6"/>
      <c r="FZA44" s="6"/>
      <c r="FZB44" s="6"/>
      <c r="FZC44" s="6"/>
      <c r="FZD44" s="6"/>
      <c r="FZE44" s="6"/>
      <c r="FZF44" s="6"/>
      <c r="FZG44" s="6"/>
      <c r="FZH44" s="6"/>
      <c r="FZI44" s="6"/>
      <c r="FZJ44" s="6"/>
      <c r="FZK44" s="6"/>
      <c r="FZL44" s="6"/>
      <c r="FZM44" s="6"/>
      <c r="FZN44" s="6"/>
      <c r="FZO44" s="6"/>
      <c r="FZP44" s="6"/>
      <c r="FZQ44" s="6"/>
      <c r="FZR44" s="6"/>
      <c r="FZS44" s="6"/>
      <c r="FZT44" s="6"/>
      <c r="FZU44" s="6"/>
      <c r="FZV44" s="6"/>
      <c r="FZW44" s="6"/>
      <c r="FZX44" s="6"/>
      <c r="FZY44" s="6"/>
      <c r="FZZ44" s="6"/>
      <c r="GAA44" s="6"/>
      <c r="GAB44" s="6"/>
      <c r="GAC44" s="6"/>
      <c r="GAD44" s="6"/>
      <c r="GAE44" s="6"/>
      <c r="GAF44" s="6"/>
      <c r="GAG44" s="6"/>
      <c r="GAH44" s="6"/>
      <c r="GAI44" s="6"/>
      <c r="GAJ44" s="6"/>
      <c r="GAK44" s="6"/>
      <c r="GAL44" s="6"/>
      <c r="GAM44" s="6"/>
      <c r="GAN44" s="6"/>
      <c r="GAO44" s="6"/>
      <c r="GAP44" s="6"/>
      <c r="GAQ44" s="6"/>
      <c r="GAR44" s="6"/>
      <c r="GAS44" s="6"/>
      <c r="GAT44" s="6"/>
      <c r="GAU44" s="6"/>
      <c r="GAV44" s="6"/>
      <c r="GAW44" s="6"/>
      <c r="GAX44" s="6"/>
      <c r="GAY44" s="6"/>
      <c r="GAZ44" s="6"/>
      <c r="GBA44" s="6"/>
      <c r="GBB44" s="6"/>
      <c r="GBC44" s="6"/>
      <c r="GBD44" s="6"/>
      <c r="GBE44" s="6"/>
      <c r="GBF44" s="6"/>
      <c r="GBG44" s="6"/>
      <c r="GBH44" s="6"/>
      <c r="GBI44" s="6"/>
      <c r="GBJ44" s="6"/>
      <c r="GBK44" s="6"/>
      <c r="GBL44" s="6"/>
      <c r="GBM44" s="6"/>
      <c r="GBN44" s="6"/>
      <c r="GBO44" s="6"/>
      <c r="GBP44" s="6"/>
      <c r="GBQ44" s="6"/>
      <c r="GBR44" s="6"/>
      <c r="GBS44" s="6"/>
      <c r="GBT44" s="6"/>
      <c r="GBU44" s="6"/>
      <c r="GBV44" s="6"/>
      <c r="GBW44" s="6"/>
      <c r="GBX44" s="6"/>
      <c r="GBY44" s="6"/>
      <c r="GBZ44" s="6"/>
      <c r="GCA44" s="6"/>
      <c r="GCB44" s="6"/>
      <c r="GCC44" s="6"/>
      <c r="GCD44" s="6"/>
      <c r="GCE44" s="6"/>
      <c r="GCF44" s="6"/>
      <c r="GCG44" s="6"/>
      <c r="GCH44" s="6"/>
      <c r="GCI44" s="6"/>
      <c r="GCJ44" s="6"/>
      <c r="GCK44" s="6"/>
      <c r="GCL44" s="6"/>
      <c r="GCM44" s="6"/>
      <c r="GCN44" s="6"/>
      <c r="GCO44" s="6"/>
      <c r="GCP44" s="6"/>
      <c r="GCQ44" s="6"/>
      <c r="GCR44" s="6"/>
      <c r="GCS44" s="6"/>
      <c r="GCT44" s="6"/>
      <c r="GCU44" s="6"/>
      <c r="GCV44" s="6"/>
      <c r="GCW44" s="6"/>
      <c r="GCX44" s="6"/>
      <c r="GCY44" s="6"/>
      <c r="GCZ44" s="6"/>
      <c r="GDA44" s="6"/>
      <c r="GDB44" s="6"/>
      <c r="GDC44" s="6"/>
      <c r="GDD44" s="6"/>
      <c r="GDE44" s="6"/>
      <c r="GDF44" s="6"/>
      <c r="GDG44" s="6"/>
      <c r="GDH44" s="6"/>
      <c r="GDI44" s="6"/>
      <c r="GDJ44" s="6"/>
      <c r="GDK44" s="6"/>
      <c r="GDL44" s="6"/>
      <c r="GDM44" s="6"/>
      <c r="GDN44" s="6"/>
      <c r="GDO44" s="6"/>
      <c r="GDP44" s="6"/>
      <c r="GDQ44" s="6"/>
      <c r="GDR44" s="6"/>
      <c r="GDS44" s="6"/>
      <c r="GDT44" s="6"/>
      <c r="GDU44" s="6"/>
      <c r="GDV44" s="6"/>
      <c r="GDW44" s="6"/>
      <c r="GDX44" s="6"/>
      <c r="GDY44" s="6"/>
      <c r="GDZ44" s="6"/>
      <c r="GEA44" s="6"/>
      <c r="GEB44" s="6"/>
      <c r="GEC44" s="6"/>
      <c r="GED44" s="6"/>
      <c r="GEE44" s="6"/>
      <c r="GEF44" s="6"/>
      <c r="GEG44" s="6"/>
      <c r="GEH44" s="6"/>
      <c r="GEI44" s="6"/>
      <c r="GEJ44" s="6"/>
      <c r="GEK44" s="6"/>
      <c r="GEL44" s="6"/>
      <c r="GEM44" s="6"/>
      <c r="GEN44" s="6"/>
      <c r="GEO44" s="6"/>
      <c r="GEP44" s="6"/>
      <c r="GEQ44" s="6"/>
      <c r="GER44" s="6"/>
      <c r="GES44" s="6"/>
      <c r="GET44" s="6"/>
      <c r="GEU44" s="6"/>
      <c r="GEV44" s="6"/>
      <c r="GEW44" s="6"/>
      <c r="GEX44" s="6"/>
      <c r="GEY44" s="6"/>
      <c r="GEZ44" s="6"/>
      <c r="GFA44" s="6"/>
      <c r="GFB44" s="6"/>
      <c r="GFC44" s="6"/>
      <c r="GFD44" s="6"/>
      <c r="GFE44" s="6"/>
      <c r="GFF44" s="6"/>
      <c r="GFG44" s="6"/>
      <c r="GFH44" s="6"/>
      <c r="GFI44" s="6"/>
      <c r="GFJ44" s="6"/>
      <c r="GFK44" s="6"/>
      <c r="GFL44" s="6"/>
      <c r="GFM44" s="6"/>
      <c r="GFN44" s="6"/>
      <c r="GFO44" s="6"/>
      <c r="GFP44" s="6"/>
      <c r="GFQ44" s="6"/>
      <c r="GFR44" s="6"/>
      <c r="GFS44" s="6"/>
      <c r="GFT44" s="6"/>
      <c r="GFU44" s="6"/>
      <c r="GFV44" s="6"/>
      <c r="GFW44" s="6"/>
      <c r="GFX44" s="6"/>
      <c r="GFY44" s="6"/>
      <c r="GFZ44" s="6"/>
      <c r="GGA44" s="6"/>
      <c r="GGB44" s="6"/>
      <c r="GGC44" s="6"/>
      <c r="GGD44" s="6"/>
      <c r="GGE44" s="6"/>
      <c r="GGF44" s="6"/>
      <c r="GGG44" s="6"/>
      <c r="GGH44" s="6"/>
      <c r="GGI44" s="6"/>
      <c r="GGJ44" s="6"/>
      <c r="GGK44" s="6"/>
      <c r="GGL44" s="6"/>
      <c r="GGM44" s="6"/>
      <c r="GGN44" s="6"/>
      <c r="GGO44" s="6"/>
      <c r="GGP44" s="6"/>
      <c r="GGQ44" s="6"/>
      <c r="GGR44" s="6"/>
      <c r="GGS44" s="6"/>
      <c r="GGT44" s="6"/>
      <c r="GGU44" s="6"/>
      <c r="GGV44" s="6"/>
      <c r="GGW44" s="6"/>
      <c r="GGX44" s="6"/>
      <c r="GGY44" s="6"/>
      <c r="GGZ44" s="6"/>
      <c r="GHA44" s="6"/>
      <c r="GHB44" s="6"/>
      <c r="GHC44" s="6"/>
      <c r="GHD44" s="6"/>
      <c r="GHE44" s="6"/>
      <c r="GHF44" s="6"/>
      <c r="GHG44" s="6"/>
      <c r="GHH44" s="6"/>
      <c r="GHI44" s="6"/>
      <c r="GHJ44" s="6"/>
      <c r="GHK44" s="6"/>
      <c r="GHL44" s="6"/>
      <c r="GHM44" s="6"/>
      <c r="GHN44" s="6"/>
      <c r="GHO44" s="6"/>
      <c r="GHP44" s="6"/>
      <c r="GHQ44" s="6"/>
      <c r="GHR44" s="6"/>
      <c r="GHS44" s="6"/>
      <c r="GHT44" s="6"/>
      <c r="GHU44" s="6"/>
      <c r="GHV44" s="6"/>
      <c r="GHW44" s="6"/>
      <c r="GHX44" s="6"/>
      <c r="GHY44" s="6"/>
      <c r="GHZ44" s="6"/>
      <c r="GIA44" s="6"/>
      <c r="GIB44" s="6"/>
      <c r="GIC44" s="6"/>
      <c r="GID44" s="6"/>
      <c r="GIE44" s="6"/>
      <c r="GIF44" s="6"/>
      <c r="GIG44" s="6"/>
      <c r="GIH44" s="6"/>
      <c r="GII44" s="6"/>
      <c r="GIJ44" s="6"/>
      <c r="GIK44" s="6"/>
      <c r="GIL44" s="6"/>
      <c r="GIM44" s="6"/>
      <c r="GIN44" s="6"/>
      <c r="GIO44" s="6"/>
      <c r="GIP44" s="6"/>
      <c r="GIQ44" s="6"/>
      <c r="GIR44" s="6"/>
      <c r="GIS44" s="6"/>
      <c r="GIT44" s="6"/>
      <c r="GIU44" s="6"/>
      <c r="GIV44" s="6"/>
      <c r="GIW44" s="6"/>
      <c r="GIX44" s="6"/>
      <c r="GIY44" s="6"/>
      <c r="GIZ44" s="6"/>
      <c r="GJA44" s="6"/>
      <c r="GJB44" s="6"/>
      <c r="GJC44" s="6"/>
      <c r="GJD44" s="6"/>
      <c r="GJE44" s="6"/>
      <c r="GJF44" s="6"/>
      <c r="GJG44" s="6"/>
      <c r="GJH44" s="6"/>
      <c r="GJI44" s="6"/>
      <c r="GJJ44" s="6"/>
      <c r="GJK44" s="6"/>
      <c r="GJL44" s="6"/>
      <c r="GJM44" s="6"/>
      <c r="GJN44" s="6"/>
      <c r="GJO44" s="6"/>
      <c r="GJP44" s="6"/>
      <c r="GJQ44" s="6"/>
      <c r="GJR44" s="6"/>
      <c r="GJS44" s="6"/>
      <c r="GJT44" s="6"/>
      <c r="GJU44" s="6"/>
      <c r="GJV44" s="6"/>
      <c r="GJW44" s="6"/>
      <c r="GJX44" s="6"/>
      <c r="GJY44" s="6"/>
      <c r="GJZ44" s="6"/>
      <c r="GKA44" s="6"/>
      <c r="GKB44" s="6"/>
      <c r="GKC44" s="6"/>
      <c r="GKD44" s="6"/>
      <c r="GKE44" s="6"/>
      <c r="GKF44" s="6"/>
      <c r="GKG44" s="6"/>
      <c r="GKH44" s="6"/>
      <c r="GKI44" s="6"/>
      <c r="GKJ44" s="6"/>
      <c r="GKK44" s="6"/>
      <c r="GKL44" s="6"/>
      <c r="GKM44" s="6"/>
      <c r="GKN44" s="6"/>
      <c r="GKO44" s="6"/>
      <c r="GKP44" s="6"/>
      <c r="GKQ44" s="6"/>
      <c r="GKR44" s="6"/>
      <c r="GKS44" s="6"/>
      <c r="GKT44" s="6"/>
      <c r="GKU44" s="6"/>
      <c r="GKV44" s="6"/>
      <c r="GKW44" s="6"/>
      <c r="GKX44" s="6"/>
      <c r="GKY44" s="6"/>
      <c r="GKZ44" s="6"/>
      <c r="GLA44" s="6"/>
      <c r="GLB44" s="6"/>
      <c r="GLC44" s="6"/>
      <c r="GLD44" s="6"/>
      <c r="GLE44" s="6"/>
      <c r="GLF44" s="6"/>
      <c r="GLG44" s="6"/>
      <c r="GLH44" s="6"/>
      <c r="GLI44" s="6"/>
      <c r="GLJ44" s="6"/>
      <c r="GLK44" s="6"/>
      <c r="GLL44" s="6"/>
      <c r="GLM44" s="6"/>
      <c r="GLN44" s="6"/>
      <c r="GLO44" s="6"/>
      <c r="GLP44" s="6"/>
      <c r="GLQ44" s="6"/>
      <c r="GLR44" s="6"/>
      <c r="GLS44" s="6"/>
      <c r="GLT44" s="6"/>
      <c r="GLU44" s="6"/>
      <c r="GLV44" s="6"/>
      <c r="GLW44" s="6"/>
      <c r="GLX44" s="6"/>
      <c r="GLY44" s="6"/>
      <c r="GLZ44" s="6"/>
      <c r="GMA44" s="6"/>
      <c r="GMB44" s="6"/>
      <c r="GMC44" s="6"/>
      <c r="GMD44" s="6"/>
      <c r="GME44" s="6"/>
      <c r="GMF44" s="6"/>
      <c r="GMG44" s="6"/>
      <c r="GMH44" s="6"/>
      <c r="GMI44" s="6"/>
      <c r="GMJ44" s="6"/>
      <c r="GMK44" s="6"/>
      <c r="GML44" s="6"/>
      <c r="GMM44" s="6"/>
      <c r="GMN44" s="6"/>
      <c r="GMO44" s="6"/>
      <c r="GMP44" s="6"/>
      <c r="GMQ44" s="6"/>
      <c r="GMR44" s="6"/>
      <c r="GMS44" s="6"/>
      <c r="GMT44" s="6"/>
      <c r="GMU44" s="6"/>
      <c r="GMV44" s="6"/>
      <c r="GMW44" s="6"/>
      <c r="GMX44" s="6"/>
      <c r="GMY44" s="6"/>
      <c r="GMZ44" s="6"/>
      <c r="GNA44" s="6"/>
      <c r="GNB44" s="6"/>
      <c r="GNC44" s="6"/>
      <c r="GND44" s="6"/>
      <c r="GNE44" s="6"/>
      <c r="GNF44" s="6"/>
      <c r="GNG44" s="6"/>
      <c r="GNH44" s="6"/>
      <c r="GNI44" s="6"/>
      <c r="GNJ44" s="6"/>
      <c r="GNK44" s="6"/>
      <c r="GNL44" s="6"/>
      <c r="GNM44" s="6"/>
      <c r="GNN44" s="6"/>
      <c r="GNO44" s="6"/>
      <c r="GNP44" s="6"/>
      <c r="GNQ44" s="6"/>
      <c r="GNR44" s="6"/>
      <c r="GNS44" s="6"/>
      <c r="GNT44" s="6"/>
      <c r="GNU44" s="6"/>
      <c r="GNV44" s="6"/>
      <c r="GNW44" s="6"/>
      <c r="GNX44" s="6"/>
      <c r="GNY44" s="6"/>
      <c r="GNZ44" s="6"/>
      <c r="GOA44" s="6"/>
      <c r="GOB44" s="6"/>
      <c r="GOC44" s="6"/>
      <c r="GOD44" s="6"/>
      <c r="GOE44" s="6"/>
      <c r="GOF44" s="6"/>
      <c r="GOG44" s="6"/>
      <c r="GOH44" s="6"/>
      <c r="GOI44" s="6"/>
      <c r="GOJ44" s="6"/>
      <c r="GOK44" s="6"/>
      <c r="GOL44" s="6"/>
      <c r="GOM44" s="6"/>
      <c r="GON44" s="6"/>
      <c r="GOO44" s="6"/>
      <c r="GOP44" s="6"/>
      <c r="GOQ44" s="6"/>
      <c r="GOR44" s="6"/>
      <c r="GOS44" s="6"/>
      <c r="GOT44" s="6"/>
      <c r="GOU44" s="6"/>
      <c r="GOV44" s="6"/>
      <c r="GOW44" s="6"/>
      <c r="GOX44" s="6"/>
      <c r="GOY44" s="6"/>
      <c r="GOZ44" s="6"/>
      <c r="GPA44" s="6"/>
      <c r="GPB44" s="6"/>
      <c r="GPC44" s="6"/>
      <c r="GPD44" s="6"/>
      <c r="GPE44" s="6"/>
      <c r="GPF44" s="6"/>
      <c r="GPG44" s="6"/>
      <c r="GPH44" s="6"/>
      <c r="GPI44" s="6"/>
      <c r="GPJ44" s="6"/>
      <c r="GPK44" s="6"/>
      <c r="GPL44" s="6"/>
      <c r="GPM44" s="6"/>
      <c r="GPN44" s="6"/>
      <c r="GPO44" s="6"/>
      <c r="GPP44" s="6"/>
      <c r="GPQ44" s="6"/>
      <c r="GPR44" s="6"/>
      <c r="GPS44" s="6"/>
      <c r="GPT44" s="6"/>
      <c r="GPU44" s="6"/>
      <c r="GPV44" s="6"/>
      <c r="GPW44" s="6"/>
      <c r="GPX44" s="6"/>
      <c r="GPY44" s="6"/>
      <c r="GPZ44" s="6"/>
      <c r="GQA44" s="6"/>
      <c r="GQB44" s="6"/>
      <c r="GQC44" s="6"/>
      <c r="GQD44" s="6"/>
      <c r="GQE44" s="6"/>
      <c r="GQF44" s="6"/>
      <c r="GQG44" s="6"/>
      <c r="GQH44" s="6"/>
      <c r="GQI44" s="6"/>
      <c r="GQJ44" s="6"/>
      <c r="GQK44" s="6"/>
      <c r="GQL44" s="6"/>
      <c r="GQM44" s="6"/>
      <c r="GQN44" s="6"/>
      <c r="GQO44" s="6"/>
      <c r="GQP44" s="6"/>
      <c r="GQQ44" s="6"/>
      <c r="GQR44" s="6"/>
      <c r="GQS44" s="6"/>
      <c r="GQT44" s="6"/>
      <c r="GQU44" s="6"/>
      <c r="GQV44" s="6"/>
      <c r="GQW44" s="6"/>
      <c r="GQX44" s="6"/>
      <c r="GQY44" s="6"/>
      <c r="GQZ44" s="6"/>
      <c r="GRA44" s="6"/>
      <c r="GRB44" s="6"/>
      <c r="GRC44" s="6"/>
      <c r="GRD44" s="6"/>
      <c r="GRE44" s="6"/>
      <c r="GRF44" s="6"/>
      <c r="GRG44" s="6"/>
      <c r="GRH44" s="6"/>
      <c r="GRI44" s="6"/>
      <c r="GRJ44" s="6"/>
      <c r="GRK44" s="6"/>
      <c r="GRL44" s="6"/>
      <c r="GRM44" s="6"/>
      <c r="GRN44" s="6"/>
      <c r="GRO44" s="6"/>
      <c r="GRP44" s="6"/>
      <c r="GRQ44" s="6"/>
      <c r="GRR44" s="6"/>
      <c r="GRS44" s="6"/>
      <c r="GRT44" s="6"/>
      <c r="GRU44" s="6"/>
      <c r="GRV44" s="6"/>
      <c r="GRW44" s="6"/>
      <c r="GRX44" s="6"/>
      <c r="GRY44" s="6"/>
      <c r="GRZ44" s="6"/>
      <c r="GSA44" s="6"/>
      <c r="GSB44" s="6"/>
      <c r="GSC44" s="6"/>
      <c r="GSD44" s="6"/>
      <c r="GSE44" s="6"/>
      <c r="GSF44" s="6"/>
      <c r="GSG44" s="6"/>
      <c r="GSH44" s="6"/>
      <c r="GSI44" s="6"/>
      <c r="GSJ44" s="6"/>
      <c r="GSK44" s="6"/>
      <c r="GSL44" s="6"/>
      <c r="GSM44" s="6"/>
      <c r="GSN44" s="6"/>
      <c r="GSO44" s="6"/>
      <c r="GSP44" s="6"/>
      <c r="GSQ44" s="6"/>
      <c r="GSR44" s="6"/>
      <c r="GSS44" s="6"/>
      <c r="GST44" s="6"/>
      <c r="GSU44" s="6"/>
      <c r="GSV44" s="6"/>
      <c r="GSW44" s="6"/>
      <c r="GSX44" s="6"/>
      <c r="GSY44" s="6"/>
      <c r="GSZ44" s="6"/>
      <c r="GTA44" s="6"/>
      <c r="GTB44" s="6"/>
      <c r="GTC44" s="6"/>
      <c r="GTD44" s="6"/>
      <c r="GTE44" s="6"/>
      <c r="GTF44" s="6"/>
      <c r="GTG44" s="6"/>
      <c r="GTH44" s="6"/>
      <c r="GTI44" s="6"/>
      <c r="GTJ44" s="6"/>
      <c r="GTK44" s="6"/>
      <c r="GTL44" s="6"/>
      <c r="GTM44" s="6"/>
      <c r="GTN44" s="6"/>
      <c r="GTO44" s="6"/>
      <c r="GTP44" s="6"/>
      <c r="GTQ44" s="6"/>
      <c r="GTR44" s="6"/>
      <c r="GTS44" s="6"/>
      <c r="GTT44" s="6"/>
      <c r="GTU44" s="6"/>
      <c r="GTV44" s="6"/>
      <c r="GTW44" s="6"/>
      <c r="GTX44" s="6"/>
      <c r="GTY44" s="6"/>
      <c r="GTZ44" s="6"/>
      <c r="GUA44" s="6"/>
      <c r="GUB44" s="6"/>
      <c r="GUC44" s="6"/>
      <c r="GUD44" s="6"/>
      <c r="GUE44" s="6"/>
      <c r="GUF44" s="6"/>
      <c r="GUG44" s="6"/>
      <c r="GUH44" s="6"/>
      <c r="GUI44" s="6"/>
      <c r="GUJ44" s="6"/>
      <c r="GUK44" s="6"/>
      <c r="GUL44" s="6"/>
      <c r="GUM44" s="6"/>
      <c r="GUN44" s="6"/>
      <c r="GUO44" s="6"/>
      <c r="GUP44" s="6"/>
      <c r="GUQ44" s="6"/>
      <c r="GUR44" s="6"/>
      <c r="GUS44" s="6"/>
      <c r="GUT44" s="6"/>
      <c r="GUU44" s="6"/>
      <c r="GUV44" s="6"/>
      <c r="GUW44" s="6"/>
      <c r="GUX44" s="6"/>
      <c r="GUY44" s="6"/>
      <c r="GUZ44" s="6"/>
      <c r="GVA44" s="6"/>
      <c r="GVB44" s="6"/>
      <c r="GVC44" s="6"/>
      <c r="GVD44" s="6"/>
      <c r="GVE44" s="6"/>
      <c r="GVF44" s="6"/>
      <c r="GVG44" s="6"/>
      <c r="GVH44" s="6"/>
      <c r="GVI44" s="6"/>
      <c r="GVJ44" s="6"/>
      <c r="GVK44" s="6"/>
      <c r="GVL44" s="6"/>
      <c r="GVM44" s="6"/>
      <c r="GVN44" s="6"/>
      <c r="GVO44" s="6"/>
      <c r="GVP44" s="6"/>
      <c r="GVQ44" s="6"/>
      <c r="GVR44" s="6"/>
      <c r="GVS44" s="6"/>
      <c r="GVT44" s="6"/>
      <c r="GVU44" s="6"/>
      <c r="GVV44" s="6"/>
      <c r="GVW44" s="6"/>
      <c r="GVX44" s="6"/>
      <c r="GVY44" s="6"/>
      <c r="GVZ44" s="6"/>
      <c r="GWA44" s="6"/>
      <c r="GWB44" s="6"/>
      <c r="GWC44" s="6"/>
      <c r="GWD44" s="6"/>
      <c r="GWE44" s="6"/>
      <c r="GWF44" s="6"/>
      <c r="GWG44" s="6"/>
      <c r="GWH44" s="6"/>
      <c r="GWI44" s="6"/>
      <c r="GWJ44" s="6"/>
      <c r="GWK44" s="6"/>
      <c r="GWL44" s="6"/>
      <c r="GWM44" s="6"/>
      <c r="GWN44" s="6"/>
      <c r="GWO44" s="6"/>
      <c r="GWP44" s="6"/>
      <c r="GWQ44" s="6"/>
      <c r="GWR44" s="6"/>
      <c r="GWS44" s="6"/>
      <c r="GWT44" s="6"/>
      <c r="GWU44" s="6"/>
      <c r="GWV44" s="6"/>
      <c r="GWW44" s="6"/>
      <c r="GWX44" s="6"/>
      <c r="GWY44" s="6"/>
      <c r="GWZ44" s="6"/>
      <c r="GXA44" s="6"/>
      <c r="GXB44" s="6"/>
      <c r="GXC44" s="6"/>
      <c r="GXD44" s="6"/>
      <c r="GXE44" s="6"/>
      <c r="GXF44" s="6"/>
      <c r="GXG44" s="6"/>
      <c r="GXH44" s="6"/>
      <c r="GXI44" s="6"/>
      <c r="GXJ44" s="6"/>
      <c r="GXK44" s="6"/>
      <c r="GXL44" s="6"/>
      <c r="GXM44" s="6"/>
      <c r="GXN44" s="6"/>
      <c r="GXO44" s="6"/>
      <c r="GXP44" s="6"/>
      <c r="GXQ44" s="6"/>
      <c r="GXR44" s="6"/>
      <c r="GXS44" s="6"/>
      <c r="GXT44" s="6"/>
      <c r="GXU44" s="6"/>
      <c r="GXV44" s="6"/>
      <c r="GXW44" s="6"/>
      <c r="GXX44" s="6"/>
      <c r="GXY44" s="6"/>
      <c r="GXZ44" s="6"/>
      <c r="GYA44" s="6"/>
      <c r="GYB44" s="6"/>
      <c r="GYC44" s="6"/>
      <c r="GYD44" s="6"/>
      <c r="GYE44" s="6"/>
      <c r="GYF44" s="6"/>
      <c r="GYG44" s="6"/>
      <c r="GYH44" s="6"/>
      <c r="GYI44" s="6"/>
      <c r="GYJ44" s="6"/>
      <c r="GYK44" s="6"/>
      <c r="GYL44" s="6"/>
      <c r="GYM44" s="6"/>
      <c r="GYN44" s="6"/>
      <c r="GYO44" s="6"/>
      <c r="GYP44" s="6"/>
      <c r="GYQ44" s="6"/>
      <c r="GYR44" s="6"/>
      <c r="GYS44" s="6"/>
      <c r="GYT44" s="6"/>
      <c r="GYU44" s="6"/>
      <c r="GYV44" s="6"/>
      <c r="GYW44" s="6"/>
      <c r="GYX44" s="6"/>
      <c r="GYY44" s="6"/>
      <c r="GYZ44" s="6"/>
      <c r="GZA44" s="6"/>
      <c r="GZB44" s="6"/>
      <c r="GZC44" s="6"/>
      <c r="GZD44" s="6"/>
      <c r="GZE44" s="6"/>
      <c r="GZF44" s="6"/>
      <c r="GZG44" s="6"/>
      <c r="GZH44" s="6"/>
      <c r="GZI44" s="6"/>
      <c r="GZJ44" s="6"/>
      <c r="GZK44" s="6"/>
      <c r="GZL44" s="6"/>
      <c r="GZM44" s="6"/>
      <c r="GZN44" s="6"/>
      <c r="GZO44" s="6"/>
      <c r="GZP44" s="6"/>
      <c r="GZQ44" s="6"/>
      <c r="GZR44" s="6"/>
      <c r="GZS44" s="6"/>
      <c r="GZT44" s="6"/>
      <c r="GZU44" s="6"/>
      <c r="GZV44" s="6"/>
      <c r="GZW44" s="6"/>
      <c r="GZX44" s="6"/>
      <c r="GZY44" s="6"/>
      <c r="GZZ44" s="6"/>
      <c r="HAA44" s="6"/>
      <c r="HAB44" s="6"/>
      <c r="HAC44" s="6"/>
      <c r="HAD44" s="6"/>
      <c r="HAE44" s="6"/>
      <c r="HAF44" s="6"/>
      <c r="HAG44" s="6"/>
      <c r="HAH44" s="6"/>
      <c r="HAI44" s="6"/>
      <c r="HAJ44" s="6"/>
      <c r="HAK44" s="6"/>
      <c r="HAL44" s="6"/>
      <c r="HAM44" s="6"/>
      <c r="HAN44" s="6"/>
      <c r="HAO44" s="6"/>
      <c r="HAP44" s="6"/>
      <c r="HAQ44" s="6"/>
      <c r="HAR44" s="6"/>
      <c r="HAS44" s="6"/>
      <c r="HAT44" s="6"/>
      <c r="HAU44" s="6"/>
      <c r="HAV44" s="6"/>
      <c r="HAW44" s="6"/>
      <c r="HAX44" s="6"/>
      <c r="HAY44" s="6"/>
      <c r="HAZ44" s="6"/>
      <c r="HBA44" s="6"/>
      <c r="HBB44" s="6"/>
      <c r="HBC44" s="6"/>
      <c r="HBD44" s="6"/>
      <c r="HBE44" s="6"/>
      <c r="HBF44" s="6"/>
      <c r="HBG44" s="6"/>
      <c r="HBH44" s="6"/>
      <c r="HBI44" s="6"/>
      <c r="HBJ44" s="6"/>
      <c r="HBK44" s="6"/>
      <c r="HBL44" s="6"/>
      <c r="HBM44" s="6"/>
      <c r="HBN44" s="6"/>
      <c r="HBO44" s="6"/>
      <c r="HBP44" s="6"/>
      <c r="HBQ44" s="6"/>
      <c r="HBR44" s="6"/>
      <c r="HBS44" s="6"/>
      <c r="HBT44" s="6"/>
      <c r="HBU44" s="6"/>
      <c r="HBV44" s="6"/>
      <c r="HBW44" s="6"/>
      <c r="HBX44" s="6"/>
      <c r="HBY44" s="6"/>
      <c r="HBZ44" s="6"/>
      <c r="HCA44" s="6"/>
      <c r="HCB44" s="6"/>
      <c r="HCC44" s="6"/>
      <c r="HCD44" s="6"/>
      <c r="HCE44" s="6"/>
      <c r="HCF44" s="6"/>
      <c r="HCG44" s="6"/>
      <c r="HCH44" s="6"/>
      <c r="HCI44" s="6"/>
      <c r="HCJ44" s="6"/>
      <c r="HCK44" s="6"/>
      <c r="HCL44" s="6"/>
      <c r="HCM44" s="6"/>
      <c r="HCN44" s="6"/>
      <c r="HCO44" s="6"/>
      <c r="HCP44" s="6"/>
      <c r="HCQ44" s="6"/>
      <c r="HCR44" s="6"/>
      <c r="HCS44" s="6"/>
      <c r="HCT44" s="6"/>
      <c r="HCU44" s="6"/>
      <c r="HCV44" s="6"/>
      <c r="HCW44" s="6"/>
      <c r="HCX44" s="6"/>
      <c r="HCY44" s="6"/>
      <c r="HCZ44" s="6"/>
      <c r="HDA44" s="6"/>
      <c r="HDB44" s="6"/>
      <c r="HDC44" s="6"/>
      <c r="HDD44" s="6"/>
      <c r="HDE44" s="6"/>
      <c r="HDF44" s="6"/>
      <c r="HDG44" s="6"/>
      <c r="HDH44" s="6"/>
      <c r="HDI44" s="6"/>
      <c r="HDJ44" s="6"/>
      <c r="HDK44" s="6"/>
      <c r="HDL44" s="6"/>
      <c r="HDM44" s="6"/>
      <c r="HDN44" s="6"/>
      <c r="HDO44" s="6"/>
      <c r="HDP44" s="6"/>
      <c r="HDQ44" s="6"/>
      <c r="HDR44" s="6"/>
      <c r="HDS44" s="6"/>
      <c r="HDT44" s="6"/>
      <c r="HDU44" s="6"/>
      <c r="HDV44" s="6"/>
      <c r="HDW44" s="6"/>
      <c r="HDX44" s="6"/>
      <c r="HDY44" s="6"/>
      <c r="HDZ44" s="6"/>
      <c r="HEA44" s="6"/>
      <c r="HEB44" s="6"/>
      <c r="HEC44" s="6"/>
      <c r="HED44" s="6"/>
      <c r="HEE44" s="6"/>
      <c r="HEF44" s="6"/>
      <c r="HEG44" s="6"/>
      <c r="HEH44" s="6"/>
      <c r="HEI44" s="6"/>
      <c r="HEJ44" s="6"/>
      <c r="HEK44" s="6"/>
      <c r="HEL44" s="6"/>
      <c r="HEM44" s="6"/>
      <c r="HEN44" s="6"/>
      <c r="HEO44" s="6"/>
      <c r="HEP44" s="6"/>
      <c r="HEQ44" s="6"/>
      <c r="HER44" s="6"/>
      <c r="HES44" s="6"/>
      <c r="HET44" s="6"/>
      <c r="HEU44" s="6"/>
      <c r="HEV44" s="6"/>
      <c r="HEW44" s="6"/>
      <c r="HEX44" s="6"/>
      <c r="HEY44" s="6"/>
      <c r="HEZ44" s="6"/>
      <c r="HFA44" s="6"/>
      <c r="HFB44" s="6"/>
      <c r="HFC44" s="6"/>
      <c r="HFD44" s="6"/>
      <c r="HFE44" s="6"/>
      <c r="HFF44" s="6"/>
      <c r="HFG44" s="6"/>
      <c r="HFH44" s="6"/>
      <c r="HFI44" s="6"/>
      <c r="HFJ44" s="6"/>
      <c r="HFK44" s="6"/>
      <c r="HFL44" s="6"/>
      <c r="HFM44" s="6"/>
      <c r="HFN44" s="6"/>
      <c r="HFO44" s="6"/>
      <c r="HFP44" s="6"/>
      <c r="HFQ44" s="6"/>
      <c r="HFR44" s="6"/>
      <c r="HFS44" s="6"/>
      <c r="HFT44" s="6"/>
      <c r="HFU44" s="6"/>
      <c r="HFV44" s="6"/>
      <c r="HFW44" s="6"/>
      <c r="HFX44" s="6"/>
      <c r="HFY44" s="6"/>
      <c r="HFZ44" s="6"/>
      <c r="HGA44" s="6"/>
      <c r="HGB44" s="6"/>
      <c r="HGC44" s="6"/>
      <c r="HGD44" s="6"/>
      <c r="HGE44" s="6"/>
      <c r="HGF44" s="6"/>
      <c r="HGG44" s="6"/>
      <c r="HGH44" s="6"/>
      <c r="HGI44" s="6"/>
      <c r="HGJ44" s="6"/>
      <c r="HGK44" s="6"/>
      <c r="HGL44" s="6"/>
      <c r="HGM44" s="6"/>
      <c r="HGN44" s="6"/>
      <c r="HGO44" s="6"/>
      <c r="HGP44" s="6"/>
      <c r="HGQ44" s="6"/>
      <c r="HGR44" s="6"/>
      <c r="HGS44" s="6"/>
      <c r="HGT44" s="6"/>
      <c r="HGU44" s="6"/>
      <c r="HGV44" s="6"/>
      <c r="HGW44" s="6"/>
      <c r="HGX44" s="6"/>
      <c r="HGY44" s="6"/>
      <c r="HGZ44" s="6"/>
      <c r="HHA44" s="6"/>
      <c r="HHB44" s="6"/>
      <c r="HHC44" s="6"/>
      <c r="HHD44" s="6"/>
      <c r="HHE44" s="6"/>
      <c r="HHF44" s="6"/>
      <c r="HHG44" s="6"/>
      <c r="HHH44" s="6"/>
      <c r="HHI44" s="6"/>
      <c r="HHJ44" s="6"/>
      <c r="HHK44" s="6"/>
      <c r="HHL44" s="6"/>
      <c r="HHM44" s="6"/>
      <c r="HHN44" s="6"/>
      <c r="HHO44" s="6"/>
      <c r="HHP44" s="6"/>
      <c r="HHQ44" s="6"/>
      <c r="HHR44" s="6"/>
      <c r="HHS44" s="6"/>
      <c r="HHT44" s="6"/>
      <c r="HHU44" s="6"/>
      <c r="HHV44" s="6"/>
      <c r="HHW44" s="6"/>
      <c r="HHX44" s="6"/>
      <c r="HHY44" s="6"/>
      <c r="HHZ44" s="6"/>
      <c r="HIA44" s="6"/>
      <c r="HIB44" s="6"/>
      <c r="HIC44" s="6"/>
      <c r="HID44" s="6"/>
      <c r="HIE44" s="6"/>
      <c r="HIF44" s="6"/>
      <c r="HIG44" s="6"/>
      <c r="HIH44" s="6"/>
      <c r="HII44" s="6"/>
      <c r="HIJ44" s="6"/>
      <c r="HIK44" s="6"/>
      <c r="HIL44" s="6"/>
      <c r="HIM44" s="6"/>
      <c r="HIN44" s="6"/>
      <c r="HIO44" s="6"/>
      <c r="HIP44" s="6"/>
      <c r="HIQ44" s="6"/>
      <c r="HIR44" s="6"/>
      <c r="HIS44" s="6"/>
      <c r="HIT44" s="6"/>
      <c r="HIU44" s="6"/>
      <c r="HIV44" s="6"/>
      <c r="HIW44" s="6"/>
      <c r="HIX44" s="6"/>
      <c r="HIY44" s="6"/>
      <c r="HIZ44" s="6"/>
      <c r="HJA44" s="6"/>
      <c r="HJB44" s="6"/>
      <c r="HJC44" s="6"/>
      <c r="HJD44" s="6"/>
      <c r="HJE44" s="6"/>
      <c r="HJF44" s="6"/>
      <c r="HJG44" s="6"/>
      <c r="HJH44" s="6"/>
      <c r="HJI44" s="6"/>
      <c r="HJJ44" s="6"/>
      <c r="HJK44" s="6"/>
      <c r="HJL44" s="6"/>
      <c r="HJM44" s="6"/>
      <c r="HJN44" s="6"/>
      <c r="HJO44" s="6"/>
      <c r="HJP44" s="6"/>
      <c r="HJQ44" s="6"/>
      <c r="HJR44" s="6"/>
      <c r="HJS44" s="6"/>
      <c r="HJT44" s="6"/>
      <c r="HJU44" s="6"/>
      <c r="HJV44" s="6"/>
      <c r="HJW44" s="6"/>
      <c r="HJX44" s="6"/>
      <c r="HJY44" s="6"/>
      <c r="HJZ44" s="6"/>
      <c r="HKA44" s="6"/>
      <c r="HKB44" s="6"/>
      <c r="HKC44" s="6"/>
      <c r="HKD44" s="6"/>
      <c r="HKE44" s="6"/>
      <c r="HKF44" s="6"/>
      <c r="HKG44" s="6"/>
      <c r="HKH44" s="6"/>
      <c r="HKI44" s="6"/>
      <c r="HKJ44" s="6"/>
      <c r="HKK44" s="6"/>
      <c r="HKL44" s="6"/>
      <c r="HKM44" s="6"/>
      <c r="HKN44" s="6"/>
      <c r="HKO44" s="6"/>
      <c r="HKP44" s="6"/>
      <c r="HKQ44" s="6"/>
      <c r="HKR44" s="6"/>
      <c r="HKS44" s="6"/>
      <c r="HKT44" s="6"/>
      <c r="HKU44" s="6"/>
      <c r="HKV44" s="6"/>
      <c r="HKW44" s="6"/>
      <c r="HKX44" s="6"/>
      <c r="HKY44" s="6"/>
      <c r="HKZ44" s="6"/>
      <c r="HLA44" s="6"/>
      <c r="HLB44" s="6"/>
      <c r="HLC44" s="6"/>
      <c r="HLD44" s="6"/>
      <c r="HLE44" s="6"/>
      <c r="HLF44" s="6"/>
      <c r="HLG44" s="6"/>
      <c r="HLH44" s="6"/>
      <c r="HLI44" s="6"/>
      <c r="HLJ44" s="6"/>
      <c r="HLK44" s="6"/>
      <c r="HLL44" s="6"/>
      <c r="HLM44" s="6"/>
      <c r="HLN44" s="6"/>
      <c r="HLO44" s="6"/>
      <c r="HLP44" s="6"/>
      <c r="HLQ44" s="6"/>
      <c r="HLR44" s="6"/>
      <c r="HLS44" s="6"/>
      <c r="HLT44" s="6"/>
      <c r="HLU44" s="6"/>
      <c r="HLV44" s="6"/>
      <c r="HLW44" s="6"/>
      <c r="HLX44" s="6"/>
      <c r="HLY44" s="6"/>
      <c r="HLZ44" s="6"/>
      <c r="HMA44" s="6"/>
      <c r="HMB44" s="6"/>
      <c r="HMC44" s="6"/>
      <c r="HMD44" s="6"/>
      <c r="HME44" s="6"/>
      <c r="HMF44" s="6"/>
      <c r="HMG44" s="6"/>
      <c r="HMH44" s="6"/>
      <c r="HMI44" s="6"/>
      <c r="HMJ44" s="6"/>
      <c r="HMK44" s="6"/>
      <c r="HML44" s="6"/>
      <c r="HMM44" s="6"/>
      <c r="HMN44" s="6"/>
      <c r="HMO44" s="6"/>
      <c r="HMP44" s="6"/>
      <c r="HMQ44" s="6"/>
      <c r="HMR44" s="6"/>
      <c r="HMS44" s="6"/>
      <c r="HMT44" s="6"/>
      <c r="HMU44" s="6"/>
      <c r="HMV44" s="6"/>
      <c r="HMW44" s="6"/>
      <c r="HMX44" s="6"/>
      <c r="HMY44" s="6"/>
      <c r="HMZ44" s="6"/>
      <c r="HNA44" s="6"/>
      <c r="HNB44" s="6"/>
      <c r="HNC44" s="6"/>
      <c r="HND44" s="6"/>
      <c r="HNE44" s="6"/>
      <c r="HNF44" s="6"/>
      <c r="HNG44" s="6"/>
      <c r="HNH44" s="6"/>
      <c r="HNI44" s="6"/>
      <c r="HNJ44" s="6"/>
      <c r="HNK44" s="6"/>
      <c r="HNL44" s="6"/>
      <c r="HNM44" s="6"/>
      <c r="HNN44" s="6"/>
      <c r="HNO44" s="6"/>
      <c r="HNP44" s="6"/>
      <c r="HNQ44" s="6"/>
      <c r="HNR44" s="6"/>
      <c r="HNS44" s="6"/>
      <c r="HNT44" s="6"/>
      <c r="HNU44" s="6"/>
      <c r="HNV44" s="6"/>
      <c r="HNW44" s="6"/>
      <c r="HNX44" s="6"/>
      <c r="HNY44" s="6"/>
      <c r="HNZ44" s="6"/>
      <c r="HOA44" s="6"/>
      <c r="HOB44" s="6"/>
      <c r="HOC44" s="6"/>
      <c r="HOD44" s="6"/>
      <c r="HOE44" s="6"/>
      <c r="HOF44" s="6"/>
      <c r="HOG44" s="6"/>
      <c r="HOH44" s="6"/>
      <c r="HOI44" s="6"/>
      <c r="HOJ44" s="6"/>
      <c r="HOK44" s="6"/>
      <c r="HOL44" s="6"/>
      <c r="HOM44" s="6"/>
      <c r="HON44" s="6"/>
      <c r="HOO44" s="6"/>
      <c r="HOP44" s="6"/>
      <c r="HOQ44" s="6"/>
      <c r="HOR44" s="6"/>
      <c r="HOS44" s="6"/>
      <c r="HOT44" s="6"/>
      <c r="HOU44" s="6"/>
      <c r="HOV44" s="6"/>
      <c r="HOW44" s="6"/>
      <c r="HOX44" s="6"/>
      <c r="HOY44" s="6"/>
      <c r="HOZ44" s="6"/>
      <c r="HPA44" s="6"/>
      <c r="HPB44" s="6"/>
      <c r="HPC44" s="6"/>
      <c r="HPD44" s="6"/>
      <c r="HPE44" s="6"/>
      <c r="HPF44" s="6"/>
      <c r="HPG44" s="6"/>
      <c r="HPH44" s="6"/>
      <c r="HPI44" s="6"/>
      <c r="HPJ44" s="6"/>
      <c r="HPK44" s="6"/>
      <c r="HPL44" s="6"/>
      <c r="HPM44" s="6"/>
      <c r="HPN44" s="6"/>
      <c r="HPO44" s="6"/>
      <c r="HPP44" s="6"/>
      <c r="HPQ44" s="6"/>
      <c r="HPR44" s="6"/>
      <c r="HPS44" s="6"/>
      <c r="HPT44" s="6"/>
      <c r="HPU44" s="6"/>
      <c r="HPV44" s="6"/>
      <c r="HPW44" s="6"/>
      <c r="HPX44" s="6"/>
      <c r="HPY44" s="6"/>
      <c r="HPZ44" s="6"/>
      <c r="HQA44" s="6"/>
      <c r="HQB44" s="6"/>
      <c r="HQC44" s="6"/>
      <c r="HQD44" s="6"/>
      <c r="HQE44" s="6"/>
      <c r="HQF44" s="6"/>
      <c r="HQG44" s="6"/>
      <c r="HQH44" s="6"/>
      <c r="HQI44" s="6"/>
      <c r="HQJ44" s="6"/>
      <c r="HQK44" s="6"/>
      <c r="HQL44" s="6"/>
      <c r="HQM44" s="6"/>
      <c r="HQN44" s="6"/>
      <c r="HQO44" s="6"/>
      <c r="HQP44" s="6"/>
      <c r="HQQ44" s="6"/>
      <c r="HQR44" s="6"/>
      <c r="HQS44" s="6"/>
      <c r="HQT44" s="6"/>
      <c r="HQU44" s="6"/>
      <c r="HQV44" s="6"/>
      <c r="HQW44" s="6"/>
      <c r="HQX44" s="6"/>
      <c r="HQY44" s="6"/>
      <c r="HQZ44" s="6"/>
      <c r="HRA44" s="6"/>
      <c r="HRB44" s="6"/>
      <c r="HRC44" s="6"/>
      <c r="HRD44" s="6"/>
      <c r="HRE44" s="6"/>
      <c r="HRF44" s="6"/>
      <c r="HRG44" s="6"/>
      <c r="HRH44" s="6"/>
      <c r="HRI44" s="6"/>
      <c r="HRJ44" s="6"/>
      <c r="HRK44" s="6"/>
      <c r="HRL44" s="6"/>
      <c r="HRM44" s="6"/>
      <c r="HRN44" s="6"/>
      <c r="HRO44" s="6"/>
      <c r="HRP44" s="6"/>
      <c r="HRQ44" s="6"/>
      <c r="HRR44" s="6"/>
      <c r="HRS44" s="6"/>
      <c r="HRT44" s="6"/>
      <c r="HRU44" s="6"/>
      <c r="HRV44" s="6"/>
      <c r="HRW44" s="6"/>
      <c r="HRX44" s="6"/>
      <c r="HRY44" s="6"/>
      <c r="HRZ44" s="6"/>
      <c r="HSA44" s="6"/>
      <c r="HSB44" s="6"/>
      <c r="HSC44" s="6"/>
      <c r="HSD44" s="6"/>
      <c r="HSE44" s="6"/>
      <c r="HSF44" s="6"/>
      <c r="HSG44" s="6"/>
      <c r="HSH44" s="6"/>
      <c r="HSI44" s="6"/>
      <c r="HSJ44" s="6"/>
      <c r="HSK44" s="6"/>
      <c r="HSL44" s="6"/>
      <c r="HSM44" s="6"/>
      <c r="HSN44" s="6"/>
      <c r="HSO44" s="6"/>
      <c r="HSP44" s="6"/>
      <c r="HSQ44" s="6"/>
      <c r="HSR44" s="6"/>
      <c r="HSS44" s="6"/>
      <c r="HST44" s="6"/>
      <c r="HSU44" s="6"/>
      <c r="HSV44" s="6"/>
      <c r="HSW44" s="6"/>
      <c r="HSX44" s="6"/>
      <c r="HSY44" s="6"/>
      <c r="HSZ44" s="6"/>
      <c r="HTA44" s="6"/>
      <c r="HTB44" s="6"/>
      <c r="HTC44" s="6"/>
      <c r="HTD44" s="6"/>
      <c r="HTE44" s="6"/>
      <c r="HTF44" s="6"/>
      <c r="HTG44" s="6"/>
      <c r="HTH44" s="6"/>
      <c r="HTI44" s="6"/>
      <c r="HTJ44" s="6"/>
      <c r="HTK44" s="6"/>
      <c r="HTL44" s="6"/>
      <c r="HTM44" s="6"/>
      <c r="HTN44" s="6"/>
      <c r="HTO44" s="6"/>
      <c r="HTP44" s="6"/>
      <c r="HTQ44" s="6"/>
      <c r="HTR44" s="6"/>
      <c r="HTS44" s="6"/>
      <c r="HTT44" s="6"/>
      <c r="HTU44" s="6"/>
      <c r="HTV44" s="6"/>
      <c r="HTW44" s="6"/>
      <c r="HTX44" s="6"/>
      <c r="HTY44" s="6"/>
      <c r="HTZ44" s="6"/>
      <c r="HUA44" s="6"/>
      <c r="HUB44" s="6"/>
      <c r="HUC44" s="6"/>
      <c r="HUD44" s="6"/>
      <c r="HUE44" s="6"/>
      <c r="HUF44" s="6"/>
      <c r="HUG44" s="6"/>
      <c r="HUH44" s="6"/>
      <c r="HUI44" s="6"/>
      <c r="HUJ44" s="6"/>
      <c r="HUK44" s="6"/>
      <c r="HUL44" s="6"/>
      <c r="HUM44" s="6"/>
      <c r="HUN44" s="6"/>
      <c r="HUO44" s="6"/>
      <c r="HUP44" s="6"/>
      <c r="HUQ44" s="6"/>
      <c r="HUR44" s="6"/>
      <c r="HUS44" s="6"/>
      <c r="HUT44" s="6"/>
      <c r="HUU44" s="6"/>
      <c r="HUV44" s="6"/>
      <c r="HUW44" s="6"/>
      <c r="HUX44" s="6"/>
      <c r="HUY44" s="6"/>
      <c r="HUZ44" s="6"/>
      <c r="HVA44" s="6"/>
      <c r="HVB44" s="6"/>
      <c r="HVC44" s="6"/>
      <c r="HVD44" s="6"/>
      <c r="HVE44" s="6"/>
      <c r="HVF44" s="6"/>
      <c r="HVG44" s="6"/>
      <c r="HVH44" s="6"/>
      <c r="HVI44" s="6"/>
      <c r="HVJ44" s="6"/>
      <c r="HVK44" s="6"/>
      <c r="HVL44" s="6"/>
      <c r="HVM44" s="6"/>
      <c r="HVN44" s="6"/>
      <c r="HVO44" s="6"/>
      <c r="HVP44" s="6"/>
      <c r="HVQ44" s="6"/>
      <c r="HVR44" s="6"/>
      <c r="HVS44" s="6"/>
      <c r="HVT44" s="6"/>
      <c r="HVU44" s="6"/>
      <c r="HVV44" s="6"/>
      <c r="HVW44" s="6"/>
      <c r="HVX44" s="6"/>
      <c r="HVY44" s="6"/>
      <c r="HVZ44" s="6"/>
      <c r="HWA44" s="6"/>
      <c r="HWB44" s="6"/>
      <c r="HWC44" s="6"/>
      <c r="HWD44" s="6"/>
      <c r="HWE44" s="6"/>
      <c r="HWF44" s="6"/>
      <c r="HWG44" s="6"/>
      <c r="HWH44" s="6"/>
      <c r="HWI44" s="6"/>
      <c r="HWJ44" s="6"/>
      <c r="HWK44" s="6"/>
      <c r="HWL44" s="6"/>
      <c r="HWM44" s="6"/>
      <c r="HWN44" s="6"/>
      <c r="HWO44" s="6"/>
      <c r="HWP44" s="6"/>
      <c r="HWQ44" s="6"/>
      <c r="HWR44" s="6"/>
      <c r="HWS44" s="6"/>
      <c r="HWT44" s="6"/>
      <c r="HWU44" s="6"/>
      <c r="HWV44" s="6"/>
      <c r="HWW44" s="6"/>
      <c r="HWX44" s="6"/>
      <c r="HWY44" s="6"/>
      <c r="HWZ44" s="6"/>
      <c r="HXA44" s="6"/>
      <c r="HXB44" s="6"/>
      <c r="HXC44" s="6"/>
      <c r="HXD44" s="6"/>
      <c r="HXE44" s="6"/>
      <c r="HXF44" s="6"/>
      <c r="HXG44" s="6"/>
      <c r="HXH44" s="6"/>
      <c r="HXI44" s="6"/>
      <c r="HXJ44" s="6"/>
      <c r="HXK44" s="6"/>
      <c r="HXL44" s="6"/>
      <c r="HXM44" s="6"/>
      <c r="HXN44" s="6"/>
      <c r="HXO44" s="6"/>
      <c r="HXP44" s="6"/>
      <c r="HXQ44" s="6"/>
      <c r="HXR44" s="6"/>
      <c r="HXS44" s="6"/>
      <c r="HXT44" s="6"/>
      <c r="HXU44" s="6"/>
      <c r="HXV44" s="6"/>
      <c r="HXW44" s="6"/>
      <c r="HXX44" s="6"/>
      <c r="HXY44" s="6"/>
      <c r="HXZ44" s="6"/>
      <c r="HYA44" s="6"/>
      <c r="HYB44" s="6"/>
      <c r="HYC44" s="6"/>
      <c r="HYD44" s="6"/>
      <c r="HYE44" s="6"/>
      <c r="HYF44" s="6"/>
      <c r="HYG44" s="6"/>
      <c r="HYH44" s="6"/>
      <c r="HYI44" s="6"/>
      <c r="HYJ44" s="6"/>
      <c r="HYK44" s="6"/>
      <c r="HYL44" s="6"/>
      <c r="HYM44" s="6"/>
      <c r="HYN44" s="6"/>
      <c r="HYO44" s="6"/>
      <c r="HYP44" s="6"/>
      <c r="HYQ44" s="6"/>
      <c r="HYR44" s="6"/>
      <c r="HYS44" s="6"/>
      <c r="HYT44" s="6"/>
      <c r="HYU44" s="6"/>
      <c r="HYV44" s="6"/>
      <c r="HYW44" s="6"/>
      <c r="HYX44" s="6"/>
      <c r="HYY44" s="6"/>
      <c r="HYZ44" s="6"/>
      <c r="HZA44" s="6"/>
      <c r="HZB44" s="6"/>
      <c r="HZC44" s="6"/>
      <c r="HZD44" s="6"/>
      <c r="HZE44" s="6"/>
      <c r="HZF44" s="6"/>
      <c r="HZG44" s="6"/>
      <c r="HZH44" s="6"/>
      <c r="HZI44" s="6"/>
      <c r="HZJ44" s="6"/>
      <c r="HZK44" s="6"/>
      <c r="HZL44" s="6"/>
      <c r="HZM44" s="6"/>
      <c r="HZN44" s="6"/>
      <c r="HZO44" s="6"/>
      <c r="HZP44" s="6"/>
      <c r="HZQ44" s="6"/>
      <c r="HZR44" s="6"/>
      <c r="HZS44" s="6"/>
      <c r="HZT44" s="6"/>
      <c r="HZU44" s="6"/>
      <c r="HZV44" s="6"/>
      <c r="HZW44" s="6"/>
      <c r="HZX44" s="6"/>
      <c r="HZY44" s="6"/>
      <c r="HZZ44" s="6"/>
      <c r="IAA44" s="6"/>
      <c r="IAB44" s="6"/>
      <c r="IAC44" s="6"/>
      <c r="IAD44" s="6"/>
      <c r="IAE44" s="6"/>
      <c r="IAF44" s="6"/>
      <c r="IAG44" s="6"/>
      <c r="IAH44" s="6"/>
      <c r="IAI44" s="6"/>
      <c r="IAJ44" s="6"/>
      <c r="IAK44" s="6"/>
      <c r="IAL44" s="6"/>
      <c r="IAM44" s="6"/>
      <c r="IAN44" s="6"/>
      <c r="IAO44" s="6"/>
      <c r="IAP44" s="6"/>
      <c r="IAQ44" s="6"/>
      <c r="IAR44" s="6"/>
      <c r="IAS44" s="6"/>
      <c r="IAT44" s="6"/>
      <c r="IAU44" s="6"/>
      <c r="IAV44" s="6"/>
      <c r="IAW44" s="6"/>
      <c r="IAX44" s="6"/>
      <c r="IAY44" s="6"/>
      <c r="IAZ44" s="6"/>
      <c r="IBA44" s="6"/>
      <c r="IBB44" s="6"/>
      <c r="IBC44" s="6"/>
      <c r="IBD44" s="6"/>
      <c r="IBE44" s="6"/>
      <c r="IBF44" s="6"/>
      <c r="IBG44" s="6"/>
      <c r="IBH44" s="6"/>
      <c r="IBI44" s="6"/>
      <c r="IBJ44" s="6"/>
      <c r="IBK44" s="6"/>
      <c r="IBL44" s="6"/>
      <c r="IBM44" s="6"/>
      <c r="IBN44" s="6"/>
      <c r="IBO44" s="6"/>
      <c r="IBP44" s="6"/>
      <c r="IBQ44" s="6"/>
      <c r="IBR44" s="6"/>
      <c r="IBS44" s="6"/>
      <c r="IBT44" s="6"/>
      <c r="IBU44" s="6"/>
      <c r="IBV44" s="6"/>
      <c r="IBW44" s="6"/>
      <c r="IBX44" s="6"/>
      <c r="IBY44" s="6"/>
      <c r="IBZ44" s="6"/>
      <c r="ICA44" s="6"/>
      <c r="ICB44" s="6"/>
      <c r="ICC44" s="6"/>
      <c r="ICD44" s="6"/>
      <c r="ICE44" s="6"/>
      <c r="ICF44" s="6"/>
      <c r="ICG44" s="6"/>
      <c r="ICH44" s="6"/>
      <c r="ICI44" s="6"/>
      <c r="ICJ44" s="6"/>
      <c r="ICK44" s="6"/>
      <c r="ICL44" s="6"/>
      <c r="ICM44" s="6"/>
      <c r="ICN44" s="6"/>
      <c r="ICO44" s="6"/>
      <c r="ICP44" s="6"/>
      <c r="ICQ44" s="6"/>
      <c r="ICR44" s="6"/>
      <c r="ICS44" s="6"/>
      <c r="ICT44" s="6"/>
      <c r="ICU44" s="6"/>
      <c r="ICV44" s="6"/>
      <c r="ICW44" s="6"/>
      <c r="ICX44" s="6"/>
      <c r="ICY44" s="6"/>
      <c r="ICZ44" s="6"/>
      <c r="IDA44" s="6"/>
      <c r="IDB44" s="6"/>
      <c r="IDC44" s="6"/>
      <c r="IDD44" s="6"/>
      <c r="IDE44" s="6"/>
      <c r="IDF44" s="6"/>
      <c r="IDG44" s="6"/>
      <c r="IDH44" s="6"/>
      <c r="IDI44" s="6"/>
      <c r="IDJ44" s="6"/>
      <c r="IDK44" s="6"/>
      <c r="IDL44" s="6"/>
      <c r="IDM44" s="6"/>
      <c r="IDN44" s="6"/>
      <c r="IDO44" s="6"/>
      <c r="IDP44" s="6"/>
      <c r="IDQ44" s="6"/>
      <c r="IDR44" s="6"/>
      <c r="IDS44" s="6"/>
      <c r="IDT44" s="6"/>
      <c r="IDU44" s="6"/>
      <c r="IDV44" s="6"/>
      <c r="IDW44" s="6"/>
      <c r="IDX44" s="6"/>
      <c r="IDY44" s="6"/>
      <c r="IDZ44" s="6"/>
      <c r="IEA44" s="6"/>
      <c r="IEB44" s="6"/>
      <c r="IEC44" s="6"/>
      <c r="IED44" s="6"/>
      <c r="IEE44" s="6"/>
      <c r="IEF44" s="6"/>
      <c r="IEG44" s="6"/>
      <c r="IEH44" s="6"/>
      <c r="IEI44" s="6"/>
      <c r="IEJ44" s="6"/>
      <c r="IEK44" s="6"/>
      <c r="IEL44" s="6"/>
      <c r="IEM44" s="6"/>
      <c r="IEN44" s="6"/>
      <c r="IEO44" s="6"/>
      <c r="IEP44" s="6"/>
      <c r="IEQ44" s="6"/>
      <c r="IER44" s="6"/>
      <c r="IES44" s="6"/>
      <c r="IET44" s="6"/>
      <c r="IEU44" s="6"/>
      <c r="IEV44" s="6"/>
      <c r="IEW44" s="6"/>
      <c r="IEX44" s="6"/>
      <c r="IEY44" s="6"/>
      <c r="IEZ44" s="6"/>
      <c r="IFA44" s="6"/>
      <c r="IFB44" s="6"/>
      <c r="IFC44" s="6"/>
      <c r="IFD44" s="6"/>
      <c r="IFE44" s="6"/>
      <c r="IFF44" s="6"/>
      <c r="IFG44" s="6"/>
      <c r="IFH44" s="6"/>
      <c r="IFI44" s="6"/>
      <c r="IFJ44" s="6"/>
      <c r="IFK44" s="6"/>
      <c r="IFL44" s="6"/>
      <c r="IFM44" s="6"/>
      <c r="IFN44" s="6"/>
      <c r="IFO44" s="6"/>
      <c r="IFP44" s="6"/>
      <c r="IFQ44" s="6"/>
      <c r="IFR44" s="6"/>
      <c r="IFS44" s="6"/>
      <c r="IFT44" s="6"/>
      <c r="IFU44" s="6"/>
      <c r="IFV44" s="6"/>
      <c r="IFW44" s="6"/>
      <c r="IFX44" s="6"/>
      <c r="IFY44" s="6"/>
      <c r="IFZ44" s="6"/>
      <c r="IGA44" s="6"/>
      <c r="IGB44" s="6"/>
      <c r="IGC44" s="6"/>
      <c r="IGD44" s="6"/>
      <c r="IGE44" s="6"/>
      <c r="IGF44" s="6"/>
      <c r="IGG44" s="6"/>
      <c r="IGH44" s="6"/>
      <c r="IGI44" s="6"/>
      <c r="IGJ44" s="6"/>
      <c r="IGK44" s="6"/>
      <c r="IGL44" s="6"/>
      <c r="IGM44" s="6"/>
      <c r="IGN44" s="6"/>
      <c r="IGO44" s="6"/>
      <c r="IGP44" s="6"/>
      <c r="IGQ44" s="6"/>
      <c r="IGR44" s="6"/>
      <c r="IGS44" s="6"/>
      <c r="IGT44" s="6"/>
      <c r="IGU44" s="6"/>
      <c r="IGV44" s="6"/>
      <c r="IGW44" s="6"/>
      <c r="IGX44" s="6"/>
      <c r="IGY44" s="6"/>
      <c r="IGZ44" s="6"/>
      <c r="IHA44" s="6"/>
      <c r="IHB44" s="6"/>
      <c r="IHC44" s="6"/>
      <c r="IHD44" s="6"/>
      <c r="IHE44" s="6"/>
      <c r="IHF44" s="6"/>
      <c r="IHG44" s="6"/>
      <c r="IHH44" s="6"/>
      <c r="IHI44" s="6"/>
      <c r="IHJ44" s="6"/>
      <c r="IHK44" s="6"/>
      <c r="IHL44" s="6"/>
      <c r="IHM44" s="6"/>
      <c r="IHN44" s="6"/>
      <c r="IHO44" s="6"/>
      <c r="IHP44" s="6"/>
      <c r="IHQ44" s="6"/>
      <c r="IHR44" s="6"/>
      <c r="IHS44" s="6"/>
      <c r="IHT44" s="6"/>
      <c r="IHU44" s="6"/>
      <c r="IHV44" s="6"/>
      <c r="IHW44" s="6"/>
      <c r="IHX44" s="6"/>
      <c r="IHY44" s="6"/>
      <c r="IHZ44" s="6"/>
      <c r="IIA44" s="6"/>
      <c r="IIB44" s="6"/>
      <c r="IIC44" s="6"/>
      <c r="IID44" s="6"/>
      <c r="IIE44" s="6"/>
      <c r="IIF44" s="6"/>
      <c r="IIG44" s="6"/>
      <c r="IIH44" s="6"/>
      <c r="III44" s="6"/>
      <c r="IIJ44" s="6"/>
      <c r="IIK44" s="6"/>
      <c r="IIL44" s="6"/>
      <c r="IIM44" s="6"/>
      <c r="IIN44" s="6"/>
      <c r="IIO44" s="6"/>
      <c r="IIP44" s="6"/>
      <c r="IIQ44" s="6"/>
      <c r="IIR44" s="6"/>
      <c r="IIS44" s="6"/>
      <c r="IIT44" s="6"/>
      <c r="IIU44" s="6"/>
      <c r="IIV44" s="6"/>
      <c r="IIW44" s="6"/>
      <c r="IIX44" s="6"/>
      <c r="IIY44" s="6"/>
      <c r="IIZ44" s="6"/>
      <c r="IJA44" s="6"/>
      <c r="IJB44" s="6"/>
      <c r="IJC44" s="6"/>
      <c r="IJD44" s="6"/>
      <c r="IJE44" s="6"/>
      <c r="IJF44" s="6"/>
      <c r="IJG44" s="6"/>
      <c r="IJH44" s="6"/>
      <c r="IJI44" s="6"/>
      <c r="IJJ44" s="6"/>
      <c r="IJK44" s="6"/>
      <c r="IJL44" s="6"/>
      <c r="IJM44" s="6"/>
      <c r="IJN44" s="6"/>
      <c r="IJO44" s="6"/>
      <c r="IJP44" s="6"/>
      <c r="IJQ44" s="6"/>
      <c r="IJR44" s="6"/>
      <c r="IJS44" s="6"/>
      <c r="IJT44" s="6"/>
      <c r="IJU44" s="6"/>
      <c r="IJV44" s="6"/>
      <c r="IJW44" s="6"/>
      <c r="IJX44" s="6"/>
      <c r="IJY44" s="6"/>
      <c r="IJZ44" s="6"/>
      <c r="IKA44" s="6"/>
      <c r="IKB44" s="6"/>
      <c r="IKC44" s="6"/>
      <c r="IKD44" s="6"/>
      <c r="IKE44" s="6"/>
      <c r="IKF44" s="6"/>
      <c r="IKG44" s="6"/>
      <c r="IKH44" s="6"/>
      <c r="IKI44" s="6"/>
      <c r="IKJ44" s="6"/>
      <c r="IKK44" s="6"/>
      <c r="IKL44" s="6"/>
      <c r="IKM44" s="6"/>
      <c r="IKN44" s="6"/>
      <c r="IKO44" s="6"/>
      <c r="IKP44" s="6"/>
      <c r="IKQ44" s="6"/>
      <c r="IKR44" s="6"/>
      <c r="IKS44" s="6"/>
      <c r="IKT44" s="6"/>
      <c r="IKU44" s="6"/>
      <c r="IKV44" s="6"/>
      <c r="IKW44" s="6"/>
      <c r="IKX44" s="6"/>
      <c r="IKY44" s="6"/>
      <c r="IKZ44" s="6"/>
      <c r="ILA44" s="6"/>
      <c r="ILB44" s="6"/>
      <c r="ILC44" s="6"/>
      <c r="ILD44" s="6"/>
      <c r="ILE44" s="6"/>
      <c r="ILF44" s="6"/>
      <c r="ILG44" s="6"/>
      <c r="ILH44" s="6"/>
      <c r="ILI44" s="6"/>
      <c r="ILJ44" s="6"/>
      <c r="ILK44" s="6"/>
      <c r="ILL44" s="6"/>
      <c r="ILM44" s="6"/>
      <c r="ILN44" s="6"/>
      <c r="ILO44" s="6"/>
      <c r="ILP44" s="6"/>
      <c r="ILQ44" s="6"/>
      <c r="ILR44" s="6"/>
      <c r="ILS44" s="6"/>
      <c r="ILT44" s="6"/>
      <c r="ILU44" s="6"/>
      <c r="ILV44" s="6"/>
      <c r="ILW44" s="6"/>
      <c r="ILX44" s="6"/>
      <c r="ILY44" s="6"/>
      <c r="ILZ44" s="6"/>
      <c r="IMA44" s="6"/>
      <c r="IMB44" s="6"/>
      <c r="IMC44" s="6"/>
      <c r="IMD44" s="6"/>
      <c r="IME44" s="6"/>
      <c r="IMF44" s="6"/>
      <c r="IMG44" s="6"/>
      <c r="IMH44" s="6"/>
      <c r="IMI44" s="6"/>
      <c r="IMJ44" s="6"/>
      <c r="IMK44" s="6"/>
      <c r="IML44" s="6"/>
      <c r="IMM44" s="6"/>
      <c r="IMN44" s="6"/>
      <c r="IMO44" s="6"/>
      <c r="IMP44" s="6"/>
      <c r="IMQ44" s="6"/>
      <c r="IMR44" s="6"/>
      <c r="IMS44" s="6"/>
      <c r="IMT44" s="6"/>
      <c r="IMU44" s="6"/>
      <c r="IMV44" s="6"/>
      <c r="IMW44" s="6"/>
      <c r="IMX44" s="6"/>
      <c r="IMY44" s="6"/>
      <c r="IMZ44" s="6"/>
      <c r="INA44" s="6"/>
      <c r="INB44" s="6"/>
      <c r="INC44" s="6"/>
      <c r="IND44" s="6"/>
      <c r="INE44" s="6"/>
      <c r="INF44" s="6"/>
      <c r="ING44" s="6"/>
      <c r="INH44" s="6"/>
      <c r="INI44" s="6"/>
      <c r="INJ44" s="6"/>
      <c r="INK44" s="6"/>
      <c r="INL44" s="6"/>
      <c r="INM44" s="6"/>
      <c r="INN44" s="6"/>
      <c r="INO44" s="6"/>
      <c r="INP44" s="6"/>
      <c r="INQ44" s="6"/>
      <c r="INR44" s="6"/>
      <c r="INS44" s="6"/>
      <c r="INT44" s="6"/>
      <c r="INU44" s="6"/>
      <c r="INV44" s="6"/>
      <c r="INW44" s="6"/>
      <c r="INX44" s="6"/>
      <c r="INY44" s="6"/>
      <c r="INZ44" s="6"/>
      <c r="IOA44" s="6"/>
      <c r="IOB44" s="6"/>
      <c r="IOC44" s="6"/>
      <c r="IOD44" s="6"/>
      <c r="IOE44" s="6"/>
      <c r="IOF44" s="6"/>
      <c r="IOG44" s="6"/>
      <c r="IOH44" s="6"/>
      <c r="IOI44" s="6"/>
      <c r="IOJ44" s="6"/>
      <c r="IOK44" s="6"/>
      <c r="IOL44" s="6"/>
      <c r="IOM44" s="6"/>
      <c r="ION44" s="6"/>
      <c r="IOO44" s="6"/>
      <c r="IOP44" s="6"/>
      <c r="IOQ44" s="6"/>
      <c r="IOR44" s="6"/>
      <c r="IOS44" s="6"/>
      <c r="IOT44" s="6"/>
      <c r="IOU44" s="6"/>
      <c r="IOV44" s="6"/>
      <c r="IOW44" s="6"/>
      <c r="IOX44" s="6"/>
      <c r="IOY44" s="6"/>
      <c r="IOZ44" s="6"/>
      <c r="IPA44" s="6"/>
      <c r="IPB44" s="6"/>
      <c r="IPC44" s="6"/>
      <c r="IPD44" s="6"/>
      <c r="IPE44" s="6"/>
      <c r="IPF44" s="6"/>
      <c r="IPG44" s="6"/>
      <c r="IPH44" s="6"/>
      <c r="IPI44" s="6"/>
      <c r="IPJ44" s="6"/>
      <c r="IPK44" s="6"/>
      <c r="IPL44" s="6"/>
      <c r="IPM44" s="6"/>
      <c r="IPN44" s="6"/>
      <c r="IPO44" s="6"/>
      <c r="IPP44" s="6"/>
      <c r="IPQ44" s="6"/>
      <c r="IPR44" s="6"/>
      <c r="IPS44" s="6"/>
      <c r="IPT44" s="6"/>
      <c r="IPU44" s="6"/>
      <c r="IPV44" s="6"/>
      <c r="IPW44" s="6"/>
      <c r="IPX44" s="6"/>
      <c r="IPY44" s="6"/>
      <c r="IPZ44" s="6"/>
      <c r="IQA44" s="6"/>
      <c r="IQB44" s="6"/>
      <c r="IQC44" s="6"/>
      <c r="IQD44" s="6"/>
      <c r="IQE44" s="6"/>
      <c r="IQF44" s="6"/>
      <c r="IQG44" s="6"/>
      <c r="IQH44" s="6"/>
      <c r="IQI44" s="6"/>
      <c r="IQJ44" s="6"/>
      <c r="IQK44" s="6"/>
      <c r="IQL44" s="6"/>
      <c r="IQM44" s="6"/>
      <c r="IQN44" s="6"/>
      <c r="IQO44" s="6"/>
      <c r="IQP44" s="6"/>
      <c r="IQQ44" s="6"/>
      <c r="IQR44" s="6"/>
      <c r="IQS44" s="6"/>
      <c r="IQT44" s="6"/>
      <c r="IQU44" s="6"/>
      <c r="IQV44" s="6"/>
      <c r="IQW44" s="6"/>
      <c r="IQX44" s="6"/>
      <c r="IQY44" s="6"/>
      <c r="IQZ44" s="6"/>
      <c r="IRA44" s="6"/>
      <c r="IRB44" s="6"/>
      <c r="IRC44" s="6"/>
      <c r="IRD44" s="6"/>
      <c r="IRE44" s="6"/>
      <c r="IRF44" s="6"/>
      <c r="IRG44" s="6"/>
      <c r="IRH44" s="6"/>
      <c r="IRI44" s="6"/>
      <c r="IRJ44" s="6"/>
      <c r="IRK44" s="6"/>
      <c r="IRL44" s="6"/>
      <c r="IRM44" s="6"/>
      <c r="IRN44" s="6"/>
      <c r="IRO44" s="6"/>
      <c r="IRP44" s="6"/>
      <c r="IRQ44" s="6"/>
      <c r="IRR44" s="6"/>
      <c r="IRS44" s="6"/>
      <c r="IRT44" s="6"/>
      <c r="IRU44" s="6"/>
      <c r="IRV44" s="6"/>
      <c r="IRW44" s="6"/>
      <c r="IRX44" s="6"/>
      <c r="IRY44" s="6"/>
      <c r="IRZ44" s="6"/>
      <c r="ISA44" s="6"/>
      <c r="ISB44" s="6"/>
      <c r="ISC44" s="6"/>
      <c r="ISD44" s="6"/>
      <c r="ISE44" s="6"/>
      <c r="ISF44" s="6"/>
      <c r="ISG44" s="6"/>
      <c r="ISH44" s="6"/>
      <c r="ISI44" s="6"/>
      <c r="ISJ44" s="6"/>
      <c r="ISK44" s="6"/>
      <c r="ISL44" s="6"/>
      <c r="ISM44" s="6"/>
      <c r="ISN44" s="6"/>
      <c r="ISO44" s="6"/>
      <c r="ISP44" s="6"/>
      <c r="ISQ44" s="6"/>
      <c r="ISR44" s="6"/>
      <c r="ISS44" s="6"/>
      <c r="IST44" s="6"/>
      <c r="ISU44" s="6"/>
      <c r="ISV44" s="6"/>
      <c r="ISW44" s="6"/>
      <c r="ISX44" s="6"/>
      <c r="ISY44" s="6"/>
      <c r="ISZ44" s="6"/>
      <c r="ITA44" s="6"/>
      <c r="ITB44" s="6"/>
      <c r="ITC44" s="6"/>
      <c r="ITD44" s="6"/>
      <c r="ITE44" s="6"/>
      <c r="ITF44" s="6"/>
      <c r="ITG44" s="6"/>
      <c r="ITH44" s="6"/>
      <c r="ITI44" s="6"/>
      <c r="ITJ44" s="6"/>
      <c r="ITK44" s="6"/>
      <c r="ITL44" s="6"/>
      <c r="ITM44" s="6"/>
      <c r="ITN44" s="6"/>
      <c r="ITO44" s="6"/>
      <c r="ITP44" s="6"/>
      <c r="ITQ44" s="6"/>
      <c r="ITR44" s="6"/>
      <c r="ITS44" s="6"/>
      <c r="ITT44" s="6"/>
      <c r="ITU44" s="6"/>
      <c r="ITV44" s="6"/>
      <c r="ITW44" s="6"/>
      <c r="ITX44" s="6"/>
      <c r="ITY44" s="6"/>
      <c r="ITZ44" s="6"/>
      <c r="IUA44" s="6"/>
      <c r="IUB44" s="6"/>
      <c r="IUC44" s="6"/>
      <c r="IUD44" s="6"/>
      <c r="IUE44" s="6"/>
      <c r="IUF44" s="6"/>
      <c r="IUG44" s="6"/>
      <c r="IUH44" s="6"/>
      <c r="IUI44" s="6"/>
      <c r="IUJ44" s="6"/>
      <c r="IUK44" s="6"/>
      <c r="IUL44" s="6"/>
      <c r="IUM44" s="6"/>
      <c r="IUN44" s="6"/>
      <c r="IUO44" s="6"/>
      <c r="IUP44" s="6"/>
      <c r="IUQ44" s="6"/>
      <c r="IUR44" s="6"/>
      <c r="IUS44" s="6"/>
      <c r="IUT44" s="6"/>
      <c r="IUU44" s="6"/>
      <c r="IUV44" s="6"/>
      <c r="IUW44" s="6"/>
      <c r="IUX44" s="6"/>
      <c r="IUY44" s="6"/>
      <c r="IUZ44" s="6"/>
      <c r="IVA44" s="6"/>
      <c r="IVB44" s="6"/>
      <c r="IVC44" s="6"/>
      <c r="IVD44" s="6"/>
      <c r="IVE44" s="6"/>
      <c r="IVF44" s="6"/>
      <c r="IVG44" s="6"/>
      <c r="IVH44" s="6"/>
      <c r="IVI44" s="6"/>
      <c r="IVJ44" s="6"/>
      <c r="IVK44" s="6"/>
      <c r="IVL44" s="6"/>
      <c r="IVM44" s="6"/>
      <c r="IVN44" s="6"/>
      <c r="IVO44" s="6"/>
      <c r="IVP44" s="6"/>
      <c r="IVQ44" s="6"/>
      <c r="IVR44" s="6"/>
      <c r="IVS44" s="6"/>
      <c r="IVT44" s="6"/>
      <c r="IVU44" s="6"/>
      <c r="IVV44" s="6"/>
      <c r="IVW44" s="6"/>
      <c r="IVX44" s="6"/>
      <c r="IVY44" s="6"/>
      <c r="IVZ44" s="6"/>
      <c r="IWA44" s="6"/>
      <c r="IWB44" s="6"/>
      <c r="IWC44" s="6"/>
      <c r="IWD44" s="6"/>
      <c r="IWE44" s="6"/>
      <c r="IWF44" s="6"/>
      <c r="IWG44" s="6"/>
      <c r="IWH44" s="6"/>
      <c r="IWI44" s="6"/>
      <c r="IWJ44" s="6"/>
      <c r="IWK44" s="6"/>
      <c r="IWL44" s="6"/>
      <c r="IWM44" s="6"/>
      <c r="IWN44" s="6"/>
      <c r="IWO44" s="6"/>
      <c r="IWP44" s="6"/>
      <c r="IWQ44" s="6"/>
      <c r="IWR44" s="6"/>
      <c r="IWS44" s="6"/>
      <c r="IWT44" s="6"/>
      <c r="IWU44" s="6"/>
      <c r="IWV44" s="6"/>
      <c r="IWW44" s="6"/>
      <c r="IWX44" s="6"/>
      <c r="IWY44" s="6"/>
      <c r="IWZ44" s="6"/>
      <c r="IXA44" s="6"/>
      <c r="IXB44" s="6"/>
      <c r="IXC44" s="6"/>
      <c r="IXD44" s="6"/>
      <c r="IXE44" s="6"/>
      <c r="IXF44" s="6"/>
      <c r="IXG44" s="6"/>
      <c r="IXH44" s="6"/>
      <c r="IXI44" s="6"/>
      <c r="IXJ44" s="6"/>
      <c r="IXK44" s="6"/>
      <c r="IXL44" s="6"/>
      <c r="IXM44" s="6"/>
      <c r="IXN44" s="6"/>
      <c r="IXO44" s="6"/>
      <c r="IXP44" s="6"/>
      <c r="IXQ44" s="6"/>
      <c r="IXR44" s="6"/>
      <c r="IXS44" s="6"/>
      <c r="IXT44" s="6"/>
      <c r="IXU44" s="6"/>
      <c r="IXV44" s="6"/>
      <c r="IXW44" s="6"/>
      <c r="IXX44" s="6"/>
      <c r="IXY44" s="6"/>
      <c r="IXZ44" s="6"/>
      <c r="IYA44" s="6"/>
      <c r="IYB44" s="6"/>
      <c r="IYC44" s="6"/>
      <c r="IYD44" s="6"/>
      <c r="IYE44" s="6"/>
      <c r="IYF44" s="6"/>
      <c r="IYG44" s="6"/>
      <c r="IYH44" s="6"/>
      <c r="IYI44" s="6"/>
      <c r="IYJ44" s="6"/>
      <c r="IYK44" s="6"/>
      <c r="IYL44" s="6"/>
      <c r="IYM44" s="6"/>
      <c r="IYN44" s="6"/>
      <c r="IYO44" s="6"/>
      <c r="IYP44" s="6"/>
      <c r="IYQ44" s="6"/>
      <c r="IYR44" s="6"/>
      <c r="IYS44" s="6"/>
      <c r="IYT44" s="6"/>
      <c r="IYU44" s="6"/>
      <c r="IYV44" s="6"/>
      <c r="IYW44" s="6"/>
      <c r="IYX44" s="6"/>
      <c r="IYY44" s="6"/>
      <c r="IYZ44" s="6"/>
      <c r="IZA44" s="6"/>
      <c r="IZB44" s="6"/>
      <c r="IZC44" s="6"/>
      <c r="IZD44" s="6"/>
      <c r="IZE44" s="6"/>
      <c r="IZF44" s="6"/>
      <c r="IZG44" s="6"/>
      <c r="IZH44" s="6"/>
      <c r="IZI44" s="6"/>
      <c r="IZJ44" s="6"/>
      <c r="IZK44" s="6"/>
      <c r="IZL44" s="6"/>
      <c r="IZM44" s="6"/>
      <c r="IZN44" s="6"/>
      <c r="IZO44" s="6"/>
      <c r="IZP44" s="6"/>
      <c r="IZQ44" s="6"/>
      <c r="IZR44" s="6"/>
      <c r="IZS44" s="6"/>
      <c r="IZT44" s="6"/>
      <c r="IZU44" s="6"/>
      <c r="IZV44" s="6"/>
      <c r="IZW44" s="6"/>
      <c r="IZX44" s="6"/>
      <c r="IZY44" s="6"/>
      <c r="IZZ44" s="6"/>
      <c r="JAA44" s="6"/>
      <c r="JAB44" s="6"/>
      <c r="JAC44" s="6"/>
      <c r="JAD44" s="6"/>
      <c r="JAE44" s="6"/>
      <c r="JAF44" s="6"/>
      <c r="JAG44" s="6"/>
      <c r="JAH44" s="6"/>
      <c r="JAI44" s="6"/>
      <c r="JAJ44" s="6"/>
      <c r="JAK44" s="6"/>
      <c r="JAL44" s="6"/>
      <c r="JAM44" s="6"/>
      <c r="JAN44" s="6"/>
      <c r="JAO44" s="6"/>
      <c r="JAP44" s="6"/>
      <c r="JAQ44" s="6"/>
      <c r="JAR44" s="6"/>
      <c r="JAS44" s="6"/>
      <c r="JAT44" s="6"/>
      <c r="JAU44" s="6"/>
      <c r="JAV44" s="6"/>
      <c r="JAW44" s="6"/>
      <c r="JAX44" s="6"/>
      <c r="JAY44" s="6"/>
      <c r="JAZ44" s="6"/>
      <c r="JBA44" s="6"/>
      <c r="JBB44" s="6"/>
      <c r="JBC44" s="6"/>
      <c r="JBD44" s="6"/>
      <c r="JBE44" s="6"/>
      <c r="JBF44" s="6"/>
      <c r="JBG44" s="6"/>
      <c r="JBH44" s="6"/>
      <c r="JBI44" s="6"/>
      <c r="JBJ44" s="6"/>
      <c r="JBK44" s="6"/>
      <c r="JBL44" s="6"/>
      <c r="JBM44" s="6"/>
      <c r="JBN44" s="6"/>
      <c r="JBO44" s="6"/>
      <c r="JBP44" s="6"/>
      <c r="JBQ44" s="6"/>
      <c r="JBR44" s="6"/>
      <c r="JBS44" s="6"/>
      <c r="JBT44" s="6"/>
      <c r="JBU44" s="6"/>
      <c r="JBV44" s="6"/>
      <c r="JBW44" s="6"/>
      <c r="JBX44" s="6"/>
      <c r="JBY44" s="6"/>
      <c r="JBZ44" s="6"/>
      <c r="JCA44" s="6"/>
      <c r="JCB44" s="6"/>
      <c r="JCC44" s="6"/>
      <c r="JCD44" s="6"/>
      <c r="JCE44" s="6"/>
      <c r="JCF44" s="6"/>
      <c r="JCG44" s="6"/>
      <c r="JCH44" s="6"/>
      <c r="JCI44" s="6"/>
      <c r="JCJ44" s="6"/>
      <c r="JCK44" s="6"/>
      <c r="JCL44" s="6"/>
      <c r="JCM44" s="6"/>
      <c r="JCN44" s="6"/>
      <c r="JCO44" s="6"/>
      <c r="JCP44" s="6"/>
      <c r="JCQ44" s="6"/>
      <c r="JCR44" s="6"/>
      <c r="JCS44" s="6"/>
      <c r="JCT44" s="6"/>
      <c r="JCU44" s="6"/>
      <c r="JCV44" s="6"/>
      <c r="JCW44" s="6"/>
      <c r="JCX44" s="6"/>
      <c r="JCY44" s="6"/>
      <c r="JCZ44" s="6"/>
      <c r="JDA44" s="6"/>
      <c r="JDB44" s="6"/>
      <c r="JDC44" s="6"/>
      <c r="JDD44" s="6"/>
      <c r="JDE44" s="6"/>
      <c r="JDF44" s="6"/>
      <c r="JDG44" s="6"/>
      <c r="JDH44" s="6"/>
      <c r="JDI44" s="6"/>
      <c r="JDJ44" s="6"/>
      <c r="JDK44" s="6"/>
      <c r="JDL44" s="6"/>
      <c r="JDM44" s="6"/>
      <c r="JDN44" s="6"/>
      <c r="JDO44" s="6"/>
      <c r="JDP44" s="6"/>
      <c r="JDQ44" s="6"/>
      <c r="JDR44" s="6"/>
      <c r="JDS44" s="6"/>
      <c r="JDT44" s="6"/>
      <c r="JDU44" s="6"/>
      <c r="JDV44" s="6"/>
      <c r="JDW44" s="6"/>
      <c r="JDX44" s="6"/>
      <c r="JDY44" s="6"/>
      <c r="JDZ44" s="6"/>
      <c r="JEA44" s="6"/>
      <c r="JEB44" s="6"/>
      <c r="JEC44" s="6"/>
      <c r="JED44" s="6"/>
      <c r="JEE44" s="6"/>
      <c r="JEF44" s="6"/>
      <c r="JEG44" s="6"/>
      <c r="JEH44" s="6"/>
      <c r="JEI44" s="6"/>
      <c r="JEJ44" s="6"/>
      <c r="JEK44" s="6"/>
      <c r="JEL44" s="6"/>
      <c r="JEM44" s="6"/>
      <c r="JEN44" s="6"/>
      <c r="JEO44" s="6"/>
      <c r="JEP44" s="6"/>
      <c r="JEQ44" s="6"/>
      <c r="JER44" s="6"/>
      <c r="JES44" s="6"/>
      <c r="JET44" s="6"/>
      <c r="JEU44" s="6"/>
      <c r="JEV44" s="6"/>
      <c r="JEW44" s="6"/>
      <c r="JEX44" s="6"/>
      <c r="JEY44" s="6"/>
      <c r="JEZ44" s="6"/>
      <c r="JFA44" s="6"/>
      <c r="JFB44" s="6"/>
      <c r="JFC44" s="6"/>
      <c r="JFD44" s="6"/>
      <c r="JFE44" s="6"/>
      <c r="JFF44" s="6"/>
      <c r="JFG44" s="6"/>
      <c r="JFH44" s="6"/>
      <c r="JFI44" s="6"/>
      <c r="JFJ44" s="6"/>
      <c r="JFK44" s="6"/>
      <c r="JFL44" s="6"/>
      <c r="JFM44" s="6"/>
      <c r="JFN44" s="6"/>
      <c r="JFO44" s="6"/>
      <c r="JFP44" s="6"/>
      <c r="JFQ44" s="6"/>
      <c r="JFR44" s="6"/>
      <c r="JFS44" s="6"/>
      <c r="JFT44" s="6"/>
      <c r="JFU44" s="6"/>
      <c r="JFV44" s="6"/>
      <c r="JFW44" s="6"/>
      <c r="JFX44" s="6"/>
      <c r="JFY44" s="6"/>
      <c r="JFZ44" s="6"/>
      <c r="JGA44" s="6"/>
      <c r="JGB44" s="6"/>
      <c r="JGC44" s="6"/>
      <c r="JGD44" s="6"/>
      <c r="JGE44" s="6"/>
      <c r="JGF44" s="6"/>
      <c r="JGG44" s="6"/>
      <c r="JGH44" s="6"/>
      <c r="JGI44" s="6"/>
      <c r="JGJ44" s="6"/>
      <c r="JGK44" s="6"/>
      <c r="JGL44" s="6"/>
      <c r="JGM44" s="6"/>
      <c r="JGN44" s="6"/>
      <c r="JGO44" s="6"/>
      <c r="JGP44" s="6"/>
      <c r="JGQ44" s="6"/>
      <c r="JGR44" s="6"/>
      <c r="JGS44" s="6"/>
      <c r="JGT44" s="6"/>
      <c r="JGU44" s="6"/>
      <c r="JGV44" s="6"/>
      <c r="JGW44" s="6"/>
      <c r="JGX44" s="6"/>
      <c r="JGY44" s="6"/>
      <c r="JGZ44" s="6"/>
      <c r="JHA44" s="6"/>
      <c r="JHB44" s="6"/>
      <c r="JHC44" s="6"/>
      <c r="JHD44" s="6"/>
      <c r="JHE44" s="6"/>
      <c r="JHF44" s="6"/>
      <c r="JHG44" s="6"/>
      <c r="JHH44" s="6"/>
      <c r="JHI44" s="6"/>
      <c r="JHJ44" s="6"/>
      <c r="JHK44" s="6"/>
      <c r="JHL44" s="6"/>
      <c r="JHM44" s="6"/>
      <c r="JHN44" s="6"/>
      <c r="JHO44" s="6"/>
      <c r="JHP44" s="6"/>
      <c r="JHQ44" s="6"/>
      <c r="JHR44" s="6"/>
      <c r="JHS44" s="6"/>
      <c r="JHT44" s="6"/>
      <c r="JHU44" s="6"/>
      <c r="JHV44" s="6"/>
      <c r="JHW44" s="6"/>
      <c r="JHX44" s="6"/>
      <c r="JHY44" s="6"/>
      <c r="JHZ44" s="6"/>
      <c r="JIA44" s="6"/>
      <c r="JIB44" s="6"/>
      <c r="JIC44" s="6"/>
      <c r="JID44" s="6"/>
      <c r="JIE44" s="6"/>
      <c r="JIF44" s="6"/>
      <c r="JIG44" s="6"/>
      <c r="JIH44" s="6"/>
      <c r="JII44" s="6"/>
      <c r="JIJ44" s="6"/>
      <c r="JIK44" s="6"/>
      <c r="JIL44" s="6"/>
      <c r="JIM44" s="6"/>
      <c r="JIN44" s="6"/>
      <c r="JIO44" s="6"/>
      <c r="JIP44" s="6"/>
      <c r="JIQ44" s="6"/>
      <c r="JIR44" s="6"/>
      <c r="JIS44" s="6"/>
      <c r="JIT44" s="6"/>
      <c r="JIU44" s="6"/>
      <c r="JIV44" s="6"/>
      <c r="JIW44" s="6"/>
      <c r="JIX44" s="6"/>
      <c r="JIY44" s="6"/>
      <c r="JIZ44" s="6"/>
      <c r="JJA44" s="6"/>
      <c r="JJB44" s="6"/>
      <c r="JJC44" s="6"/>
      <c r="JJD44" s="6"/>
      <c r="JJE44" s="6"/>
      <c r="JJF44" s="6"/>
      <c r="JJG44" s="6"/>
      <c r="JJH44" s="6"/>
      <c r="JJI44" s="6"/>
      <c r="JJJ44" s="6"/>
      <c r="JJK44" s="6"/>
      <c r="JJL44" s="6"/>
      <c r="JJM44" s="6"/>
      <c r="JJN44" s="6"/>
      <c r="JJO44" s="6"/>
      <c r="JJP44" s="6"/>
      <c r="JJQ44" s="6"/>
      <c r="JJR44" s="6"/>
      <c r="JJS44" s="6"/>
      <c r="JJT44" s="6"/>
      <c r="JJU44" s="6"/>
      <c r="JJV44" s="6"/>
      <c r="JJW44" s="6"/>
      <c r="JJX44" s="6"/>
      <c r="JJY44" s="6"/>
      <c r="JJZ44" s="6"/>
      <c r="JKA44" s="6"/>
      <c r="JKB44" s="6"/>
      <c r="JKC44" s="6"/>
      <c r="JKD44" s="6"/>
      <c r="JKE44" s="6"/>
      <c r="JKF44" s="6"/>
      <c r="JKG44" s="6"/>
      <c r="JKH44" s="6"/>
      <c r="JKI44" s="6"/>
      <c r="JKJ44" s="6"/>
      <c r="JKK44" s="6"/>
      <c r="JKL44" s="6"/>
      <c r="JKM44" s="6"/>
      <c r="JKN44" s="6"/>
      <c r="JKO44" s="6"/>
      <c r="JKP44" s="6"/>
      <c r="JKQ44" s="6"/>
      <c r="JKR44" s="6"/>
      <c r="JKS44" s="6"/>
      <c r="JKT44" s="6"/>
      <c r="JKU44" s="6"/>
      <c r="JKV44" s="6"/>
      <c r="JKW44" s="6"/>
      <c r="JKX44" s="6"/>
      <c r="JKY44" s="6"/>
      <c r="JKZ44" s="6"/>
      <c r="JLA44" s="6"/>
      <c r="JLB44" s="6"/>
      <c r="JLC44" s="6"/>
      <c r="JLD44" s="6"/>
      <c r="JLE44" s="6"/>
      <c r="JLF44" s="6"/>
      <c r="JLG44" s="6"/>
      <c r="JLH44" s="6"/>
      <c r="JLI44" s="6"/>
      <c r="JLJ44" s="6"/>
      <c r="JLK44" s="6"/>
      <c r="JLL44" s="6"/>
      <c r="JLM44" s="6"/>
      <c r="JLN44" s="6"/>
      <c r="JLO44" s="6"/>
      <c r="JLP44" s="6"/>
      <c r="JLQ44" s="6"/>
      <c r="JLR44" s="6"/>
      <c r="JLS44" s="6"/>
      <c r="JLT44" s="6"/>
      <c r="JLU44" s="6"/>
      <c r="JLV44" s="6"/>
      <c r="JLW44" s="6"/>
      <c r="JLX44" s="6"/>
      <c r="JLY44" s="6"/>
      <c r="JLZ44" s="6"/>
      <c r="JMA44" s="6"/>
      <c r="JMB44" s="6"/>
      <c r="JMC44" s="6"/>
      <c r="JMD44" s="6"/>
      <c r="JME44" s="6"/>
      <c r="JMF44" s="6"/>
      <c r="JMG44" s="6"/>
      <c r="JMH44" s="6"/>
      <c r="JMI44" s="6"/>
      <c r="JMJ44" s="6"/>
      <c r="JMK44" s="6"/>
      <c r="JML44" s="6"/>
      <c r="JMM44" s="6"/>
      <c r="JMN44" s="6"/>
      <c r="JMO44" s="6"/>
      <c r="JMP44" s="6"/>
      <c r="JMQ44" s="6"/>
      <c r="JMR44" s="6"/>
      <c r="JMS44" s="6"/>
      <c r="JMT44" s="6"/>
      <c r="JMU44" s="6"/>
      <c r="JMV44" s="6"/>
      <c r="JMW44" s="6"/>
      <c r="JMX44" s="6"/>
      <c r="JMY44" s="6"/>
      <c r="JMZ44" s="6"/>
      <c r="JNA44" s="6"/>
      <c r="JNB44" s="6"/>
      <c r="JNC44" s="6"/>
      <c r="JND44" s="6"/>
      <c r="JNE44" s="6"/>
      <c r="JNF44" s="6"/>
      <c r="JNG44" s="6"/>
      <c r="JNH44" s="6"/>
      <c r="JNI44" s="6"/>
      <c r="JNJ44" s="6"/>
      <c r="JNK44" s="6"/>
      <c r="JNL44" s="6"/>
      <c r="JNM44" s="6"/>
      <c r="JNN44" s="6"/>
      <c r="JNO44" s="6"/>
      <c r="JNP44" s="6"/>
      <c r="JNQ44" s="6"/>
      <c r="JNR44" s="6"/>
      <c r="JNS44" s="6"/>
      <c r="JNT44" s="6"/>
      <c r="JNU44" s="6"/>
      <c r="JNV44" s="6"/>
      <c r="JNW44" s="6"/>
      <c r="JNX44" s="6"/>
      <c r="JNY44" s="6"/>
      <c r="JNZ44" s="6"/>
      <c r="JOA44" s="6"/>
      <c r="JOB44" s="6"/>
      <c r="JOC44" s="6"/>
      <c r="JOD44" s="6"/>
      <c r="JOE44" s="6"/>
      <c r="JOF44" s="6"/>
      <c r="JOG44" s="6"/>
      <c r="JOH44" s="6"/>
      <c r="JOI44" s="6"/>
      <c r="JOJ44" s="6"/>
      <c r="JOK44" s="6"/>
      <c r="JOL44" s="6"/>
      <c r="JOM44" s="6"/>
      <c r="JON44" s="6"/>
      <c r="JOO44" s="6"/>
      <c r="JOP44" s="6"/>
      <c r="JOQ44" s="6"/>
      <c r="JOR44" s="6"/>
      <c r="JOS44" s="6"/>
      <c r="JOT44" s="6"/>
      <c r="JOU44" s="6"/>
      <c r="JOV44" s="6"/>
      <c r="JOW44" s="6"/>
      <c r="JOX44" s="6"/>
      <c r="JOY44" s="6"/>
      <c r="JOZ44" s="6"/>
      <c r="JPA44" s="6"/>
      <c r="JPB44" s="6"/>
      <c r="JPC44" s="6"/>
      <c r="JPD44" s="6"/>
      <c r="JPE44" s="6"/>
      <c r="JPF44" s="6"/>
      <c r="JPG44" s="6"/>
      <c r="JPH44" s="6"/>
      <c r="JPI44" s="6"/>
      <c r="JPJ44" s="6"/>
      <c r="JPK44" s="6"/>
      <c r="JPL44" s="6"/>
      <c r="JPM44" s="6"/>
      <c r="JPN44" s="6"/>
      <c r="JPO44" s="6"/>
      <c r="JPP44" s="6"/>
      <c r="JPQ44" s="6"/>
      <c r="JPR44" s="6"/>
      <c r="JPS44" s="6"/>
      <c r="JPT44" s="6"/>
      <c r="JPU44" s="6"/>
      <c r="JPV44" s="6"/>
      <c r="JPW44" s="6"/>
      <c r="JPX44" s="6"/>
      <c r="JPY44" s="6"/>
      <c r="JPZ44" s="6"/>
      <c r="JQA44" s="6"/>
      <c r="JQB44" s="6"/>
      <c r="JQC44" s="6"/>
      <c r="JQD44" s="6"/>
      <c r="JQE44" s="6"/>
      <c r="JQF44" s="6"/>
      <c r="JQG44" s="6"/>
      <c r="JQH44" s="6"/>
      <c r="JQI44" s="6"/>
      <c r="JQJ44" s="6"/>
      <c r="JQK44" s="6"/>
      <c r="JQL44" s="6"/>
      <c r="JQM44" s="6"/>
      <c r="JQN44" s="6"/>
      <c r="JQO44" s="6"/>
      <c r="JQP44" s="6"/>
      <c r="JQQ44" s="6"/>
      <c r="JQR44" s="6"/>
      <c r="JQS44" s="6"/>
      <c r="JQT44" s="6"/>
      <c r="JQU44" s="6"/>
      <c r="JQV44" s="6"/>
      <c r="JQW44" s="6"/>
      <c r="JQX44" s="6"/>
      <c r="JQY44" s="6"/>
      <c r="JQZ44" s="6"/>
      <c r="JRA44" s="6"/>
      <c r="JRB44" s="6"/>
      <c r="JRC44" s="6"/>
      <c r="JRD44" s="6"/>
      <c r="JRE44" s="6"/>
      <c r="JRF44" s="6"/>
      <c r="JRG44" s="6"/>
      <c r="JRH44" s="6"/>
      <c r="JRI44" s="6"/>
      <c r="JRJ44" s="6"/>
      <c r="JRK44" s="6"/>
      <c r="JRL44" s="6"/>
      <c r="JRM44" s="6"/>
      <c r="JRN44" s="6"/>
      <c r="JRO44" s="6"/>
      <c r="JRP44" s="6"/>
      <c r="JRQ44" s="6"/>
      <c r="JRR44" s="6"/>
      <c r="JRS44" s="6"/>
      <c r="JRT44" s="6"/>
      <c r="JRU44" s="6"/>
      <c r="JRV44" s="6"/>
      <c r="JRW44" s="6"/>
      <c r="JRX44" s="6"/>
      <c r="JRY44" s="6"/>
      <c r="JRZ44" s="6"/>
      <c r="JSA44" s="6"/>
      <c r="JSB44" s="6"/>
      <c r="JSC44" s="6"/>
      <c r="JSD44" s="6"/>
      <c r="JSE44" s="6"/>
      <c r="JSF44" s="6"/>
      <c r="JSG44" s="6"/>
      <c r="JSH44" s="6"/>
      <c r="JSI44" s="6"/>
      <c r="JSJ44" s="6"/>
      <c r="JSK44" s="6"/>
      <c r="JSL44" s="6"/>
      <c r="JSM44" s="6"/>
      <c r="JSN44" s="6"/>
      <c r="JSO44" s="6"/>
      <c r="JSP44" s="6"/>
      <c r="JSQ44" s="6"/>
      <c r="JSR44" s="6"/>
      <c r="JSS44" s="6"/>
      <c r="JST44" s="6"/>
      <c r="JSU44" s="6"/>
      <c r="JSV44" s="6"/>
      <c r="JSW44" s="6"/>
      <c r="JSX44" s="6"/>
      <c r="JSY44" s="6"/>
      <c r="JSZ44" s="6"/>
      <c r="JTA44" s="6"/>
      <c r="JTB44" s="6"/>
      <c r="JTC44" s="6"/>
      <c r="JTD44" s="6"/>
      <c r="JTE44" s="6"/>
      <c r="JTF44" s="6"/>
      <c r="JTG44" s="6"/>
      <c r="JTH44" s="6"/>
      <c r="JTI44" s="6"/>
      <c r="JTJ44" s="6"/>
      <c r="JTK44" s="6"/>
      <c r="JTL44" s="6"/>
      <c r="JTM44" s="6"/>
      <c r="JTN44" s="6"/>
      <c r="JTO44" s="6"/>
      <c r="JTP44" s="6"/>
      <c r="JTQ44" s="6"/>
      <c r="JTR44" s="6"/>
      <c r="JTS44" s="6"/>
      <c r="JTT44" s="6"/>
      <c r="JTU44" s="6"/>
      <c r="JTV44" s="6"/>
      <c r="JTW44" s="6"/>
      <c r="JTX44" s="6"/>
      <c r="JTY44" s="6"/>
      <c r="JTZ44" s="6"/>
      <c r="JUA44" s="6"/>
      <c r="JUB44" s="6"/>
      <c r="JUC44" s="6"/>
      <c r="JUD44" s="6"/>
      <c r="JUE44" s="6"/>
      <c r="JUF44" s="6"/>
      <c r="JUG44" s="6"/>
      <c r="JUH44" s="6"/>
      <c r="JUI44" s="6"/>
      <c r="JUJ44" s="6"/>
      <c r="JUK44" s="6"/>
      <c r="JUL44" s="6"/>
      <c r="JUM44" s="6"/>
      <c r="JUN44" s="6"/>
      <c r="JUO44" s="6"/>
      <c r="JUP44" s="6"/>
      <c r="JUQ44" s="6"/>
      <c r="JUR44" s="6"/>
      <c r="JUS44" s="6"/>
      <c r="JUT44" s="6"/>
      <c r="JUU44" s="6"/>
      <c r="JUV44" s="6"/>
      <c r="JUW44" s="6"/>
      <c r="JUX44" s="6"/>
      <c r="JUY44" s="6"/>
      <c r="JUZ44" s="6"/>
      <c r="JVA44" s="6"/>
      <c r="JVB44" s="6"/>
      <c r="JVC44" s="6"/>
      <c r="JVD44" s="6"/>
      <c r="JVE44" s="6"/>
      <c r="JVF44" s="6"/>
      <c r="JVG44" s="6"/>
      <c r="JVH44" s="6"/>
      <c r="JVI44" s="6"/>
      <c r="JVJ44" s="6"/>
      <c r="JVK44" s="6"/>
      <c r="JVL44" s="6"/>
      <c r="JVM44" s="6"/>
      <c r="JVN44" s="6"/>
      <c r="JVO44" s="6"/>
      <c r="JVP44" s="6"/>
      <c r="JVQ44" s="6"/>
      <c r="JVR44" s="6"/>
      <c r="JVS44" s="6"/>
      <c r="JVT44" s="6"/>
      <c r="JVU44" s="6"/>
      <c r="JVV44" s="6"/>
      <c r="JVW44" s="6"/>
      <c r="JVX44" s="6"/>
      <c r="JVY44" s="6"/>
      <c r="JVZ44" s="6"/>
      <c r="JWA44" s="6"/>
      <c r="JWB44" s="6"/>
      <c r="JWC44" s="6"/>
      <c r="JWD44" s="6"/>
      <c r="JWE44" s="6"/>
      <c r="JWF44" s="6"/>
      <c r="JWG44" s="6"/>
      <c r="JWH44" s="6"/>
      <c r="JWI44" s="6"/>
      <c r="JWJ44" s="6"/>
      <c r="JWK44" s="6"/>
      <c r="JWL44" s="6"/>
      <c r="JWM44" s="6"/>
      <c r="JWN44" s="6"/>
      <c r="JWO44" s="6"/>
      <c r="JWP44" s="6"/>
      <c r="JWQ44" s="6"/>
      <c r="JWR44" s="6"/>
      <c r="JWS44" s="6"/>
      <c r="JWT44" s="6"/>
      <c r="JWU44" s="6"/>
      <c r="JWV44" s="6"/>
      <c r="JWW44" s="6"/>
      <c r="JWX44" s="6"/>
      <c r="JWY44" s="6"/>
      <c r="JWZ44" s="6"/>
      <c r="JXA44" s="6"/>
      <c r="JXB44" s="6"/>
      <c r="JXC44" s="6"/>
      <c r="JXD44" s="6"/>
      <c r="JXE44" s="6"/>
      <c r="JXF44" s="6"/>
      <c r="JXG44" s="6"/>
      <c r="JXH44" s="6"/>
      <c r="JXI44" s="6"/>
      <c r="JXJ44" s="6"/>
      <c r="JXK44" s="6"/>
      <c r="JXL44" s="6"/>
      <c r="JXM44" s="6"/>
      <c r="JXN44" s="6"/>
      <c r="JXO44" s="6"/>
      <c r="JXP44" s="6"/>
      <c r="JXQ44" s="6"/>
      <c r="JXR44" s="6"/>
      <c r="JXS44" s="6"/>
      <c r="JXT44" s="6"/>
      <c r="JXU44" s="6"/>
      <c r="JXV44" s="6"/>
      <c r="JXW44" s="6"/>
      <c r="JXX44" s="6"/>
      <c r="JXY44" s="6"/>
      <c r="JXZ44" s="6"/>
      <c r="JYA44" s="6"/>
      <c r="JYB44" s="6"/>
      <c r="JYC44" s="6"/>
      <c r="JYD44" s="6"/>
      <c r="JYE44" s="6"/>
      <c r="JYF44" s="6"/>
      <c r="JYG44" s="6"/>
      <c r="JYH44" s="6"/>
      <c r="JYI44" s="6"/>
      <c r="JYJ44" s="6"/>
      <c r="JYK44" s="6"/>
      <c r="JYL44" s="6"/>
      <c r="JYM44" s="6"/>
      <c r="JYN44" s="6"/>
      <c r="JYO44" s="6"/>
      <c r="JYP44" s="6"/>
      <c r="JYQ44" s="6"/>
      <c r="JYR44" s="6"/>
      <c r="JYS44" s="6"/>
      <c r="JYT44" s="6"/>
      <c r="JYU44" s="6"/>
      <c r="JYV44" s="6"/>
      <c r="JYW44" s="6"/>
      <c r="JYX44" s="6"/>
      <c r="JYY44" s="6"/>
      <c r="JYZ44" s="6"/>
      <c r="JZA44" s="6"/>
      <c r="JZB44" s="6"/>
      <c r="JZC44" s="6"/>
      <c r="JZD44" s="6"/>
      <c r="JZE44" s="6"/>
      <c r="JZF44" s="6"/>
      <c r="JZG44" s="6"/>
      <c r="JZH44" s="6"/>
      <c r="JZI44" s="6"/>
      <c r="JZJ44" s="6"/>
      <c r="JZK44" s="6"/>
      <c r="JZL44" s="6"/>
      <c r="JZM44" s="6"/>
      <c r="JZN44" s="6"/>
      <c r="JZO44" s="6"/>
      <c r="JZP44" s="6"/>
      <c r="JZQ44" s="6"/>
      <c r="JZR44" s="6"/>
      <c r="JZS44" s="6"/>
      <c r="JZT44" s="6"/>
      <c r="JZU44" s="6"/>
      <c r="JZV44" s="6"/>
      <c r="JZW44" s="6"/>
      <c r="JZX44" s="6"/>
      <c r="JZY44" s="6"/>
      <c r="JZZ44" s="6"/>
      <c r="KAA44" s="6"/>
      <c r="KAB44" s="6"/>
      <c r="KAC44" s="6"/>
      <c r="KAD44" s="6"/>
      <c r="KAE44" s="6"/>
      <c r="KAF44" s="6"/>
      <c r="KAG44" s="6"/>
      <c r="KAH44" s="6"/>
      <c r="KAI44" s="6"/>
      <c r="KAJ44" s="6"/>
      <c r="KAK44" s="6"/>
      <c r="KAL44" s="6"/>
      <c r="KAM44" s="6"/>
      <c r="KAN44" s="6"/>
      <c r="KAO44" s="6"/>
      <c r="KAP44" s="6"/>
      <c r="KAQ44" s="6"/>
      <c r="KAR44" s="6"/>
      <c r="KAS44" s="6"/>
      <c r="KAT44" s="6"/>
      <c r="KAU44" s="6"/>
      <c r="KAV44" s="6"/>
      <c r="KAW44" s="6"/>
      <c r="KAX44" s="6"/>
      <c r="KAY44" s="6"/>
      <c r="KAZ44" s="6"/>
      <c r="KBA44" s="6"/>
      <c r="KBB44" s="6"/>
      <c r="KBC44" s="6"/>
      <c r="KBD44" s="6"/>
      <c r="KBE44" s="6"/>
      <c r="KBF44" s="6"/>
      <c r="KBG44" s="6"/>
      <c r="KBH44" s="6"/>
      <c r="KBI44" s="6"/>
      <c r="KBJ44" s="6"/>
      <c r="KBK44" s="6"/>
      <c r="KBL44" s="6"/>
      <c r="KBM44" s="6"/>
      <c r="KBN44" s="6"/>
      <c r="KBO44" s="6"/>
      <c r="KBP44" s="6"/>
      <c r="KBQ44" s="6"/>
      <c r="KBR44" s="6"/>
      <c r="KBS44" s="6"/>
      <c r="KBT44" s="6"/>
      <c r="KBU44" s="6"/>
      <c r="KBV44" s="6"/>
      <c r="KBW44" s="6"/>
      <c r="KBX44" s="6"/>
      <c r="KBY44" s="6"/>
      <c r="KBZ44" s="6"/>
      <c r="KCA44" s="6"/>
      <c r="KCB44" s="6"/>
      <c r="KCC44" s="6"/>
      <c r="KCD44" s="6"/>
      <c r="KCE44" s="6"/>
      <c r="KCF44" s="6"/>
      <c r="KCG44" s="6"/>
      <c r="KCH44" s="6"/>
      <c r="KCI44" s="6"/>
      <c r="KCJ44" s="6"/>
      <c r="KCK44" s="6"/>
      <c r="KCL44" s="6"/>
      <c r="KCM44" s="6"/>
      <c r="KCN44" s="6"/>
      <c r="KCO44" s="6"/>
      <c r="KCP44" s="6"/>
      <c r="KCQ44" s="6"/>
      <c r="KCR44" s="6"/>
      <c r="KCS44" s="6"/>
      <c r="KCT44" s="6"/>
      <c r="KCU44" s="6"/>
      <c r="KCV44" s="6"/>
      <c r="KCW44" s="6"/>
      <c r="KCX44" s="6"/>
      <c r="KCY44" s="6"/>
      <c r="KCZ44" s="6"/>
      <c r="KDA44" s="6"/>
      <c r="KDB44" s="6"/>
      <c r="KDC44" s="6"/>
      <c r="KDD44" s="6"/>
      <c r="KDE44" s="6"/>
      <c r="KDF44" s="6"/>
      <c r="KDG44" s="6"/>
      <c r="KDH44" s="6"/>
      <c r="KDI44" s="6"/>
      <c r="KDJ44" s="6"/>
      <c r="KDK44" s="6"/>
      <c r="KDL44" s="6"/>
      <c r="KDM44" s="6"/>
      <c r="KDN44" s="6"/>
      <c r="KDO44" s="6"/>
      <c r="KDP44" s="6"/>
      <c r="KDQ44" s="6"/>
      <c r="KDR44" s="6"/>
      <c r="KDS44" s="6"/>
      <c r="KDT44" s="6"/>
      <c r="KDU44" s="6"/>
      <c r="KDV44" s="6"/>
      <c r="KDW44" s="6"/>
      <c r="KDX44" s="6"/>
      <c r="KDY44" s="6"/>
      <c r="KDZ44" s="6"/>
      <c r="KEA44" s="6"/>
      <c r="KEB44" s="6"/>
      <c r="KEC44" s="6"/>
      <c r="KED44" s="6"/>
      <c r="KEE44" s="6"/>
      <c r="KEF44" s="6"/>
      <c r="KEG44" s="6"/>
      <c r="KEH44" s="6"/>
      <c r="KEI44" s="6"/>
      <c r="KEJ44" s="6"/>
      <c r="KEK44" s="6"/>
      <c r="KEL44" s="6"/>
      <c r="KEM44" s="6"/>
      <c r="KEN44" s="6"/>
      <c r="KEO44" s="6"/>
      <c r="KEP44" s="6"/>
      <c r="KEQ44" s="6"/>
      <c r="KER44" s="6"/>
      <c r="KES44" s="6"/>
      <c r="KET44" s="6"/>
      <c r="KEU44" s="6"/>
      <c r="KEV44" s="6"/>
      <c r="KEW44" s="6"/>
      <c r="KEX44" s="6"/>
      <c r="KEY44" s="6"/>
      <c r="KEZ44" s="6"/>
      <c r="KFA44" s="6"/>
      <c r="KFB44" s="6"/>
      <c r="KFC44" s="6"/>
      <c r="KFD44" s="6"/>
      <c r="KFE44" s="6"/>
      <c r="KFF44" s="6"/>
      <c r="KFG44" s="6"/>
      <c r="KFH44" s="6"/>
      <c r="KFI44" s="6"/>
      <c r="KFJ44" s="6"/>
      <c r="KFK44" s="6"/>
      <c r="KFL44" s="6"/>
      <c r="KFM44" s="6"/>
      <c r="KFN44" s="6"/>
      <c r="KFO44" s="6"/>
      <c r="KFP44" s="6"/>
      <c r="KFQ44" s="6"/>
      <c r="KFR44" s="6"/>
      <c r="KFS44" s="6"/>
      <c r="KFT44" s="6"/>
      <c r="KFU44" s="6"/>
      <c r="KFV44" s="6"/>
      <c r="KFW44" s="6"/>
      <c r="KFX44" s="6"/>
      <c r="KFY44" s="6"/>
      <c r="KFZ44" s="6"/>
      <c r="KGA44" s="6"/>
      <c r="KGB44" s="6"/>
      <c r="KGC44" s="6"/>
      <c r="KGD44" s="6"/>
      <c r="KGE44" s="6"/>
      <c r="KGF44" s="6"/>
      <c r="KGG44" s="6"/>
      <c r="KGH44" s="6"/>
      <c r="KGI44" s="6"/>
      <c r="KGJ44" s="6"/>
      <c r="KGK44" s="6"/>
      <c r="KGL44" s="6"/>
      <c r="KGM44" s="6"/>
      <c r="KGN44" s="6"/>
      <c r="KGO44" s="6"/>
      <c r="KGP44" s="6"/>
      <c r="KGQ44" s="6"/>
      <c r="KGR44" s="6"/>
      <c r="KGS44" s="6"/>
      <c r="KGT44" s="6"/>
      <c r="KGU44" s="6"/>
      <c r="KGV44" s="6"/>
      <c r="KGW44" s="6"/>
      <c r="KGX44" s="6"/>
      <c r="KGY44" s="6"/>
      <c r="KGZ44" s="6"/>
      <c r="KHA44" s="6"/>
      <c r="KHB44" s="6"/>
      <c r="KHC44" s="6"/>
      <c r="KHD44" s="6"/>
      <c r="KHE44" s="6"/>
      <c r="KHF44" s="6"/>
      <c r="KHG44" s="6"/>
      <c r="KHH44" s="6"/>
      <c r="KHI44" s="6"/>
      <c r="KHJ44" s="6"/>
      <c r="KHK44" s="6"/>
      <c r="KHL44" s="6"/>
      <c r="KHM44" s="6"/>
      <c r="KHN44" s="6"/>
      <c r="KHO44" s="6"/>
      <c r="KHP44" s="6"/>
      <c r="KHQ44" s="6"/>
      <c r="KHR44" s="6"/>
      <c r="KHS44" s="6"/>
      <c r="KHT44" s="6"/>
      <c r="KHU44" s="6"/>
      <c r="KHV44" s="6"/>
      <c r="KHW44" s="6"/>
      <c r="KHX44" s="6"/>
      <c r="KHY44" s="6"/>
      <c r="KHZ44" s="6"/>
      <c r="KIA44" s="6"/>
      <c r="KIB44" s="6"/>
      <c r="KIC44" s="6"/>
      <c r="KID44" s="6"/>
      <c r="KIE44" s="6"/>
      <c r="KIF44" s="6"/>
      <c r="KIG44" s="6"/>
      <c r="KIH44" s="6"/>
      <c r="KII44" s="6"/>
      <c r="KIJ44" s="6"/>
      <c r="KIK44" s="6"/>
      <c r="KIL44" s="6"/>
      <c r="KIM44" s="6"/>
      <c r="KIN44" s="6"/>
      <c r="KIO44" s="6"/>
      <c r="KIP44" s="6"/>
      <c r="KIQ44" s="6"/>
      <c r="KIR44" s="6"/>
      <c r="KIS44" s="6"/>
      <c r="KIT44" s="6"/>
      <c r="KIU44" s="6"/>
      <c r="KIV44" s="6"/>
      <c r="KIW44" s="6"/>
      <c r="KIX44" s="6"/>
      <c r="KIY44" s="6"/>
      <c r="KIZ44" s="6"/>
      <c r="KJA44" s="6"/>
      <c r="KJB44" s="6"/>
      <c r="KJC44" s="6"/>
      <c r="KJD44" s="6"/>
      <c r="KJE44" s="6"/>
      <c r="KJF44" s="6"/>
      <c r="KJG44" s="6"/>
      <c r="KJH44" s="6"/>
      <c r="KJI44" s="6"/>
      <c r="KJJ44" s="6"/>
      <c r="KJK44" s="6"/>
      <c r="KJL44" s="6"/>
      <c r="KJM44" s="6"/>
      <c r="KJN44" s="6"/>
      <c r="KJO44" s="6"/>
      <c r="KJP44" s="6"/>
      <c r="KJQ44" s="6"/>
      <c r="KJR44" s="6"/>
      <c r="KJS44" s="6"/>
      <c r="KJT44" s="6"/>
      <c r="KJU44" s="6"/>
      <c r="KJV44" s="6"/>
      <c r="KJW44" s="6"/>
      <c r="KJX44" s="6"/>
      <c r="KJY44" s="6"/>
      <c r="KJZ44" s="6"/>
      <c r="KKA44" s="6"/>
      <c r="KKB44" s="6"/>
      <c r="KKC44" s="6"/>
      <c r="KKD44" s="6"/>
      <c r="KKE44" s="6"/>
      <c r="KKF44" s="6"/>
      <c r="KKG44" s="6"/>
      <c r="KKH44" s="6"/>
      <c r="KKI44" s="6"/>
      <c r="KKJ44" s="6"/>
      <c r="KKK44" s="6"/>
      <c r="KKL44" s="6"/>
      <c r="KKM44" s="6"/>
      <c r="KKN44" s="6"/>
      <c r="KKO44" s="6"/>
      <c r="KKP44" s="6"/>
      <c r="KKQ44" s="6"/>
      <c r="KKR44" s="6"/>
      <c r="KKS44" s="6"/>
      <c r="KKT44" s="6"/>
      <c r="KKU44" s="6"/>
      <c r="KKV44" s="6"/>
      <c r="KKW44" s="6"/>
      <c r="KKX44" s="6"/>
      <c r="KKY44" s="6"/>
      <c r="KKZ44" s="6"/>
      <c r="KLA44" s="6"/>
      <c r="KLB44" s="6"/>
      <c r="KLC44" s="6"/>
      <c r="KLD44" s="6"/>
      <c r="KLE44" s="6"/>
      <c r="KLF44" s="6"/>
      <c r="KLG44" s="6"/>
      <c r="KLH44" s="6"/>
      <c r="KLI44" s="6"/>
      <c r="KLJ44" s="6"/>
      <c r="KLK44" s="6"/>
      <c r="KLL44" s="6"/>
      <c r="KLM44" s="6"/>
      <c r="KLN44" s="6"/>
      <c r="KLO44" s="6"/>
      <c r="KLP44" s="6"/>
      <c r="KLQ44" s="6"/>
      <c r="KLR44" s="6"/>
      <c r="KLS44" s="6"/>
      <c r="KLT44" s="6"/>
      <c r="KLU44" s="6"/>
      <c r="KLV44" s="6"/>
      <c r="KLW44" s="6"/>
      <c r="KLX44" s="6"/>
      <c r="KLY44" s="6"/>
      <c r="KLZ44" s="6"/>
      <c r="KMA44" s="6"/>
      <c r="KMB44" s="6"/>
      <c r="KMC44" s="6"/>
      <c r="KMD44" s="6"/>
      <c r="KME44" s="6"/>
      <c r="KMF44" s="6"/>
      <c r="KMG44" s="6"/>
      <c r="KMH44" s="6"/>
      <c r="KMI44" s="6"/>
      <c r="KMJ44" s="6"/>
      <c r="KMK44" s="6"/>
      <c r="KML44" s="6"/>
      <c r="KMM44" s="6"/>
      <c r="KMN44" s="6"/>
      <c r="KMO44" s="6"/>
      <c r="KMP44" s="6"/>
      <c r="KMQ44" s="6"/>
      <c r="KMR44" s="6"/>
      <c r="KMS44" s="6"/>
      <c r="KMT44" s="6"/>
      <c r="KMU44" s="6"/>
      <c r="KMV44" s="6"/>
      <c r="KMW44" s="6"/>
      <c r="KMX44" s="6"/>
      <c r="KMY44" s="6"/>
      <c r="KMZ44" s="6"/>
      <c r="KNA44" s="6"/>
      <c r="KNB44" s="6"/>
      <c r="KNC44" s="6"/>
      <c r="KND44" s="6"/>
      <c r="KNE44" s="6"/>
      <c r="KNF44" s="6"/>
      <c r="KNG44" s="6"/>
      <c r="KNH44" s="6"/>
      <c r="KNI44" s="6"/>
      <c r="KNJ44" s="6"/>
      <c r="KNK44" s="6"/>
      <c r="KNL44" s="6"/>
      <c r="KNM44" s="6"/>
      <c r="KNN44" s="6"/>
      <c r="KNO44" s="6"/>
      <c r="KNP44" s="6"/>
      <c r="KNQ44" s="6"/>
      <c r="KNR44" s="6"/>
      <c r="KNS44" s="6"/>
      <c r="KNT44" s="6"/>
      <c r="KNU44" s="6"/>
      <c r="KNV44" s="6"/>
      <c r="KNW44" s="6"/>
      <c r="KNX44" s="6"/>
      <c r="KNY44" s="6"/>
      <c r="KNZ44" s="6"/>
      <c r="KOA44" s="6"/>
      <c r="KOB44" s="6"/>
      <c r="KOC44" s="6"/>
      <c r="KOD44" s="6"/>
      <c r="KOE44" s="6"/>
      <c r="KOF44" s="6"/>
      <c r="KOG44" s="6"/>
      <c r="KOH44" s="6"/>
      <c r="KOI44" s="6"/>
      <c r="KOJ44" s="6"/>
      <c r="KOK44" s="6"/>
      <c r="KOL44" s="6"/>
      <c r="KOM44" s="6"/>
      <c r="KON44" s="6"/>
      <c r="KOO44" s="6"/>
      <c r="KOP44" s="6"/>
      <c r="KOQ44" s="6"/>
      <c r="KOR44" s="6"/>
      <c r="KOS44" s="6"/>
      <c r="KOT44" s="6"/>
      <c r="KOU44" s="6"/>
      <c r="KOV44" s="6"/>
      <c r="KOW44" s="6"/>
      <c r="KOX44" s="6"/>
      <c r="KOY44" s="6"/>
      <c r="KOZ44" s="6"/>
      <c r="KPA44" s="6"/>
      <c r="KPB44" s="6"/>
      <c r="KPC44" s="6"/>
      <c r="KPD44" s="6"/>
      <c r="KPE44" s="6"/>
      <c r="KPF44" s="6"/>
      <c r="KPG44" s="6"/>
      <c r="KPH44" s="6"/>
      <c r="KPI44" s="6"/>
      <c r="KPJ44" s="6"/>
      <c r="KPK44" s="6"/>
      <c r="KPL44" s="6"/>
      <c r="KPM44" s="6"/>
      <c r="KPN44" s="6"/>
      <c r="KPO44" s="6"/>
      <c r="KPP44" s="6"/>
      <c r="KPQ44" s="6"/>
      <c r="KPR44" s="6"/>
      <c r="KPS44" s="6"/>
      <c r="KPT44" s="6"/>
      <c r="KPU44" s="6"/>
      <c r="KPV44" s="6"/>
      <c r="KPW44" s="6"/>
      <c r="KPX44" s="6"/>
      <c r="KPY44" s="6"/>
      <c r="KPZ44" s="6"/>
      <c r="KQA44" s="6"/>
      <c r="KQB44" s="6"/>
      <c r="KQC44" s="6"/>
      <c r="KQD44" s="6"/>
      <c r="KQE44" s="6"/>
      <c r="KQF44" s="6"/>
      <c r="KQG44" s="6"/>
      <c r="KQH44" s="6"/>
      <c r="KQI44" s="6"/>
      <c r="KQJ44" s="6"/>
      <c r="KQK44" s="6"/>
      <c r="KQL44" s="6"/>
      <c r="KQM44" s="6"/>
      <c r="KQN44" s="6"/>
      <c r="KQO44" s="6"/>
      <c r="KQP44" s="6"/>
      <c r="KQQ44" s="6"/>
      <c r="KQR44" s="6"/>
      <c r="KQS44" s="6"/>
      <c r="KQT44" s="6"/>
      <c r="KQU44" s="6"/>
      <c r="KQV44" s="6"/>
      <c r="KQW44" s="6"/>
      <c r="KQX44" s="6"/>
      <c r="KQY44" s="6"/>
      <c r="KQZ44" s="6"/>
      <c r="KRA44" s="6"/>
      <c r="KRB44" s="6"/>
      <c r="KRC44" s="6"/>
      <c r="KRD44" s="6"/>
      <c r="KRE44" s="6"/>
      <c r="KRF44" s="6"/>
      <c r="KRG44" s="6"/>
      <c r="KRH44" s="6"/>
      <c r="KRI44" s="6"/>
      <c r="KRJ44" s="6"/>
      <c r="KRK44" s="6"/>
      <c r="KRL44" s="6"/>
      <c r="KRM44" s="6"/>
      <c r="KRN44" s="6"/>
      <c r="KRO44" s="6"/>
      <c r="KRP44" s="6"/>
      <c r="KRQ44" s="6"/>
      <c r="KRR44" s="6"/>
      <c r="KRS44" s="6"/>
      <c r="KRT44" s="6"/>
      <c r="KRU44" s="6"/>
      <c r="KRV44" s="6"/>
      <c r="KRW44" s="6"/>
      <c r="KRX44" s="6"/>
      <c r="KRY44" s="6"/>
      <c r="KRZ44" s="6"/>
      <c r="KSA44" s="6"/>
      <c r="KSB44" s="6"/>
      <c r="KSC44" s="6"/>
      <c r="KSD44" s="6"/>
      <c r="KSE44" s="6"/>
      <c r="KSF44" s="6"/>
      <c r="KSG44" s="6"/>
      <c r="KSH44" s="6"/>
      <c r="KSI44" s="6"/>
      <c r="KSJ44" s="6"/>
      <c r="KSK44" s="6"/>
      <c r="KSL44" s="6"/>
      <c r="KSM44" s="6"/>
      <c r="KSN44" s="6"/>
      <c r="KSO44" s="6"/>
      <c r="KSP44" s="6"/>
      <c r="KSQ44" s="6"/>
      <c r="KSR44" s="6"/>
      <c r="KSS44" s="6"/>
      <c r="KST44" s="6"/>
      <c r="KSU44" s="6"/>
      <c r="KSV44" s="6"/>
      <c r="KSW44" s="6"/>
      <c r="KSX44" s="6"/>
      <c r="KSY44" s="6"/>
      <c r="KSZ44" s="6"/>
      <c r="KTA44" s="6"/>
      <c r="KTB44" s="6"/>
      <c r="KTC44" s="6"/>
      <c r="KTD44" s="6"/>
      <c r="KTE44" s="6"/>
      <c r="KTF44" s="6"/>
      <c r="KTG44" s="6"/>
      <c r="KTH44" s="6"/>
      <c r="KTI44" s="6"/>
      <c r="KTJ44" s="6"/>
      <c r="KTK44" s="6"/>
      <c r="KTL44" s="6"/>
      <c r="KTM44" s="6"/>
      <c r="KTN44" s="6"/>
      <c r="KTO44" s="6"/>
      <c r="KTP44" s="6"/>
      <c r="KTQ44" s="6"/>
      <c r="KTR44" s="6"/>
      <c r="KTS44" s="6"/>
      <c r="KTT44" s="6"/>
      <c r="KTU44" s="6"/>
      <c r="KTV44" s="6"/>
      <c r="KTW44" s="6"/>
      <c r="KTX44" s="6"/>
      <c r="KTY44" s="6"/>
      <c r="KTZ44" s="6"/>
      <c r="KUA44" s="6"/>
      <c r="KUB44" s="6"/>
      <c r="KUC44" s="6"/>
      <c r="KUD44" s="6"/>
      <c r="KUE44" s="6"/>
      <c r="KUF44" s="6"/>
      <c r="KUG44" s="6"/>
      <c r="KUH44" s="6"/>
      <c r="KUI44" s="6"/>
      <c r="KUJ44" s="6"/>
      <c r="KUK44" s="6"/>
      <c r="KUL44" s="6"/>
      <c r="KUM44" s="6"/>
      <c r="KUN44" s="6"/>
      <c r="KUO44" s="6"/>
      <c r="KUP44" s="6"/>
      <c r="KUQ44" s="6"/>
      <c r="KUR44" s="6"/>
      <c r="KUS44" s="6"/>
      <c r="KUT44" s="6"/>
      <c r="KUU44" s="6"/>
      <c r="KUV44" s="6"/>
      <c r="KUW44" s="6"/>
      <c r="KUX44" s="6"/>
      <c r="KUY44" s="6"/>
      <c r="KUZ44" s="6"/>
      <c r="KVA44" s="6"/>
      <c r="KVB44" s="6"/>
      <c r="KVC44" s="6"/>
      <c r="KVD44" s="6"/>
      <c r="KVE44" s="6"/>
      <c r="KVF44" s="6"/>
      <c r="KVG44" s="6"/>
      <c r="KVH44" s="6"/>
      <c r="KVI44" s="6"/>
      <c r="KVJ44" s="6"/>
      <c r="KVK44" s="6"/>
      <c r="KVL44" s="6"/>
      <c r="KVM44" s="6"/>
      <c r="KVN44" s="6"/>
      <c r="KVO44" s="6"/>
      <c r="KVP44" s="6"/>
      <c r="KVQ44" s="6"/>
      <c r="KVR44" s="6"/>
      <c r="KVS44" s="6"/>
      <c r="KVT44" s="6"/>
      <c r="KVU44" s="6"/>
      <c r="KVV44" s="6"/>
      <c r="KVW44" s="6"/>
      <c r="KVX44" s="6"/>
      <c r="KVY44" s="6"/>
      <c r="KVZ44" s="6"/>
      <c r="KWA44" s="6"/>
      <c r="KWB44" s="6"/>
      <c r="KWC44" s="6"/>
      <c r="KWD44" s="6"/>
      <c r="KWE44" s="6"/>
      <c r="KWF44" s="6"/>
      <c r="KWG44" s="6"/>
      <c r="KWH44" s="6"/>
      <c r="KWI44" s="6"/>
      <c r="KWJ44" s="6"/>
      <c r="KWK44" s="6"/>
      <c r="KWL44" s="6"/>
      <c r="KWM44" s="6"/>
      <c r="KWN44" s="6"/>
      <c r="KWO44" s="6"/>
      <c r="KWP44" s="6"/>
      <c r="KWQ44" s="6"/>
      <c r="KWR44" s="6"/>
      <c r="KWS44" s="6"/>
      <c r="KWT44" s="6"/>
      <c r="KWU44" s="6"/>
      <c r="KWV44" s="6"/>
      <c r="KWW44" s="6"/>
      <c r="KWX44" s="6"/>
      <c r="KWY44" s="6"/>
      <c r="KWZ44" s="6"/>
      <c r="KXA44" s="6"/>
      <c r="KXB44" s="6"/>
      <c r="KXC44" s="6"/>
      <c r="KXD44" s="6"/>
      <c r="KXE44" s="6"/>
      <c r="KXF44" s="6"/>
      <c r="KXG44" s="6"/>
      <c r="KXH44" s="6"/>
      <c r="KXI44" s="6"/>
      <c r="KXJ44" s="6"/>
      <c r="KXK44" s="6"/>
      <c r="KXL44" s="6"/>
      <c r="KXM44" s="6"/>
      <c r="KXN44" s="6"/>
      <c r="KXO44" s="6"/>
      <c r="KXP44" s="6"/>
      <c r="KXQ44" s="6"/>
      <c r="KXR44" s="6"/>
      <c r="KXS44" s="6"/>
      <c r="KXT44" s="6"/>
      <c r="KXU44" s="6"/>
      <c r="KXV44" s="6"/>
      <c r="KXW44" s="6"/>
      <c r="KXX44" s="6"/>
      <c r="KXY44" s="6"/>
      <c r="KXZ44" s="6"/>
      <c r="KYA44" s="6"/>
      <c r="KYB44" s="6"/>
      <c r="KYC44" s="6"/>
      <c r="KYD44" s="6"/>
      <c r="KYE44" s="6"/>
      <c r="KYF44" s="6"/>
      <c r="KYG44" s="6"/>
      <c r="KYH44" s="6"/>
      <c r="KYI44" s="6"/>
      <c r="KYJ44" s="6"/>
      <c r="KYK44" s="6"/>
      <c r="KYL44" s="6"/>
      <c r="KYM44" s="6"/>
      <c r="KYN44" s="6"/>
      <c r="KYO44" s="6"/>
      <c r="KYP44" s="6"/>
      <c r="KYQ44" s="6"/>
      <c r="KYR44" s="6"/>
      <c r="KYS44" s="6"/>
      <c r="KYT44" s="6"/>
      <c r="KYU44" s="6"/>
      <c r="KYV44" s="6"/>
      <c r="KYW44" s="6"/>
      <c r="KYX44" s="6"/>
      <c r="KYY44" s="6"/>
      <c r="KYZ44" s="6"/>
      <c r="KZA44" s="6"/>
      <c r="KZB44" s="6"/>
      <c r="KZC44" s="6"/>
      <c r="KZD44" s="6"/>
      <c r="KZE44" s="6"/>
      <c r="KZF44" s="6"/>
      <c r="KZG44" s="6"/>
      <c r="KZH44" s="6"/>
      <c r="KZI44" s="6"/>
      <c r="KZJ44" s="6"/>
      <c r="KZK44" s="6"/>
      <c r="KZL44" s="6"/>
      <c r="KZM44" s="6"/>
      <c r="KZN44" s="6"/>
      <c r="KZO44" s="6"/>
      <c r="KZP44" s="6"/>
      <c r="KZQ44" s="6"/>
      <c r="KZR44" s="6"/>
      <c r="KZS44" s="6"/>
      <c r="KZT44" s="6"/>
      <c r="KZU44" s="6"/>
      <c r="KZV44" s="6"/>
      <c r="KZW44" s="6"/>
      <c r="KZX44" s="6"/>
      <c r="KZY44" s="6"/>
      <c r="KZZ44" s="6"/>
      <c r="LAA44" s="6"/>
      <c r="LAB44" s="6"/>
      <c r="LAC44" s="6"/>
      <c r="LAD44" s="6"/>
      <c r="LAE44" s="6"/>
      <c r="LAF44" s="6"/>
      <c r="LAG44" s="6"/>
      <c r="LAH44" s="6"/>
      <c r="LAI44" s="6"/>
      <c r="LAJ44" s="6"/>
      <c r="LAK44" s="6"/>
      <c r="LAL44" s="6"/>
      <c r="LAM44" s="6"/>
      <c r="LAN44" s="6"/>
      <c r="LAO44" s="6"/>
      <c r="LAP44" s="6"/>
      <c r="LAQ44" s="6"/>
      <c r="LAR44" s="6"/>
      <c r="LAS44" s="6"/>
      <c r="LAT44" s="6"/>
      <c r="LAU44" s="6"/>
      <c r="LAV44" s="6"/>
      <c r="LAW44" s="6"/>
      <c r="LAX44" s="6"/>
      <c r="LAY44" s="6"/>
      <c r="LAZ44" s="6"/>
      <c r="LBA44" s="6"/>
      <c r="LBB44" s="6"/>
      <c r="LBC44" s="6"/>
      <c r="LBD44" s="6"/>
      <c r="LBE44" s="6"/>
      <c r="LBF44" s="6"/>
      <c r="LBG44" s="6"/>
      <c r="LBH44" s="6"/>
      <c r="LBI44" s="6"/>
      <c r="LBJ44" s="6"/>
      <c r="LBK44" s="6"/>
      <c r="LBL44" s="6"/>
      <c r="LBM44" s="6"/>
      <c r="LBN44" s="6"/>
      <c r="LBO44" s="6"/>
      <c r="LBP44" s="6"/>
      <c r="LBQ44" s="6"/>
      <c r="LBR44" s="6"/>
      <c r="LBS44" s="6"/>
      <c r="LBT44" s="6"/>
      <c r="LBU44" s="6"/>
      <c r="LBV44" s="6"/>
      <c r="LBW44" s="6"/>
      <c r="LBX44" s="6"/>
      <c r="LBY44" s="6"/>
      <c r="LBZ44" s="6"/>
      <c r="LCA44" s="6"/>
      <c r="LCB44" s="6"/>
      <c r="LCC44" s="6"/>
      <c r="LCD44" s="6"/>
      <c r="LCE44" s="6"/>
      <c r="LCF44" s="6"/>
      <c r="LCG44" s="6"/>
      <c r="LCH44" s="6"/>
      <c r="LCI44" s="6"/>
      <c r="LCJ44" s="6"/>
      <c r="LCK44" s="6"/>
      <c r="LCL44" s="6"/>
      <c r="LCM44" s="6"/>
      <c r="LCN44" s="6"/>
      <c r="LCO44" s="6"/>
      <c r="LCP44" s="6"/>
      <c r="LCQ44" s="6"/>
      <c r="LCR44" s="6"/>
      <c r="LCS44" s="6"/>
      <c r="LCT44" s="6"/>
      <c r="LCU44" s="6"/>
      <c r="LCV44" s="6"/>
      <c r="LCW44" s="6"/>
      <c r="LCX44" s="6"/>
      <c r="LCY44" s="6"/>
      <c r="LCZ44" s="6"/>
      <c r="LDA44" s="6"/>
      <c r="LDB44" s="6"/>
      <c r="LDC44" s="6"/>
      <c r="LDD44" s="6"/>
      <c r="LDE44" s="6"/>
      <c r="LDF44" s="6"/>
      <c r="LDG44" s="6"/>
      <c r="LDH44" s="6"/>
      <c r="LDI44" s="6"/>
      <c r="LDJ44" s="6"/>
      <c r="LDK44" s="6"/>
      <c r="LDL44" s="6"/>
      <c r="LDM44" s="6"/>
      <c r="LDN44" s="6"/>
      <c r="LDO44" s="6"/>
      <c r="LDP44" s="6"/>
      <c r="LDQ44" s="6"/>
      <c r="LDR44" s="6"/>
      <c r="LDS44" s="6"/>
      <c r="LDT44" s="6"/>
      <c r="LDU44" s="6"/>
      <c r="LDV44" s="6"/>
      <c r="LDW44" s="6"/>
      <c r="LDX44" s="6"/>
      <c r="LDY44" s="6"/>
      <c r="LDZ44" s="6"/>
      <c r="LEA44" s="6"/>
      <c r="LEB44" s="6"/>
      <c r="LEC44" s="6"/>
      <c r="LED44" s="6"/>
      <c r="LEE44" s="6"/>
      <c r="LEF44" s="6"/>
      <c r="LEG44" s="6"/>
      <c r="LEH44" s="6"/>
      <c r="LEI44" s="6"/>
      <c r="LEJ44" s="6"/>
      <c r="LEK44" s="6"/>
      <c r="LEL44" s="6"/>
      <c r="LEM44" s="6"/>
      <c r="LEN44" s="6"/>
      <c r="LEO44" s="6"/>
      <c r="LEP44" s="6"/>
      <c r="LEQ44" s="6"/>
      <c r="LER44" s="6"/>
      <c r="LES44" s="6"/>
      <c r="LET44" s="6"/>
      <c r="LEU44" s="6"/>
      <c r="LEV44" s="6"/>
      <c r="LEW44" s="6"/>
      <c r="LEX44" s="6"/>
      <c r="LEY44" s="6"/>
      <c r="LEZ44" s="6"/>
      <c r="LFA44" s="6"/>
      <c r="LFB44" s="6"/>
      <c r="LFC44" s="6"/>
      <c r="LFD44" s="6"/>
      <c r="LFE44" s="6"/>
      <c r="LFF44" s="6"/>
      <c r="LFG44" s="6"/>
      <c r="LFH44" s="6"/>
      <c r="LFI44" s="6"/>
      <c r="LFJ44" s="6"/>
      <c r="LFK44" s="6"/>
      <c r="LFL44" s="6"/>
      <c r="LFM44" s="6"/>
      <c r="LFN44" s="6"/>
      <c r="LFO44" s="6"/>
      <c r="LFP44" s="6"/>
      <c r="LFQ44" s="6"/>
      <c r="LFR44" s="6"/>
      <c r="LFS44" s="6"/>
      <c r="LFT44" s="6"/>
      <c r="LFU44" s="6"/>
      <c r="LFV44" s="6"/>
      <c r="LFW44" s="6"/>
      <c r="LFX44" s="6"/>
      <c r="LFY44" s="6"/>
      <c r="LFZ44" s="6"/>
      <c r="LGA44" s="6"/>
      <c r="LGB44" s="6"/>
      <c r="LGC44" s="6"/>
      <c r="LGD44" s="6"/>
      <c r="LGE44" s="6"/>
      <c r="LGF44" s="6"/>
      <c r="LGG44" s="6"/>
      <c r="LGH44" s="6"/>
      <c r="LGI44" s="6"/>
      <c r="LGJ44" s="6"/>
      <c r="LGK44" s="6"/>
      <c r="LGL44" s="6"/>
      <c r="LGM44" s="6"/>
      <c r="LGN44" s="6"/>
      <c r="LGO44" s="6"/>
      <c r="LGP44" s="6"/>
      <c r="LGQ44" s="6"/>
      <c r="LGR44" s="6"/>
      <c r="LGS44" s="6"/>
      <c r="LGT44" s="6"/>
      <c r="LGU44" s="6"/>
      <c r="LGV44" s="6"/>
      <c r="LGW44" s="6"/>
      <c r="LGX44" s="6"/>
      <c r="LGY44" s="6"/>
      <c r="LGZ44" s="6"/>
      <c r="LHA44" s="6"/>
      <c r="LHB44" s="6"/>
      <c r="LHC44" s="6"/>
      <c r="LHD44" s="6"/>
      <c r="LHE44" s="6"/>
      <c r="LHF44" s="6"/>
      <c r="LHG44" s="6"/>
      <c r="LHH44" s="6"/>
      <c r="LHI44" s="6"/>
      <c r="LHJ44" s="6"/>
      <c r="LHK44" s="6"/>
      <c r="LHL44" s="6"/>
      <c r="LHM44" s="6"/>
      <c r="LHN44" s="6"/>
      <c r="LHO44" s="6"/>
      <c r="LHP44" s="6"/>
      <c r="LHQ44" s="6"/>
      <c r="LHR44" s="6"/>
      <c r="LHS44" s="6"/>
      <c r="LHT44" s="6"/>
      <c r="LHU44" s="6"/>
      <c r="LHV44" s="6"/>
      <c r="LHW44" s="6"/>
      <c r="LHX44" s="6"/>
      <c r="LHY44" s="6"/>
      <c r="LHZ44" s="6"/>
      <c r="LIA44" s="6"/>
      <c r="LIB44" s="6"/>
      <c r="LIC44" s="6"/>
      <c r="LID44" s="6"/>
      <c r="LIE44" s="6"/>
      <c r="LIF44" s="6"/>
      <c r="LIG44" s="6"/>
      <c r="LIH44" s="6"/>
      <c r="LII44" s="6"/>
      <c r="LIJ44" s="6"/>
      <c r="LIK44" s="6"/>
      <c r="LIL44" s="6"/>
      <c r="LIM44" s="6"/>
      <c r="LIN44" s="6"/>
      <c r="LIO44" s="6"/>
      <c r="LIP44" s="6"/>
      <c r="LIQ44" s="6"/>
      <c r="LIR44" s="6"/>
      <c r="LIS44" s="6"/>
      <c r="LIT44" s="6"/>
      <c r="LIU44" s="6"/>
      <c r="LIV44" s="6"/>
      <c r="LIW44" s="6"/>
      <c r="LIX44" s="6"/>
      <c r="LIY44" s="6"/>
      <c r="LIZ44" s="6"/>
      <c r="LJA44" s="6"/>
      <c r="LJB44" s="6"/>
      <c r="LJC44" s="6"/>
      <c r="LJD44" s="6"/>
      <c r="LJE44" s="6"/>
      <c r="LJF44" s="6"/>
      <c r="LJG44" s="6"/>
      <c r="LJH44" s="6"/>
      <c r="LJI44" s="6"/>
      <c r="LJJ44" s="6"/>
      <c r="LJK44" s="6"/>
      <c r="LJL44" s="6"/>
      <c r="LJM44" s="6"/>
      <c r="LJN44" s="6"/>
      <c r="LJO44" s="6"/>
      <c r="LJP44" s="6"/>
      <c r="LJQ44" s="6"/>
      <c r="LJR44" s="6"/>
      <c r="LJS44" s="6"/>
      <c r="LJT44" s="6"/>
      <c r="LJU44" s="6"/>
      <c r="LJV44" s="6"/>
      <c r="LJW44" s="6"/>
      <c r="LJX44" s="6"/>
      <c r="LJY44" s="6"/>
      <c r="LJZ44" s="6"/>
      <c r="LKA44" s="6"/>
      <c r="LKB44" s="6"/>
      <c r="LKC44" s="6"/>
      <c r="LKD44" s="6"/>
      <c r="LKE44" s="6"/>
      <c r="LKF44" s="6"/>
      <c r="LKG44" s="6"/>
      <c r="LKH44" s="6"/>
      <c r="LKI44" s="6"/>
      <c r="LKJ44" s="6"/>
      <c r="LKK44" s="6"/>
      <c r="LKL44" s="6"/>
      <c r="LKM44" s="6"/>
      <c r="LKN44" s="6"/>
      <c r="LKO44" s="6"/>
      <c r="LKP44" s="6"/>
      <c r="LKQ44" s="6"/>
      <c r="LKR44" s="6"/>
      <c r="LKS44" s="6"/>
      <c r="LKT44" s="6"/>
      <c r="LKU44" s="6"/>
      <c r="LKV44" s="6"/>
      <c r="LKW44" s="6"/>
      <c r="LKX44" s="6"/>
      <c r="LKY44" s="6"/>
      <c r="LKZ44" s="6"/>
      <c r="LLA44" s="6"/>
      <c r="LLB44" s="6"/>
      <c r="LLC44" s="6"/>
      <c r="LLD44" s="6"/>
      <c r="LLE44" s="6"/>
      <c r="LLF44" s="6"/>
      <c r="LLG44" s="6"/>
      <c r="LLH44" s="6"/>
      <c r="LLI44" s="6"/>
      <c r="LLJ44" s="6"/>
      <c r="LLK44" s="6"/>
      <c r="LLL44" s="6"/>
      <c r="LLM44" s="6"/>
      <c r="LLN44" s="6"/>
      <c r="LLO44" s="6"/>
      <c r="LLP44" s="6"/>
      <c r="LLQ44" s="6"/>
      <c r="LLR44" s="6"/>
      <c r="LLS44" s="6"/>
      <c r="LLT44" s="6"/>
      <c r="LLU44" s="6"/>
      <c r="LLV44" s="6"/>
      <c r="LLW44" s="6"/>
      <c r="LLX44" s="6"/>
      <c r="LLY44" s="6"/>
      <c r="LLZ44" s="6"/>
      <c r="LMA44" s="6"/>
      <c r="LMB44" s="6"/>
      <c r="LMC44" s="6"/>
      <c r="LMD44" s="6"/>
      <c r="LME44" s="6"/>
      <c r="LMF44" s="6"/>
      <c r="LMG44" s="6"/>
      <c r="LMH44" s="6"/>
      <c r="LMI44" s="6"/>
      <c r="LMJ44" s="6"/>
      <c r="LMK44" s="6"/>
      <c r="LML44" s="6"/>
      <c r="LMM44" s="6"/>
      <c r="LMN44" s="6"/>
      <c r="LMO44" s="6"/>
      <c r="LMP44" s="6"/>
      <c r="LMQ44" s="6"/>
      <c r="LMR44" s="6"/>
      <c r="LMS44" s="6"/>
      <c r="LMT44" s="6"/>
      <c r="LMU44" s="6"/>
      <c r="LMV44" s="6"/>
      <c r="LMW44" s="6"/>
      <c r="LMX44" s="6"/>
      <c r="LMY44" s="6"/>
      <c r="LMZ44" s="6"/>
      <c r="LNA44" s="6"/>
      <c r="LNB44" s="6"/>
      <c r="LNC44" s="6"/>
      <c r="LND44" s="6"/>
      <c r="LNE44" s="6"/>
      <c r="LNF44" s="6"/>
      <c r="LNG44" s="6"/>
      <c r="LNH44" s="6"/>
      <c r="LNI44" s="6"/>
      <c r="LNJ44" s="6"/>
      <c r="LNK44" s="6"/>
      <c r="LNL44" s="6"/>
      <c r="LNM44" s="6"/>
      <c r="LNN44" s="6"/>
      <c r="LNO44" s="6"/>
      <c r="LNP44" s="6"/>
      <c r="LNQ44" s="6"/>
      <c r="LNR44" s="6"/>
      <c r="LNS44" s="6"/>
      <c r="LNT44" s="6"/>
      <c r="LNU44" s="6"/>
      <c r="LNV44" s="6"/>
      <c r="LNW44" s="6"/>
      <c r="LNX44" s="6"/>
      <c r="LNY44" s="6"/>
      <c r="LNZ44" s="6"/>
      <c r="LOA44" s="6"/>
      <c r="LOB44" s="6"/>
      <c r="LOC44" s="6"/>
      <c r="LOD44" s="6"/>
      <c r="LOE44" s="6"/>
      <c r="LOF44" s="6"/>
      <c r="LOG44" s="6"/>
      <c r="LOH44" s="6"/>
      <c r="LOI44" s="6"/>
      <c r="LOJ44" s="6"/>
      <c r="LOK44" s="6"/>
      <c r="LOL44" s="6"/>
      <c r="LOM44" s="6"/>
      <c r="LON44" s="6"/>
      <c r="LOO44" s="6"/>
      <c r="LOP44" s="6"/>
      <c r="LOQ44" s="6"/>
      <c r="LOR44" s="6"/>
      <c r="LOS44" s="6"/>
      <c r="LOT44" s="6"/>
      <c r="LOU44" s="6"/>
      <c r="LOV44" s="6"/>
      <c r="LOW44" s="6"/>
      <c r="LOX44" s="6"/>
      <c r="LOY44" s="6"/>
      <c r="LOZ44" s="6"/>
      <c r="LPA44" s="6"/>
      <c r="LPB44" s="6"/>
      <c r="LPC44" s="6"/>
      <c r="LPD44" s="6"/>
      <c r="LPE44" s="6"/>
      <c r="LPF44" s="6"/>
      <c r="LPG44" s="6"/>
      <c r="LPH44" s="6"/>
      <c r="LPI44" s="6"/>
      <c r="LPJ44" s="6"/>
      <c r="LPK44" s="6"/>
      <c r="LPL44" s="6"/>
      <c r="LPM44" s="6"/>
      <c r="LPN44" s="6"/>
      <c r="LPO44" s="6"/>
      <c r="LPP44" s="6"/>
      <c r="LPQ44" s="6"/>
      <c r="LPR44" s="6"/>
      <c r="LPS44" s="6"/>
      <c r="LPT44" s="6"/>
      <c r="LPU44" s="6"/>
      <c r="LPV44" s="6"/>
      <c r="LPW44" s="6"/>
      <c r="LPX44" s="6"/>
      <c r="LPY44" s="6"/>
      <c r="LPZ44" s="6"/>
      <c r="LQA44" s="6"/>
      <c r="LQB44" s="6"/>
      <c r="LQC44" s="6"/>
      <c r="LQD44" s="6"/>
      <c r="LQE44" s="6"/>
      <c r="LQF44" s="6"/>
      <c r="LQG44" s="6"/>
      <c r="LQH44" s="6"/>
      <c r="LQI44" s="6"/>
      <c r="LQJ44" s="6"/>
      <c r="LQK44" s="6"/>
      <c r="LQL44" s="6"/>
      <c r="LQM44" s="6"/>
      <c r="LQN44" s="6"/>
      <c r="LQO44" s="6"/>
      <c r="LQP44" s="6"/>
      <c r="LQQ44" s="6"/>
      <c r="LQR44" s="6"/>
      <c r="LQS44" s="6"/>
      <c r="LQT44" s="6"/>
      <c r="LQU44" s="6"/>
      <c r="LQV44" s="6"/>
      <c r="LQW44" s="6"/>
      <c r="LQX44" s="6"/>
      <c r="LQY44" s="6"/>
      <c r="LQZ44" s="6"/>
      <c r="LRA44" s="6"/>
      <c r="LRB44" s="6"/>
      <c r="LRC44" s="6"/>
      <c r="LRD44" s="6"/>
      <c r="LRE44" s="6"/>
      <c r="LRF44" s="6"/>
      <c r="LRG44" s="6"/>
      <c r="LRH44" s="6"/>
      <c r="LRI44" s="6"/>
      <c r="LRJ44" s="6"/>
      <c r="LRK44" s="6"/>
      <c r="LRL44" s="6"/>
      <c r="LRM44" s="6"/>
      <c r="LRN44" s="6"/>
      <c r="LRO44" s="6"/>
      <c r="LRP44" s="6"/>
      <c r="LRQ44" s="6"/>
      <c r="LRR44" s="6"/>
      <c r="LRS44" s="6"/>
      <c r="LRT44" s="6"/>
      <c r="LRU44" s="6"/>
      <c r="LRV44" s="6"/>
      <c r="LRW44" s="6"/>
      <c r="LRX44" s="6"/>
      <c r="LRY44" s="6"/>
      <c r="LRZ44" s="6"/>
      <c r="LSA44" s="6"/>
      <c r="LSB44" s="6"/>
      <c r="LSC44" s="6"/>
      <c r="LSD44" s="6"/>
      <c r="LSE44" s="6"/>
      <c r="LSF44" s="6"/>
      <c r="LSG44" s="6"/>
      <c r="LSH44" s="6"/>
      <c r="LSI44" s="6"/>
      <c r="LSJ44" s="6"/>
      <c r="LSK44" s="6"/>
      <c r="LSL44" s="6"/>
      <c r="LSM44" s="6"/>
      <c r="LSN44" s="6"/>
      <c r="LSO44" s="6"/>
      <c r="LSP44" s="6"/>
      <c r="LSQ44" s="6"/>
      <c r="LSR44" s="6"/>
      <c r="LSS44" s="6"/>
      <c r="LST44" s="6"/>
      <c r="LSU44" s="6"/>
      <c r="LSV44" s="6"/>
      <c r="LSW44" s="6"/>
      <c r="LSX44" s="6"/>
      <c r="LSY44" s="6"/>
      <c r="LSZ44" s="6"/>
      <c r="LTA44" s="6"/>
      <c r="LTB44" s="6"/>
      <c r="LTC44" s="6"/>
      <c r="LTD44" s="6"/>
      <c r="LTE44" s="6"/>
      <c r="LTF44" s="6"/>
      <c r="LTG44" s="6"/>
      <c r="LTH44" s="6"/>
      <c r="LTI44" s="6"/>
      <c r="LTJ44" s="6"/>
      <c r="LTK44" s="6"/>
      <c r="LTL44" s="6"/>
      <c r="LTM44" s="6"/>
      <c r="LTN44" s="6"/>
      <c r="LTO44" s="6"/>
      <c r="LTP44" s="6"/>
      <c r="LTQ44" s="6"/>
      <c r="LTR44" s="6"/>
      <c r="LTS44" s="6"/>
      <c r="LTT44" s="6"/>
      <c r="LTU44" s="6"/>
      <c r="LTV44" s="6"/>
      <c r="LTW44" s="6"/>
      <c r="LTX44" s="6"/>
      <c r="LTY44" s="6"/>
      <c r="LTZ44" s="6"/>
      <c r="LUA44" s="6"/>
      <c r="LUB44" s="6"/>
      <c r="LUC44" s="6"/>
      <c r="LUD44" s="6"/>
      <c r="LUE44" s="6"/>
      <c r="LUF44" s="6"/>
      <c r="LUG44" s="6"/>
      <c r="LUH44" s="6"/>
      <c r="LUI44" s="6"/>
      <c r="LUJ44" s="6"/>
      <c r="LUK44" s="6"/>
      <c r="LUL44" s="6"/>
      <c r="LUM44" s="6"/>
      <c r="LUN44" s="6"/>
      <c r="LUO44" s="6"/>
      <c r="LUP44" s="6"/>
      <c r="LUQ44" s="6"/>
      <c r="LUR44" s="6"/>
      <c r="LUS44" s="6"/>
      <c r="LUT44" s="6"/>
      <c r="LUU44" s="6"/>
      <c r="LUV44" s="6"/>
      <c r="LUW44" s="6"/>
      <c r="LUX44" s="6"/>
      <c r="LUY44" s="6"/>
      <c r="LUZ44" s="6"/>
      <c r="LVA44" s="6"/>
      <c r="LVB44" s="6"/>
      <c r="LVC44" s="6"/>
      <c r="LVD44" s="6"/>
      <c r="LVE44" s="6"/>
      <c r="LVF44" s="6"/>
      <c r="LVG44" s="6"/>
      <c r="LVH44" s="6"/>
      <c r="LVI44" s="6"/>
      <c r="LVJ44" s="6"/>
      <c r="LVK44" s="6"/>
      <c r="LVL44" s="6"/>
      <c r="LVM44" s="6"/>
      <c r="LVN44" s="6"/>
      <c r="LVO44" s="6"/>
      <c r="LVP44" s="6"/>
      <c r="LVQ44" s="6"/>
      <c r="LVR44" s="6"/>
      <c r="LVS44" s="6"/>
      <c r="LVT44" s="6"/>
      <c r="LVU44" s="6"/>
      <c r="LVV44" s="6"/>
      <c r="LVW44" s="6"/>
      <c r="LVX44" s="6"/>
      <c r="LVY44" s="6"/>
      <c r="LVZ44" s="6"/>
      <c r="LWA44" s="6"/>
      <c r="LWB44" s="6"/>
      <c r="LWC44" s="6"/>
      <c r="LWD44" s="6"/>
      <c r="LWE44" s="6"/>
      <c r="LWF44" s="6"/>
      <c r="LWG44" s="6"/>
      <c r="LWH44" s="6"/>
      <c r="LWI44" s="6"/>
      <c r="LWJ44" s="6"/>
      <c r="LWK44" s="6"/>
      <c r="LWL44" s="6"/>
      <c r="LWM44" s="6"/>
      <c r="LWN44" s="6"/>
      <c r="LWO44" s="6"/>
      <c r="LWP44" s="6"/>
      <c r="LWQ44" s="6"/>
      <c r="LWR44" s="6"/>
      <c r="LWS44" s="6"/>
      <c r="LWT44" s="6"/>
      <c r="LWU44" s="6"/>
      <c r="LWV44" s="6"/>
      <c r="LWW44" s="6"/>
      <c r="LWX44" s="6"/>
      <c r="LWY44" s="6"/>
      <c r="LWZ44" s="6"/>
      <c r="LXA44" s="6"/>
      <c r="LXB44" s="6"/>
      <c r="LXC44" s="6"/>
      <c r="LXD44" s="6"/>
      <c r="LXE44" s="6"/>
      <c r="LXF44" s="6"/>
      <c r="LXG44" s="6"/>
      <c r="LXH44" s="6"/>
      <c r="LXI44" s="6"/>
      <c r="LXJ44" s="6"/>
      <c r="LXK44" s="6"/>
      <c r="LXL44" s="6"/>
      <c r="LXM44" s="6"/>
      <c r="LXN44" s="6"/>
      <c r="LXO44" s="6"/>
      <c r="LXP44" s="6"/>
      <c r="LXQ44" s="6"/>
      <c r="LXR44" s="6"/>
      <c r="LXS44" s="6"/>
      <c r="LXT44" s="6"/>
      <c r="LXU44" s="6"/>
      <c r="LXV44" s="6"/>
      <c r="LXW44" s="6"/>
      <c r="LXX44" s="6"/>
      <c r="LXY44" s="6"/>
      <c r="LXZ44" s="6"/>
      <c r="LYA44" s="6"/>
      <c r="LYB44" s="6"/>
      <c r="LYC44" s="6"/>
      <c r="LYD44" s="6"/>
      <c r="LYE44" s="6"/>
      <c r="LYF44" s="6"/>
      <c r="LYG44" s="6"/>
      <c r="LYH44" s="6"/>
      <c r="LYI44" s="6"/>
      <c r="LYJ44" s="6"/>
      <c r="LYK44" s="6"/>
      <c r="LYL44" s="6"/>
      <c r="LYM44" s="6"/>
      <c r="LYN44" s="6"/>
      <c r="LYO44" s="6"/>
      <c r="LYP44" s="6"/>
      <c r="LYQ44" s="6"/>
      <c r="LYR44" s="6"/>
      <c r="LYS44" s="6"/>
      <c r="LYT44" s="6"/>
      <c r="LYU44" s="6"/>
      <c r="LYV44" s="6"/>
      <c r="LYW44" s="6"/>
      <c r="LYX44" s="6"/>
      <c r="LYY44" s="6"/>
      <c r="LYZ44" s="6"/>
      <c r="LZA44" s="6"/>
      <c r="LZB44" s="6"/>
      <c r="LZC44" s="6"/>
      <c r="LZD44" s="6"/>
      <c r="LZE44" s="6"/>
      <c r="LZF44" s="6"/>
      <c r="LZG44" s="6"/>
      <c r="LZH44" s="6"/>
      <c r="LZI44" s="6"/>
      <c r="LZJ44" s="6"/>
      <c r="LZK44" s="6"/>
      <c r="LZL44" s="6"/>
      <c r="LZM44" s="6"/>
      <c r="LZN44" s="6"/>
      <c r="LZO44" s="6"/>
      <c r="LZP44" s="6"/>
      <c r="LZQ44" s="6"/>
      <c r="LZR44" s="6"/>
      <c r="LZS44" s="6"/>
      <c r="LZT44" s="6"/>
      <c r="LZU44" s="6"/>
      <c r="LZV44" s="6"/>
      <c r="LZW44" s="6"/>
      <c r="LZX44" s="6"/>
      <c r="LZY44" s="6"/>
      <c r="LZZ44" s="6"/>
      <c r="MAA44" s="6"/>
      <c r="MAB44" s="6"/>
      <c r="MAC44" s="6"/>
      <c r="MAD44" s="6"/>
      <c r="MAE44" s="6"/>
      <c r="MAF44" s="6"/>
      <c r="MAG44" s="6"/>
      <c r="MAH44" s="6"/>
      <c r="MAI44" s="6"/>
      <c r="MAJ44" s="6"/>
      <c r="MAK44" s="6"/>
      <c r="MAL44" s="6"/>
      <c r="MAM44" s="6"/>
      <c r="MAN44" s="6"/>
      <c r="MAO44" s="6"/>
      <c r="MAP44" s="6"/>
      <c r="MAQ44" s="6"/>
      <c r="MAR44" s="6"/>
      <c r="MAS44" s="6"/>
      <c r="MAT44" s="6"/>
      <c r="MAU44" s="6"/>
      <c r="MAV44" s="6"/>
      <c r="MAW44" s="6"/>
      <c r="MAX44" s="6"/>
      <c r="MAY44" s="6"/>
      <c r="MAZ44" s="6"/>
      <c r="MBA44" s="6"/>
      <c r="MBB44" s="6"/>
      <c r="MBC44" s="6"/>
      <c r="MBD44" s="6"/>
      <c r="MBE44" s="6"/>
      <c r="MBF44" s="6"/>
      <c r="MBG44" s="6"/>
      <c r="MBH44" s="6"/>
      <c r="MBI44" s="6"/>
      <c r="MBJ44" s="6"/>
      <c r="MBK44" s="6"/>
      <c r="MBL44" s="6"/>
      <c r="MBM44" s="6"/>
      <c r="MBN44" s="6"/>
      <c r="MBO44" s="6"/>
      <c r="MBP44" s="6"/>
      <c r="MBQ44" s="6"/>
      <c r="MBR44" s="6"/>
      <c r="MBS44" s="6"/>
      <c r="MBT44" s="6"/>
      <c r="MBU44" s="6"/>
      <c r="MBV44" s="6"/>
      <c r="MBW44" s="6"/>
      <c r="MBX44" s="6"/>
      <c r="MBY44" s="6"/>
      <c r="MBZ44" s="6"/>
      <c r="MCA44" s="6"/>
      <c r="MCB44" s="6"/>
      <c r="MCC44" s="6"/>
      <c r="MCD44" s="6"/>
      <c r="MCE44" s="6"/>
      <c r="MCF44" s="6"/>
      <c r="MCG44" s="6"/>
      <c r="MCH44" s="6"/>
      <c r="MCI44" s="6"/>
      <c r="MCJ44" s="6"/>
      <c r="MCK44" s="6"/>
      <c r="MCL44" s="6"/>
      <c r="MCM44" s="6"/>
      <c r="MCN44" s="6"/>
      <c r="MCO44" s="6"/>
      <c r="MCP44" s="6"/>
      <c r="MCQ44" s="6"/>
      <c r="MCR44" s="6"/>
      <c r="MCS44" s="6"/>
      <c r="MCT44" s="6"/>
      <c r="MCU44" s="6"/>
      <c r="MCV44" s="6"/>
      <c r="MCW44" s="6"/>
      <c r="MCX44" s="6"/>
      <c r="MCY44" s="6"/>
      <c r="MCZ44" s="6"/>
      <c r="MDA44" s="6"/>
      <c r="MDB44" s="6"/>
      <c r="MDC44" s="6"/>
      <c r="MDD44" s="6"/>
      <c r="MDE44" s="6"/>
      <c r="MDF44" s="6"/>
      <c r="MDG44" s="6"/>
      <c r="MDH44" s="6"/>
      <c r="MDI44" s="6"/>
      <c r="MDJ44" s="6"/>
      <c r="MDK44" s="6"/>
      <c r="MDL44" s="6"/>
      <c r="MDM44" s="6"/>
      <c r="MDN44" s="6"/>
      <c r="MDO44" s="6"/>
      <c r="MDP44" s="6"/>
      <c r="MDQ44" s="6"/>
      <c r="MDR44" s="6"/>
      <c r="MDS44" s="6"/>
      <c r="MDT44" s="6"/>
      <c r="MDU44" s="6"/>
      <c r="MDV44" s="6"/>
      <c r="MDW44" s="6"/>
      <c r="MDX44" s="6"/>
      <c r="MDY44" s="6"/>
      <c r="MDZ44" s="6"/>
      <c r="MEA44" s="6"/>
      <c r="MEB44" s="6"/>
      <c r="MEC44" s="6"/>
      <c r="MED44" s="6"/>
      <c r="MEE44" s="6"/>
      <c r="MEF44" s="6"/>
      <c r="MEG44" s="6"/>
      <c r="MEH44" s="6"/>
      <c r="MEI44" s="6"/>
      <c r="MEJ44" s="6"/>
      <c r="MEK44" s="6"/>
      <c r="MEL44" s="6"/>
      <c r="MEM44" s="6"/>
      <c r="MEN44" s="6"/>
      <c r="MEO44" s="6"/>
      <c r="MEP44" s="6"/>
      <c r="MEQ44" s="6"/>
      <c r="MER44" s="6"/>
      <c r="MES44" s="6"/>
      <c r="MET44" s="6"/>
      <c r="MEU44" s="6"/>
      <c r="MEV44" s="6"/>
      <c r="MEW44" s="6"/>
      <c r="MEX44" s="6"/>
      <c r="MEY44" s="6"/>
      <c r="MEZ44" s="6"/>
      <c r="MFA44" s="6"/>
      <c r="MFB44" s="6"/>
      <c r="MFC44" s="6"/>
      <c r="MFD44" s="6"/>
      <c r="MFE44" s="6"/>
      <c r="MFF44" s="6"/>
      <c r="MFG44" s="6"/>
      <c r="MFH44" s="6"/>
      <c r="MFI44" s="6"/>
      <c r="MFJ44" s="6"/>
      <c r="MFK44" s="6"/>
      <c r="MFL44" s="6"/>
      <c r="MFM44" s="6"/>
      <c r="MFN44" s="6"/>
      <c r="MFO44" s="6"/>
      <c r="MFP44" s="6"/>
      <c r="MFQ44" s="6"/>
      <c r="MFR44" s="6"/>
      <c r="MFS44" s="6"/>
      <c r="MFT44" s="6"/>
      <c r="MFU44" s="6"/>
      <c r="MFV44" s="6"/>
      <c r="MFW44" s="6"/>
      <c r="MFX44" s="6"/>
      <c r="MFY44" s="6"/>
      <c r="MFZ44" s="6"/>
      <c r="MGA44" s="6"/>
      <c r="MGB44" s="6"/>
      <c r="MGC44" s="6"/>
      <c r="MGD44" s="6"/>
      <c r="MGE44" s="6"/>
      <c r="MGF44" s="6"/>
      <c r="MGG44" s="6"/>
      <c r="MGH44" s="6"/>
      <c r="MGI44" s="6"/>
      <c r="MGJ44" s="6"/>
      <c r="MGK44" s="6"/>
      <c r="MGL44" s="6"/>
      <c r="MGM44" s="6"/>
      <c r="MGN44" s="6"/>
      <c r="MGO44" s="6"/>
      <c r="MGP44" s="6"/>
      <c r="MGQ44" s="6"/>
      <c r="MGR44" s="6"/>
      <c r="MGS44" s="6"/>
      <c r="MGT44" s="6"/>
      <c r="MGU44" s="6"/>
      <c r="MGV44" s="6"/>
      <c r="MGW44" s="6"/>
      <c r="MGX44" s="6"/>
      <c r="MGY44" s="6"/>
      <c r="MGZ44" s="6"/>
      <c r="MHA44" s="6"/>
      <c r="MHB44" s="6"/>
      <c r="MHC44" s="6"/>
      <c r="MHD44" s="6"/>
      <c r="MHE44" s="6"/>
      <c r="MHF44" s="6"/>
      <c r="MHG44" s="6"/>
      <c r="MHH44" s="6"/>
      <c r="MHI44" s="6"/>
      <c r="MHJ44" s="6"/>
      <c r="MHK44" s="6"/>
      <c r="MHL44" s="6"/>
      <c r="MHM44" s="6"/>
      <c r="MHN44" s="6"/>
      <c r="MHO44" s="6"/>
      <c r="MHP44" s="6"/>
      <c r="MHQ44" s="6"/>
      <c r="MHR44" s="6"/>
      <c r="MHS44" s="6"/>
      <c r="MHT44" s="6"/>
      <c r="MHU44" s="6"/>
      <c r="MHV44" s="6"/>
      <c r="MHW44" s="6"/>
      <c r="MHX44" s="6"/>
      <c r="MHY44" s="6"/>
      <c r="MHZ44" s="6"/>
      <c r="MIA44" s="6"/>
      <c r="MIB44" s="6"/>
      <c r="MIC44" s="6"/>
      <c r="MID44" s="6"/>
      <c r="MIE44" s="6"/>
      <c r="MIF44" s="6"/>
      <c r="MIG44" s="6"/>
      <c r="MIH44" s="6"/>
      <c r="MII44" s="6"/>
      <c r="MIJ44" s="6"/>
      <c r="MIK44" s="6"/>
      <c r="MIL44" s="6"/>
      <c r="MIM44" s="6"/>
      <c r="MIN44" s="6"/>
      <c r="MIO44" s="6"/>
      <c r="MIP44" s="6"/>
      <c r="MIQ44" s="6"/>
      <c r="MIR44" s="6"/>
      <c r="MIS44" s="6"/>
      <c r="MIT44" s="6"/>
      <c r="MIU44" s="6"/>
      <c r="MIV44" s="6"/>
      <c r="MIW44" s="6"/>
      <c r="MIX44" s="6"/>
      <c r="MIY44" s="6"/>
      <c r="MIZ44" s="6"/>
      <c r="MJA44" s="6"/>
      <c r="MJB44" s="6"/>
      <c r="MJC44" s="6"/>
      <c r="MJD44" s="6"/>
      <c r="MJE44" s="6"/>
      <c r="MJF44" s="6"/>
      <c r="MJG44" s="6"/>
      <c r="MJH44" s="6"/>
      <c r="MJI44" s="6"/>
      <c r="MJJ44" s="6"/>
      <c r="MJK44" s="6"/>
      <c r="MJL44" s="6"/>
      <c r="MJM44" s="6"/>
      <c r="MJN44" s="6"/>
      <c r="MJO44" s="6"/>
      <c r="MJP44" s="6"/>
      <c r="MJQ44" s="6"/>
      <c r="MJR44" s="6"/>
      <c r="MJS44" s="6"/>
      <c r="MJT44" s="6"/>
      <c r="MJU44" s="6"/>
      <c r="MJV44" s="6"/>
      <c r="MJW44" s="6"/>
      <c r="MJX44" s="6"/>
      <c r="MJY44" s="6"/>
      <c r="MJZ44" s="6"/>
      <c r="MKA44" s="6"/>
      <c r="MKB44" s="6"/>
      <c r="MKC44" s="6"/>
      <c r="MKD44" s="6"/>
      <c r="MKE44" s="6"/>
      <c r="MKF44" s="6"/>
      <c r="MKG44" s="6"/>
      <c r="MKH44" s="6"/>
      <c r="MKI44" s="6"/>
      <c r="MKJ44" s="6"/>
      <c r="MKK44" s="6"/>
      <c r="MKL44" s="6"/>
      <c r="MKM44" s="6"/>
      <c r="MKN44" s="6"/>
      <c r="MKO44" s="6"/>
      <c r="MKP44" s="6"/>
      <c r="MKQ44" s="6"/>
      <c r="MKR44" s="6"/>
      <c r="MKS44" s="6"/>
      <c r="MKT44" s="6"/>
      <c r="MKU44" s="6"/>
      <c r="MKV44" s="6"/>
      <c r="MKW44" s="6"/>
      <c r="MKX44" s="6"/>
      <c r="MKY44" s="6"/>
      <c r="MKZ44" s="6"/>
      <c r="MLA44" s="6"/>
      <c r="MLB44" s="6"/>
      <c r="MLC44" s="6"/>
      <c r="MLD44" s="6"/>
      <c r="MLE44" s="6"/>
      <c r="MLF44" s="6"/>
      <c r="MLG44" s="6"/>
      <c r="MLH44" s="6"/>
      <c r="MLI44" s="6"/>
      <c r="MLJ44" s="6"/>
      <c r="MLK44" s="6"/>
      <c r="MLL44" s="6"/>
      <c r="MLM44" s="6"/>
      <c r="MLN44" s="6"/>
      <c r="MLO44" s="6"/>
      <c r="MLP44" s="6"/>
      <c r="MLQ44" s="6"/>
      <c r="MLR44" s="6"/>
      <c r="MLS44" s="6"/>
      <c r="MLT44" s="6"/>
      <c r="MLU44" s="6"/>
      <c r="MLV44" s="6"/>
      <c r="MLW44" s="6"/>
      <c r="MLX44" s="6"/>
      <c r="MLY44" s="6"/>
      <c r="MLZ44" s="6"/>
      <c r="MMA44" s="6"/>
      <c r="MMB44" s="6"/>
      <c r="MMC44" s="6"/>
      <c r="MMD44" s="6"/>
      <c r="MME44" s="6"/>
      <c r="MMF44" s="6"/>
      <c r="MMG44" s="6"/>
      <c r="MMH44" s="6"/>
      <c r="MMI44" s="6"/>
      <c r="MMJ44" s="6"/>
      <c r="MMK44" s="6"/>
      <c r="MML44" s="6"/>
      <c r="MMM44" s="6"/>
      <c r="MMN44" s="6"/>
      <c r="MMO44" s="6"/>
      <c r="MMP44" s="6"/>
      <c r="MMQ44" s="6"/>
      <c r="MMR44" s="6"/>
      <c r="MMS44" s="6"/>
      <c r="MMT44" s="6"/>
      <c r="MMU44" s="6"/>
      <c r="MMV44" s="6"/>
      <c r="MMW44" s="6"/>
      <c r="MMX44" s="6"/>
      <c r="MMY44" s="6"/>
      <c r="MMZ44" s="6"/>
      <c r="MNA44" s="6"/>
      <c r="MNB44" s="6"/>
      <c r="MNC44" s="6"/>
      <c r="MND44" s="6"/>
      <c r="MNE44" s="6"/>
      <c r="MNF44" s="6"/>
      <c r="MNG44" s="6"/>
      <c r="MNH44" s="6"/>
      <c r="MNI44" s="6"/>
      <c r="MNJ44" s="6"/>
      <c r="MNK44" s="6"/>
      <c r="MNL44" s="6"/>
      <c r="MNM44" s="6"/>
      <c r="MNN44" s="6"/>
      <c r="MNO44" s="6"/>
      <c r="MNP44" s="6"/>
      <c r="MNQ44" s="6"/>
      <c r="MNR44" s="6"/>
      <c r="MNS44" s="6"/>
      <c r="MNT44" s="6"/>
      <c r="MNU44" s="6"/>
      <c r="MNV44" s="6"/>
      <c r="MNW44" s="6"/>
      <c r="MNX44" s="6"/>
      <c r="MNY44" s="6"/>
      <c r="MNZ44" s="6"/>
      <c r="MOA44" s="6"/>
      <c r="MOB44" s="6"/>
      <c r="MOC44" s="6"/>
      <c r="MOD44" s="6"/>
      <c r="MOE44" s="6"/>
      <c r="MOF44" s="6"/>
      <c r="MOG44" s="6"/>
      <c r="MOH44" s="6"/>
      <c r="MOI44" s="6"/>
      <c r="MOJ44" s="6"/>
      <c r="MOK44" s="6"/>
      <c r="MOL44" s="6"/>
      <c r="MOM44" s="6"/>
      <c r="MON44" s="6"/>
      <c r="MOO44" s="6"/>
      <c r="MOP44" s="6"/>
      <c r="MOQ44" s="6"/>
      <c r="MOR44" s="6"/>
      <c r="MOS44" s="6"/>
      <c r="MOT44" s="6"/>
      <c r="MOU44" s="6"/>
      <c r="MOV44" s="6"/>
      <c r="MOW44" s="6"/>
      <c r="MOX44" s="6"/>
      <c r="MOY44" s="6"/>
      <c r="MOZ44" s="6"/>
      <c r="MPA44" s="6"/>
      <c r="MPB44" s="6"/>
      <c r="MPC44" s="6"/>
      <c r="MPD44" s="6"/>
      <c r="MPE44" s="6"/>
      <c r="MPF44" s="6"/>
      <c r="MPG44" s="6"/>
      <c r="MPH44" s="6"/>
      <c r="MPI44" s="6"/>
      <c r="MPJ44" s="6"/>
      <c r="MPK44" s="6"/>
      <c r="MPL44" s="6"/>
      <c r="MPM44" s="6"/>
      <c r="MPN44" s="6"/>
      <c r="MPO44" s="6"/>
      <c r="MPP44" s="6"/>
      <c r="MPQ44" s="6"/>
      <c r="MPR44" s="6"/>
      <c r="MPS44" s="6"/>
      <c r="MPT44" s="6"/>
      <c r="MPU44" s="6"/>
      <c r="MPV44" s="6"/>
      <c r="MPW44" s="6"/>
      <c r="MPX44" s="6"/>
      <c r="MPY44" s="6"/>
      <c r="MPZ44" s="6"/>
      <c r="MQA44" s="6"/>
      <c r="MQB44" s="6"/>
      <c r="MQC44" s="6"/>
      <c r="MQD44" s="6"/>
      <c r="MQE44" s="6"/>
      <c r="MQF44" s="6"/>
      <c r="MQG44" s="6"/>
      <c r="MQH44" s="6"/>
      <c r="MQI44" s="6"/>
      <c r="MQJ44" s="6"/>
      <c r="MQK44" s="6"/>
      <c r="MQL44" s="6"/>
      <c r="MQM44" s="6"/>
      <c r="MQN44" s="6"/>
      <c r="MQO44" s="6"/>
      <c r="MQP44" s="6"/>
      <c r="MQQ44" s="6"/>
      <c r="MQR44" s="6"/>
      <c r="MQS44" s="6"/>
      <c r="MQT44" s="6"/>
      <c r="MQU44" s="6"/>
      <c r="MQV44" s="6"/>
      <c r="MQW44" s="6"/>
      <c r="MQX44" s="6"/>
      <c r="MQY44" s="6"/>
      <c r="MQZ44" s="6"/>
      <c r="MRA44" s="6"/>
      <c r="MRB44" s="6"/>
      <c r="MRC44" s="6"/>
      <c r="MRD44" s="6"/>
      <c r="MRE44" s="6"/>
      <c r="MRF44" s="6"/>
      <c r="MRG44" s="6"/>
      <c r="MRH44" s="6"/>
      <c r="MRI44" s="6"/>
      <c r="MRJ44" s="6"/>
      <c r="MRK44" s="6"/>
      <c r="MRL44" s="6"/>
      <c r="MRM44" s="6"/>
      <c r="MRN44" s="6"/>
      <c r="MRO44" s="6"/>
      <c r="MRP44" s="6"/>
      <c r="MRQ44" s="6"/>
      <c r="MRR44" s="6"/>
      <c r="MRS44" s="6"/>
      <c r="MRT44" s="6"/>
      <c r="MRU44" s="6"/>
      <c r="MRV44" s="6"/>
      <c r="MRW44" s="6"/>
      <c r="MRX44" s="6"/>
      <c r="MRY44" s="6"/>
      <c r="MRZ44" s="6"/>
      <c r="MSA44" s="6"/>
      <c r="MSB44" s="6"/>
      <c r="MSC44" s="6"/>
      <c r="MSD44" s="6"/>
      <c r="MSE44" s="6"/>
      <c r="MSF44" s="6"/>
      <c r="MSG44" s="6"/>
      <c r="MSH44" s="6"/>
      <c r="MSI44" s="6"/>
      <c r="MSJ44" s="6"/>
      <c r="MSK44" s="6"/>
      <c r="MSL44" s="6"/>
      <c r="MSM44" s="6"/>
      <c r="MSN44" s="6"/>
      <c r="MSO44" s="6"/>
      <c r="MSP44" s="6"/>
      <c r="MSQ44" s="6"/>
      <c r="MSR44" s="6"/>
      <c r="MSS44" s="6"/>
      <c r="MST44" s="6"/>
      <c r="MSU44" s="6"/>
      <c r="MSV44" s="6"/>
      <c r="MSW44" s="6"/>
      <c r="MSX44" s="6"/>
      <c r="MSY44" s="6"/>
      <c r="MSZ44" s="6"/>
      <c r="MTA44" s="6"/>
      <c r="MTB44" s="6"/>
      <c r="MTC44" s="6"/>
      <c r="MTD44" s="6"/>
      <c r="MTE44" s="6"/>
      <c r="MTF44" s="6"/>
      <c r="MTG44" s="6"/>
      <c r="MTH44" s="6"/>
      <c r="MTI44" s="6"/>
      <c r="MTJ44" s="6"/>
      <c r="MTK44" s="6"/>
      <c r="MTL44" s="6"/>
      <c r="MTM44" s="6"/>
      <c r="MTN44" s="6"/>
      <c r="MTO44" s="6"/>
      <c r="MTP44" s="6"/>
      <c r="MTQ44" s="6"/>
      <c r="MTR44" s="6"/>
      <c r="MTS44" s="6"/>
      <c r="MTT44" s="6"/>
      <c r="MTU44" s="6"/>
      <c r="MTV44" s="6"/>
      <c r="MTW44" s="6"/>
      <c r="MTX44" s="6"/>
      <c r="MTY44" s="6"/>
      <c r="MTZ44" s="6"/>
      <c r="MUA44" s="6"/>
      <c r="MUB44" s="6"/>
      <c r="MUC44" s="6"/>
      <c r="MUD44" s="6"/>
      <c r="MUE44" s="6"/>
      <c r="MUF44" s="6"/>
      <c r="MUG44" s="6"/>
      <c r="MUH44" s="6"/>
      <c r="MUI44" s="6"/>
      <c r="MUJ44" s="6"/>
      <c r="MUK44" s="6"/>
      <c r="MUL44" s="6"/>
      <c r="MUM44" s="6"/>
      <c r="MUN44" s="6"/>
      <c r="MUO44" s="6"/>
      <c r="MUP44" s="6"/>
      <c r="MUQ44" s="6"/>
      <c r="MUR44" s="6"/>
      <c r="MUS44" s="6"/>
      <c r="MUT44" s="6"/>
      <c r="MUU44" s="6"/>
      <c r="MUV44" s="6"/>
      <c r="MUW44" s="6"/>
      <c r="MUX44" s="6"/>
      <c r="MUY44" s="6"/>
      <c r="MUZ44" s="6"/>
      <c r="MVA44" s="6"/>
      <c r="MVB44" s="6"/>
      <c r="MVC44" s="6"/>
      <c r="MVD44" s="6"/>
      <c r="MVE44" s="6"/>
      <c r="MVF44" s="6"/>
      <c r="MVG44" s="6"/>
      <c r="MVH44" s="6"/>
      <c r="MVI44" s="6"/>
      <c r="MVJ44" s="6"/>
      <c r="MVK44" s="6"/>
      <c r="MVL44" s="6"/>
      <c r="MVM44" s="6"/>
      <c r="MVN44" s="6"/>
      <c r="MVO44" s="6"/>
      <c r="MVP44" s="6"/>
      <c r="MVQ44" s="6"/>
      <c r="MVR44" s="6"/>
      <c r="MVS44" s="6"/>
      <c r="MVT44" s="6"/>
      <c r="MVU44" s="6"/>
      <c r="MVV44" s="6"/>
      <c r="MVW44" s="6"/>
      <c r="MVX44" s="6"/>
      <c r="MVY44" s="6"/>
      <c r="MVZ44" s="6"/>
      <c r="MWA44" s="6"/>
      <c r="MWB44" s="6"/>
      <c r="MWC44" s="6"/>
      <c r="MWD44" s="6"/>
      <c r="MWE44" s="6"/>
      <c r="MWF44" s="6"/>
      <c r="MWG44" s="6"/>
      <c r="MWH44" s="6"/>
      <c r="MWI44" s="6"/>
      <c r="MWJ44" s="6"/>
      <c r="MWK44" s="6"/>
      <c r="MWL44" s="6"/>
      <c r="MWM44" s="6"/>
      <c r="MWN44" s="6"/>
      <c r="MWO44" s="6"/>
      <c r="MWP44" s="6"/>
      <c r="MWQ44" s="6"/>
      <c r="MWR44" s="6"/>
      <c r="MWS44" s="6"/>
      <c r="MWT44" s="6"/>
      <c r="MWU44" s="6"/>
      <c r="MWV44" s="6"/>
      <c r="MWW44" s="6"/>
      <c r="MWX44" s="6"/>
      <c r="MWY44" s="6"/>
      <c r="MWZ44" s="6"/>
      <c r="MXA44" s="6"/>
      <c r="MXB44" s="6"/>
      <c r="MXC44" s="6"/>
      <c r="MXD44" s="6"/>
      <c r="MXE44" s="6"/>
      <c r="MXF44" s="6"/>
      <c r="MXG44" s="6"/>
      <c r="MXH44" s="6"/>
      <c r="MXI44" s="6"/>
      <c r="MXJ44" s="6"/>
      <c r="MXK44" s="6"/>
      <c r="MXL44" s="6"/>
      <c r="MXM44" s="6"/>
      <c r="MXN44" s="6"/>
      <c r="MXO44" s="6"/>
      <c r="MXP44" s="6"/>
      <c r="MXQ44" s="6"/>
      <c r="MXR44" s="6"/>
      <c r="MXS44" s="6"/>
      <c r="MXT44" s="6"/>
      <c r="MXU44" s="6"/>
      <c r="MXV44" s="6"/>
      <c r="MXW44" s="6"/>
      <c r="MXX44" s="6"/>
      <c r="MXY44" s="6"/>
      <c r="MXZ44" s="6"/>
      <c r="MYA44" s="6"/>
      <c r="MYB44" s="6"/>
      <c r="MYC44" s="6"/>
      <c r="MYD44" s="6"/>
      <c r="MYE44" s="6"/>
      <c r="MYF44" s="6"/>
      <c r="MYG44" s="6"/>
      <c r="MYH44" s="6"/>
      <c r="MYI44" s="6"/>
      <c r="MYJ44" s="6"/>
      <c r="MYK44" s="6"/>
      <c r="MYL44" s="6"/>
      <c r="MYM44" s="6"/>
      <c r="MYN44" s="6"/>
      <c r="MYO44" s="6"/>
      <c r="MYP44" s="6"/>
      <c r="MYQ44" s="6"/>
      <c r="MYR44" s="6"/>
      <c r="MYS44" s="6"/>
      <c r="MYT44" s="6"/>
      <c r="MYU44" s="6"/>
      <c r="MYV44" s="6"/>
      <c r="MYW44" s="6"/>
      <c r="MYX44" s="6"/>
      <c r="MYY44" s="6"/>
      <c r="MYZ44" s="6"/>
      <c r="MZA44" s="6"/>
      <c r="MZB44" s="6"/>
      <c r="MZC44" s="6"/>
      <c r="MZD44" s="6"/>
      <c r="MZE44" s="6"/>
      <c r="MZF44" s="6"/>
      <c r="MZG44" s="6"/>
      <c r="MZH44" s="6"/>
      <c r="MZI44" s="6"/>
      <c r="MZJ44" s="6"/>
      <c r="MZK44" s="6"/>
      <c r="MZL44" s="6"/>
      <c r="MZM44" s="6"/>
      <c r="MZN44" s="6"/>
      <c r="MZO44" s="6"/>
      <c r="MZP44" s="6"/>
      <c r="MZQ44" s="6"/>
      <c r="MZR44" s="6"/>
      <c r="MZS44" s="6"/>
      <c r="MZT44" s="6"/>
      <c r="MZU44" s="6"/>
      <c r="MZV44" s="6"/>
      <c r="MZW44" s="6"/>
      <c r="MZX44" s="6"/>
      <c r="MZY44" s="6"/>
      <c r="MZZ44" s="6"/>
      <c r="NAA44" s="6"/>
      <c r="NAB44" s="6"/>
      <c r="NAC44" s="6"/>
      <c r="NAD44" s="6"/>
      <c r="NAE44" s="6"/>
      <c r="NAF44" s="6"/>
      <c r="NAG44" s="6"/>
      <c r="NAH44" s="6"/>
      <c r="NAI44" s="6"/>
      <c r="NAJ44" s="6"/>
      <c r="NAK44" s="6"/>
      <c r="NAL44" s="6"/>
      <c r="NAM44" s="6"/>
      <c r="NAN44" s="6"/>
      <c r="NAO44" s="6"/>
      <c r="NAP44" s="6"/>
      <c r="NAQ44" s="6"/>
      <c r="NAR44" s="6"/>
      <c r="NAS44" s="6"/>
      <c r="NAT44" s="6"/>
      <c r="NAU44" s="6"/>
      <c r="NAV44" s="6"/>
      <c r="NAW44" s="6"/>
      <c r="NAX44" s="6"/>
      <c r="NAY44" s="6"/>
      <c r="NAZ44" s="6"/>
      <c r="NBA44" s="6"/>
      <c r="NBB44" s="6"/>
      <c r="NBC44" s="6"/>
      <c r="NBD44" s="6"/>
      <c r="NBE44" s="6"/>
      <c r="NBF44" s="6"/>
      <c r="NBG44" s="6"/>
      <c r="NBH44" s="6"/>
      <c r="NBI44" s="6"/>
      <c r="NBJ44" s="6"/>
      <c r="NBK44" s="6"/>
      <c r="NBL44" s="6"/>
      <c r="NBM44" s="6"/>
      <c r="NBN44" s="6"/>
      <c r="NBO44" s="6"/>
      <c r="NBP44" s="6"/>
      <c r="NBQ44" s="6"/>
      <c r="NBR44" s="6"/>
      <c r="NBS44" s="6"/>
      <c r="NBT44" s="6"/>
      <c r="NBU44" s="6"/>
      <c r="NBV44" s="6"/>
      <c r="NBW44" s="6"/>
      <c r="NBX44" s="6"/>
      <c r="NBY44" s="6"/>
      <c r="NBZ44" s="6"/>
      <c r="NCA44" s="6"/>
      <c r="NCB44" s="6"/>
      <c r="NCC44" s="6"/>
      <c r="NCD44" s="6"/>
      <c r="NCE44" s="6"/>
      <c r="NCF44" s="6"/>
      <c r="NCG44" s="6"/>
      <c r="NCH44" s="6"/>
      <c r="NCI44" s="6"/>
      <c r="NCJ44" s="6"/>
      <c r="NCK44" s="6"/>
      <c r="NCL44" s="6"/>
      <c r="NCM44" s="6"/>
      <c r="NCN44" s="6"/>
      <c r="NCO44" s="6"/>
      <c r="NCP44" s="6"/>
      <c r="NCQ44" s="6"/>
      <c r="NCR44" s="6"/>
      <c r="NCS44" s="6"/>
      <c r="NCT44" s="6"/>
      <c r="NCU44" s="6"/>
      <c r="NCV44" s="6"/>
      <c r="NCW44" s="6"/>
      <c r="NCX44" s="6"/>
      <c r="NCY44" s="6"/>
      <c r="NCZ44" s="6"/>
      <c r="NDA44" s="6"/>
      <c r="NDB44" s="6"/>
      <c r="NDC44" s="6"/>
      <c r="NDD44" s="6"/>
      <c r="NDE44" s="6"/>
      <c r="NDF44" s="6"/>
      <c r="NDG44" s="6"/>
      <c r="NDH44" s="6"/>
      <c r="NDI44" s="6"/>
      <c r="NDJ44" s="6"/>
      <c r="NDK44" s="6"/>
      <c r="NDL44" s="6"/>
      <c r="NDM44" s="6"/>
      <c r="NDN44" s="6"/>
      <c r="NDO44" s="6"/>
      <c r="NDP44" s="6"/>
      <c r="NDQ44" s="6"/>
      <c r="NDR44" s="6"/>
      <c r="NDS44" s="6"/>
      <c r="NDT44" s="6"/>
      <c r="NDU44" s="6"/>
      <c r="NDV44" s="6"/>
      <c r="NDW44" s="6"/>
      <c r="NDX44" s="6"/>
      <c r="NDY44" s="6"/>
      <c r="NDZ44" s="6"/>
      <c r="NEA44" s="6"/>
      <c r="NEB44" s="6"/>
      <c r="NEC44" s="6"/>
      <c r="NED44" s="6"/>
      <c r="NEE44" s="6"/>
      <c r="NEF44" s="6"/>
      <c r="NEG44" s="6"/>
      <c r="NEH44" s="6"/>
      <c r="NEI44" s="6"/>
      <c r="NEJ44" s="6"/>
      <c r="NEK44" s="6"/>
      <c r="NEL44" s="6"/>
      <c r="NEM44" s="6"/>
      <c r="NEN44" s="6"/>
      <c r="NEO44" s="6"/>
      <c r="NEP44" s="6"/>
      <c r="NEQ44" s="6"/>
      <c r="NER44" s="6"/>
      <c r="NES44" s="6"/>
      <c r="NET44" s="6"/>
      <c r="NEU44" s="6"/>
      <c r="NEV44" s="6"/>
      <c r="NEW44" s="6"/>
      <c r="NEX44" s="6"/>
      <c r="NEY44" s="6"/>
      <c r="NEZ44" s="6"/>
      <c r="NFA44" s="6"/>
      <c r="NFB44" s="6"/>
      <c r="NFC44" s="6"/>
      <c r="NFD44" s="6"/>
      <c r="NFE44" s="6"/>
      <c r="NFF44" s="6"/>
      <c r="NFG44" s="6"/>
      <c r="NFH44" s="6"/>
      <c r="NFI44" s="6"/>
      <c r="NFJ44" s="6"/>
      <c r="NFK44" s="6"/>
      <c r="NFL44" s="6"/>
      <c r="NFM44" s="6"/>
      <c r="NFN44" s="6"/>
      <c r="NFO44" s="6"/>
      <c r="NFP44" s="6"/>
      <c r="NFQ44" s="6"/>
      <c r="NFR44" s="6"/>
      <c r="NFS44" s="6"/>
      <c r="NFT44" s="6"/>
      <c r="NFU44" s="6"/>
      <c r="NFV44" s="6"/>
      <c r="NFW44" s="6"/>
      <c r="NFX44" s="6"/>
      <c r="NFY44" s="6"/>
      <c r="NFZ44" s="6"/>
      <c r="NGA44" s="6"/>
      <c r="NGB44" s="6"/>
      <c r="NGC44" s="6"/>
      <c r="NGD44" s="6"/>
      <c r="NGE44" s="6"/>
      <c r="NGF44" s="6"/>
      <c r="NGG44" s="6"/>
      <c r="NGH44" s="6"/>
      <c r="NGI44" s="6"/>
      <c r="NGJ44" s="6"/>
      <c r="NGK44" s="6"/>
      <c r="NGL44" s="6"/>
      <c r="NGM44" s="6"/>
      <c r="NGN44" s="6"/>
      <c r="NGO44" s="6"/>
      <c r="NGP44" s="6"/>
      <c r="NGQ44" s="6"/>
      <c r="NGR44" s="6"/>
      <c r="NGS44" s="6"/>
      <c r="NGT44" s="6"/>
      <c r="NGU44" s="6"/>
      <c r="NGV44" s="6"/>
      <c r="NGW44" s="6"/>
      <c r="NGX44" s="6"/>
      <c r="NGY44" s="6"/>
      <c r="NGZ44" s="6"/>
      <c r="NHA44" s="6"/>
      <c r="NHB44" s="6"/>
      <c r="NHC44" s="6"/>
      <c r="NHD44" s="6"/>
      <c r="NHE44" s="6"/>
      <c r="NHF44" s="6"/>
      <c r="NHG44" s="6"/>
      <c r="NHH44" s="6"/>
      <c r="NHI44" s="6"/>
      <c r="NHJ44" s="6"/>
      <c r="NHK44" s="6"/>
      <c r="NHL44" s="6"/>
      <c r="NHM44" s="6"/>
      <c r="NHN44" s="6"/>
      <c r="NHO44" s="6"/>
      <c r="NHP44" s="6"/>
      <c r="NHQ44" s="6"/>
      <c r="NHR44" s="6"/>
      <c r="NHS44" s="6"/>
      <c r="NHT44" s="6"/>
      <c r="NHU44" s="6"/>
      <c r="NHV44" s="6"/>
      <c r="NHW44" s="6"/>
      <c r="NHX44" s="6"/>
      <c r="NHY44" s="6"/>
      <c r="NHZ44" s="6"/>
      <c r="NIA44" s="6"/>
      <c r="NIB44" s="6"/>
      <c r="NIC44" s="6"/>
      <c r="NID44" s="6"/>
      <c r="NIE44" s="6"/>
      <c r="NIF44" s="6"/>
      <c r="NIG44" s="6"/>
      <c r="NIH44" s="6"/>
      <c r="NII44" s="6"/>
      <c r="NIJ44" s="6"/>
      <c r="NIK44" s="6"/>
      <c r="NIL44" s="6"/>
      <c r="NIM44" s="6"/>
      <c r="NIN44" s="6"/>
      <c r="NIO44" s="6"/>
      <c r="NIP44" s="6"/>
      <c r="NIQ44" s="6"/>
      <c r="NIR44" s="6"/>
      <c r="NIS44" s="6"/>
      <c r="NIT44" s="6"/>
      <c r="NIU44" s="6"/>
      <c r="NIV44" s="6"/>
      <c r="NIW44" s="6"/>
      <c r="NIX44" s="6"/>
      <c r="NIY44" s="6"/>
      <c r="NIZ44" s="6"/>
      <c r="NJA44" s="6"/>
      <c r="NJB44" s="6"/>
      <c r="NJC44" s="6"/>
      <c r="NJD44" s="6"/>
      <c r="NJE44" s="6"/>
      <c r="NJF44" s="6"/>
      <c r="NJG44" s="6"/>
      <c r="NJH44" s="6"/>
      <c r="NJI44" s="6"/>
      <c r="NJJ44" s="6"/>
      <c r="NJK44" s="6"/>
      <c r="NJL44" s="6"/>
      <c r="NJM44" s="6"/>
      <c r="NJN44" s="6"/>
      <c r="NJO44" s="6"/>
      <c r="NJP44" s="6"/>
      <c r="NJQ44" s="6"/>
      <c r="NJR44" s="6"/>
      <c r="NJS44" s="6"/>
      <c r="NJT44" s="6"/>
      <c r="NJU44" s="6"/>
      <c r="NJV44" s="6"/>
      <c r="NJW44" s="6"/>
      <c r="NJX44" s="6"/>
      <c r="NJY44" s="6"/>
      <c r="NJZ44" s="6"/>
      <c r="NKA44" s="6"/>
      <c r="NKB44" s="6"/>
      <c r="NKC44" s="6"/>
      <c r="NKD44" s="6"/>
      <c r="NKE44" s="6"/>
      <c r="NKF44" s="6"/>
      <c r="NKG44" s="6"/>
      <c r="NKH44" s="6"/>
      <c r="NKI44" s="6"/>
      <c r="NKJ44" s="6"/>
      <c r="NKK44" s="6"/>
      <c r="NKL44" s="6"/>
      <c r="NKM44" s="6"/>
      <c r="NKN44" s="6"/>
      <c r="NKO44" s="6"/>
      <c r="NKP44" s="6"/>
      <c r="NKQ44" s="6"/>
      <c r="NKR44" s="6"/>
      <c r="NKS44" s="6"/>
      <c r="NKT44" s="6"/>
      <c r="NKU44" s="6"/>
      <c r="NKV44" s="6"/>
      <c r="NKW44" s="6"/>
      <c r="NKX44" s="6"/>
      <c r="NKY44" s="6"/>
      <c r="NKZ44" s="6"/>
      <c r="NLA44" s="6"/>
      <c r="NLB44" s="6"/>
      <c r="NLC44" s="6"/>
      <c r="NLD44" s="6"/>
      <c r="NLE44" s="6"/>
      <c r="NLF44" s="6"/>
      <c r="NLG44" s="6"/>
      <c r="NLH44" s="6"/>
      <c r="NLI44" s="6"/>
      <c r="NLJ44" s="6"/>
      <c r="NLK44" s="6"/>
      <c r="NLL44" s="6"/>
      <c r="NLM44" s="6"/>
      <c r="NLN44" s="6"/>
      <c r="NLO44" s="6"/>
      <c r="NLP44" s="6"/>
      <c r="NLQ44" s="6"/>
      <c r="NLR44" s="6"/>
      <c r="NLS44" s="6"/>
      <c r="NLT44" s="6"/>
      <c r="NLU44" s="6"/>
      <c r="NLV44" s="6"/>
      <c r="NLW44" s="6"/>
      <c r="NLX44" s="6"/>
      <c r="NLY44" s="6"/>
      <c r="NLZ44" s="6"/>
      <c r="NMA44" s="6"/>
      <c r="NMB44" s="6"/>
      <c r="NMC44" s="6"/>
      <c r="NMD44" s="6"/>
      <c r="NME44" s="6"/>
      <c r="NMF44" s="6"/>
      <c r="NMG44" s="6"/>
      <c r="NMH44" s="6"/>
      <c r="NMI44" s="6"/>
      <c r="NMJ44" s="6"/>
      <c r="NMK44" s="6"/>
      <c r="NML44" s="6"/>
      <c r="NMM44" s="6"/>
      <c r="NMN44" s="6"/>
      <c r="NMO44" s="6"/>
      <c r="NMP44" s="6"/>
      <c r="NMQ44" s="6"/>
      <c r="NMR44" s="6"/>
      <c r="NMS44" s="6"/>
      <c r="NMT44" s="6"/>
      <c r="NMU44" s="6"/>
      <c r="NMV44" s="6"/>
      <c r="NMW44" s="6"/>
      <c r="NMX44" s="6"/>
      <c r="NMY44" s="6"/>
      <c r="NMZ44" s="6"/>
      <c r="NNA44" s="6"/>
      <c r="NNB44" s="6"/>
      <c r="NNC44" s="6"/>
      <c r="NND44" s="6"/>
      <c r="NNE44" s="6"/>
      <c r="NNF44" s="6"/>
      <c r="NNG44" s="6"/>
      <c r="NNH44" s="6"/>
      <c r="NNI44" s="6"/>
      <c r="NNJ44" s="6"/>
      <c r="NNK44" s="6"/>
      <c r="NNL44" s="6"/>
      <c r="NNM44" s="6"/>
      <c r="NNN44" s="6"/>
      <c r="NNO44" s="6"/>
      <c r="NNP44" s="6"/>
      <c r="NNQ44" s="6"/>
      <c r="NNR44" s="6"/>
      <c r="NNS44" s="6"/>
      <c r="NNT44" s="6"/>
      <c r="NNU44" s="6"/>
      <c r="NNV44" s="6"/>
      <c r="NNW44" s="6"/>
      <c r="NNX44" s="6"/>
      <c r="NNY44" s="6"/>
      <c r="NNZ44" s="6"/>
      <c r="NOA44" s="6"/>
      <c r="NOB44" s="6"/>
      <c r="NOC44" s="6"/>
      <c r="NOD44" s="6"/>
      <c r="NOE44" s="6"/>
      <c r="NOF44" s="6"/>
      <c r="NOG44" s="6"/>
      <c r="NOH44" s="6"/>
      <c r="NOI44" s="6"/>
      <c r="NOJ44" s="6"/>
      <c r="NOK44" s="6"/>
      <c r="NOL44" s="6"/>
      <c r="NOM44" s="6"/>
      <c r="NON44" s="6"/>
      <c r="NOO44" s="6"/>
      <c r="NOP44" s="6"/>
      <c r="NOQ44" s="6"/>
      <c r="NOR44" s="6"/>
      <c r="NOS44" s="6"/>
      <c r="NOT44" s="6"/>
      <c r="NOU44" s="6"/>
      <c r="NOV44" s="6"/>
      <c r="NOW44" s="6"/>
      <c r="NOX44" s="6"/>
      <c r="NOY44" s="6"/>
      <c r="NOZ44" s="6"/>
      <c r="NPA44" s="6"/>
      <c r="NPB44" s="6"/>
      <c r="NPC44" s="6"/>
      <c r="NPD44" s="6"/>
      <c r="NPE44" s="6"/>
      <c r="NPF44" s="6"/>
      <c r="NPG44" s="6"/>
      <c r="NPH44" s="6"/>
      <c r="NPI44" s="6"/>
      <c r="NPJ44" s="6"/>
      <c r="NPK44" s="6"/>
      <c r="NPL44" s="6"/>
      <c r="NPM44" s="6"/>
      <c r="NPN44" s="6"/>
      <c r="NPO44" s="6"/>
      <c r="NPP44" s="6"/>
      <c r="NPQ44" s="6"/>
      <c r="NPR44" s="6"/>
      <c r="NPS44" s="6"/>
      <c r="NPT44" s="6"/>
      <c r="NPU44" s="6"/>
      <c r="NPV44" s="6"/>
      <c r="NPW44" s="6"/>
      <c r="NPX44" s="6"/>
      <c r="NPY44" s="6"/>
      <c r="NPZ44" s="6"/>
      <c r="NQA44" s="6"/>
      <c r="NQB44" s="6"/>
      <c r="NQC44" s="6"/>
      <c r="NQD44" s="6"/>
      <c r="NQE44" s="6"/>
      <c r="NQF44" s="6"/>
      <c r="NQG44" s="6"/>
      <c r="NQH44" s="6"/>
      <c r="NQI44" s="6"/>
      <c r="NQJ44" s="6"/>
      <c r="NQK44" s="6"/>
      <c r="NQL44" s="6"/>
      <c r="NQM44" s="6"/>
      <c r="NQN44" s="6"/>
      <c r="NQO44" s="6"/>
      <c r="NQP44" s="6"/>
      <c r="NQQ44" s="6"/>
      <c r="NQR44" s="6"/>
      <c r="NQS44" s="6"/>
      <c r="NQT44" s="6"/>
      <c r="NQU44" s="6"/>
      <c r="NQV44" s="6"/>
      <c r="NQW44" s="6"/>
      <c r="NQX44" s="6"/>
      <c r="NQY44" s="6"/>
      <c r="NQZ44" s="6"/>
      <c r="NRA44" s="6"/>
      <c r="NRB44" s="6"/>
      <c r="NRC44" s="6"/>
      <c r="NRD44" s="6"/>
      <c r="NRE44" s="6"/>
      <c r="NRF44" s="6"/>
      <c r="NRG44" s="6"/>
      <c r="NRH44" s="6"/>
      <c r="NRI44" s="6"/>
      <c r="NRJ44" s="6"/>
      <c r="NRK44" s="6"/>
      <c r="NRL44" s="6"/>
      <c r="NRM44" s="6"/>
      <c r="NRN44" s="6"/>
      <c r="NRO44" s="6"/>
      <c r="NRP44" s="6"/>
      <c r="NRQ44" s="6"/>
      <c r="NRR44" s="6"/>
      <c r="NRS44" s="6"/>
      <c r="NRT44" s="6"/>
      <c r="NRU44" s="6"/>
      <c r="NRV44" s="6"/>
      <c r="NRW44" s="6"/>
      <c r="NRX44" s="6"/>
      <c r="NRY44" s="6"/>
      <c r="NRZ44" s="6"/>
      <c r="NSA44" s="6"/>
      <c r="NSB44" s="6"/>
      <c r="NSC44" s="6"/>
      <c r="NSD44" s="6"/>
      <c r="NSE44" s="6"/>
      <c r="NSF44" s="6"/>
      <c r="NSG44" s="6"/>
      <c r="NSH44" s="6"/>
      <c r="NSI44" s="6"/>
      <c r="NSJ44" s="6"/>
      <c r="NSK44" s="6"/>
      <c r="NSL44" s="6"/>
      <c r="NSM44" s="6"/>
      <c r="NSN44" s="6"/>
      <c r="NSO44" s="6"/>
      <c r="NSP44" s="6"/>
      <c r="NSQ44" s="6"/>
      <c r="NSR44" s="6"/>
      <c r="NSS44" s="6"/>
      <c r="NST44" s="6"/>
      <c r="NSU44" s="6"/>
      <c r="NSV44" s="6"/>
      <c r="NSW44" s="6"/>
      <c r="NSX44" s="6"/>
      <c r="NSY44" s="6"/>
      <c r="NSZ44" s="6"/>
      <c r="NTA44" s="6"/>
      <c r="NTB44" s="6"/>
      <c r="NTC44" s="6"/>
      <c r="NTD44" s="6"/>
      <c r="NTE44" s="6"/>
      <c r="NTF44" s="6"/>
      <c r="NTG44" s="6"/>
      <c r="NTH44" s="6"/>
      <c r="NTI44" s="6"/>
      <c r="NTJ44" s="6"/>
      <c r="NTK44" s="6"/>
      <c r="NTL44" s="6"/>
      <c r="NTM44" s="6"/>
      <c r="NTN44" s="6"/>
      <c r="NTO44" s="6"/>
      <c r="NTP44" s="6"/>
      <c r="NTQ44" s="6"/>
      <c r="NTR44" s="6"/>
      <c r="NTS44" s="6"/>
      <c r="NTT44" s="6"/>
      <c r="NTU44" s="6"/>
      <c r="NTV44" s="6"/>
      <c r="NTW44" s="6"/>
      <c r="NTX44" s="6"/>
      <c r="NTY44" s="6"/>
      <c r="NTZ44" s="6"/>
      <c r="NUA44" s="6"/>
      <c r="NUB44" s="6"/>
      <c r="NUC44" s="6"/>
      <c r="NUD44" s="6"/>
      <c r="NUE44" s="6"/>
      <c r="NUF44" s="6"/>
      <c r="NUG44" s="6"/>
      <c r="NUH44" s="6"/>
      <c r="NUI44" s="6"/>
      <c r="NUJ44" s="6"/>
      <c r="NUK44" s="6"/>
      <c r="NUL44" s="6"/>
      <c r="NUM44" s="6"/>
      <c r="NUN44" s="6"/>
      <c r="NUO44" s="6"/>
      <c r="NUP44" s="6"/>
      <c r="NUQ44" s="6"/>
      <c r="NUR44" s="6"/>
      <c r="NUS44" s="6"/>
      <c r="NUT44" s="6"/>
      <c r="NUU44" s="6"/>
      <c r="NUV44" s="6"/>
      <c r="NUW44" s="6"/>
      <c r="NUX44" s="6"/>
      <c r="NUY44" s="6"/>
      <c r="NUZ44" s="6"/>
      <c r="NVA44" s="6"/>
      <c r="NVB44" s="6"/>
      <c r="NVC44" s="6"/>
      <c r="NVD44" s="6"/>
      <c r="NVE44" s="6"/>
      <c r="NVF44" s="6"/>
      <c r="NVG44" s="6"/>
      <c r="NVH44" s="6"/>
      <c r="NVI44" s="6"/>
      <c r="NVJ44" s="6"/>
      <c r="NVK44" s="6"/>
      <c r="NVL44" s="6"/>
      <c r="NVM44" s="6"/>
      <c r="NVN44" s="6"/>
      <c r="NVO44" s="6"/>
      <c r="NVP44" s="6"/>
      <c r="NVQ44" s="6"/>
      <c r="NVR44" s="6"/>
      <c r="NVS44" s="6"/>
      <c r="NVT44" s="6"/>
      <c r="NVU44" s="6"/>
      <c r="NVV44" s="6"/>
      <c r="NVW44" s="6"/>
      <c r="NVX44" s="6"/>
      <c r="NVY44" s="6"/>
      <c r="NVZ44" s="6"/>
      <c r="NWA44" s="6"/>
      <c r="NWB44" s="6"/>
      <c r="NWC44" s="6"/>
      <c r="NWD44" s="6"/>
      <c r="NWE44" s="6"/>
      <c r="NWF44" s="6"/>
      <c r="NWG44" s="6"/>
      <c r="NWH44" s="6"/>
      <c r="NWI44" s="6"/>
      <c r="NWJ44" s="6"/>
      <c r="NWK44" s="6"/>
      <c r="NWL44" s="6"/>
      <c r="NWM44" s="6"/>
      <c r="NWN44" s="6"/>
      <c r="NWO44" s="6"/>
      <c r="NWP44" s="6"/>
      <c r="NWQ44" s="6"/>
      <c r="NWR44" s="6"/>
      <c r="NWS44" s="6"/>
      <c r="NWT44" s="6"/>
      <c r="NWU44" s="6"/>
      <c r="NWV44" s="6"/>
      <c r="NWW44" s="6"/>
      <c r="NWX44" s="6"/>
      <c r="NWY44" s="6"/>
      <c r="NWZ44" s="6"/>
      <c r="NXA44" s="6"/>
      <c r="NXB44" s="6"/>
      <c r="NXC44" s="6"/>
      <c r="NXD44" s="6"/>
      <c r="NXE44" s="6"/>
      <c r="NXF44" s="6"/>
      <c r="NXG44" s="6"/>
      <c r="NXH44" s="6"/>
      <c r="NXI44" s="6"/>
      <c r="NXJ44" s="6"/>
      <c r="NXK44" s="6"/>
      <c r="NXL44" s="6"/>
      <c r="NXM44" s="6"/>
      <c r="NXN44" s="6"/>
      <c r="NXO44" s="6"/>
      <c r="NXP44" s="6"/>
      <c r="NXQ44" s="6"/>
      <c r="NXR44" s="6"/>
      <c r="NXS44" s="6"/>
      <c r="NXT44" s="6"/>
      <c r="NXU44" s="6"/>
      <c r="NXV44" s="6"/>
      <c r="NXW44" s="6"/>
      <c r="NXX44" s="6"/>
      <c r="NXY44" s="6"/>
      <c r="NXZ44" s="6"/>
      <c r="NYA44" s="6"/>
      <c r="NYB44" s="6"/>
      <c r="NYC44" s="6"/>
      <c r="NYD44" s="6"/>
      <c r="NYE44" s="6"/>
      <c r="NYF44" s="6"/>
      <c r="NYG44" s="6"/>
      <c r="NYH44" s="6"/>
      <c r="NYI44" s="6"/>
      <c r="NYJ44" s="6"/>
      <c r="NYK44" s="6"/>
      <c r="NYL44" s="6"/>
      <c r="NYM44" s="6"/>
      <c r="NYN44" s="6"/>
      <c r="NYO44" s="6"/>
      <c r="NYP44" s="6"/>
      <c r="NYQ44" s="6"/>
      <c r="NYR44" s="6"/>
      <c r="NYS44" s="6"/>
      <c r="NYT44" s="6"/>
      <c r="NYU44" s="6"/>
      <c r="NYV44" s="6"/>
      <c r="NYW44" s="6"/>
      <c r="NYX44" s="6"/>
      <c r="NYY44" s="6"/>
      <c r="NYZ44" s="6"/>
      <c r="NZA44" s="6"/>
      <c r="NZB44" s="6"/>
      <c r="NZC44" s="6"/>
      <c r="NZD44" s="6"/>
      <c r="NZE44" s="6"/>
      <c r="NZF44" s="6"/>
      <c r="NZG44" s="6"/>
      <c r="NZH44" s="6"/>
      <c r="NZI44" s="6"/>
      <c r="NZJ44" s="6"/>
      <c r="NZK44" s="6"/>
      <c r="NZL44" s="6"/>
      <c r="NZM44" s="6"/>
      <c r="NZN44" s="6"/>
      <c r="NZO44" s="6"/>
      <c r="NZP44" s="6"/>
      <c r="NZQ44" s="6"/>
      <c r="NZR44" s="6"/>
      <c r="NZS44" s="6"/>
      <c r="NZT44" s="6"/>
      <c r="NZU44" s="6"/>
      <c r="NZV44" s="6"/>
      <c r="NZW44" s="6"/>
      <c r="NZX44" s="6"/>
      <c r="NZY44" s="6"/>
      <c r="NZZ44" s="6"/>
      <c r="OAA44" s="6"/>
      <c r="OAB44" s="6"/>
      <c r="OAC44" s="6"/>
      <c r="OAD44" s="6"/>
      <c r="OAE44" s="6"/>
      <c r="OAF44" s="6"/>
      <c r="OAG44" s="6"/>
      <c r="OAH44" s="6"/>
      <c r="OAI44" s="6"/>
      <c r="OAJ44" s="6"/>
      <c r="OAK44" s="6"/>
      <c r="OAL44" s="6"/>
      <c r="OAM44" s="6"/>
      <c r="OAN44" s="6"/>
      <c r="OAO44" s="6"/>
      <c r="OAP44" s="6"/>
      <c r="OAQ44" s="6"/>
      <c r="OAR44" s="6"/>
      <c r="OAS44" s="6"/>
      <c r="OAT44" s="6"/>
      <c r="OAU44" s="6"/>
      <c r="OAV44" s="6"/>
      <c r="OAW44" s="6"/>
      <c r="OAX44" s="6"/>
      <c r="OAY44" s="6"/>
      <c r="OAZ44" s="6"/>
      <c r="OBA44" s="6"/>
      <c r="OBB44" s="6"/>
      <c r="OBC44" s="6"/>
      <c r="OBD44" s="6"/>
      <c r="OBE44" s="6"/>
      <c r="OBF44" s="6"/>
      <c r="OBG44" s="6"/>
      <c r="OBH44" s="6"/>
      <c r="OBI44" s="6"/>
      <c r="OBJ44" s="6"/>
      <c r="OBK44" s="6"/>
      <c r="OBL44" s="6"/>
      <c r="OBM44" s="6"/>
      <c r="OBN44" s="6"/>
      <c r="OBO44" s="6"/>
      <c r="OBP44" s="6"/>
      <c r="OBQ44" s="6"/>
      <c r="OBR44" s="6"/>
      <c r="OBS44" s="6"/>
      <c r="OBT44" s="6"/>
      <c r="OBU44" s="6"/>
      <c r="OBV44" s="6"/>
      <c r="OBW44" s="6"/>
      <c r="OBX44" s="6"/>
      <c r="OBY44" s="6"/>
      <c r="OBZ44" s="6"/>
      <c r="OCA44" s="6"/>
      <c r="OCB44" s="6"/>
      <c r="OCC44" s="6"/>
      <c r="OCD44" s="6"/>
      <c r="OCE44" s="6"/>
      <c r="OCF44" s="6"/>
      <c r="OCG44" s="6"/>
      <c r="OCH44" s="6"/>
      <c r="OCI44" s="6"/>
      <c r="OCJ44" s="6"/>
      <c r="OCK44" s="6"/>
      <c r="OCL44" s="6"/>
      <c r="OCM44" s="6"/>
      <c r="OCN44" s="6"/>
      <c r="OCO44" s="6"/>
      <c r="OCP44" s="6"/>
      <c r="OCQ44" s="6"/>
      <c r="OCR44" s="6"/>
      <c r="OCS44" s="6"/>
      <c r="OCT44" s="6"/>
      <c r="OCU44" s="6"/>
      <c r="OCV44" s="6"/>
      <c r="OCW44" s="6"/>
      <c r="OCX44" s="6"/>
      <c r="OCY44" s="6"/>
      <c r="OCZ44" s="6"/>
      <c r="ODA44" s="6"/>
      <c r="ODB44" s="6"/>
      <c r="ODC44" s="6"/>
      <c r="ODD44" s="6"/>
      <c r="ODE44" s="6"/>
      <c r="ODF44" s="6"/>
      <c r="ODG44" s="6"/>
      <c r="ODH44" s="6"/>
      <c r="ODI44" s="6"/>
      <c r="ODJ44" s="6"/>
      <c r="ODK44" s="6"/>
      <c r="ODL44" s="6"/>
      <c r="ODM44" s="6"/>
      <c r="ODN44" s="6"/>
      <c r="ODO44" s="6"/>
      <c r="ODP44" s="6"/>
      <c r="ODQ44" s="6"/>
      <c r="ODR44" s="6"/>
      <c r="ODS44" s="6"/>
      <c r="ODT44" s="6"/>
      <c r="ODU44" s="6"/>
      <c r="ODV44" s="6"/>
      <c r="ODW44" s="6"/>
      <c r="ODX44" s="6"/>
      <c r="ODY44" s="6"/>
      <c r="ODZ44" s="6"/>
      <c r="OEA44" s="6"/>
      <c r="OEB44" s="6"/>
      <c r="OEC44" s="6"/>
      <c r="OED44" s="6"/>
      <c r="OEE44" s="6"/>
      <c r="OEF44" s="6"/>
      <c r="OEG44" s="6"/>
      <c r="OEH44" s="6"/>
      <c r="OEI44" s="6"/>
      <c r="OEJ44" s="6"/>
      <c r="OEK44" s="6"/>
      <c r="OEL44" s="6"/>
      <c r="OEM44" s="6"/>
      <c r="OEN44" s="6"/>
      <c r="OEO44" s="6"/>
      <c r="OEP44" s="6"/>
      <c r="OEQ44" s="6"/>
      <c r="OER44" s="6"/>
      <c r="OES44" s="6"/>
      <c r="OET44" s="6"/>
      <c r="OEU44" s="6"/>
      <c r="OEV44" s="6"/>
      <c r="OEW44" s="6"/>
      <c r="OEX44" s="6"/>
      <c r="OEY44" s="6"/>
      <c r="OEZ44" s="6"/>
      <c r="OFA44" s="6"/>
      <c r="OFB44" s="6"/>
      <c r="OFC44" s="6"/>
      <c r="OFD44" s="6"/>
      <c r="OFE44" s="6"/>
      <c r="OFF44" s="6"/>
      <c r="OFG44" s="6"/>
      <c r="OFH44" s="6"/>
      <c r="OFI44" s="6"/>
      <c r="OFJ44" s="6"/>
      <c r="OFK44" s="6"/>
      <c r="OFL44" s="6"/>
      <c r="OFM44" s="6"/>
      <c r="OFN44" s="6"/>
      <c r="OFO44" s="6"/>
      <c r="OFP44" s="6"/>
      <c r="OFQ44" s="6"/>
      <c r="OFR44" s="6"/>
      <c r="OFS44" s="6"/>
      <c r="OFT44" s="6"/>
      <c r="OFU44" s="6"/>
      <c r="OFV44" s="6"/>
      <c r="OFW44" s="6"/>
      <c r="OFX44" s="6"/>
      <c r="OFY44" s="6"/>
      <c r="OFZ44" s="6"/>
      <c r="OGA44" s="6"/>
      <c r="OGB44" s="6"/>
      <c r="OGC44" s="6"/>
      <c r="OGD44" s="6"/>
      <c r="OGE44" s="6"/>
      <c r="OGF44" s="6"/>
      <c r="OGG44" s="6"/>
      <c r="OGH44" s="6"/>
      <c r="OGI44" s="6"/>
      <c r="OGJ44" s="6"/>
      <c r="OGK44" s="6"/>
      <c r="OGL44" s="6"/>
      <c r="OGM44" s="6"/>
      <c r="OGN44" s="6"/>
      <c r="OGO44" s="6"/>
      <c r="OGP44" s="6"/>
      <c r="OGQ44" s="6"/>
      <c r="OGR44" s="6"/>
      <c r="OGS44" s="6"/>
      <c r="OGT44" s="6"/>
      <c r="OGU44" s="6"/>
      <c r="OGV44" s="6"/>
      <c r="OGW44" s="6"/>
      <c r="OGX44" s="6"/>
      <c r="OGY44" s="6"/>
      <c r="OGZ44" s="6"/>
      <c r="OHA44" s="6"/>
      <c r="OHB44" s="6"/>
      <c r="OHC44" s="6"/>
      <c r="OHD44" s="6"/>
      <c r="OHE44" s="6"/>
      <c r="OHF44" s="6"/>
      <c r="OHG44" s="6"/>
      <c r="OHH44" s="6"/>
      <c r="OHI44" s="6"/>
      <c r="OHJ44" s="6"/>
      <c r="OHK44" s="6"/>
      <c r="OHL44" s="6"/>
      <c r="OHM44" s="6"/>
      <c r="OHN44" s="6"/>
      <c r="OHO44" s="6"/>
      <c r="OHP44" s="6"/>
      <c r="OHQ44" s="6"/>
      <c r="OHR44" s="6"/>
      <c r="OHS44" s="6"/>
      <c r="OHT44" s="6"/>
      <c r="OHU44" s="6"/>
      <c r="OHV44" s="6"/>
      <c r="OHW44" s="6"/>
      <c r="OHX44" s="6"/>
      <c r="OHY44" s="6"/>
      <c r="OHZ44" s="6"/>
      <c r="OIA44" s="6"/>
      <c r="OIB44" s="6"/>
      <c r="OIC44" s="6"/>
      <c r="OID44" s="6"/>
      <c r="OIE44" s="6"/>
      <c r="OIF44" s="6"/>
      <c r="OIG44" s="6"/>
      <c r="OIH44" s="6"/>
      <c r="OII44" s="6"/>
      <c r="OIJ44" s="6"/>
      <c r="OIK44" s="6"/>
      <c r="OIL44" s="6"/>
      <c r="OIM44" s="6"/>
      <c r="OIN44" s="6"/>
      <c r="OIO44" s="6"/>
      <c r="OIP44" s="6"/>
      <c r="OIQ44" s="6"/>
      <c r="OIR44" s="6"/>
      <c r="OIS44" s="6"/>
      <c r="OIT44" s="6"/>
      <c r="OIU44" s="6"/>
      <c r="OIV44" s="6"/>
      <c r="OIW44" s="6"/>
      <c r="OIX44" s="6"/>
      <c r="OIY44" s="6"/>
      <c r="OIZ44" s="6"/>
      <c r="OJA44" s="6"/>
      <c r="OJB44" s="6"/>
      <c r="OJC44" s="6"/>
      <c r="OJD44" s="6"/>
      <c r="OJE44" s="6"/>
      <c r="OJF44" s="6"/>
      <c r="OJG44" s="6"/>
      <c r="OJH44" s="6"/>
      <c r="OJI44" s="6"/>
      <c r="OJJ44" s="6"/>
      <c r="OJK44" s="6"/>
      <c r="OJL44" s="6"/>
      <c r="OJM44" s="6"/>
      <c r="OJN44" s="6"/>
      <c r="OJO44" s="6"/>
      <c r="OJP44" s="6"/>
      <c r="OJQ44" s="6"/>
      <c r="OJR44" s="6"/>
      <c r="OJS44" s="6"/>
      <c r="OJT44" s="6"/>
      <c r="OJU44" s="6"/>
      <c r="OJV44" s="6"/>
      <c r="OJW44" s="6"/>
      <c r="OJX44" s="6"/>
      <c r="OJY44" s="6"/>
      <c r="OJZ44" s="6"/>
      <c r="OKA44" s="6"/>
      <c r="OKB44" s="6"/>
      <c r="OKC44" s="6"/>
      <c r="OKD44" s="6"/>
      <c r="OKE44" s="6"/>
      <c r="OKF44" s="6"/>
      <c r="OKG44" s="6"/>
      <c r="OKH44" s="6"/>
      <c r="OKI44" s="6"/>
      <c r="OKJ44" s="6"/>
      <c r="OKK44" s="6"/>
      <c r="OKL44" s="6"/>
      <c r="OKM44" s="6"/>
      <c r="OKN44" s="6"/>
      <c r="OKO44" s="6"/>
      <c r="OKP44" s="6"/>
      <c r="OKQ44" s="6"/>
      <c r="OKR44" s="6"/>
      <c r="OKS44" s="6"/>
      <c r="OKT44" s="6"/>
      <c r="OKU44" s="6"/>
      <c r="OKV44" s="6"/>
      <c r="OKW44" s="6"/>
      <c r="OKX44" s="6"/>
      <c r="OKY44" s="6"/>
      <c r="OKZ44" s="6"/>
      <c r="OLA44" s="6"/>
      <c r="OLB44" s="6"/>
      <c r="OLC44" s="6"/>
      <c r="OLD44" s="6"/>
      <c r="OLE44" s="6"/>
      <c r="OLF44" s="6"/>
      <c r="OLG44" s="6"/>
      <c r="OLH44" s="6"/>
      <c r="OLI44" s="6"/>
      <c r="OLJ44" s="6"/>
      <c r="OLK44" s="6"/>
      <c r="OLL44" s="6"/>
      <c r="OLM44" s="6"/>
      <c r="OLN44" s="6"/>
      <c r="OLO44" s="6"/>
      <c r="OLP44" s="6"/>
      <c r="OLQ44" s="6"/>
      <c r="OLR44" s="6"/>
      <c r="OLS44" s="6"/>
      <c r="OLT44" s="6"/>
      <c r="OLU44" s="6"/>
      <c r="OLV44" s="6"/>
      <c r="OLW44" s="6"/>
      <c r="OLX44" s="6"/>
      <c r="OLY44" s="6"/>
      <c r="OLZ44" s="6"/>
      <c r="OMA44" s="6"/>
      <c r="OMB44" s="6"/>
      <c r="OMC44" s="6"/>
      <c r="OMD44" s="6"/>
      <c r="OME44" s="6"/>
      <c r="OMF44" s="6"/>
      <c r="OMG44" s="6"/>
      <c r="OMH44" s="6"/>
      <c r="OMI44" s="6"/>
      <c r="OMJ44" s="6"/>
      <c r="OMK44" s="6"/>
      <c r="OML44" s="6"/>
      <c r="OMM44" s="6"/>
      <c r="OMN44" s="6"/>
      <c r="OMO44" s="6"/>
      <c r="OMP44" s="6"/>
      <c r="OMQ44" s="6"/>
      <c r="OMR44" s="6"/>
      <c r="OMS44" s="6"/>
      <c r="OMT44" s="6"/>
      <c r="OMU44" s="6"/>
      <c r="OMV44" s="6"/>
      <c r="OMW44" s="6"/>
      <c r="OMX44" s="6"/>
      <c r="OMY44" s="6"/>
      <c r="OMZ44" s="6"/>
      <c r="ONA44" s="6"/>
      <c r="ONB44" s="6"/>
      <c r="ONC44" s="6"/>
      <c r="OND44" s="6"/>
      <c r="ONE44" s="6"/>
      <c r="ONF44" s="6"/>
      <c r="ONG44" s="6"/>
      <c r="ONH44" s="6"/>
      <c r="ONI44" s="6"/>
      <c r="ONJ44" s="6"/>
      <c r="ONK44" s="6"/>
      <c r="ONL44" s="6"/>
      <c r="ONM44" s="6"/>
      <c r="ONN44" s="6"/>
      <c r="ONO44" s="6"/>
      <c r="ONP44" s="6"/>
      <c r="ONQ44" s="6"/>
      <c r="ONR44" s="6"/>
      <c r="ONS44" s="6"/>
      <c r="ONT44" s="6"/>
      <c r="ONU44" s="6"/>
      <c r="ONV44" s="6"/>
      <c r="ONW44" s="6"/>
      <c r="ONX44" s="6"/>
      <c r="ONY44" s="6"/>
      <c r="ONZ44" s="6"/>
      <c r="OOA44" s="6"/>
      <c r="OOB44" s="6"/>
      <c r="OOC44" s="6"/>
      <c r="OOD44" s="6"/>
      <c r="OOE44" s="6"/>
      <c r="OOF44" s="6"/>
      <c r="OOG44" s="6"/>
      <c r="OOH44" s="6"/>
      <c r="OOI44" s="6"/>
      <c r="OOJ44" s="6"/>
      <c r="OOK44" s="6"/>
      <c r="OOL44" s="6"/>
      <c r="OOM44" s="6"/>
      <c r="OON44" s="6"/>
      <c r="OOO44" s="6"/>
      <c r="OOP44" s="6"/>
      <c r="OOQ44" s="6"/>
      <c r="OOR44" s="6"/>
      <c r="OOS44" s="6"/>
      <c r="OOT44" s="6"/>
      <c r="OOU44" s="6"/>
      <c r="OOV44" s="6"/>
      <c r="OOW44" s="6"/>
      <c r="OOX44" s="6"/>
      <c r="OOY44" s="6"/>
      <c r="OOZ44" s="6"/>
      <c r="OPA44" s="6"/>
      <c r="OPB44" s="6"/>
      <c r="OPC44" s="6"/>
      <c r="OPD44" s="6"/>
      <c r="OPE44" s="6"/>
      <c r="OPF44" s="6"/>
      <c r="OPG44" s="6"/>
      <c r="OPH44" s="6"/>
      <c r="OPI44" s="6"/>
      <c r="OPJ44" s="6"/>
      <c r="OPK44" s="6"/>
      <c r="OPL44" s="6"/>
      <c r="OPM44" s="6"/>
      <c r="OPN44" s="6"/>
      <c r="OPO44" s="6"/>
      <c r="OPP44" s="6"/>
      <c r="OPQ44" s="6"/>
      <c r="OPR44" s="6"/>
      <c r="OPS44" s="6"/>
      <c r="OPT44" s="6"/>
      <c r="OPU44" s="6"/>
      <c r="OPV44" s="6"/>
      <c r="OPW44" s="6"/>
      <c r="OPX44" s="6"/>
      <c r="OPY44" s="6"/>
      <c r="OPZ44" s="6"/>
      <c r="OQA44" s="6"/>
      <c r="OQB44" s="6"/>
      <c r="OQC44" s="6"/>
      <c r="OQD44" s="6"/>
      <c r="OQE44" s="6"/>
      <c r="OQF44" s="6"/>
      <c r="OQG44" s="6"/>
      <c r="OQH44" s="6"/>
      <c r="OQI44" s="6"/>
      <c r="OQJ44" s="6"/>
      <c r="OQK44" s="6"/>
      <c r="OQL44" s="6"/>
      <c r="OQM44" s="6"/>
      <c r="OQN44" s="6"/>
      <c r="OQO44" s="6"/>
      <c r="OQP44" s="6"/>
      <c r="OQQ44" s="6"/>
      <c r="OQR44" s="6"/>
      <c r="OQS44" s="6"/>
      <c r="OQT44" s="6"/>
      <c r="OQU44" s="6"/>
      <c r="OQV44" s="6"/>
      <c r="OQW44" s="6"/>
      <c r="OQX44" s="6"/>
      <c r="OQY44" s="6"/>
      <c r="OQZ44" s="6"/>
      <c r="ORA44" s="6"/>
      <c r="ORB44" s="6"/>
      <c r="ORC44" s="6"/>
      <c r="ORD44" s="6"/>
      <c r="ORE44" s="6"/>
      <c r="ORF44" s="6"/>
      <c r="ORG44" s="6"/>
      <c r="ORH44" s="6"/>
      <c r="ORI44" s="6"/>
      <c r="ORJ44" s="6"/>
      <c r="ORK44" s="6"/>
      <c r="ORL44" s="6"/>
      <c r="ORM44" s="6"/>
      <c r="ORN44" s="6"/>
      <c r="ORO44" s="6"/>
      <c r="ORP44" s="6"/>
      <c r="ORQ44" s="6"/>
      <c r="ORR44" s="6"/>
      <c r="ORS44" s="6"/>
      <c r="ORT44" s="6"/>
      <c r="ORU44" s="6"/>
      <c r="ORV44" s="6"/>
      <c r="ORW44" s="6"/>
      <c r="ORX44" s="6"/>
      <c r="ORY44" s="6"/>
      <c r="ORZ44" s="6"/>
      <c r="OSA44" s="6"/>
      <c r="OSB44" s="6"/>
      <c r="OSC44" s="6"/>
      <c r="OSD44" s="6"/>
      <c r="OSE44" s="6"/>
      <c r="OSF44" s="6"/>
      <c r="OSG44" s="6"/>
      <c r="OSH44" s="6"/>
      <c r="OSI44" s="6"/>
      <c r="OSJ44" s="6"/>
      <c r="OSK44" s="6"/>
      <c r="OSL44" s="6"/>
      <c r="OSM44" s="6"/>
      <c r="OSN44" s="6"/>
      <c r="OSO44" s="6"/>
      <c r="OSP44" s="6"/>
      <c r="OSQ44" s="6"/>
      <c r="OSR44" s="6"/>
      <c r="OSS44" s="6"/>
      <c r="OST44" s="6"/>
      <c r="OSU44" s="6"/>
      <c r="OSV44" s="6"/>
      <c r="OSW44" s="6"/>
      <c r="OSX44" s="6"/>
      <c r="OSY44" s="6"/>
      <c r="OSZ44" s="6"/>
      <c r="OTA44" s="6"/>
      <c r="OTB44" s="6"/>
      <c r="OTC44" s="6"/>
      <c r="OTD44" s="6"/>
      <c r="OTE44" s="6"/>
      <c r="OTF44" s="6"/>
      <c r="OTG44" s="6"/>
      <c r="OTH44" s="6"/>
      <c r="OTI44" s="6"/>
      <c r="OTJ44" s="6"/>
      <c r="OTK44" s="6"/>
      <c r="OTL44" s="6"/>
      <c r="OTM44" s="6"/>
      <c r="OTN44" s="6"/>
      <c r="OTO44" s="6"/>
      <c r="OTP44" s="6"/>
      <c r="OTQ44" s="6"/>
      <c r="OTR44" s="6"/>
      <c r="OTS44" s="6"/>
      <c r="OTT44" s="6"/>
      <c r="OTU44" s="6"/>
      <c r="OTV44" s="6"/>
      <c r="OTW44" s="6"/>
      <c r="OTX44" s="6"/>
      <c r="OTY44" s="6"/>
      <c r="OTZ44" s="6"/>
      <c r="OUA44" s="6"/>
      <c r="OUB44" s="6"/>
      <c r="OUC44" s="6"/>
      <c r="OUD44" s="6"/>
      <c r="OUE44" s="6"/>
      <c r="OUF44" s="6"/>
      <c r="OUG44" s="6"/>
      <c r="OUH44" s="6"/>
      <c r="OUI44" s="6"/>
      <c r="OUJ44" s="6"/>
      <c r="OUK44" s="6"/>
      <c r="OUL44" s="6"/>
      <c r="OUM44" s="6"/>
      <c r="OUN44" s="6"/>
      <c r="OUO44" s="6"/>
      <c r="OUP44" s="6"/>
      <c r="OUQ44" s="6"/>
      <c r="OUR44" s="6"/>
      <c r="OUS44" s="6"/>
      <c r="OUT44" s="6"/>
      <c r="OUU44" s="6"/>
      <c r="OUV44" s="6"/>
      <c r="OUW44" s="6"/>
      <c r="OUX44" s="6"/>
      <c r="OUY44" s="6"/>
      <c r="OUZ44" s="6"/>
      <c r="OVA44" s="6"/>
      <c r="OVB44" s="6"/>
      <c r="OVC44" s="6"/>
      <c r="OVD44" s="6"/>
      <c r="OVE44" s="6"/>
      <c r="OVF44" s="6"/>
      <c r="OVG44" s="6"/>
      <c r="OVH44" s="6"/>
      <c r="OVI44" s="6"/>
      <c r="OVJ44" s="6"/>
      <c r="OVK44" s="6"/>
      <c r="OVL44" s="6"/>
      <c r="OVM44" s="6"/>
      <c r="OVN44" s="6"/>
      <c r="OVO44" s="6"/>
      <c r="OVP44" s="6"/>
      <c r="OVQ44" s="6"/>
      <c r="OVR44" s="6"/>
      <c r="OVS44" s="6"/>
      <c r="OVT44" s="6"/>
      <c r="OVU44" s="6"/>
      <c r="OVV44" s="6"/>
      <c r="OVW44" s="6"/>
      <c r="OVX44" s="6"/>
      <c r="OVY44" s="6"/>
      <c r="OVZ44" s="6"/>
      <c r="OWA44" s="6"/>
      <c r="OWB44" s="6"/>
      <c r="OWC44" s="6"/>
      <c r="OWD44" s="6"/>
      <c r="OWE44" s="6"/>
      <c r="OWF44" s="6"/>
      <c r="OWG44" s="6"/>
      <c r="OWH44" s="6"/>
      <c r="OWI44" s="6"/>
      <c r="OWJ44" s="6"/>
      <c r="OWK44" s="6"/>
      <c r="OWL44" s="6"/>
      <c r="OWM44" s="6"/>
      <c r="OWN44" s="6"/>
      <c r="OWO44" s="6"/>
      <c r="OWP44" s="6"/>
      <c r="OWQ44" s="6"/>
      <c r="OWR44" s="6"/>
      <c r="OWS44" s="6"/>
      <c r="OWT44" s="6"/>
      <c r="OWU44" s="6"/>
      <c r="OWV44" s="6"/>
      <c r="OWW44" s="6"/>
      <c r="OWX44" s="6"/>
      <c r="OWY44" s="6"/>
      <c r="OWZ44" s="6"/>
      <c r="OXA44" s="6"/>
      <c r="OXB44" s="6"/>
      <c r="OXC44" s="6"/>
      <c r="OXD44" s="6"/>
      <c r="OXE44" s="6"/>
      <c r="OXF44" s="6"/>
      <c r="OXG44" s="6"/>
      <c r="OXH44" s="6"/>
      <c r="OXI44" s="6"/>
      <c r="OXJ44" s="6"/>
      <c r="OXK44" s="6"/>
      <c r="OXL44" s="6"/>
      <c r="OXM44" s="6"/>
      <c r="OXN44" s="6"/>
      <c r="OXO44" s="6"/>
      <c r="OXP44" s="6"/>
      <c r="OXQ44" s="6"/>
      <c r="OXR44" s="6"/>
      <c r="OXS44" s="6"/>
      <c r="OXT44" s="6"/>
      <c r="OXU44" s="6"/>
      <c r="OXV44" s="6"/>
      <c r="OXW44" s="6"/>
      <c r="OXX44" s="6"/>
      <c r="OXY44" s="6"/>
      <c r="OXZ44" s="6"/>
      <c r="OYA44" s="6"/>
      <c r="OYB44" s="6"/>
      <c r="OYC44" s="6"/>
      <c r="OYD44" s="6"/>
      <c r="OYE44" s="6"/>
      <c r="OYF44" s="6"/>
      <c r="OYG44" s="6"/>
      <c r="OYH44" s="6"/>
      <c r="OYI44" s="6"/>
      <c r="OYJ44" s="6"/>
      <c r="OYK44" s="6"/>
      <c r="OYL44" s="6"/>
      <c r="OYM44" s="6"/>
      <c r="OYN44" s="6"/>
      <c r="OYO44" s="6"/>
      <c r="OYP44" s="6"/>
      <c r="OYQ44" s="6"/>
      <c r="OYR44" s="6"/>
      <c r="OYS44" s="6"/>
      <c r="OYT44" s="6"/>
      <c r="OYU44" s="6"/>
      <c r="OYV44" s="6"/>
      <c r="OYW44" s="6"/>
      <c r="OYX44" s="6"/>
      <c r="OYY44" s="6"/>
      <c r="OYZ44" s="6"/>
      <c r="OZA44" s="6"/>
      <c r="OZB44" s="6"/>
      <c r="OZC44" s="6"/>
      <c r="OZD44" s="6"/>
      <c r="OZE44" s="6"/>
      <c r="OZF44" s="6"/>
      <c r="OZG44" s="6"/>
      <c r="OZH44" s="6"/>
      <c r="OZI44" s="6"/>
      <c r="OZJ44" s="6"/>
      <c r="OZK44" s="6"/>
      <c r="OZL44" s="6"/>
      <c r="OZM44" s="6"/>
      <c r="OZN44" s="6"/>
      <c r="OZO44" s="6"/>
      <c r="OZP44" s="6"/>
      <c r="OZQ44" s="6"/>
      <c r="OZR44" s="6"/>
      <c r="OZS44" s="6"/>
      <c r="OZT44" s="6"/>
      <c r="OZU44" s="6"/>
      <c r="OZV44" s="6"/>
      <c r="OZW44" s="6"/>
      <c r="OZX44" s="6"/>
      <c r="OZY44" s="6"/>
      <c r="OZZ44" s="6"/>
      <c r="PAA44" s="6"/>
      <c r="PAB44" s="6"/>
      <c r="PAC44" s="6"/>
      <c r="PAD44" s="6"/>
      <c r="PAE44" s="6"/>
      <c r="PAF44" s="6"/>
      <c r="PAG44" s="6"/>
      <c r="PAH44" s="6"/>
      <c r="PAI44" s="6"/>
      <c r="PAJ44" s="6"/>
      <c r="PAK44" s="6"/>
      <c r="PAL44" s="6"/>
      <c r="PAM44" s="6"/>
      <c r="PAN44" s="6"/>
      <c r="PAO44" s="6"/>
      <c r="PAP44" s="6"/>
      <c r="PAQ44" s="6"/>
      <c r="PAR44" s="6"/>
      <c r="PAS44" s="6"/>
      <c r="PAT44" s="6"/>
      <c r="PAU44" s="6"/>
      <c r="PAV44" s="6"/>
      <c r="PAW44" s="6"/>
      <c r="PAX44" s="6"/>
      <c r="PAY44" s="6"/>
      <c r="PAZ44" s="6"/>
      <c r="PBA44" s="6"/>
      <c r="PBB44" s="6"/>
      <c r="PBC44" s="6"/>
      <c r="PBD44" s="6"/>
      <c r="PBE44" s="6"/>
      <c r="PBF44" s="6"/>
      <c r="PBG44" s="6"/>
      <c r="PBH44" s="6"/>
      <c r="PBI44" s="6"/>
      <c r="PBJ44" s="6"/>
      <c r="PBK44" s="6"/>
      <c r="PBL44" s="6"/>
      <c r="PBM44" s="6"/>
      <c r="PBN44" s="6"/>
      <c r="PBO44" s="6"/>
      <c r="PBP44" s="6"/>
      <c r="PBQ44" s="6"/>
      <c r="PBR44" s="6"/>
      <c r="PBS44" s="6"/>
      <c r="PBT44" s="6"/>
      <c r="PBU44" s="6"/>
      <c r="PBV44" s="6"/>
      <c r="PBW44" s="6"/>
      <c r="PBX44" s="6"/>
      <c r="PBY44" s="6"/>
      <c r="PBZ44" s="6"/>
      <c r="PCA44" s="6"/>
      <c r="PCB44" s="6"/>
      <c r="PCC44" s="6"/>
      <c r="PCD44" s="6"/>
      <c r="PCE44" s="6"/>
      <c r="PCF44" s="6"/>
      <c r="PCG44" s="6"/>
      <c r="PCH44" s="6"/>
      <c r="PCI44" s="6"/>
      <c r="PCJ44" s="6"/>
      <c r="PCK44" s="6"/>
      <c r="PCL44" s="6"/>
      <c r="PCM44" s="6"/>
      <c r="PCN44" s="6"/>
      <c r="PCO44" s="6"/>
      <c r="PCP44" s="6"/>
      <c r="PCQ44" s="6"/>
      <c r="PCR44" s="6"/>
      <c r="PCS44" s="6"/>
      <c r="PCT44" s="6"/>
      <c r="PCU44" s="6"/>
      <c r="PCV44" s="6"/>
      <c r="PCW44" s="6"/>
      <c r="PCX44" s="6"/>
      <c r="PCY44" s="6"/>
      <c r="PCZ44" s="6"/>
      <c r="PDA44" s="6"/>
      <c r="PDB44" s="6"/>
      <c r="PDC44" s="6"/>
      <c r="PDD44" s="6"/>
      <c r="PDE44" s="6"/>
      <c r="PDF44" s="6"/>
      <c r="PDG44" s="6"/>
      <c r="PDH44" s="6"/>
      <c r="PDI44" s="6"/>
      <c r="PDJ44" s="6"/>
      <c r="PDK44" s="6"/>
      <c r="PDL44" s="6"/>
      <c r="PDM44" s="6"/>
      <c r="PDN44" s="6"/>
      <c r="PDO44" s="6"/>
      <c r="PDP44" s="6"/>
      <c r="PDQ44" s="6"/>
      <c r="PDR44" s="6"/>
      <c r="PDS44" s="6"/>
      <c r="PDT44" s="6"/>
      <c r="PDU44" s="6"/>
      <c r="PDV44" s="6"/>
      <c r="PDW44" s="6"/>
      <c r="PDX44" s="6"/>
      <c r="PDY44" s="6"/>
      <c r="PDZ44" s="6"/>
      <c r="PEA44" s="6"/>
      <c r="PEB44" s="6"/>
      <c r="PEC44" s="6"/>
      <c r="PED44" s="6"/>
      <c r="PEE44" s="6"/>
      <c r="PEF44" s="6"/>
      <c r="PEG44" s="6"/>
      <c r="PEH44" s="6"/>
      <c r="PEI44" s="6"/>
      <c r="PEJ44" s="6"/>
      <c r="PEK44" s="6"/>
      <c r="PEL44" s="6"/>
      <c r="PEM44" s="6"/>
      <c r="PEN44" s="6"/>
      <c r="PEO44" s="6"/>
      <c r="PEP44" s="6"/>
      <c r="PEQ44" s="6"/>
      <c r="PER44" s="6"/>
      <c r="PES44" s="6"/>
      <c r="PET44" s="6"/>
      <c r="PEU44" s="6"/>
      <c r="PEV44" s="6"/>
      <c r="PEW44" s="6"/>
      <c r="PEX44" s="6"/>
      <c r="PEY44" s="6"/>
      <c r="PEZ44" s="6"/>
      <c r="PFA44" s="6"/>
      <c r="PFB44" s="6"/>
      <c r="PFC44" s="6"/>
      <c r="PFD44" s="6"/>
      <c r="PFE44" s="6"/>
      <c r="PFF44" s="6"/>
      <c r="PFG44" s="6"/>
      <c r="PFH44" s="6"/>
      <c r="PFI44" s="6"/>
      <c r="PFJ44" s="6"/>
      <c r="PFK44" s="6"/>
      <c r="PFL44" s="6"/>
      <c r="PFM44" s="6"/>
      <c r="PFN44" s="6"/>
      <c r="PFO44" s="6"/>
      <c r="PFP44" s="6"/>
      <c r="PFQ44" s="6"/>
      <c r="PFR44" s="6"/>
      <c r="PFS44" s="6"/>
      <c r="PFT44" s="6"/>
      <c r="PFU44" s="6"/>
      <c r="PFV44" s="6"/>
      <c r="PFW44" s="6"/>
      <c r="PFX44" s="6"/>
      <c r="PFY44" s="6"/>
      <c r="PFZ44" s="6"/>
      <c r="PGA44" s="6"/>
      <c r="PGB44" s="6"/>
      <c r="PGC44" s="6"/>
      <c r="PGD44" s="6"/>
      <c r="PGE44" s="6"/>
      <c r="PGF44" s="6"/>
      <c r="PGG44" s="6"/>
      <c r="PGH44" s="6"/>
      <c r="PGI44" s="6"/>
      <c r="PGJ44" s="6"/>
      <c r="PGK44" s="6"/>
      <c r="PGL44" s="6"/>
      <c r="PGM44" s="6"/>
      <c r="PGN44" s="6"/>
      <c r="PGO44" s="6"/>
      <c r="PGP44" s="6"/>
      <c r="PGQ44" s="6"/>
      <c r="PGR44" s="6"/>
      <c r="PGS44" s="6"/>
      <c r="PGT44" s="6"/>
      <c r="PGU44" s="6"/>
      <c r="PGV44" s="6"/>
      <c r="PGW44" s="6"/>
      <c r="PGX44" s="6"/>
      <c r="PGY44" s="6"/>
      <c r="PGZ44" s="6"/>
      <c r="PHA44" s="6"/>
      <c r="PHB44" s="6"/>
      <c r="PHC44" s="6"/>
      <c r="PHD44" s="6"/>
      <c r="PHE44" s="6"/>
      <c r="PHF44" s="6"/>
      <c r="PHG44" s="6"/>
      <c r="PHH44" s="6"/>
      <c r="PHI44" s="6"/>
      <c r="PHJ44" s="6"/>
      <c r="PHK44" s="6"/>
      <c r="PHL44" s="6"/>
      <c r="PHM44" s="6"/>
      <c r="PHN44" s="6"/>
      <c r="PHO44" s="6"/>
      <c r="PHP44" s="6"/>
      <c r="PHQ44" s="6"/>
      <c r="PHR44" s="6"/>
      <c r="PHS44" s="6"/>
      <c r="PHT44" s="6"/>
      <c r="PHU44" s="6"/>
      <c r="PHV44" s="6"/>
      <c r="PHW44" s="6"/>
      <c r="PHX44" s="6"/>
      <c r="PHY44" s="6"/>
      <c r="PHZ44" s="6"/>
      <c r="PIA44" s="6"/>
      <c r="PIB44" s="6"/>
      <c r="PIC44" s="6"/>
      <c r="PID44" s="6"/>
      <c r="PIE44" s="6"/>
      <c r="PIF44" s="6"/>
      <c r="PIG44" s="6"/>
      <c r="PIH44" s="6"/>
      <c r="PII44" s="6"/>
      <c r="PIJ44" s="6"/>
      <c r="PIK44" s="6"/>
      <c r="PIL44" s="6"/>
      <c r="PIM44" s="6"/>
      <c r="PIN44" s="6"/>
      <c r="PIO44" s="6"/>
      <c r="PIP44" s="6"/>
      <c r="PIQ44" s="6"/>
      <c r="PIR44" s="6"/>
      <c r="PIS44" s="6"/>
      <c r="PIT44" s="6"/>
      <c r="PIU44" s="6"/>
      <c r="PIV44" s="6"/>
      <c r="PIW44" s="6"/>
      <c r="PIX44" s="6"/>
      <c r="PIY44" s="6"/>
      <c r="PIZ44" s="6"/>
      <c r="PJA44" s="6"/>
      <c r="PJB44" s="6"/>
      <c r="PJC44" s="6"/>
      <c r="PJD44" s="6"/>
      <c r="PJE44" s="6"/>
      <c r="PJF44" s="6"/>
      <c r="PJG44" s="6"/>
      <c r="PJH44" s="6"/>
      <c r="PJI44" s="6"/>
      <c r="PJJ44" s="6"/>
      <c r="PJK44" s="6"/>
      <c r="PJL44" s="6"/>
      <c r="PJM44" s="6"/>
      <c r="PJN44" s="6"/>
      <c r="PJO44" s="6"/>
      <c r="PJP44" s="6"/>
      <c r="PJQ44" s="6"/>
      <c r="PJR44" s="6"/>
      <c r="PJS44" s="6"/>
      <c r="PJT44" s="6"/>
      <c r="PJU44" s="6"/>
      <c r="PJV44" s="6"/>
      <c r="PJW44" s="6"/>
      <c r="PJX44" s="6"/>
      <c r="PJY44" s="6"/>
      <c r="PJZ44" s="6"/>
      <c r="PKA44" s="6"/>
      <c r="PKB44" s="6"/>
      <c r="PKC44" s="6"/>
      <c r="PKD44" s="6"/>
      <c r="PKE44" s="6"/>
      <c r="PKF44" s="6"/>
      <c r="PKG44" s="6"/>
      <c r="PKH44" s="6"/>
      <c r="PKI44" s="6"/>
      <c r="PKJ44" s="6"/>
      <c r="PKK44" s="6"/>
      <c r="PKL44" s="6"/>
      <c r="PKM44" s="6"/>
      <c r="PKN44" s="6"/>
      <c r="PKO44" s="6"/>
      <c r="PKP44" s="6"/>
      <c r="PKQ44" s="6"/>
      <c r="PKR44" s="6"/>
      <c r="PKS44" s="6"/>
      <c r="PKT44" s="6"/>
      <c r="PKU44" s="6"/>
      <c r="PKV44" s="6"/>
      <c r="PKW44" s="6"/>
      <c r="PKX44" s="6"/>
      <c r="PKY44" s="6"/>
      <c r="PKZ44" s="6"/>
      <c r="PLA44" s="6"/>
      <c r="PLB44" s="6"/>
      <c r="PLC44" s="6"/>
      <c r="PLD44" s="6"/>
      <c r="PLE44" s="6"/>
      <c r="PLF44" s="6"/>
      <c r="PLG44" s="6"/>
      <c r="PLH44" s="6"/>
      <c r="PLI44" s="6"/>
      <c r="PLJ44" s="6"/>
      <c r="PLK44" s="6"/>
      <c r="PLL44" s="6"/>
      <c r="PLM44" s="6"/>
      <c r="PLN44" s="6"/>
      <c r="PLO44" s="6"/>
      <c r="PLP44" s="6"/>
      <c r="PLQ44" s="6"/>
      <c r="PLR44" s="6"/>
      <c r="PLS44" s="6"/>
      <c r="PLT44" s="6"/>
      <c r="PLU44" s="6"/>
      <c r="PLV44" s="6"/>
      <c r="PLW44" s="6"/>
      <c r="PLX44" s="6"/>
      <c r="PLY44" s="6"/>
      <c r="PLZ44" s="6"/>
      <c r="PMA44" s="6"/>
      <c r="PMB44" s="6"/>
      <c r="PMC44" s="6"/>
      <c r="PMD44" s="6"/>
      <c r="PME44" s="6"/>
      <c r="PMF44" s="6"/>
      <c r="PMG44" s="6"/>
      <c r="PMH44" s="6"/>
      <c r="PMI44" s="6"/>
      <c r="PMJ44" s="6"/>
      <c r="PMK44" s="6"/>
      <c r="PML44" s="6"/>
      <c r="PMM44" s="6"/>
      <c r="PMN44" s="6"/>
      <c r="PMO44" s="6"/>
      <c r="PMP44" s="6"/>
      <c r="PMQ44" s="6"/>
      <c r="PMR44" s="6"/>
      <c r="PMS44" s="6"/>
      <c r="PMT44" s="6"/>
      <c r="PMU44" s="6"/>
      <c r="PMV44" s="6"/>
      <c r="PMW44" s="6"/>
      <c r="PMX44" s="6"/>
      <c r="PMY44" s="6"/>
      <c r="PMZ44" s="6"/>
      <c r="PNA44" s="6"/>
      <c r="PNB44" s="6"/>
      <c r="PNC44" s="6"/>
      <c r="PND44" s="6"/>
      <c r="PNE44" s="6"/>
      <c r="PNF44" s="6"/>
      <c r="PNG44" s="6"/>
      <c r="PNH44" s="6"/>
      <c r="PNI44" s="6"/>
      <c r="PNJ44" s="6"/>
      <c r="PNK44" s="6"/>
      <c r="PNL44" s="6"/>
      <c r="PNM44" s="6"/>
      <c r="PNN44" s="6"/>
      <c r="PNO44" s="6"/>
      <c r="PNP44" s="6"/>
      <c r="PNQ44" s="6"/>
      <c r="PNR44" s="6"/>
      <c r="PNS44" s="6"/>
      <c r="PNT44" s="6"/>
      <c r="PNU44" s="6"/>
      <c r="PNV44" s="6"/>
      <c r="PNW44" s="6"/>
      <c r="PNX44" s="6"/>
      <c r="PNY44" s="6"/>
      <c r="PNZ44" s="6"/>
      <c r="POA44" s="6"/>
      <c r="POB44" s="6"/>
      <c r="POC44" s="6"/>
      <c r="POD44" s="6"/>
      <c r="POE44" s="6"/>
      <c r="POF44" s="6"/>
      <c r="POG44" s="6"/>
      <c r="POH44" s="6"/>
      <c r="POI44" s="6"/>
      <c r="POJ44" s="6"/>
      <c r="POK44" s="6"/>
      <c r="POL44" s="6"/>
      <c r="POM44" s="6"/>
      <c r="PON44" s="6"/>
      <c r="POO44" s="6"/>
      <c r="POP44" s="6"/>
      <c r="POQ44" s="6"/>
      <c r="POR44" s="6"/>
      <c r="POS44" s="6"/>
      <c r="POT44" s="6"/>
      <c r="POU44" s="6"/>
      <c r="POV44" s="6"/>
      <c r="POW44" s="6"/>
      <c r="POX44" s="6"/>
      <c r="POY44" s="6"/>
      <c r="POZ44" s="6"/>
      <c r="PPA44" s="6"/>
      <c r="PPB44" s="6"/>
      <c r="PPC44" s="6"/>
      <c r="PPD44" s="6"/>
      <c r="PPE44" s="6"/>
      <c r="PPF44" s="6"/>
      <c r="PPG44" s="6"/>
      <c r="PPH44" s="6"/>
      <c r="PPI44" s="6"/>
      <c r="PPJ44" s="6"/>
      <c r="PPK44" s="6"/>
      <c r="PPL44" s="6"/>
      <c r="PPM44" s="6"/>
      <c r="PPN44" s="6"/>
      <c r="PPO44" s="6"/>
      <c r="PPP44" s="6"/>
      <c r="PPQ44" s="6"/>
      <c r="PPR44" s="6"/>
      <c r="PPS44" s="6"/>
      <c r="PPT44" s="6"/>
      <c r="PPU44" s="6"/>
      <c r="PPV44" s="6"/>
      <c r="PPW44" s="6"/>
      <c r="PPX44" s="6"/>
      <c r="PPY44" s="6"/>
      <c r="PPZ44" s="6"/>
      <c r="PQA44" s="6"/>
      <c r="PQB44" s="6"/>
      <c r="PQC44" s="6"/>
      <c r="PQD44" s="6"/>
      <c r="PQE44" s="6"/>
      <c r="PQF44" s="6"/>
      <c r="PQG44" s="6"/>
      <c r="PQH44" s="6"/>
      <c r="PQI44" s="6"/>
      <c r="PQJ44" s="6"/>
      <c r="PQK44" s="6"/>
      <c r="PQL44" s="6"/>
      <c r="PQM44" s="6"/>
      <c r="PQN44" s="6"/>
      <c r="PQO44" s="6"/>
      <c r="PQP44" s="6"/>
      <c r="PQQ44" s="6"/>
      <c r="PQR44" s="6"/>
      <c r="PQS44" s="6"/>
      <c r="PQT44" s="6"/>
      <c r="PQU44" s="6"/>
      <c r="PQV44" s="6"/>
      <c r="PQW44" s="6"/>
      <c r="PQX44" s="6"/>
      <c r="PQY44" s="6"/>
      <c r="PQZ44" s="6"/>
      <c r="PRA44" s="6"/>
      <c r="PRB44" s="6"/>
      <c r="PRC44" s="6"/>
      <c r="PRD44" s="6"/>
      <c r="PRE44" s="6"/>
      <c r="PRF44" s="6"/>
      <c r="PRG44" s="6"/>
      <c r="PRH44" s="6"/>
      <c r="PRI44" s="6"/>
      <c r="PRJ44" s="6"/>
      <c r="PRK44" s="6"/>
      <c r="PRL44" s="6"/>
      <c r="PRM44" s="6"/>
      <c r="PRN44" s="6"/>
      <c r="PRO44" s="6"/>
      <c r="PRP44" s="6"/>
      <c r="PRQ44" s="6"/>
      <c r="PRR44" s="6"/>
      <c r="PRS44" s="6"/>
      <c r="PRT44" s="6"/>
      <c r="PRU44" s="6"/>
      <c r="PRV44" s="6"/>
      <c r="PRW44" s="6"/>
      <c r="PRX44" s="6"/>
      <c r="PRY44" s="6"/>
      <c r="PRZ44" s="6"/>
      <c r="PSA44" s="6"/>
      <c r="PSB44" s="6"/>
      <c r="PSC44" s="6"/>
      <c r="PSD44" s="6"/>
      <c r="PSE44" s="6"/>
      <c r="PSF44" s="6"/>
      <c r="PSG44" s="6"/>
      <c r="PSH44" s="6"/>
      <c r="PSI44" s="6"/>
      <c r="PSJ44" s="6"/>
      <c r="PSK44" s="6"/>
      <c r="PSL44" s="6"/>
      <c r="PSM44" s="6"/>
      <c r="PSN44" s="6"/>
      <c r="PSO44" s="6"/>
      <c r="PSP44" s="6"/>
      <c r="PSQ44" s="6"/>
      <c r="PSR44" s="6"/>
      <c r="PSS44" s="6"/>
      <c r="PST44" s="6"/>
      <c r="PSU44" s="6"/>
      <c r="PSV44" s="6"/>
      <c r="PSW44" s="6"/>
      <c r="PSX44" s="6"/>
      <c r="PSY44" s="6"/>
      <c r="PSZ44" s="6"/>
      <c r="PTA44" s="6"/>
      <c r="PTB44" s="6"/>
      <c r="PTC44" s="6"/>
      <c r="PTD44" s="6"/>
      <c r="PTE44" s="6"/>
      <c r="PTF44" s="6"/>
      <c r="PTG44" s="6"/>
      <c r="PTH44" s="6"/>
      <c r="PTI44" s="6"/>
      <c r="PTJ44" s="6"/>
      <c r="PTK44" s="6"/>
      <c r="PTL44" s="6"/>
      <c r="PTM44" s="6"/>
      <c r="PTN44" s="6"/>
      <c r="PTO44" s="6"/>
      <c r="PTP44" s="6"/>
      <c r="PTQ44" s="6"/>
      <c r="PTR44" s="6"/>
      <c r="PTS44" s="6"/>
      <c r="PTT44" s="6"/>
      <c r="PTU44" s="6"/>
      <c r="PTV44" s="6"/>
      <c r="PTW44" s="6"/>
      <c r="PTX44" s="6"/>
      <c r="PTY44" s="6"/>
      <c r="PTZ44" s="6"/>
      <c r="PUA44" s="6"/>
      <c r="PUB44" s="6"/>
      <c r="PUC44" s="6"/>
      <c r="PUD44" s="6"/>
      <c r="PUE44" s="6"/>
      <c r="PUF44" s="6"/>
      <c r="PUG44" s="6"/>
      <c r="PUH44" s="6"/>
      <c r="PUI44" s="6"/>
      <c r="PUJ44" s="6"/>
      <c r="PUK44" s="6"/>
      <c r="PUL44" s="6"/>
      <c r="PUM44" s="6"/>
      <c r="PUN44" s="6"/>
      <c r="PUO44" s="6"/>
      <c r="PUP44" s="6"/>
      <c r="PUQ44" s="6"/>
      <c r="PUR44" s="6"/>
      <c r="PUS44" s="6"/>
      <c r="PUT44" s="6"/>
      <c r="PUU44" s="6"/>
      <c r="PUV44" s="6"/>
      <c r="PUW44" s="6"/>
      <c r="PUX44" s="6"/>
      <c r="PUY44" s="6"/>
      <c r="PUZ44" s="6"/>
      <c r="PVA44" s="6"/>
      <c r="PVB44" s="6"/>
      <c r="PVC44" s="6"/>
      <c r="PVD44" s="6"/>
      <c r="PVE44" s="6"/>
      <c r="PVF44" s="6"/>
      <c r="PVG44" s="6"/>
      <c r="PVH44" s="6"/>
      <c r="PVI44" s="6"/>
      <c r="PVJ44" s="6"/>
      <c r="PVK44" s="6"/>
      <c r="PVL44" s="6"/>
      <c r="PVM44" s="6"/>
      <c r="PVN44" s="6"/>
      <c r="PVO44" s="6"/>
      <c r="PVP44" s="6"/>
      <c r="PVQ44" s="6"/>
      <c r="PVR44" s="6"/>
      <c r="PVS44" s="6"/>
      <c r="PVT44" s="6"/>
      <c r="PVU44" s="6"/>
      <c r="PVV44" s="6"/>
      <c r="PVW44" s="6"/>
      <c r="PVX44" s="6"/>
      <c r="PVY44" s="6"/>
      <c r="PVZ44" s="6"/>
      <c r="PWA44" s="6"/>
      <c r="PWB44" s="6"/>
      <c r="PWC44" s="6"/>
      <c r="PWD44" s="6"/>
      <c r="PWE44" s="6"/>
      <c r="PWF44" s="6"/>
      <c r="PWG44" s="6"/>
      <c r="PWH44" s="6"/>
      <c r="PWI44" s="6"/>
      <c r="PWJ44" s="6"/>
      <c r="PWK44" s="6"/>
      <c r="PWL44" s="6"/>
      <c r="PWM44" s="6"/>
      <c r="PWN44" s="6"/>
      <c r="PWO44" s="6"/>
      <c r="PWP44" s="6"/>
      <c r="PWQ44" s="6"/>
      <c r="PWR44" s="6"/>
      <c r="PWS44" s="6"/>
      <c r="PWT44" s="6"/>
      <c r="PWU44" s="6"/>
      <c r="PWV44" s="6"/>
      <c r="PWW44" s="6"/>
      <c r="PWX44" s="6"/>
      <c r="PWY44" s="6"/>
      <c r="PWZ44" s="6"/>
      <c r="PXA44" s="6"/>
      <c r="PXB44" s="6"/>
      <c r="PXC44" s="6"/>
      <c r="PXD44" s="6"/>
      <c r="PXE44" s="6"/>
      <c r="PXF44" s="6"/>
      <c r="PXG44" s="6"/>
      <c r="PXH44" s="6"/>
      <c r="PXI44" s="6"/>
      <c r="PXJ44" s="6"/>
      <c r="PXK44" s="6"/>
      <c r="PXL44" s="6"/>
      <c r="PXM44" s="6"/>
      <c r="PXN44" s="6"/>
      <c r="PXO44" s="6"/>
      <c r="PXP44" s="6"/>
      <c r="PXQ44" s="6"/>
      <c r="PXR44" s="6"/>
      <c r="PXS44" s="6"/>
      <c r="PXT44" s="6"/>
      <c r="PXU44" s="6"/>
      <c r="PXV44" s="6"/>
      <c r="PXW44" s="6"/>
      <c r="PXX44" s="6"/>
      <c r="PXY44" s="6"/>
      <c r="PXZ44" s="6"/>
      <c r="PYA44" s="6"/>
      <c r="PYB44" s="6"/>
      <c r="PYC44" s="6"/>
      <c r="PYD44" s="6"/>
      <c r="PYE44" s="6"/>
      <c r="PYF44" s="6"/>
      <c r="PYG44" s="6"/>
      <c r="PYH44" s="6"/>
      <c r="PYI44" s="6"/>
      <c r="PYJ44" s="6"/>
      <c r="PYK44" s="6"/>
      <c r="PYL44" s="6"/>
      <c r="PYM44" s="6"/>
      <c r="PYN44" s="6"/>
      <c r="PYO44" s="6"/>
      <c r="PYP44" s="6"/>
      <c r="PYQ44" s="6"/>
      <c r="PYR44" s="6"/>
      <c r="PYS44" s="6"/>
      <c r="PYT44" s="6"/>
      <c r="PYU44" s="6"/>
      <c r="PYV44" s="6"/>
      <c r="PYW44" s="6"/>
      <c r="PYX44" s="6"/>
      <c r="PYY44" s="6"/>
      <c r="PYZ44" s="6"/>
      <c r="PZA44" s="6"/>
      <c r="PZB44" s="6"/>
      <c r="PZC44" s="6"/>
      <c r="PZD44" s="6"/>
      <c r="PZE44" s="6"/>
      <c r="PZF44" s="6"/>
      <c r="PZG44" s="6"/>
      <c r="PZH44" s="6"/>
      <c r="PZI44" s="6"/>
      <c r="PZJ44" s="6"/>
      <c r="PZK44" s="6"/>
      <c r="PZL44" s="6"/>
      <c r="PZM44" s="6"/>
      <c r="PZN44" s="6"/>
      <c r="PZO44" s="6"/>
      <c r="PZP44" s="6"/>
      <c r="PZQ44" s="6"/>
      <c r="PZR44" s="6"/>
      <c r="PZS44" s="6"/>
      <c r="PZT44" s="6"/>
      <c r="PZU44" s="6"/>
      <c r="PZV44" s="6"/>
      <c r="PZW44" s="6"/>
      <c r="PZX44" s="6"/>
      <c r="PZY44" s="6"/>
      <c r="PZZ44" s="6"/>
      <c r="QAA44" s="6"/>
      <c r="QAB44" s="6"/>
      <c r="QAC44" s="6"/>
      <c r="QAD44" s="6"/>
      <c r="QAE44" s="6"/>
      <c r="QAF44" s="6"/>
      <c r="QAG44" s="6"/>
      <c r="QAH44" s="6"/>
      <c r="QAI44" s="6"/>
      <c r="QAJ44" s="6"/>
      <c r="QAK44" s="6"/>
      <c r="QAL44" s="6"/>
      <c r="QAM44" s="6"/>
      <c r="QAN44" s="6"/>
      <c r="QAO44" s="6"/>
      <c r="QAP44" s="6"/>
      <c r="QAQ44" s="6"/>
      <c r="QAR44" s="6"/>
      <c r="QAS44" s="6"/>
      <c r="QAT44" s="6"/>
      <c r="QAU44" s="6"/>
      <c r="QAV44" s="6"/>
      <c r="QAW44" s="6"/>
      <c r="QAX44" s="6"/>
      <c r="QAY44" s="6"/>
      <c r="QAZ44" s="6"/>
      <c r="QBA44" s="6"/>
      <c r="QBB44" s="6"/>
      <c r="QBC44" s="6"/>
      <c r="QBD44" s="6"/>
      <c r="QBE44" s="6"/>
      <c r="QBF44" s="6"/>
      <c r="QBG44" s="6"/>
      <c r="QBH44" s="6"/>
      <c r="QBI44" s="6"/>
      <c r="QBJ44" s="6"/>
      <c r="QBK44" s="6"/>
      <c r="QBL44" s="6"/>
      <c r="QBM44" s="6"/>
      <c r="QBN44" s="6"/>
      <c r="QBO44" s="6"/>
      <c r="QBP44" s="6"/>
      <c r="QBQ44" s="6"/>
      <c r="QBR44" s="6"/>
      <c r="QBS44" s="6"/>
      <c r="QBT44" s="6"/>
      <c r="QBU44" s="6"/>
      <c r="QBV44" s="6"/>
      <c r="QBW44" s="6"/>
      <c r="QBX44" s="6"/>
      <c r="QBY44" s="6"/>
      <c r="QBZ44" s="6"/>
      <c r="QCA44" s="6"/>
      <c r="QCB44" s="6"/>
      <c r="QCC44" s="6"/>
      <c r="QCD44" s="6"/>
      <c r="QCE44" s="6"/>
      <c r="QCF44" s="6"/>
      <c r="QCG44" s="6"/>
      <c r="QCH44" s="6"/>
      <c r="QCI44" s="6"/>
      <c r="QCJ44" s="6"/>
      <c r="QCK44" s="6"/>
      <c r="QCL44" s="6"/>
      <c r="QCM44" s="6"/>
      <c r="QCN44" s="6"/>
      <c r="QCO44" s="6"/>
      <c r="QCP44" s="6"/>
      <c r="QCQ44" s="6"/>
      <c r="QCR44" s="6"/>
      <c r="QCS44" s="6"/>
      <c r="QCT44" s="6"/>
      <c r="QCU44" s="6"/>
      <c r="QCV44" s="6"/>
      <c r="QCW44" s="6"/>
      <c r="QCX44" s="6"/>
      <c r="QCY44" s="6"/>
      <c r="QCZ44" s="6"/>
      <c r="QDA44" s="6"/>
      <c r="QDB44" s="6"/>
      <c r="QDC44" s="6"/>
      <c r="QDD44" s="6"/>
      <c r="QDE44" s="6"/>
      <c r="QDF44" s="6"/>
      <c r="QDG44" s="6"/>
      <c r="QDH44" s="6"/>
      <c r="QDI44" s="6"/>
      <c r="QDJ44" s="6"/>
      <c r="QDK44" s="6"/>
      <c r="QDL44" s="6"/>
      <c r="QDM44" s="6"/>
      <c r="QDN44" s="6"/>
      <c r="QDO44" s="6"/>
      <c r="QDP44" s="6"/>
      <c r="QDQ44" s="6"/>
      <c r="QDR44" s="6"/>
      <c r="QDS44" s="6"/>
      <c r="QDT44" s="6"/>
      <c r="QDU44" s="6"/>
      <c r="QDV44" s="6"/>
      <c r="QDW44" s="6"/>
      <c r="QDX44" s="6"/>
      <c r="QDY44" s="6"/>
      <c r="QDZ44" s="6"/>
      <c r="QEA44" s="6"/>
      <c r="QEB44" s="6"/>
      <c r="QEC44" s="6"/>
      <c r="QED44" s="6"/>
      <c r="QEE44" s="6"/>
      <c r="QEF44" s="6"/>
      <c r="QEG44" s="6"/>
      <c r="QEH44" s="6"/>
      <c r="QEI44" s="6"/>
      <c r="QEJ44" s="6"/>
      <c r="QEK44" s="6"/>
      <c r="QEL44" s="6"/>
      <c r="QEM44" s="6"/>
      <c r="QEN44" s="6"/>
      <c r="QEO44" s="6"/>
      <c r="QEP44" s="6"/>
      <c r="QEQ44" s="6"/>
      <c r="QER44" s="6"/>
      <c r="QES44" s="6"/>
      <c r="QET44" s="6"/>
      <c r="QEU44" s="6"/>
      <c r="QEV44" s="6"/>
      <c r="QEW44" s="6"/>
      <c r="QEX44" s="6"/>
      <c r="QEY44" s="6"/>
      <c r="QEZ44" s="6"/>
      <c r="QFA44" s="6"/>
      <c r="QFB44" s="6"/>
      <c r="QFC44" s="6"/>
      <c r="QFD44" s="6"/>
      <c r="QFE44" s="6"/>
      <c r="QFF44" s="6"/>
      <c r="QFG44" s="6"/>
      <c r="QFH44" s="6"/>
      <c r="QFI44" s="6"/>
      <c r="QFJ44" s="6"/>
      <c r="QFK44" s="6"/>
      <c r="QFL44" s="6"/>
      <c r="QFM44" s="6"/>
      <c r="QFN44" s="6"/>
      <c r="QFO44" s="6"/>
      <c r="QFP44" s="6"/>
      <c r="QFQ44" s="6"/>
      <c r="QFR44" s="6"/>
      <c r="QFS44" s="6"/>
      <c r="QFT44" s="6"/>
      <c r="QFU44" s="6"/>
      <c r="QFV44" s="6"/>
      <c r="QFW44" s="6"/>
      <c r="QFX44" s="6"/>
      <c r="QFY44" s="6"/>
      <c r="QFZ44" s="6"/>
      <c r="QGA44" s="6"/>
      <c r="QGB44" s="6"/>
      <c r="QGC44" s="6"/>
      <c r="QGD44" s="6"/>
      <c r="QGE44" s="6"/>
      <c r="QGF44" s="6"/>
      <c r="QGG44" s="6"/>
      <c r="QGH44" s="6"/>
      <c r="QGI44" s="6"/>
      <c r="QGJ44" s="6"/>
      <c r="QGK44" s="6"/>
      <c r="QGL44" s="6"/>
      <c r="QGM44" s="6"/>
      <c r="QGN44" s="6"/>
      <c r="QGO44" s="6"/>
      <c r="QGP44" s="6"/>
      <c r="QGQ44" s="6"/>
      <c r="QGR44" s="6"/>
      <c r="QGS44" s="6"/>
      <c r="QGT44" s="6"/>
      <c r="QGU44" s="6"/>
      <c r="QGV44" s="6"/>
      <c r="QGW44" s="6"/>
      <c r="QGX44" s="6"/>
      <c r="QGY44" s="6"/>
      <c r="QGZ44" s="6"/>
      <c r="QHA44" s="6"/>
      <c r="QHB44" s="6"/>
      <c r="QHC44" s="6"/>
      <c r="QHD44" s="6"/>
      <c r="QHE44" s="6"/>
      <c r="QHF44" s="6"/>
      <c r="QHG44" s="6"/>
      <c r="QHH44" s="6"/>
      <c r="QHI44" s="6"/>
      <c r="QHJ44" s="6"/>
      <c r="QHK44" s="6"/>
      <c r="QHL44" s="6"/>
      <c r="QHM44" s="6"/>
      <c r="QHN44" s="6"/>
      <c r="QHO44" s="6"/>
      <c r="QHP44" s="6"/>
      <c r="QHQ44" s="6"/>
      <c r="QHR44" s="6"/>
      <c r="QHS44" s="6"/>
      <c r="QHT44" s="6"/>
      <c r="QHU44" s="6"/>
      <c r="QHV44" s="6"/>
      <c r="QHW44" s="6"/>
      <c r="QHX44" s="6"/>
      <c r="QHY44" s="6"/>
      <c r="QHZ44" s="6"/>
      <c r="QIA44" s="6"/>
      <c r="QIB44" s="6"/>
      <c r="QIC44" s="6"/>
      <c r="QID44" s="6"/>
      <c r="QIE44" s="6"/>
      <c r="QIF44" s="6"/>
      <c r="QIG44" s="6"/>
      <c r="QIH44" s="6"/>
      <c r="QII44" s="6"/>
      <c r="QIJ44" s="6"/>
      <c r="QIK44" s="6"/>
      <c r="QIL44" s="6"/>
      <c r="QIM44" s="6"/>
      <c r="QIN44" s="6"/>
      <c r="QIO44" s="6"/>
      <c r="QIP44" s="6"/>
      <c r="QIQ44" s="6"/>
      <c r="QIR44" s="6"/>
      <c r="QIS44" s="6"/>
      <c r="QIT44" s="6"/>
      <c r="QIU44" s="6"/>
      <c r="QIV44" s="6"/>
      <c r="QIW44" s="6"/>
      <c r="QIX44" s="6"/>
      <c r="QIY44" s="6"/>
      <c r="QIZ44" s="6"/>
      <c r="QJA44" s="6"/>
      <c r="QJB44" s="6"/>
      <c r="QJC44" s="6"/>
      <c r="QJD44" s="6"/>
      <c r="QJE44" s="6"/>
      <c r="QJF44" s="6"/>
      <c r="QJG44" s="6"/>
      <c r="QJH44" s="6"/>
      <c r="QJI44" s="6"/>
      <c r="QJJ44" s="6"/>
      <c r="QJK44" s="6"/>
      <c r="QJL44" s="6"/>
      <c r="QJM44" s="6"/>
      <c r="QJN44" s="6"/>
      <c r="QJO44" s="6"/>
      <c r="QJP44" s="6"/>
      <c r="QJQ44" s="6"/>
      <c r="QJR44" s="6"/>
      <c r="QJS44" s="6"/>
      <c r="QJT44" s="6"/>
      <c r="QJU44" s="6"/>
      <c r="QJV44" s="6"/>
      <c r="QJW44" s="6"/>
      <c r="QJX44" s="6"/>
      <c r="QJY44" s="6"/>
      <c r="QJZ44" s="6"/>
      <c r="QKA44" s="6"/>
      <c r="QKB44" s="6"/>
      <c r="QKC44" s="6"/>
      <c r="QKD44" s="6"/>
      <c r="QKE44" s="6"/>
      <c r="QKF44" s="6"/>
      <c r="QKG44" s="6"/>
      <c r="QKH44" s="6"/>
      <c r="QKI44" s="6"/>
      <c r="QKJ44" s="6"/>
      <c r="QKK44" s="6"/>
      <c r="QKL44" s="6"/>
      <c r="QKM44" s="6"/>
      <c r="QKN44" s="6"/>
      <c r="QKO44" s="6"/>
      <c r="QKP44" s="6"/>
      <c r="QKQ44" s="6"/>
      <c r="QKR44" s="6"/>
      <c r="QKS44" s="6"/>
      <c r="QKT44" s="6"/>
      <c r="QKU44" s="6"/>
      <c r="QKV44" s="6"/>
      <c r="QKW44" s="6"/>
      <c r="QKX44" s="6"/>
      <c r="QKY44" s="6"/>
      <c r="QKZ44" s="6"/>
      <c r="QLA44" s="6"/>
      <c r="QLB44" s="6"/>
      <c r="QLC44" s="6"/>
      <c r="QLD44" s="6"/>
      <c r="QLE44" s="6"/>
      <c r="QLF44" s="6"/>
      <c r="QLG44" s="6"/>
      <c r="QLH44" s="6"/>
      <c r="QLI44" s="6"/>
      <c r="QLJ44" s="6"/>
      <c r="QLK44" s="6"/>
      <c r="QLL44" s="6"/>
      <c r="QLM44" s="6"/>
      <c r="QLN44" s="6"/>
      <c r="QLO44" s="6"/>
      <c r="QLP44" s="6"/>
      <c r="QLQ44" s="6"/>
      <c r="QLR44" s="6"/>
      <c r="QLS44" s="6"/>
      <c r="QLT44" s="6"/>
      <c r="QLU44" s="6"/>
      <c r="QLV44" s="6"/>
      <c r="QLW44" s="6"/>
      <c r="QLX44" s="6"/>
      <c r="QLY44" s="6"/>
      <c r="QLZ44" s="6"/>
      <c r="QMA44" s="6"/>
      <c r="QMB44" s="6"/>
      <c r="QMC44" s="6"/>
      <c r="QMD44" s="6"/>
      <c r="QME44" s="6"/>
      <c r="QMF44" s="6"/>
      <c r="QMG44" s="6"/>
      <c r="QMH44" s="6"/>
      <c r="QMI44" s="6"/>
      <c r="QMJ44" s="6"/>
      <c r="QMK44" s="6"/>
      <c r="QML44" s="6"/>
      <c r="QMM44" s="6"/>
      <c r="QMN44" s="6"/>
      <c r="QMO44" s="6"/>
      <c r="QMP44" s="6"/>
      <c r="QMQ44" s="6"/>
      <c r="QMR44" s="6"/>
      <c r="QMS44" s="6"/>
      <c r="QMT44" s="6"/>
      <c r="QMU44" s="6"/>
      <c r="QMV44" s="6"/>
      <c r="QMW44" s="6"/>
      <c r="QMX44" s="6"/>
      <c r="QMY44" s="6"/>
      <c r="QMZ44" s="6"/>
      <c r="QNA44" s="6"/>
      <c r="QNB44" s="6"/>
      <c r="QNC44" s="6"/>
      <c r="QND44" s="6"/>
      <c r="QNE44" s="6"/>
      <c r="QNF44" s="6"/>
      <c r="QNG44" s="6"/>
      <c r="QNH44" s="6"/>
      <c r="QNI44" s="6"/>
      <c r="QNJ44" s="6"/>
      <c r="QNK44" s="6"/>
      <c r="QNL44" s="6"/>
      <c r="QNM44" s="6"/>
      <c r="QNN44" s="6"/>
      <c r="QNO44" s="6"/>
      <c r="QNP44" s="6"/>
      <c r="QNQ44" s="6"/>
      <c r="QNR44" s="6"/>
      <c r="QNS44" s="6"/>
      <c r="QNT44" s="6"/>
      <c r="QNU44" s="6"/>
      <c r="QNV44" s="6"/>
      <c r="QNW44" s="6"/>
      <c r="QNX44" s="6"/>
      <c r="QNY44" s="6"/>
      <c r="QNZ44" s="6"/>
      <c r="QOA44" s="6"/>
      <c r="QOB44" s="6"/>
      <c r="QOC44" s="6"/>
      <c r="QOD44" s="6"/>
      <c r="QOE44" s="6"/>
      <c r="QOF44" s="6"/>
      <c r="QOG44" s="6"/>
      <c r="QOH44" s="6"/>
      <c r="QOI44" s="6"/>
      <c r="QOJ44" s="6"/>
      <c r="QOK44" s="6"/>
      <c r="QOL44" s="6"/>
      <c r="QOM44" s="6"/>
      <c r="QON44" s="6"/>
      <c r="QOO44" s="6"/>
      <c r="QOP44" s="6"/>
      <c r="QOQ44" s="6"/>
      <c r="QOR44" s="6"/>
      <c r="QOS44" s="6"/>
      <c r="QOT44" s="6"/>
      <c r="QOU44" s="6"/>
      <c r="QOV44" s="6"/>
      <c r="QOW44" s="6"/>
      <c r="QOX44" s="6"/>
      <c r="QOY44" s="6"/>
      <c r="QOZ44" s="6"/>
      <c r="QPA44" s="6"/>
      <c r="QPB44" s="6"/>
      <c r="QPC44" s="6"/>
      <c r="QPD44" s="6"/>
      <c r="QPE44" s="6"/>
      <c r="QPF44" s="6"/>
      <c r="QPG44" s="6"/>
      <c r="QPH44" s="6"/>
      <c r="QPI44" s="6"/>
      <c r="QPJ44" s="6"/>
      <c r="QPK44" s="6"/>
      <c r="QPL44" s="6"/>
      <c r="QPM44" s="6"/>
      <c r="QPN44" s="6"/>
      <c r="QPO44" s="6"/>
      <c r="QPP44" s="6"/>
      <c r="QPQ44" s="6"/>
      <c r="QPR44" s="6"/>
      <c r="QPS44" s="6"/>
      <c r="QPT44" s="6"/>
      <c r="QPU44" s="6"/>
      <c r="QPV44" s="6"/>
      <c r="QPW44" s="6"/>
      <c r="QPX44" s="6"/>
      <c r="QPY44" s="6"/>
      <c r="QPZ44" s="6"/>
      <c r="QQA44" s="6"/>
      <c r="QQB44" s="6"/>
      <c r="QQC44" s="6"/>
      <c r="QQD44" s="6"/>
      <c r="QQE44" s="6"/>
      <c r="QQF44" s="6"/>
      <c r="QQG44" s="6"/>
      <c r="QQH44" s="6"/>
      <c r="QQI44" s="6"/>
      <c r="QQJ44" s="6"/>
      <c r="QQK44" s="6"/>
      <c r="QQL44" s="6"/>
      <c r="QQM44" s="6"/>
      <c r="QQN44" s="6"/>
      <c r="QQO44" s="6"/>
      <c r="QQP44" s="6"/>
      <c r="QQQ44" s="6"/>
      <c r="QQR44" s="6"/>
      <c r="QQS44" s="6"/>
      <c r="QQT44" s="6"/>
      <c r="QQU44" s="6"/>
      <c r="QQV44" s="6"/>
      <c r="QQW44" s="6"/>
      <c r="QQX44" s="6"/>
      <c r="QQY44" s="6"/>
      <c r="QQZ44" s="6"/>
      <c r="QRA44" s="6"/>
      <c r="QRB44" s="6"/>
      <c r="QRC44" s="6"/>
      <c r="QRD44" s="6"/>
      <c r="QRE44" s="6"/>
      <c r="QRF44" s="6"/>
      <c r="QRG44" s="6"/>
      <c r="QRH44" s="6"/>
      <c r="QRI44" s="6"/>
      <c r="QRJ44" s="6"/>
      <c r="QRK44" s="6"/>
      <c r="QRL44" s="6"/>
      <c r="QRM44" s="6"/>
      <c r="QRN44" s="6"/>
      <c r="QRO44" s="6"/>
      <c r="QRP44" s="6"/>
      <c r="QRQ44" s="6"/>
      <c r="QRR44" s="6"/>
      <c r="QRS44" s="6"/>
      <c r="QRT44" s="6"/>
      <c r="QRU44" s="6"/>
      <c r="QRV44" s="6"/>
      <c r="QRW44" s="6"/>
      <c r="QRX44" s="6"/>
      <c r="QRY44" s="6"/>
      <c r="QRZ44" s="6"/>
      <c r="QSA44" s="6"/>
      <c r="QSB44" s="6"/>
      <c r="QSC44" s="6"/>
      <c r="QSD44" s="6"/>
      <c r="QSE44" s="6"/>
      <c r="QSF44" s="6"/>
      <c r="QSG44" s="6"/>
      <c r="QSH44" s="6"/>
      <c r="QSI44" s="6"/>
      <c r="QSJ44" s="6"/>
      <c r="QSK44" s="6"/>
      <c r="QSL44" s="6"/>
      <c r="QSM44" s="6"/>
      <c r="QSN44" s="6"/>
      <c r="QSO44" s="6"/>
      <c r="QSP44" s="6"/>
      <c r="QSQ44" s="6"/>
      <c r="QSR44" s="6"/>
      <c r="QSS44" s="6"/>
      <c r="QST44" s="6"/>
      <c r="QSU44" s="6"/>
      <c r="QSV44" s="6"/>
      <c r="QSW44" s="6"/>
      <c r="QSX44" s="6"/>
      <c r="QSY44" s="6"/>
      <c r="QSZ44" s="6"/>
      <c r="QTA44" s="6"/>
      <c r="QTB44" s="6"/>
      <c r="QTC44" s="6"/>
      <c r="QTD44" s="6"/>
      <c r="QTE44" s="6"/>
      <c r="QTF44" s="6"/>
      <c r="QTG44" s="6"/>
      <c r="QTH44" s="6"/>
      <c r="QTI44" s="6"/>
      <c r="QTJ44" s="6"/>
      <c r="QTK44" s="6"/>
      <c r="QTL44" s="6"/>
      <c r="QTM44" s="6"/>
      <c r="QTN44" s="6"/>
      <c r="QTO44" s="6"/>
      <c r="QTP44" s="6"/>
      <c r="QTQ44" s="6"/>
      <c r="QTR44" s="6"/>
      <c r="QTS44" s="6"/>
      <c r="QTT44" s="6"/>
      <c r="QTU44" s="6"/>
      <c r="QTV44" s="6"/>
      <c r="QTW44" s="6"/>
      <c r="QTX44" s="6"/>
      <c r="QTY44" s="6"/>
      <c r="QTZ44" s="6"/>
      <c r="QUA44" s="6"/>
      <c r="QUB44" s="6"/>
      <c r="QUC44" s="6"/>
      <c r="QUD44" s="6"/>
      <c r="QUE44" s="6"/>
      <c r="QUF44" s="6"/>
      <c r="QUG44" s="6"/>
      <c r="QUH44" s="6"/>
      <c r="QUI44" s="6"/>
      <c r="QUJ44" s="6"/>
      <c r="QUK44" s="6"/>
      <c r="QUL44" s="6"/>
      <c r="QUM44" s="6"/>
      <c r="QUN44" s="6"/>
      <c r="QUO44" s="6"/>
      <c r="QUP44" s="6"/>
      <c r="QUQ44" s="6"/>
      <c r="QUR44" s="6"/>
      <c r="QUS44" s="6"/>
      <c r="QUT44" s="6"/>
      <c r="QUU44" s="6"/>
      <c r="QUV44" s="6"/>
      <c r="QUW44" s="6"/>
      <c r="QUX44" s="6"/>
      <c r="QUY44" s="6"/>
      <c r="QUZ44" s="6"/>
      <c r="QVA44" s="6"/>
      <c r="QVB44" s="6"/>
      <c r="QVC44" s="6"/>
      <c r="QVD44" s="6"/>
      <c r="QVE44" s="6"/>
      <c r="QVF44" s="6"/>
      <c r="QVG44" s="6"/>
      <c r="QVH44" s="6"/>
      <c r="QVI44" s="6"/>
      <c r="QVJ44" s="6"/>
      <c r="QVK44" s="6"/>
      <c r="QVL44" s="6"/>
      <c r="QVM44" s="6"/>
      <c r="QVN44" s="6"/>
      <c r="QVO44" s="6"/>
      <c r="QVP44" s="6"/>
      <c r="QVQ44" s="6"/>
      <c r="QVR44" s="6"/>
      <c r="QVS44" s="6"/>
      <c r="QVT44" s="6"/>
      <c r="QVU44" s="6"/>
      <c r="QVV44" s="6"/>
      <c r="QVW44" s="6"/>
      <c r="QVX44" s="6"/>
      <c r="QVY44" s="6"/>
      <c r="QVZ44" s="6"/>
      <c r="QWA44" s="6"/>
      <c r="QWB44" s="6"/>
      <c r="QWC44" s="6"/>
      <c r="QWD44" s="6"/>
      <c r="QWE44" s="6"/>
      <c r="QWF44" s="6"/>
      <c r="QWG44" s="6"/>
      <c r="QWH44" s="6"/>
      <c r="QWI44" s="6"/>
      <c r="QWJ44" s="6"/>
      <c r="QWK44" s="6"/>
      <c r="QWL44" s="6"/>
      <c r="QWM44" s="6"/>
      <c r="QWN44" s="6"/>
      <c r="QWO44" s="6"/>
      <c r="QWP44" s="6"/>
      <c r="QWQ44" s="6"/>
      <c r="QWR44" s="6"/>
      <c r="QWS44" s="6"/>
      <c r="QWT44" s="6"/>
      <c r="QWU44" s="6"/>
      <c r="QWV44" s="6"/>
      <c r="QWW44" s="6"/>
      <c r="QWX44" s="6"/>
      <c r="QWY44" s="6"/>
      <c r="QWZ44" s="6"/>
      <c r="QXA44" s="6"/>
      <c r="QXB44" s="6"/>
      <c r="QXC44" s="6"/>
      <c r="QXD44" s="6"/>
      <c r="QXE44" s="6"/>
      <c r="QXF44" s="6"/>
      <c r="QXG44" s="6"/>
      <c r="QXH44" s="6"/>
      <c r="QXI44" s="6"/>
      <c r="QXJ44" s="6"/>
      <c r="QXK44" s="6"/>
      <c r="QXL44" s="6"/>
      <c r="QXM44" s="6"/>
      <c r="QXN44" s="6"/>
      <c r="QXO44" s="6"/>
      <c r="QXP44" s="6"/>
      <c r="QXQ44" s="6"/>
      <c r="QXR44" s="6"/>
      <c r="QXS44" s="6"/>
      <c r="QXT44" s="6"/>
      <c r="QXU44" s="6"/>
      <c r="QXV44" s="6"/>
      <c r="QXW44" s="6"/>
      <c r="QXX44" s="6"/>
      <c r="QXY44" s="6"/>
      <c r="QXZ44" s="6"/>
      <c r="QYA44" s="6"/>
      <c r="QYB44" s="6"/>
      <c r="QYC44" s="6"/>
      <c r="QYD44" s="6"/>
      <c r="QYE44" s="6"/>
      <c r="QYF44" s="6"/>
      <c r="QYG44" s="6"/>
      <c r="QYH44" s="6"/>
      <c r="QYI44" s="6"/>
      <c r="QYJ44" s="6"/>
      <c r="QYK44" s="6"/>
      <c r="QYL44" s="6"/>
      <c r="QYM44" s="6"/>
      <c r="QYN44" s="6"/>
      <c r="QYO44" s="6"/>
      <c r="QYP44" s="6"/>
      <c r="QYQ44" s="6"/>
      <c r="QYR44" s="6"/>
      <c r="QYS44" s="6"/>
      <c r="QYT44" s="6"/>
      <c r="QYU44" s="6"/>
      <c r="QYV44" s="6"/>
      <c r="QYW44" s="6"/>
      <c r="QYX44" s="6"/>
      <c r="QYY44" s="6"/>
      <c r="QYZ44" s="6"/>
      <c r="QZA44" s="6"/>
      <c r="QZB44" s="6"/>
      <c r="QZC44" s="6"/>
      <c r="QZD44" s="6"/>
      <c r="QZE44" s="6"/>
      <c r="QZF44" s="6"/>
      <c r="QZG44" s="6"/>
      <c r="QZH44" s="6"/>
      <c r="QZI44" s="6"/>
      <c r="QZJ44" s="6"/>
      <c r="QZK44" s="6"/>
      <c r="QZL44" s="6"/>
      <c r="QZM44" s="6"/>
      <c r="QZN44" s="6"/>
      <c r="QZO44" s="6"/>
      <c r="QZP44" s="6"/>
      <c r="QZQ44" s="6"/>
      <c r="QZR44" s="6"/>
      <c r="QZS44" s="6"/>
      <c r="QZT44" s="6"/>
      <c r="QZU44" s="6"/>
      <c r="QZV44" s="6"/>
      <c r="QZW44" s="6"/>
      <c r="QZX44" s="6"/>
      <c r="QZY44" s="6"/>
      <c r="QZZ44" s="6"/>
      <c r="RAA44" s="6"/>
      <c r="RAB44" s="6"/>
      <c r="RAC44" s="6"/>
      <c r="RAD44" s="6"/>
      <c r="RAE44" s="6"/>
      <c r="RAF44" s="6"/>
      <c r="RAG44" s="6"/>
      <c r="RAH44" s="6"/>
      <c r="RAI44" s="6"/>
      <c r="RAJ44" s="6"/>
      <c r="RAK44" s="6"/>
      <c r="RAL44" s="6"/>
      <c r="RAM44" s="6"/>
      <c r="RAN44" s="6"/>
      <c r="RAO44" s="6"/>
      <c r="RAP44" s="6"/>
      <c r="RAQ44" s="6"/>
      <c r="RAR44" s="6"/>
      <c r="RAS44" s="6"/>
      <c r="RAT44" s="6"/>
      <c r="RAU44" s="6"/>
      <c r="RAV44" s="6"/>
      <c r="RAW44" s="6"/>
      <c r="RAX44" s="6"/>
      <c r="RAY44" s="6"/>
      <c r="RAZ44" s="6"/>
      <c r="RBA44" s="6"/>
      <c r="RBB44" s="6"/>
      <c r="RBC44" s="6"/>
      <c r="RBD44" s="6"/>
      <c r="RBE44" s="6"/>
      <c r="RBF44" s="6"/>
      <c r="RBG44" s="6"/>
      <c r="RBH44" s="6"/>
      <c r="RBI44" s="6"/>
      <c r="RBJ44" s="6"/>
      <c r="RBK44" s="6"/>
      <c r="RBL44" s="6"/>
      <c r="RBM44" s="6"/>
      <c r="RBN44" s="6"/>
      <c r="RBO44" s="6"/>
      <c r="RBP44" s="6"/>
      <c r="RBQ44" s="6"/>
      <c r="RBR44" s="6"/>
      <c r="RBS44" s="6"/>
      <c r="RBT44" s="6"/>
      <c r="RBU44" s="6"/>
      <c r="RBV44" s="6"/>
      <c r="RBW44" s="6"/>
      <c r="RBX44" s="6"/>
      <c r="RBY44" s="6"/>
      <c r="RBZ44" s="6"/>
      <c r="RCA44" s="6"/>
      <c r="RCB44" s="6"/>
      <c r="RCC44" s="6"/>
      <c r="RCD44" s="6"/>
      <c r="RCE44" s="6"/>
      <c r="RCF44" s="6"/>
      <c r="RCG44" s="6"/>
      <c r="RCH44" s="6"/>
      <c r="RCI44" s="6"/>
      <c r="RCJ44" s="6"/>
      <c r="RCK44" s="6"/>
      <c r="RCL44" s="6"/>
      <c r="RCM44" s="6"/>
      <c r="RCN44" s="6"/>
      <c r="RCO44" s="6"/>
      <c r="RCP44" s="6"/>
      <c r="RCQ44" s="6"/>
      <c r="RCR44" s="6"/>
      <c r="RCS44" s="6"/>
      <c r="RCT44" s="6"/>
      <c r="RCU44" s="6"/>
      <c r="RCV44" s="6"/>
      <c r="RCW44" s="6"/>
      <c r="RCX44" s="6"/>
      <c r="RCY44" s="6"/>
      <c r="RCZ44" s="6"/>
      <c r="RDA44" s="6"/>
      <c r="RDB44" s="6"/>
      <c r="RDC44" s="6"/>
      <c r="RDD44" s="6"/>
      <c r="RDE44" s="6"/>
      <c r="RDF44" s="6"/>
      <c r="RDG44" s="6"/>
      <c r="RDH44" s="6"/>
      <c r="RDI44" s="6"/>
      <c r="RDJ44" s="6"/>
      <c r="RDK44" s="6"/>
      <c r="RDL44" s="6"/>
      <c r="RDM44" s="6"/>
      <c r="RDN44" s="6"/>
      <c r="RDO44" s="6"/>
      <c r="RDP44" s="6"/>
      <c r="RDQ44" s="6"/>
      <c r="RDR44" s="6"/>
      <c r="RDS44" s="6"/>
      <c r="RDT44" s="6"/>
      <c r="RDU44" s="6"/>
      <c r="RDV44" s="6"/>
      <c r="RDW44" s="6"/>
      <c r="RDX44" s="6"/>
      <c r="RDY44" s="6"/>
      <c r="RDZ44" s="6"/>
      <c r="REA44" s="6"/>
      <c r="REB44" s="6"/>
      <c r="REC44" s="6"/>
      <c r="RED44" s="6"/>
      <c r="REE44" s="6"/>
      <c r="REF44" s="6"/>
      <c r="REG44" s="6"/>
      <c r="REH44" s="6"/>
      <c r="REI44" s="6"/>
      <c r="REJ44" s="6"/>
      <c r="REK44" s="6"/>
      <c r="REL44" s="6"/>
      <c r="REM44" s="6"/>
      <c r="REN44" s="6"/>
      <c r="REO44" s="6"/>
      <c r="REP44" s="6"/>
      <c r="REQ44" s="6"/>
      <c r="RER44" s="6"/>
      <c r="RES44" s="6"/>
      <c r="RET44" s="6"/>
      <c r="REU44" s="6"/>
      <c r="REV44" s="6"/>
      <c r="REW44" s="6"/>
      <c r="REX44" s="6"/>
      <c r="REY44" s="6"/>
      <c r="REZ44" s="6"/>
      <c r="RFA44" s="6"/>
      <c r="RFB44" s="6"/>
      <c r="RFC44" s="6"/>
      <c r="RFD44" s="6"/>
      <c r="RFE44" s="6"/>
      <c r="RFF44" s="6"/>
      <c r="RFG44" s="6"/>
      <c r="RFH44" s="6"/>
      <c r="RFI44" s="6"/>
      <c r="RFJ44" s="6"/>
      <c r="RFK44" s="6"/>
      <c r="RFL44" s="6"/>
      <c r="RFM44" s="6"/>
      <c r="RFN44" s="6"/>
      <c r="RFO44" s="6"/>
      <c r="RFP44" s="6"/>
      <c r="RFQ44" s="6"/>
      <c r="RFR44" s="6"/>
      <c r="RFS44" s="6"/>
      <c r="RFT44" s="6"/>
      <c r="RFU44" s="6"/>
      <c r="RFV44" s="6"/>
      <c r="RFW44" s="6"/>
      <c r="RFX44" s="6"/>
      <c r="RFY44" s="6"/>
      <c r="RFZ44" s="6"/>
      <c r="RGA44" s="6"/>
      <c r="RGB44" s="6"/>
      <c r="RGC44" s="6"/>
      <c r="RGD44" s="6"/>
      <c r="RGE44" s="6"/>
      <c r="RGF44" s="6"/>
      <c r="RGG44" s="6"/>
      <c r="RGH44" s="6"/>
      <c r="RGI44" s="6"/>
      <c r="RGJ44" s="6"/>
      <c r="RGK44" s="6"/>
      <c r="RGL44" s="6"/>
      <c r="RGM44" s="6"/>
      <c r="RGN44" s="6"/>
      <c r="RGO44" s="6"/>
      <c r="RGP44" s="6"/>
      <c r="RGQ44" s="6"/>
      <c r="RGR44" s="6"/>
      <c r="RGS44" s="6"/>
      <c r="RGT44" s="6"/>
      <c r="RGU44" s="6"/>
      <c r="RGV44" s="6"/>
      <c r="RGW44" s="6"/>
      <c r="RGX44" s="6"/>
      <c r="RGY44" s="6"/>
      <c r="RGZ44" s="6"/>
      <c r="RHA44" s="6"/>
      <c r="RHB44" s="6"/>
      <c r="RHC44" s="6"/>
      <c r="RHD44" s="6"/>
      <c r="RHE44" s="6"/>
      <c r="RHF44" s="6"/>
      <c r="RHG44" s="6"/>
      <c r="RHH44" s="6"/>
      <c r="RHI44" s="6"/>
      <c r="RHJ44" s="6"/>
      <c r="RHK44" s="6"/>
      <c r="RHL44" s="6"/>
      <c r="RHM44" s="6"/>
      <c r="RHN44" s="6"/>
      <c r="RHO44" s="6"/>
      <c r="RHP44" s="6"/>
      <c r="RHQ44" s="6"/>
      <c r="RHR44" s="6"/>
      <c r="RHS44" s="6"/>
      <c r="RHT44" s="6"/>
      <c r="RHU44" s="6"/>
      <c r="RHV44" s="6"/>
      <c r="RHW44" s="6"/>
      <c r="RHX44" s="6"/>
      <c r="RHY44" s="6"/>
      <c r="RHZ44" s="6"/>
      <c r="RIA44" s="6"/>
      <c r="RIB44" s="6"/>
      <c r="RIC44" s="6"/>
      <c r="RID44" s="6"/>
      <c r="RIE44" s="6"/>
      <c r="RIF44" s="6"/>
      <c r="RIG44" s="6"/>
      <c r="RIH44" s="6"/>
      <c r="RII44" s="6"/>
      <c r="RIJ44" s="6"/>
      <c r="RIK44" s="6"/>
      <c r="RIL44" s="6"/>
      <c r="RIM44" s="6"/>
      <c r="RIN44" s="6"/>
      <c r="RIO44" s="6"/>
      <c r="RIP44" s="6"/>
      <c r="RIQ44" s="6"/>
      <c r="RIR44" s="6"/>
      <c r="RIS44" s="6"/>
      <c r="RIT44" s="6"/>
      <c r="RIU44" s="6"/>
      <c r="RIV44" s="6"/>
      <c r="RIW44" s="6"/>
      <c r="RIX44" s="6"/>
      <c r="RIY44" s="6"/>
      <c r="RIZ44" s="6"/>
      <c r="RJA44" s="6"/>
      <c r="RJB44" s="6"/>
      <c r="RJC44" s="6"/>
      <c r="RJD44" s="6"/>
      <c r="RJE44" s="6"/>
      <c r="RJF44" s="6"/>
      <c r="RJG44" s="6"/>
      <c r="RJH44" s="6"/>
      <c r="RJI44" s="6"/>
      <c r="RJJ44" s="6"/>
      <c r="RJK44" s="6"/>
      <c r="RJL44" s="6"/>
      <c r="RJM44" s="6"/>
      <c r="RJN44" s="6"/>
      <c r="RJO44" s="6"/>
      <c r="RJP44" s="6"/>
      <c r="RJQ44" s="6"/>
      <c r="RJR44" s="6"/>
      <c r="RJS44" s="6"/>
      <c r="RJT44" s="6"/>
      <c r="RJU44" s="6"/>
      <c r="RJV44" s="6"/>
      <c r="RJW44" s="6"/>
      <c r="RJX44" s="6"/>
      <c r="RJY44" s="6"/>
      <c r="RJZ44" s="6"/>
      <c r="RKA44" s="6"/>
      <c r="RKB44" s="6"/>
      <c r="RKC44" s="6"/>
      <c r="RKD44" s="6"/>
      <c r="RKE44" s="6"/>
      <c r="RKF44" s="6"/>
      <c r="RKG44" s="6"/>
      <c r="RKH44" s="6"/>
      <c r="RKI44" s="6"/>
      <c r="RKJ44" s="6"/>
      <c r="RKK44" s="6"/>
      <c r="RKL44" s="6"/>
      <c r="RKM44" s="6"/>
      <c r="RKN44" s="6"/>
      <c r="RKO44" s="6"/>
      <c r="RKP44" s="6"/>
      <c r="RKQ44" s="6"/>
      <c r="RKR44" s="6"/>
      <c r="RKS44" s="6"/>
      <c r="RKT44" s="6"/>
      <c r="RKU44" s="6"/>
      <c r="RKV44" s="6"/>
      <c r="RKW44" s="6"/>
      <c r="RKX44" s="6"/>
      <c r="RKY44" s="6"/>
      <c r="RKZ44" s="6"/>
      <c r="RLA44" s="6"/>
      <c r="RLB44" s="6"/>
      <c r="RLC44" s="6"/>
      <c r="RLD44" s="6"/>
      <c r="RLE44" s="6"/>
      <c r="RLF44" s="6"/>
      <c r="RLG44" s="6"/>
      <c r="RLH44" s="6"/>
      <c r="RLI44" s="6"/>
      <c r="RLJ44" s="6"/>
      <c r="RLK44" s="6"/>
      <c r="RLL44" s="6"/>
      <c r="RLM44" s="6"/>
      <c r="RLN44" s="6"/>
      <c r="RLO44" s="6"/>
      <c r="RLP44" s="6"/>
      <c r="RLQ44" s="6"/>
      <c r="RLR44" s="6"/>
      <c r="RLS44" s="6"/>
      <c r="RLT44" s="6"/>
      <c r="RLU44" s="6"/>
      <c r="RLV44" s="6"/>
      <c r="RLW44" s="6"/>
      <c r="RLX44" s="6"/>
      <c r="RLY44" s="6"/>
      <c r="RLZ44" s="6"/>
      <c r="RMA44" s="6"/>
      <c r="RMB44" s="6"/>
      <c r="RMC44" s="6"/>
      <c r="RMD44" s="6"/>
      <c r="RME44" s="6"/>
      <c r="RMF44" s="6"/>
      <c r="RMG44" s="6"/>
      <c r="RMH44" s="6"/>
      <c r="RMI44" s="6"/>
      <c r="RMJ44" s="6"/>
      <c r="RMK44" s="6"/>
      <c r="RML44" s="6"/>
      <c r="RMM44" s="6"/>
      <c r="RMN44" s="6"/>
      <c r="RMO44" s="6"/>
      <c r="RMP44" s="6"/>
      <c r="RMQ44" s="6"/>
      <c r="RMR44" s="6"/>
      <c r="RMS44" s="6"/>
      <c r="RMT44" s="6"/>
      <c r="RMU44" s="6"/>
      <c r="RMV44" s="6"/>
      <c r="RMW44" s="6"/>
      <c r="RMX44" s="6"/>
      <c r="RMY44" s="6"/>
      <c r="RMZ44" s="6"/>
      <c r="RNA44" s="6"/>
      <c r="RNB44" s="6"/>
      <c r="RNC44" s="6"/>
      <c r="RND44" s="6"/>
      <c r="RNE44" s="6"/>
      <c r="RNF44" s="6"/>
      <c r="RNG44" s="6"/>
      <c r="RNH44" s="6"/>
      <c r="RNI44" s="6"/>
      <c r="RNJ44" s="6"/>
      <c r="RNK44" s="6"/>
      <c r="RNL44" s="6"/>
      <c r="RNM44" s="6"/>
      <c r="RNN44" s="6"/>
      <c r="RNO44" s="6"/>
      <c r="RNP44" s="6"/>
      <c r="RNQ44" s="6"/>
      <c r="RNR44" s="6"/>
      <c r="RNS44" s="6"/>
      <c r="RNT44" s="6"/>
      <c r="RNU44" s="6"/>
      <c r="RNV44" s="6"/>
      <c r="RNW44" s="6"/>
      <c r="RNX44" s="6"/>
      <c r="RNY44" s="6"/>
      <c r="RNZ44" s="6"/>
      <c r="ROA44" s="6"/>
      <c r="ROB44" s="6"/>
      <c r="ROC44" s="6"/>
      <c r="ROD44" s="6"/>
      <c r="ROE44" s="6"/>
      <c r="ROF44" s="6"/>
      <c r="ROG44" s="6"/>
      <c r="ROH44" s="6"/>
      <c r="ROI44" s="6"/>
      <c r="ROJ44" s="6"/>
      <c r="ROK44" s="6"/>
      <c r="ROL44" s="6"/>
      <c r="ROM44" s="6"/>
      <c r="RON44" s="6"/>
      <c r="ROO44" s="6"/>
      <c r="ROP44" s="6"/>
      <c r="ROQ44" s="6"/>
      <c r="ROR44" s="6"/>
      <c r="ROS44" s="6"/>
      <c r="ROT44" s="6"/>
      <c r="ROU44" s="6"/>
      <c r="ROV44" s="6"/>
      <c r="ROW44" s="6"/>
      <c r="ROX44" s="6"/>
      <c r="ROY44" s="6"/>
      <c r="ROZ44" s="6"/>
      <c r="RPA44" s="6"/>
      <c r="RPB44" s="6"/>
      <c r="RPC44" s="6"/>
      <c r="RPD44" s="6"/>
      <c r="RPE44" s="6"/>
      <c r="RPF44" s="6"/>
      <c r="RPG44" s="6"/>
      <c r="RPH44" s="6"/>
      <c r="RPI44" s="6"/>
      <c r="RPJ44" s="6"/>
      <c r="RPK44" s="6"/>
      <c r="RPL44" s="6"/>
      <c r="RPM44" s="6"/>
      <c r="RPN44" s="6"/>
      <c r="RPO44" s="6"/>
      <c r="RPP44" s="6"/>
      <c r="RPQ44" s="6"/>
      <c r="RPR44" s="6"/>
      <c r="RPS44" s="6"/>
      <c r="RPT44" s="6"/>
      <c r="RPU44" s="6"/>
      <c r="RPV44" s="6"/>
      <c r="RPW44" s="6"/>
      <c r="RPX44" s="6"/>
      <c r="RPY44" s="6"/>
      <c r="RPZ44" s="6"/>
      <c r="RQA44" s="6"/>
      <c r="RQB44" s="6"/>
      <c r="RQC44" s="6"/>
      <c r="RQD44" s="6"/>
      <c r="RQE44" s="6"/>
      <c r="RQF44" s="6"/>
      <c r="RQG44" s="6"/>
      <c r="RQH44" s="6"/>
      <c r="RQI44" s="6"/>
      <c r="RQJ44" s="6"/>
      <c r="RQK44" s="6"/>
      <c r="RQL44" s="6"/>
      <c r="RQM44" s="6"/>
      <c r="RQN44" s="6"/>
      <c r="RQO44" s="6"/>
      <c r="RQP44" s="6"/>
      <c r="RQQ44" s="6"/>
      <c r="RQR44" s="6"/>
      <c r="RQS44" s="6"/>
      <c r="RQT44" s="6"/>
      <c r="RQU44" s="6"/>
      <c r="RQV44" s="6"/>
      <c r="RQW44" s="6"/>
      <c r="RQX44" s="6"/>
      <c r="RQY44" s="6"/>
      <c r="RQZ44" s="6"/>
      <c r="RRA44" s="6"/>
      <c r="RRB44" s="6"/>
      <c r="RRC44" s="6"/>
      <c r="RRD44" s="6"/>
      <c r="RRE44" s="6"/>
      <c r="RRF44" s="6"/>
      <c r="RRG44" s="6"/>
      <c r="RRH44" s="6"/>
      <c r="RRI44" s="6"/>
      <c r="RRJ44" s="6"/>
      <c r="RRK44" s="6"/>
      <c r="RRL44" s="6"/>
      <c r="RRM44" s="6"/>
      <c r="RRN44" s="6"/>
      <c r="RRO44" s="6"/>
      <c r="RRP44" s="6"/>
      <c r="RRQ44" s="6"/>
      <c r="RRR44" s="6"/>
      <c r="RRS44" s="6"/>
      <c r="RRT44" s="6"/>
      <c r="RRU44" s="6"/>
      <c r="RRV44" s="6"/>
      <c r="RRW44" s="6"/>
      <c r="RRX44" s="6"/>
      <c r="RRY44" s="6"/>
      <c r="RRZ44" s="6"/>
      <c r="RSA44" s="6"/>
      <c r="RSB44" s="6"/>
      <c r="RSC44" s="6"/>
      <c r="RSD44" s="6"/>
      <c r="RSE44" s="6"/>
      <c r="RSF44" s="6"/>
      <c r="RSG44" s="6"/>
      <c r="RSH44" s="6"/>
      <c r="RSI44" s="6"/>
      <c r="RSJ44" s="6"/>
      <c r="RSK44" s="6"/>
      <c r="RSL44" s="6"/>
      <c r="RSM44" s="6"/>
      <c r="RSN44" s="6"/>
      <c r="RSO44" s="6"/>
      <c r="RSP44" s="6"/>
      <c r="RSQ44" s="6"/>
      <c r="RSR44" s="6"/>
      <c r="RSS44" s="6"/>
      <c r="RST44" s="6"/>
      <c r="RSU44" s="6"/>
      <c r="RSV44" s="6"/>
      <c r="RSW44" s="6"/>
      <c r="RSX44" s="6"/>
      <c r="RSY44" s="6"/>
      <c r="RSZ44" s="6"/>
      <c r="RTA44" s="6"/>
      <c r="RTB44" s="6"/>
      <c r="RTC44" s="6"/>
      <c r="RTD44" s="6"/>
      <c r="RTE44" s="6"/>
      <c r="RTF44" s="6"/>
      <c r="RTG44" s="6"/>
      <c r="RTH44" s="6"/>
      <c r="RTI44" s="6"/>
      <c r="RTJ44" s="6"/>
      <c r="RTK44" s="6"/>
      <c r="RTL44" s="6"/>
      <c r="RTM44" s="6"/>
      <c r="RTN44" s="6"/>
      <c r="RTO44" s="6"/>
      <c r="RTP44" s="6"/>
      <c r="RTQ44" s="6"/>
      <c r="RTR44" s="6"/>
      <c r="RTS44" s="6"/>
      <c r="RTT44" s="6"/>
      <c r="RTU44" s="6"/>
      <c r="RTV44" s="6"/>
      <c r="RTW44" s="6"/>
      <c r="RTX44" s="6"/>
      <c r="RTY44" s="6"/>
      <c r="RTZ44" s="6"/>
      <c r="RUA44" s="6"/>
      <c r="RUB44" s="6"/>
      <c r="RUC44" s="6"/>
      <c r="RUD44" s="6"/>
      <c r="RUE44" s="6"/>
      <c r="RUF44" s="6"/>
      <c r="RUG44" s="6"/>
      <c r="RUH44" s="6"/>
      <c r="RUI44" s="6"/>
      <c r="RUJ44" s="6"/>
      <c r="RUK44" s="6"/>
      <c r="RUL44" s="6"/>
      <c r="RUM44" s="6"/>
      <c r="RUN44" s="6"/>
      <c r="RUO44" s="6"/>
      <c r="RUP44" s="6"/>
      <c r="RUQ44" s="6"/>
      <c r="RUR44" s="6"/>
      <c r="RUS44" s="6"/>
      <c r="RUT44" s="6"/>
      <c r="RUU44" s="6"/>
      <c r="RUV44" s="6"/>
      <c r="RUW44" s="6"/>
      <c r="RUX44" s="6"/>
      <c r="RUY44" s="6"/>
      <c r="RUZ44" s="6"/>
      <c r="RVA44" s="6"/>
      <c r="RVB44" s="6"/>
      <c r="RVC44" s="6"/>
      <c r="RVD44" s="6"/>
      <c r="RVE44" s="6"/>
      <c r="RVF44" s="6"/>
      <c r="RVG44" s="6"/>
      <c r="RVH44" s="6"/>
      <c r="RVI44" s="6"/>
      <c r="RVJ44" s="6"/>
      <c r="RVK44" s="6"/>
      <c r="RVL44" s="6"/>
      <c r="RVM44" s="6"/>
      <c r="RVN44" s="6"/>
      <c r="RVO44" s="6"/>
      <c r="RVP44" s="6"/>
      <c r="RVQ44" s="6"/>
      <c r="RVR44" s="6"/>
      <c r="RVS44" s="6"/>
      <c r="RVT44" s="6"/>
      <c r="RVU44" s="6"/>
      <c r="RVV44" s="6"/>
      <c r="RVW44" s="6"/>
      <c r="RVX44" s="6"/>
      <c r="RVY44" s="6"/>
      <c r="RVZ44" s="6"/>
      <c r="RWA44" s="6"/>
      <c r="RWB44" s="6"/>
      <c r="RWC44" s="6"/>
      <c r="RWD44" s="6"/>
      <c r="RWE44" s="6"/>
      <c r="RWF44" s="6"/>
      <c r="RWG44" s="6"/>
      <c r="RWH44" s="6"/>
      <c r="RWI44" s="6"/>
      <c r="RWJ44" s="6"/>
      <c r="RWK44" s="6"/>
      <c r="RWL44" s="6"/>
      <c r="RWM44" s="6"/>
      <c r="RWN44" s="6"/>
      <c r="RWO44" s="6"/>
      <c r="RWP44" s="6"/>
      <c r="RWQ44" s="6"/>
      <c r="RWR44" s="6"/>
      <c r="RWS44" s="6"/>
      <c r="RWT44" s="6"/>
      <c r="RWU44" s="6"/>
      <c r="RWV44" s="6"/>
      <c r="RWW44" s="6"/>
      <c r="RWX44" s="6"/>
      <c r="RWY44" s="6"/>
      <c r="RWZ44" s="6"/>
      <c r="RXA44" s="6"/>
      <c r="RXB44" s="6"/>
      <c r="RXC44" s="6"/>
      <c r="RXD44" s="6"/>
      <c r="RXE44" s="6"/>
      <c r="RXF44" s="6"/>
      <c r="RXG44" s="6"/>
      <c r="RXH44" s="6"/>
      <c r="RXI44" s="6"/>
      <c r="RXJ44" s="6"/>
      <c r="RXK44" s="6"/>
      <c r="RXL44" s="6"/>
      <c r="RXM44" s="6"/>
      <c r="RXN44" s="6"/>
      <c r="RXO44" s="6"/>
      <c r="RXP44" s="6"/>
      <c r="RXQ44" s="6"/>
      <c r="RXR44" s="6"/>
      <c r="RXS44" s="6"/>
      <c r="RXT44" s="6"/>
      <c r="RXU44" s="6"/>
      <c r="RXV44" s="6"/>
      <c r="RXW44" s="6"/>
      <c r="RXX44" s="6"/>
      <c r="RXY44" s="6"/>
      <c r="RXZ44" s="6"/>
      <c r="RYA44" s="6"/>
      <c r="RYB44" s="6"/>
      <c r="RYC44" s="6"/>
      <c r="RYD44" s="6"/>
      <c r="RYE44" s="6"/>
      <c r="RYF44" s="6"/>
      <c r="RYG44" s="6"/>
      <c r="RYH44" s="6"/>
      <c r="RYI44" s="6"/>
      <c r="RYJ44" s="6"/>
      <c r="RYK44" s="6"/>
      <c r="RYL44" s="6"/>
      <c r="RYM44" s="6"/>
      <c r="RYN44" s="6"/>
      <c r="RYO44" s="6"/>
      <c r="RYP44" s="6"/>
      <c r="RYQ44" s="6"/>
      <c r="RYR44" s="6"/>
      <c r="RYS44" s="6"/>
      <c r="RYT44" s="6"/>
      <c r="RYU44" s="6"/>
      <c r="RYV44" s="6"/>
      <c r="RYW44" s="6"/>
      <c r="RYX44" s="6"/>
      <c r="RYY44" s="6"/>
      <c r="RYZ44" s="6"/>
      <c r="RZA44" s="6"/>
      <c r="RZB44" s="6"/>
      <c r="RZC44" s="6"/>
      <c r="RZD44" s="6"/>
      <c r="RZE44" s="6"/>
      <c r="RZF44" s="6"/>
      <c r="RZG44" s="6"/>
      <c r="RZH44" s="6"/>
      <c r="RZI44" s="6"/>
      <c r="RZJ44" s="6"/>
      <c r="RZK44" s="6"/>
      <c r="RZL44" s="6"/>
      <c r="RZM44" s="6"/>
      <c r="RZN44" s="6"/>
      <c r="RZO44" s="6"/>
      <c r="RZP44" s="6"/>
      <c r="RZQ44" s="6"/>
      <c r="RZR44" s="6"/>
      <c r="RZS44" s="6"/>
      <c r="RZT44" s="6"/>
      <c r="RZU44" s="6"/>
      <c r="RZV44" s="6"/>
      <c r="RZW44" s="6"/>
      <c r="RZX44" s="6"/>
      <c r="RZY44" s="6"/>
      <c r="RZZ44" s="6"/>
      <c r="SAA44" s="6"/>
      <c r="SAB44" s="6"/>
      <c r="SAC44" s="6"/>
      <c r="SAD44" s="6"/>
      <c r="SAE44" s="6"/>
      <c r="SAF44" s="6"/>
      <c r="SAG44" s="6"/>
      <c r="SAH44" s="6"/>
      <c r="SAI44" s="6"/>
      <c r="SAJ44" s="6"/>
      <c r="SAK44" s="6"/>
      <c r="SAL44" s="6"/>
      <c r="SAM44" s="6"/>
      <c r="SAN44" s="6"/>
      <c r="SAO44" s="6"/>
      <c r="SAP44" s="6"/>
      <c r="SAQ44" s="6"/>
      <c r="SAR44" s="6"/>
      <c r="SAS44" s="6"/>
      <c r="SAT44" s="6"/>
      <c r="SAU44" s="6"/>
      <c r="SAV44" s="6"/>
      <c r="SAW44" s="6"/>
      <c r="SAX44" s="6"/>
      <c r="SAY44" s="6"/>
      <c r="SAZ44" s="6"/>
      <c r="SBA44" s="6"/>
      <c r="SBB44" s="6"/>
      <c r="SBC44" s="6"/>
      <c r="SBD44" s="6"/>
      <c r="SBE44" s="6"/>
      <c r="SBF44" s="6"/>
      <c r="SBG44" s="6"/>
      <c r="SBH44" s="6"/>
      <c r="SBI44" s="6"/>
      <c r="SBJ44" s="6"/>
      <c r="SBK44" s="6"/>
      <c r="SBL44" s="6"/>
      <c r="SBM44" s="6"/>
      <c r="SBN44" s="6"/>
      <c r="SBO44" s="6"/>
      <c r="SBP44" s="6"/>
      <c r="SBQ44" s="6"/>
      <c r="SBR44" s="6"/>
      <c r="SBS44" s="6"/>
      <c r="SBT44" s="6"/>
      <c r="SBU44" s="6"/>
      <c r="SBV44" s="6"/>
      <c r="SBW44" s="6"/>
      <c r="SBX44" s="6"/>
      <c r="SBY44" s="6"/>
      <c r="SBZ44" s="6"/>
      <c r="SCA44" s="6"/>
      <c r="SCB44" s="6"/>
      <c r="SCC44" s="6"/>
      <c r="SCD44" s="6"/>
      <c r="SCE44" s="6"/>
      <c r="SCF44" s="6"/>
      <c r="SCG44" s="6"/>
      <c r="SCH44" s="6"/>
      <c r="SCI44" s="6"/>
      <c r="SCJ44" s="6"/>
      <c r="SCK44" s="6"/>
      <c r="SCL44" s="6"/>
      <c r="SCM44" s="6"/>
      <c r="SCN44" s="6"/>
      <c r="SCO44" s="6"/>
      <c r="SCP44" s="6"/>
      <c r="SCQ44" s="6"/>
      <c r="SCR44" s="6"/>
      <c r="SCS44" s="6"/>
      <c r="SCT44" s="6"/>
      <c r="SCU44" s="6"/>
      <c r="SCV44" s="6"/>
      <c r="SCW44" s="6"/>
      <c r="SCX44" s="6"/>
      <c r="SCY44" s="6"/>
      <c r="SCZ44" s="6"/>
      <c r="SDA44" s="6"/>
      <c r="SDB44" s="6"/>
      <c r="SDC44" s="6"/>
      <c r="SDD44" s="6"/>
      <c r="SDE44" s="6"/>
      <c r="SDF44" s="6"/>
      <c r="SDG44" s="6"/>
      <c r="SDH44" s="6"/>
      <c r="SDI44" s="6"/>
      <c r="SDJ44" s="6"/>
      <c r="SDK44" s="6"/>
      <c r="SDL44" s="6"/>
      <c r="SDM44" s="6"/>
      <c r="SDN44" s="6"/>
      <c r="SDO44" s="6"/>
      <c r="SDP44" s="6"/>
      <c r="SDQ44" s="6"/>
      <c r="SDR44" s="6"/>
      <c r="SDS44" s="6"/>
      <c r="SDT44" s="6"/>
      <c r="SDU44" s="6"/>
      <c r="SDV44" s="6"/>
      <c r="SDW44" s="6"/>
      <c r="SDX44" s="6"/>
      <c r="SDY44" s="6"/>
      <c r="SDZ44" s="6"/>
      <c r="SEA44" s="6"/>
      <c r="SEB44" s="6"/>
      <c r="SEC44" s="6"/>
      <c r="SED44" s="6"/>
      <c r="SEE44" s="6"/>
      <c r="SEF44" s="6"/>
      <c r="SEG44" s="6"/>
      <c r="SEH44" s="6"/>
      <c r="SEI44" s="6"/>
      <c r="SEJ44" s="6"/>
      <c r="SEK44" s="6"/>
      <c r="SEL44" s="6"/>
      <c r="SEM44" s="6"/>
      <c r="SEN44" s="6"/>
      <c r="SEO44" s="6"/>
      <c r="SEP44" s="6"/>
      <c r="SEQ44" s="6"/>
      <c r="SER44" s="6"/>
      <c r="SES44" s="6"/>
      <c r="SET44" s="6"/>
      <c r="SEU44" s="6"/>
      <c r="SEV44" s="6"/>
      <c r="SEW44" s="6"/>
      <c r="SEX44" s="6"/>
      <c r="SEY44" s="6"/>
      <c r="SEZ44" s="6"/>
      <c r="SFA44" s="6"/>
      <c r="SFB44" s="6"/>
      <c r="SFC44" s="6"/>
      <c r="SFD44" s="6"/>
      <c r="SFE44" s="6"/>
      <c r="SFF44" s="6"/>
      <c r="SFG44" s="6"/>
      <c r="SFH44" s="6"/>
      <c r="SFI44" s="6"/>
      <c r="SFJ44" s="6"/>
      <c r="SFK44" s="6"/>
      <c r="SFL44" s="6"/>
      <c r="SFM44" s="6"/>
      <c r="SFN44" s="6"/>
      <c r="SFO44" s="6"/>
      <c r="SFP44" s="6"/>
      <c r="SFQ44" s="6"/>
      <c r="SFR44" s="6"/>
      <c r="SFS44" s="6"/>
      <c r="SFT44" s="6"/>
      <c r="SFU44" s="6"/>
      <c r="SFV44" s="6"/>
      <c r="SFW44" s="6"/>
      <c r="SFX44" s="6"/>
      <c r="SFY44" s="6"/>
      <c r="SFZ44" s="6"/>
      <c r="SGA44" s="6"/>
      <c r="SGB44" s="6"/>
      <c r="SGC44" s="6"/>
      <c r="SGD44" s="6"/>
      <c r="SGE44" s="6"/>
      <c r="SGF44" s="6"/>
      <c r="SGG44" s="6"/>
      <c r="SGH44" s="6"/>
      <c r="SGI44" s="6"/>
      <c r="SGJ44" s="6"/>
      <c r="SGK44" s="6"/>
      <c r="SGL44" s="6"/>
      <c r="SGM44" s="6"/>
      <c r="SGN44" s="6"/>
      <c r="SGO44" s="6"/>
      <c r="SGP44" s="6"/>
      <c r="SGQ44" s="6"/>
      <c r="SGR44" s="6"/>
      <c r="SGS44" s="6"/>
      <c r="SGT44" s="6"/>
      <c r="SGU44" s="6"/>
      <c r="SGV44" s="6"/>
      <c r="SGW44" s="6"/>
      <c r="SGX44" s="6"/>
      <c r="SGY44" s="6"/>
      <c r="SGZ44" s="6"/>
      <c r="SHA44" s="6"/>
      <c r="SHB44" s="6"/>
      <c r="SHC44" s="6"/>
      <c r="SHD44" s="6"/>
      <c r="SHE44" s="6"/>
      <c r="SHF44" s="6"/>
      <c r="SHG44" s="6"/>
      <c r="SHH44" s="6"/>
      <c r="SHI44" s="6"/>
      <c r="SHJ44" s="6"/>
      <c r="SHK44" s="6"/>
      <c r="SHL44" s="6"/>
      <c r="SHM44" s="6"/>
      <c r="SHN44" s="6"/>
      <c r="SHO44" s="6"/>
      <c r="SHP44" s="6"/>
      <c r="SHQ44" s="6"/>
      <c r="SHR44" s="6"/>
      <c r="SHS44" s="6"/>
      <c r="SHT44" s="6"/>
      <c r="SHU44" s="6"/>
      <c r="SHV44" s="6"/>
      <c r="SHW44" s="6"/>
      <c r="SHX44" s="6"/>
      <c r="SHY44" s="6"/>
      <c r="SHZ44" s="6"/>
      <c r="SIA44" s="6"/>
      <c r="SIB44" s="6"/>
      <c r="SIC44" s="6"/>
      <c r="SID44" s="6"/>
      <c r="SIE44" s="6"/>
      <c r="SIF44" s="6"/>
      <c r="SIG44" s="6"/>
      <c r="SIH44" s="6"/>
      <c r="SII44" s="6"/>
      <c r="SIJ44" s="6"/>
      <c r="SIK44" s="6"/>
      <c r="SIL44" s="6"/>
      <c r="SIM44" s="6"/>
      <c r="SIN44" s="6"/>
      <c r="SIO44" s="6"/>
      <c r="SIP44" s="6"/>
      <c r="SIQ44" s="6"/>
      <c r="SIR44" s="6"/>
      <c r="SIS44" s="6"/>
      <c r="SIT44" s="6"/>
      <c r="SIU44" s="6"/>
      <c r="SIV44" s="6"/>
      <c r="SIW44" s="6"/>
      <c r="SIX44" s="6"/>
      <c r="SIY44" s="6"/>
      <c r="SIZ44" s="6"/>
      <c r="SJA44" s="6"/>
      <c r="SJB44" s="6"/>
      <c r="SJC44" s="6"/>
      <c r="SJD44" s="6"/>
      <c r="SJE44" s="6"/>
      <c r="SJF44" s="6"/>
      <c r="SJG44" s="6"/>
      <c r="SJH44" s="6"/>
      <c r="SJI44" s="6"/>
      <c r="SJJ44" s="6"/>
      <c r="SJK44" s="6"/>
      <c r="SJL44" s="6"/>
      <c r="SJM44" s="6"/>
      <c r="SJN44" s="6"/>
      <c r="SJO44" s="6"/>
      <c r="SJP44" s="6"/>
      <c r="SJQ44" s="6"/>
      <c r="SJR44" s="6"/>
      <c r="SJS44" s="6"/>
      <c r="SJT44" s="6"/>
      <c r="SJU44" s="6"/>
      <c r="SJV44" s="6"/>
      <c r="SJW44" s="6"/>
      <c r="SJX44" s="6"/>
      <c r="SJY44" s="6"/>
      <c r="SJZ44" s="6"/>
      <c r="SKA44" s="6"/>
      <c r="SKB44" s="6"/>
      <c r="SKC44" s="6"/>
      <c r="SKD44" s="6"/>
      <c r="SKE44" s="6"/>
      <c r="SKF44" s="6"/>
      <c r="SKG44" s="6"/>
      <c r="SKH44" s="6"/>
      <c r="SKI44" s="6"/>
      <c r="SKJ44" s="6"/>
      <c r="SKK44" s="6"/>
      <c r="SKL44" s="6"/>
      <c r="SKM44" s="6"/>
      <c r="SKN44" s="6"/>
      <c r="SKO44" s="6"/>
      <c r="SKP44" s="6"/>
      <c r="SKQ44" s="6"/>
      <c r="SKR44" s="6"/>
      <c r="SKS44" s="6"/>
      <c r="SKT44" s="6"/>
      <c r="SKU44" s="6"/>
      <c r="SKV44" s="6"/>
      <c r="SKW44" s="6"/>
      <c r="SKX44" s="6"/>
      <c r="SKY44" s="6"/>
      <c r="SKZ44" s="6"/>
      <c r="SLA44" s="6"/>
      <c r="SLB44" s="6"/>
      <c r="SLC44" s="6"/>
      <c r="SLD44" s="6"/>
      <c r="SLE44" s="6"/>
      <c r="SLF44" s="6"/>
      <c r="SLG44" s="6"/>
      <c r="SLH44" s="6"/>
      <c r="SLI44" s="6"/>
      <c r="SLJ44" s="6"/>
      <c r="SLK44" s="6"/>
      <c r="SLL44" s="6"/>
      <c r="SLM44" s="6"/>
      <c r="SLN44" s="6"/>
      <c r="SLO44" s="6"/>
      <c r="SLP44" s="6"/>
      <c r="SLQ44" s="6"/>
      <c r="SLR44" s="6"/>
      <c r="SLS44" s="6"/>
      <c r="SLT44" s="6"/>
      <c r="SLU44" s="6"/>
      <c r="SLV44" s="6"/>
      <c r="SLW44" s="6"/>
      <c r="SLX44" s="6"/>
      <c r="SLY44" s="6"/>
      <c r="SLZ44" s="6"/>
      <c r="SMA44" s="6"/>
      <c r="SMB44" s="6"/>
      <c r="SMC44" s="6"/>
      <c r="SMD44" s="6"/>
      <c r="SME44" s="6"/>
      <c r="SMF44" s="6"/>
      <c r="SMG44" s="6"/>
      <c r="SMH44" s="6"/>
      <c r="SMI44" s="6"/>
      <c r="SMJ44" s="6"/>
      <c r="SMK44" s="6"/>
      <c r="SML44" s="6"/>
      <c r="SMM44" s="6"/>
      <c r="SMN44" s="6"/>
      <c r="SMO44" s="6"/>
      <c r="SMP44" s="6"/>
      <c r="SMQ44" s="6"/>
      <c r="SMR44" s="6"/>
      <c r="SMS44" s="6"/>
      <c r="SMT44" s="6"/>
      <c r="SMU44" s="6"/>
      <c r="SMV44" s="6"/>
      <c r="SMW44" s="6"/>
      <c r="SMX44" s="6"/>
      <c r="SMY44" s="6"/>
      <c r="SMZ44" s="6"/>
      <c r="SNA44" s="6"/>
      <c r="SNB44" s="6"/>
      <c r="SNC44" s="6"/>
      <c r="SND44" s="6"/>
      <c r="SNE44" s="6"/>
      <c r="SNF44" s="6"/>
      <c r="SNG44" s="6"/>
      <c r="SNH44" s="6"/>
      <c r="SNI44" s="6"/>
      <c r="SNJ44" s="6"/>
      <c r="SNK44" s="6"/>
      <c r="SNL44" s="6"/>
      <c r="SNM44" s="6"/>
      <c r="SNN44" s="6"/>
      <c r="SNO44" s="6"/>
      <c r="SNP44" s="6"/>
      <c r="SNQ44" s="6"/>
      <c r="SNR44" s="6"/>
      <c r="SNS44" s="6"/>
      <c r="SNT44" s="6"/>
      <c r="SNU44" s="6"/>
      <c r="SNV44" s="6"/>
      <c r="SNW44" s="6"/>
      <c r="SNX44" s="6"/>
      <c r="SNY44" s="6"/>
      <c r="SNZ44" s="6"/>
      <c r="SOA44" s="6"/>
      <c r="SOB44" s="6"/>
      <c r="SOC44" s="6"/>
      <c r="SOD44" s="6"/>
      <c r="SOE44" s="6"/>
      <c r="SOF44" s="6"/>
      <c r="SOG44" s="6"/>
      <c r="SOH44" s="6"/>
      <c r="SOI44" s="6"/>
      <c r="SOJ44" s="6"/>
      <c r="SOK44" s="6"/>
      <c r="SOL44" s="6"/>
      <c r="SOM44" s="6"/>
      <c r="SON44" s="6"/>
      <c r="SOO44" s="6"/>
      <c r="SOP44" s="6"/>
      <c r="SOQ44" s="6"/>
      <c r="SOR44" s="6"/>
      <c r="SOS44" s="6"/>
      <c r="SOT44" s="6"/>
      <c r="SOU44" s="6"/>
      <c r="SOV44" s="6"/>
      <c r="SOW44" s="6"/>
      <c r="SOX44" s="6"/>
      <c r="SOY44" s="6"/>
      <c r="SOZ44" s="6"/>
      <c r="SPA44" s="6"/>
      <c r="SPB44" s="6"/>
      <c r="SPC44" s="6"/>
      <c r="SPD44" s="6"/>
      <c r="SPE44" s="6"/>
      <c r="SPF44" s="6"/>
      <c r="SPG44" s="6"/>
      <c r="SPH44" s="6"/>
      <c r="SPI44" s="6"/>
      <c r="SPJ44" s="6"/>
      <c r="SPK44" s="6"/>
      <c r="SPL44" s="6"/>
      <c r="SPM44" s="6"/>
      <c r="SPN44" s="6"/>
      <c r="SPO44" s="6"/>
      <c r="SPP44" s="6"/>
      <c r="SPQ44" s="6"/>
      <c r="SPR44" s="6"/>
      <c r="SPS44" s="6"/>
      <c r="SPT44" s="6"/>
      <c r="SPU44" s="6"/>
      <c r="SPV44" s="6"/>
      <c r="SPW44" s="6"/>
      <c r="SPX44" s="6"/>
      <c r="SPY44" s="6"/>
      <c r="SPZ44" s="6"/>
      <c r="SQA44" s="6"/>
      <c r="SQB44" s="6"/>
      <c r="SQC44" s="6"/>
      <c r="SQD44" s="6"/>
      <c r="SQE44" s="6"/>
      <c r="SQF44" s="6"/>
      <c r="SQG44" s="6"/>
      <c r="SQH44" s="6"/>
      <c r="SQI44" s="6"/>
      <c r="SQJ44" s="6"/>
      <c r="SQK44" s="6"/>
      <c r="SQL44" s="6"/>
      <c r="SQM44" s="6"/>
      <c r="SQN44" s="6"/>
      <c r="SQO44" s="6"/>
      <c r="SQP44" s="6"/>
      <c r="SQQ44" s="6"/>
      <c r="SQR44" s="6"/>
      <c r="SQS44" s="6"/>
      <c r="SQT44" s="6"/>
      <c r="SQU44" s="6"/>
      <c r="SQV44" s="6"/>
      <c r="SQW44" s="6"/>
      <c r="SQX44" s="6"/>
      <c r="SQY44" s="6"/>
      <c r="SQZ44" s="6"/>
      <c r="SRA44" s="6"/>
      <c r="SRB44" s="6"/>
      <c r="SRC44" s="6"/>
      <c r="SRD44" s="6"/>
      <c r="SRE44" s="6"/>
      <c r="SRF44" s="6"/>
      <c r="SRG44" s="6"/>
      <c r="SRH44" s="6"/>
      <c r="SRI44" s="6"/>
      <c r="SRJ44" s="6"/>
      <c r="SRK44" s="6"/>
      <c r="SRL44" s="6"/>
      <c r="SRM44" s="6"/>
      <c r="SRN44" s="6"/>
      <c r="SRO44" s="6"/>
      <c r="SRP44" s="6"/>
      <c r="SRQ44" s="6"/>
      <c r="SRR44" s="6"/>
      <c r="SRS44" s="6"/>
      <c r="SRT44" s="6"/>
      <c r="SRU44" s="6"/>
      <c r="SRV44" s="6"/>
      <c r="SRW44" s="6"/>
      <c r="SRX44" s="6"/>
      <c r="SRY44" s="6"/>
      <c r="SRZ44" s="6"/>
      <c r="SSA44" s="6"/>
      <c r="SSB44" s="6"/>
      <c r="SSC44" s="6"/>
      <c r="SSD44" s="6"/>
      <c r="SSE44" s="6"/>
      <c r="SSF44" s="6"/>
      <c r="SSG44" s="6"/>
      <c r="SSH44" s="6"/>
      <c r="SSI44" s="6"/>
      <c r="SSJ44" s="6"/>
      <c r="SSK44" s="6"/>
      <c r="SSL44" s="6"/>
      <c r="SSM44" s="6"/>
      <c r="SSN44" s="6"/>
      <c r="SSO44" s="6"/>
      <c r="SSP44" s="6"/>
      <c r="SSQ44" s="6"/>
      <c r="SSR44" s="6"/>
      <c r="SSS44" s="6"/>
      <c r="SST44" s="6"/>
      <c r="SSU44" s="6"/>
      <c r="SSV44" s="6"/>
      <c r="SSW44" s="6"/>
      <c r="SSX44" s="6"/>
      <c r="SSY44" s="6"/>
      <c r="SSZ44" s="6"/>
      <c r="STA44" s="6"/>
      <c r="STB44" s="6"/>
      <c r="STC44" s="6"/>
      <c r="STD44" s="6"/>
      <c r="STE44" s="6"/>
      <c r="STF44" s="6"/>
      <c r="STG44" s="6"/>
      <c r="STH44" s="6"/>
      <c r="STI44" s="6"/>
      <c r="STJ44" s="6"/>
      <c r="STK44" s="6"/>
      <c r="STL44" s="6"/>
      <c r="STM44" s="6"/>
      <c r="STN44" s="6"/>
      <c r="STO44" s="6"/>
      <c r="STP44" s="6"/>
      <c r="STQ44" s="6"/>
      <c r="STR44" s="6"/>
      <c r="STS44" s="6"/>
      <c r="STT44" s="6"/>
      <c r="STU44" s="6"/>
      <c r="STV44" s="6"/>
      <c r="STW44" s="6"/>
      <c r="STX44" s="6"/>
      <c r="STY44" s="6"/>
      <c r="STZ44" s="6"/>
      <c r="SUA44" s="6"/>
      <c r="SUB44" s="6"/>
      <c r="SUC44" s="6"/>
      <c r="SUD44" s="6"/>
      <c r="SUE44" s="6"/>
      <c r="SUF44" s="6"/>
      <c r="SUG44" s="6"/>
      <c r="SUH44" s="6"/>
      <c r="SUI44" s="6"/>
      <c r="SUJ44" s="6"/>
      <c r="SUK44" s="6"/>
      <c r="SUL44" s="6"/>
      <c r="SUM44" s="6"/>
      <c r="SUN44" s="6"/>
      <c r="SUO44" s="6"/>
      <c r="SUP44" s="6"/>
      <c r="SUQ44" s="6"/>
      <c r="SUR44" s="6"/>
      <c r="SUS44" s="6"/>
      <c r="SUT44" s="6"/>
      <c r="SUU44" s="6"/>
      <c r="SUV44" s="6"/>
      <c r="SUW44" s="6"/>
      <c r="SUX44" s="6"/>
      <c r="SUY44" s="6"/>
      <c r="SUZ44" s="6"/>
      <c r="SVA44" s="6"/>
      <c r="SVB44" s="6"/>
      <c r="SVC44" s="6"/>
      <c r="SVD44" s="6"/>
      <c r="SVE44" s="6"/>
      <c r="SVF44" s="6"/>
      <c r="SVG44" s="6"/>
      <c r="SVH44" s="6"/>
      <c r="SVI44" s="6"/>
      <c r="SVJ44" s="6"/>
      <c r="SVK44" s="6"/>
      <c r="SVL44" s="6"/>
      <c r="SVM44" s="6"/>
      <c r="SVN44" s="6"/>
      <c r="SVO44" s="6"/>
      <c r="SVP44" s="6"/>
      <c r="SVQ44" s="6"/>
      <c r="SVR44" s="6"/>
      <c r="SVS44" s="6"/>
      <c r="SVT44" s="6"/>
      <c r="SVU44" s="6"/>
      <c r="SVV44" s="6"/>
      <c r="SVW44" s="6"/>
      <c r="SVX44" s="6"/>
      <c r="SVY44" s="6"/>
      <c r="SVZ44" s="6"/>
      <c r="SWA44" s="6"/>
      <c r="SWB44" s="6"/>
      <c r="SWC44" s="6"/>
      <c r="SWD44" s="6"/>
      <c r="SWE44" s="6"/>
      <c r="SWF44" s="6"/>
      <c r="SWG44" s="6"/>
      <c r="SWH44" s="6"/>
      <c r="SWI44" s="6"/>
      <c r="SWJ44" s="6"/>
      <c r="SWK44" s="6"/>
      <c r="SWL44" s="6"/>
      <c r="SWM44" s="6"/>
      <c r="SWN44" s="6"/>
      <c r="SWO44" s="6"/>
      <c r="SWP44" s="6"/>
      <c r="SWQ44" s="6"/>
      <c r="SWR44" s="6"/>
      <c r="SWS44" s="6"/>
      <c r="SWT44" s="6"/>
      <c r="SWU44" s="6"/>
      <c r="SWV44" s="6"/>
      <c r="SWW44" s="6"/>
      <c r="SWX44" s="6"/>
      <c r="SWY44" s="6"/>
      <c r="SWZ44" s="6"/>
      <c r="SXA44" s="6"/>
      <c r="SXB44" s="6"/>
      <c r="SXC44" s="6"/>
      <c r="SXD44" s="6"/>
      <c r="SXE44" s="6"/>
      <c r="SXF44" s="6"/>
      <c r="SXG44" s="6"/>
      <c r="SXH44" s="6"/>
      <c r="SXI44" s="6"/>
      <c r="SXJ44" s="6"/>
      <c r="SXK44" s="6"/>
      <c r="SXL44" s="6"/>
      <c r="SXM44" s="6"/>
      <c r="SXN44" s="6"/>
      <c r="SXO44" s="6"/>
      <c r="SXP44" s="6"/>
      <c r="SXQ44" s="6"/>
      <c r="SXR44" s="6"/>
      <c r="SXS44" s="6"/>
      <c r="SXT44" s="6"/>
      <c r="SXU44" s="6"/>
      <c r="SXV44" s="6"/>
      <c r="SXW44" s="6"/>
      <c r="SXX44" s="6"/>
      <c r="SXY44" s="6"/>
      <c r="SXZ44" s="6"/>
      <c r="SYA44" s="6"/>
      <c r="SYB44" s="6"/>
      <c r="SYC44" s="6"/>
      <c r="SYD44" s="6"/>
      <c r="SYE44" s="6"/>
      <c r="SYF44" s="6"/>
      <c r="SYG44" s="6"/>
      <c r="SYH44" s="6"/>
      <c r="SYI44" s="6"/>
      <c r="SYJ44" s="6"/>
      <c r="SYK44" s="6"/>
      <c r="SYL44" s="6"/>
      <c r="SYM44" s="6"/>
      <c r="SYN44" s="6"/>
      <c r="SYO44" s="6"/>
      <c r="SYP44" s="6"/>
      <c r="SYQ44" s="6"/>
      <c r="SYR44" s="6"/>
      <c r="SYS44" s="6"/>
      <c r="SYT44" s="6"/>
      <c r="SYU44" s="6"/>
      <c r="SYV44" s="6"/>
      <c r="SYW44" s="6"/>
      <c r="SYX44" s="6"/>
      <c r="SYY44" s="6"/>
      <c r="SYZ44" s="6"/>
      <c r="SZA44" s="6"/>
      <c r="SZB44" s="6"/>
      <c r="SZC44" s="6"/>
      <c r="SZD44" s="6"/>
      <c r="SZE44" s="6"/>
      <c r="SZF44" s="6"/>
      <c r="SZG44" s="6"/>
      <c r="SZH44" s="6"/>
      <c r="SZI44" s="6"/>
      <c r="SZJ44" s="6"/>
      <c r="SZK44" s="6"/>
      <c r="SZL44" s="6"/>
      <c r="SZM44" s="6"/>
      <c r="SZN44" s="6"/>
      <c r="SZO44" s="6"/>
      <c r="SZP44" s="6"/>
      <c r="SZQ44" s="6"/>
      <c r="SZR44" s="6"/>
      <c r="SZS44" s="6"/>
      <c r="SZT44" s="6"/>
      <c r="SZU44" s="6"/>
      <c r="SZV44" s="6"/>
      <c r="SZW44" s="6"/>
      <c r="SZX44" s="6"/>
      <c r="SZY44" s="6"/>
      <c r="SZZ44" s="6"/>
      <c r="TAA44" s="6"/>
      <c r="TAB44" s="6"/>
      <c r="TAC44" s="6"/>
      <c r="TAD44" s="6"/>
      <c r="TAE44" s="6"/>
      <c r="TAF44" s="6"/>
      <c r="TAG44" s="6"/>
      <c r="TAH44" s="6"/>
      <c r="TAI44" s="6"/>
      <c r="TAJ44" s="6"/>
      <c r="TAK44" s="6"/>
      <c r="TAL44" s="6"/>
      <c r="TAM44" s="6"/>
      <c r="TAN44" s="6"/>
      <c r="TAO44" s="6"/>
      <c r="TAP44" s="6"/>
      <c r="TAQ44" s="6"/>
      <c r="TAR44" s="6"/>
      <c r="TAS44" s="6"/>
      <c r="TAT44" s="6"/>
      <c r="TAU44" s="6"/>
      <c r="TAV44" s="6"/>
      <c r="TAW44" s="6"/>
      <c r="TAX44" s="6"/>
      <c r="TAY44" s="6"/>
      <c r="TAZ44" s="6"/>
      <c r="TBA44" s="6"/>
      <c r="TBB44" s="6"/>
      <c r="TBC44" s="6"/>
      <c r="TBD44" s="6"/>
      <c r="TBE44" s="6"/>
      <c r="TBF44" s="6"/>
      <c r="TBG44" s="6"/>
      <c r="TBH44" s="6"/>
      <c r="TBI44" s="6"/>
      <c r="TBJ44" s="6"/>
      <c r="TBK44" s="6"/>
      <c r="TBL44" s="6"/>
      <c r="TBM44" s="6"/>
      <c r="TBN44" s="6"/>
      <c r="TBO44" s="6"/>
      <c r="TBP44" s="6"/>
      <c r="TBQ44" s="6"/>
      <c r="TBR44" s="6"/>
      <c r="TBS44" s="6"/>
      <c r="TBT44" s="6"/>
      <c r="TBU44" s="6"/>
      <c r="TBV44" s="6"/>
      <c r="TBW44" s="6"/>
      <c r="TBX44" s="6"/>
      <c r="TBY44" s="6"/>
      <c r="TBZ44" s="6"/>
      <c r="TCA44" s="6"/>
      <c r="TCB44" s="6"/>
      <c r="TCC44" s="6"/>
      <c r="TCD44" s="6"/>
      <c r="TCE44" s="6"/>
      <c r="TCF44" s="6"/>
      <c r="TCG44" s="6"/>
      <c r="TCH44" s="6"/>
      <c r="TCI44" s="6"/>
      <c r="TCJ44" s="6"/>
      <c r="TCK44" s="6"/>
      <c r="TCL44" s="6"/>
      <c r="TCM44" s="6"/>
      <c r="TCN44" s="6"/>
      <c r="TCO44" s="6"/>
      <c r="TCP44" s="6"/>
      <c r="TCQ44" s="6"/>
      <c r="TCR44" s="6"/>
      <c r="TCS44" s="6"/>
      <c r="TCT44" s="6"/>
      <c r="TCU44" s="6"/>
      <c r="TCV44" s="6"/>
      <c r="TCW44" s="6"/>
      <c r="TCX44" s="6"/>
      <c r="TCY44" s="6"/>
      <c r="TCZ44" s="6"/>
      <c r="TDA44" s="6"/>
      <c r="TDB44" s="6"/>
      <c r="TDC44" s="6"/>
      <c r="TDD44" s="6"/>
      <c r="TDE44" s="6"/>
      <c r="TDF44" s="6"/>
      <c r="TDG44" s="6"/>
      <c r="TDH44" s="6"/>
      <c r="TDI44" s="6"/>
      <c r="TDJ44" s="6"/>
      <c r="TDK44" s="6"/>
      <c r="TDL44" s="6"/>
      <c r="TDM44" s="6"/>
      <c r="TDN44" s="6"/>
      <c r="TDO44" s="6"/>
      <c r="TDP44" s="6"/>
      <c r="TDQ44" s="6"/>
      <c r="TDR44" s="6"/>
      <c r="TDS44" s="6"/>
      <c r="TDT44" s="6"/>
      <c r="TDU44" s="6"/>
      <c r="TDV44" s="6"/>
      <c r="TDW44" s="6"/>
      <c r="TDX44" s="6"/>
      <c r="TDY44" s="6"/>
      <c r="TDZ44" s="6"/>
      <c r="TEA44" s="6"/>
      <c r="TEB44" s="6"/>
      <c r="TEC44" s="6"/>
      <c r="TED44" s="6"/>
      <c r="TEE44" s="6"/>
      <c r="TEF44" s="6"/>
      <c r="TEG44" s="6"/>
      <c r="TEH44" s="6"/>
      <c r="TEI44" s="6"/>
      <c r="TEJ44" s="6"/>
      <c r="TEK44" s="6"/>
      <c r="TEL44" s="6"/>
      <c r="TEM44" s="6"/>
      <c r="TEN44" s="6"/>
      <c r="TEO44" s="6"/>
      <c r="TEP44" s="6"/>
      <c r="TEQ44" s="6"/>
      <c r="TER44" s="6"/>
      <c r="TES44" s="6"/>
      <c r="TET44" s="6"/>
      <c r="TEU44" s="6"/>
      <c r="TEV44" s="6"/>
      <c r="TEW44" s="6"/>
      <c r="TEX44" s="6"/>
      <c r="TEY44" s="6"/>
      <c r="TEZ44" s="6"/>
      <c r="TFA44" s="6"/>
      <c r="TFB44" s="6"/>
      <c r="TFC44" s="6"/>
      <c r="TFD44" s="6"/>
      <c r="TFE44" s="6"/>
      <c r="TFF44" s="6"/>
      <c r="TFG44" s="6"/>
      <c r="TFH44" s="6"/>
      <c r="TFI44" s="6"/>
      <c r="TFJ44" s="6"/>
      <c r="TFK44" s="6"/>
      <c r="TFL44" s="6"/>
      <c r="TFM44" s="6"/>
      <c r="TFN44" s="6"/>
      <c r="TFO44" s="6"/>
      <c r="TFP44" s="6"/>
      <c r="TFQ44" s="6"/>
      <c r="TFR44" s="6"/>
      <c r="TFS44" s="6"/>
      <c r="TFT44" s="6"/>
      <c r="TFU44" s="6"/>
      <c r="TFV44" s="6"/>
      <c r="TFW44" s="6"/>
      <c r="TFX44" s="6"/>
      <c r="TFY44" s="6"/>
      <c r="TFZ44" s="6"/>
      <c r="TGA44" s="6"/>
      <c r="TGB44" s="6"/>
      <c r="TGC44" s="6"/>
      <c r="TGD44" s="6"/>
      <c r="TGE44" s="6"/>
      <c r="TGF44" s="6"/>
      <c r="TGG44" s="6"/>
      <c r="TGH44" s="6"/>
      <c r="TGI44" s="6"/>
      <c r="TGJ44" s="6"/>
      <c r="TGK44" s="6"/>
      <c r="TGL44" s="6"/>
      <c r="TGM44" s="6"/>
      <c r="TGN44" s="6"/>
      <c r="TGO44" s="6"/>
      <c r="TGP44" s="6"/>
      <c r="TGQ44" s="6"/>
      <c r="TGR44" s="6"/>
      <c r="TGS44" s="6"/>
      <c r="TGT44" s="6"/>
      <c r="TGU44" s="6"/>
      <c r="TGV44" s="6"/>
      <c r="TGW44" s="6"/>
      <c r="TGX44" s="6"/>
      <c r="TGY44" s="6"/>
      <c r="TGZ44" s="6"/>
      <c r="THA44" s="6"/>
      <c r="THB44" s="6"/>
      <c r="THC44" s="6"/>
      <c r="THD44" s="6"/>
      <c r="THE44" s="6"/>
      <c r="THF44" s="6"/>
      <c r="THG44" s="6"/>
      <c r="THH44" s="6"/>
      <c r="THI44" s="6"/>
      <c r="THJ44" s="6"/>
      <c r="THK44" s="6"/>
      <c r="THL44" s="6"/>
      <c r="THM44" s="6"/>
      <c r="THN44" s="6"/>
      <c r="THO44" s="6"/>
      <c r="THP44" s="6"/>
      <c r="THQ44" s="6"/>
      <c r="THR44" s="6"/>
      <c r="THS44" s="6"/>
      <c r="THT44" s="6"/>
      <c r="THU44" s="6"/>
      <c r="THV44" s="6"/>
      <c r="THW44" s="6"/>
      <c r="THX44" s="6"/>
      <c r="THY44" s="6"/>
      <c r="THZ44" s="6"/>
      <c r="TIA44" s="6"/>
      <c r="TIB44" s="6"/>
      <c r="TIC44" s="6"/>
      <c r="TID44" s="6"/>
      <c r="TIE44" s="6"/>
      <c r="TIF44" s="6"/>
      <c r="TIG44" s="6"/>
      <c r="TIH44" s="6"/>
      <c r="TII44" s="6"/>
      <c r="TIJ44" s="6"/>
      <c r="TIK44" s="6"/>
      <c r="TIL44" s="6"/>
      <c r="TIM44" s="6"/>
      <c r="TIN44" s="6"/>
      <c r="TIO44" s="6"/>
      <c r="TIP44" s="6"/>
      <c r="TIQ44" s="6"/>
      <c r="TIR44" s="6"/>
      <c r="TIS44" s="6"/>
      <c r="TIT44" s="6"/>
      <c r="TIU44" s="6"/>
      <c r="TIV44" s="6"/>
      <c r="TIW44" s="6"/>
      <c r="TIX44" s="6"/>
      <c r="TIY44" s="6"/>
      <c r="TIZ44" s="6"/>
      <c r="TJA44" s="6"/>
      <c r="TJB44" s="6"/>
      <c r="TJC44" s="6"/>
      <c r="TJD44" s="6"/>
      <c r="TJE44" s="6"/>
      <c r="TJF44" s="6"/>
      <c r="TJG44" s="6"/>
      <c r="TJH44" s="6"/>
      <c r="TJI44" s="6"/>
      <c r="TJJ44" s="6"/>
      <c r="TJK44" s="6"/>
      <c r="TJL44" s="6"/>
      <c r="TJM44" s="6"/>
      <c r="TJN44" s="6"/>
      <c r="TJO44" s="6"/>
      <c r="TJP44" s="6"/>
      <c r="TJQ44" s="6"/>
      <c r="TJR44" s="6"/>
      <c r="TJS44" s="6"/>
      <c r="TJT44" s="6"/>
      <c r="TJU44" s="6"/>
      <c r="TJV44" s="6"/>
      <c r="TJW44" s="6"/>
      <c r="TJX44" s="6"/>
      <c r="TJY44" s="6"/>
      <c r="TJZ44" s="6"/>
      <c r="TKA44" s="6"/>
      <c r="TKB44" s="6"/>
      <c r="TKC44" s="6"/>
      <c r="TKD44" s="6"/>
      <c r="TKE44" s="6"/>
      <c r="TKF44" s="6"/>
      <c r="TKG44" s="6"/>
      <c r="TKH44" s="6"/>
      <c r="TKI44" s="6"/>
      <c r="TKJ44" s="6"/>
      <c r="TKK44" s="6"/>
      <c r="TKL44" s="6"/>
      <c r="TKM44" s="6"/>
      <c r="TKN44" s="6"/>
      <c r="TKO44" s="6"/>
      <c r="TKP44" s="6"/>
      <c r="TKQ44" s="6"/>
      <c r="TKR44" s="6"/>
      <c r="TKS44" s="6"/>
      <c r="TKT44" s="6"/>
      <c r="TKU44" s="6"/>
      <c r="TKV44" s="6"/>
      <c r="TKW44" s="6"/>
      <c r="TKX44" s="6"/>
      <c r="TKY44" s="6"/>
      <c r="TKZ44" s="6"/>
      <c r="TLA44" s="6"/>
      <c r="TLB44" s="6"/>
      <c r="TLC44" s="6"/>
      <c r="TLD44" s="6"/>
      <c r="TLE44" s="6"/>
      <c r="TLF44" s="6"/>
      <c r="TLG44" s="6"/>
      <c r="TLH44" s="6"/>
      <c r="TLI44" s="6"/>
      <c r="TLJ44" s="6"/>
      <c r="TLK44" s="6"/>
      <c r="TLL44" s="6"/>
      <c r="TLM44" s="6"/>
      <c r="TLN44" s="6"/>
      <c r="TLO44" s="6"/>
      <c r="TLP44" s="6"/>
      <c r="TLQ44" s="6"/>
      <c r="TLR44" s="6"/>
      <c r="TLS44" s="6"/>
      <c r="TLT44" s="6"/>
      <c r="TLU44" s="6"/>
      <c r="TLV44" s="6"/>
      <c r="TLW44" s="6"/>
      <c r="TLX44" s="6"/>
      <c r="TLY44" s="6"/>
      <c r="TLZ44" s="6"/>
      <c r="TMA44" s="6"/>
      <c r="TMB44" s="6"/>
      <c r="TMC44" s="6"/>
      <c r="TMD44" s="6"/>
      <c r="TME44" s="6"/>
      <c r="TMF44" s="6"/>
      <c r="TMG44" s="6"/>
      <c r="TMH44" s="6"/>
      <c r="TMI44" s="6"/>
      <c r="TMJ44" s="6"/>
      <c r="TMK44" s="6"/>
      <c r="TML44" s="6"/>
      <c r="TMM44" s="6"/>
      <c r="TMN44" s="6"/>
      <c r="TMO44" s="6"/>
      <c r="TMP44" s="6"/>
      <c r="TMQ44" s="6"/>
      <c r="TMR44" s="6"/>
      <c r="TMS44" s="6"/>
      <c r="TMT44" s="6"/>
      <c r="TMU44" s="6"/>
      <c r="TMV44" s="6"/>
      <c r="TMW44" s="6"/>
      <c r="TMX44" s="6"/>
      <c r="TMY44" s="6"/>
      <c r="TMZ44" s="6"/>
      <c r="TNA44" s="6"/>
      <c r="TNB44" s="6"/>
      <c r="TNC44" s="6"/>
      <c r="TND44" s="6"/>
      <c r="TNE44" s="6"/>
      <c r="TNF44" s="6"/>
      <c r="TNG44" s="6"/>
      <c r="TNH44" s="6"/>
      <c r="TNI44" s="6"/>
      <c r="TNJ44" s="6"/>
      <c r="TNK44" s="6"/>
      <c r="TNL44" s="6"/>
      <c r="TNM44" s="6"/>
      <c r="TNN44" s="6"/>
      <c r="TNO44" s="6"/>
      <c r="TNP44" s="6"/>
      <c r="TNQ44" s="6"/>
      <c r="TNR44" s="6"/>
      <c r="TNS44" s="6"/>
      <c r="TNT44" s="6"/>
      <c r="TNU44" s="6"/>
      <c r="TNV44" s="6"/>
      <c r="TNW44" s="6"/>
      <c r="TNX44" s="6"/>
      <c r="TNY44" s="6"/>
      <c r="TNZ44" s="6"/>
      <c r="TOA44" s="6"/>
      <c r="TOB44" s="6"/>
      <c r="TOC44" s="6"/>
      <c r="TOD44" s="6"/>
      <c r="TOE44" s="6"/>
      <c r="TOF44" s="6"/>
      <c r="TOG44" s="6"/>
      <c r="TOH44" s="6"/>
      <c r="TOI44" s="6"/>
      <c r="TOJ44" s="6"/>
      <c r="TOK44" s="6"/>
      <c r="TOL44" s="6"/>
      <c r="TOM44" s="6"/>
      <c r="TON44" s="6"/>
      <c r="TOO44" s="6"/>
      <c r="TOP44" s="6"/>
      <c r="TOQ44" s="6"/>
      <c r="TOR44" s="6"/>
      <c r="TOS44" s="6"/>
      <c r="TOT44" s="6"/>
      <c r="TOU44" s="6"/>
      <c r="TOV44" s="6"/>
      <c r="TOW44" s="6"/>
      <c r="TOX44" s="6"/>
      <c r="TOY44" s="6"/>
      <c r="TOZ44" s="6"/>
      <c r="TPA44" s="6"/>
      <c r="TPB44" s="6"/>
      <c r="TPC44" s="6"/>
      <c r="TPD44" s="6"/>
      <c r="TPE44" s="6"/>
      <c r="TPF44" s="6"/>
      <c r="TPG44" s="6"/>
      <c r="TPH44" s="6"/>
      <c r="TPI44" s="6"/>
      <c r="TPJ44" s="6"/>
      <c r="TPK44" s="6"/>
      <c r="TPL44" s="6"/>
      <c r="TPM44" s="6"/>
      <c r="TPN44" s="6"/>
      <c r="TPO44" s="6"/>
      <c r="TPP44" s="6"/>
      <c r="TPQ44" s="6"/>
      <c r="TPR44" s="6"/>
      <c r="TPS44" s="6"/>
      <c r="TPT44" s="6"/>
      <c r="TPU44" s="6"/>
      <c r="TPV44" s="6"/>
      <c r="TPW44" s="6"/>
      <c r="TPX44" s="6"/>
      <c r="TPY44" s="6"/>
      <c r="TPZ44" s="6"/>
      <c r="TQA44" s="6"/>
      <c r="TQB44" s="6"/>
      <c r="TQC44" s="6"/>
      <c r="TQD44" s="6"/>
      <c r="TQE44" s="6"/>
      <c r="TQF44" s="6"/>
      <c r="TQG44" s="6"/>
      <c r="TQH44" s="6"/>
      <c r="TQI44" s="6"/>
      <c r="TQJ44" s="6"/>
      <c r="TQK44" s="6"/>
      <c r="TQL44" s="6"/>
      <c r="TQM44" s="6"/>
      <c r="TQN44" s="6"/>
      <c r="TQO44" s="6"/>
      <c r="TQP44" s="6"/>
      <c r="TQQ44" s="6"/>
      <c r="TQR44" s="6"/>
      <c r="TQS44" s="6"/>
      <c r="TQT44" s="6"/>
      <c r="TQU44" s="6"/>
      <c r="TQV44" s="6"/>
      <c r="TQW44" s="6"/>
      <c r="TQX44" s="6"/>
      <c r="TQY44" s="6"/>
      <c r="TQZ44" s="6"/>
      <c r="TRA44" s="6"/>
      <c r="TRB44" s="6"/>
      <c r="TRC44" s="6"/>
      <c r="TRD44" s="6"/>
      <c r="TRE44" s="6"/>
      <c r="TRF44" s="6"/>
      <c r="TRG44" s="6"/>
      <c r="TRH44" s="6"/>
      <c r="TRI44" s="6"/>
      <c r="TRJ44" s="6"/>
      <c r="TRK44" s="6"/>
      <c r="TRL44" s="6"/>
      <c r="TRM44" s="6"/>
      <c r="TRN44" s="6"/>
      <c r="TRO44" s="6"/>
      <c r="TRP44" s="6"/>
      <c r="TRQ44" s="6"/>
      <c r="TRR44" s="6"/>
      <c r="TRS44" s="6"/>
      <c r="TRT44" s="6"/>
      <c r="TRU44" s="6"/>
      <c r="TRV44" s="6"/>
      <c r="TRW44" s="6"/>
      <c r="TRX44" s="6"/>
      <c r="TRY44" s="6"/>
      <c r="TRZ44" s="6"/>
      <c r="TSA44" s="6"/>
      <c r="TSB44" s="6"/>
      <c r="TSC44" s="6"/>
      <c r="TSD44" s="6"/>
      <c r="TSE44" s="6"/>
      <c r="TSF44" s="6"/>
      <c r="TSG44" s="6"/>
      <c r="TSH44" s="6"/>
      <c r="TSI44" s="6"/>
      <c r="TSJ44" s="6"/>
      <c r="TSK44" s="6"/>
      <c r="TSL44" s="6"/>
      <c r="TSM44" s="6"/>
      <c r="TSN44" s="6"/>
      <c r="TSO44" s="6"/>
      <c r="TSP44" s="6"/>
      <c r="TSQ44" s="6"/>
      <c r="TSR44" s="6"/>
      <c r="TSS44" s="6"/>
      <c r="TST44" s="6"/>
      <c r="TSU44" s="6"/>
      <c r="TSV44" s="6"/>
      <c r="TSW44" s="6"/>
      <c r="TSX44" s="6"/>
      <c r="TSY44" s="6"/>
      <c r="TSZ44" s="6"/>
      <c r="TTA44" s="6"/>
      <c r="TTB44" s="6"/>
      <c r="TTC44" s="6"/>
      <c r="TTD44" s="6"/>
      <c r="TTE44" s="6"/>
      <c r="TTF44" s="6"/>
      <c r="TTG44" s="6"/>
      <c r="TTH44" s="6"/>
      <c r="TTI44" s="6"/>
      <c r="TTJ44" s="6"/>
      <c r="TTK44" s="6"/>
      <c r="TTL44" s="6"/>
      <c r="TTM44" s="6"/>
      <c r="TTN44" s="6"/>
      <c r="TTO44" s="6"/>
      <c r="TTP44" s="6"/>
      <c r="TTQ44" s="6"/>
      <c r="TTR44" s="6"/>
      <c r="TTS44" s="6"/>
      <c r="TTT44" s="6"/>
      <c r="TTU44" s="6"/>
      <c r="TTV44" s="6"/>
      <c r="TTW44" s="6"/>
      <c r="TTX44" s="6"/>
      <c r="TTY44" s="6"/>
      <c r="TTZ44" s="6"/>
      <c r="TUA44" s="6"/>
      <c r="TUB44" s="6"/>
      <c r="TUC44" s="6"/>
      <c r="TUD44" s="6"/>
      <c r="TUE44" s="6"/>
      <c r="TUF44" s="6"/>
      <c r="TUG44" s="6"/>
      <c r="TUH44" s="6"/>
      <c r="TUI44" s="6"/>
      <c r="TUJ44" s="6"/>
      <c r="TUK44" s="6"/>
      <c r="TUL44" s="6"/>
      <c r="TUM44" s="6"/>
      <c r="TUN44" s="6"/>
      <c r="TUO44" s="6"/>
      <c r="TUP44" s="6"/>
      <c r="TUQ44" s="6"/>
      <c r="TUR44" s="6"/>
      <c r="TUS44" s="6"/>
      <c r="TUT44" s="6"/>
      <c r="TUU44" s="6"/>
      <c r="TUV44" s="6"/>
      <c r="TUW44" s="6"/>
      <c r="TUX44" s="6"/>
      <c r="TUY44" s="6"/>
      <c r="TUZ44" s="6"/>
      <c r="TVA44" s="6"/>
      <c r="TVB44" s="6"/>
      <c r="TVC44" s="6"/>
      <c r="TVD44" s="6"/>
      <c r="TVE44" s="6"/>
      <c r="TVF44" s="6"/>
      <c r="TVG44" s="6"/>
      <c r="TVH44" s="6"/>
      <c r="TVI44" s="6"/>
      <c r="TVJ44" s="6"/>
      <c r="TVK44" s="6"/>
      <c r="TVL44" s="6"/>
      <c r="TVM44" s="6"/>
      <c r="TVN44" s="6"/>
      <c r="TVO44" s="6"/>
      <c r="TVP44" s="6"/>
      <c r="TVQ44" s="6"/>
      <c r="TVR44" s="6"/>
      <c r="TVS44" s="6"/>
      <c r="TVT44" s="6"/>
      <c r="TVU44" s="6"/>
      <c r="TVV44" s="6"/>
      <c r="TVW44" s="6"/>
      <c r="TVX44" s="6"/>
      <c r="TVY44" s="6"/>
      <c r="TVZ44" s="6"/>
      <c r="TWA44" s="6"/>
      <c r="TWB44" s="6"/>
      <c r="TWC44" s="6"/>
      <c r="TWD44" s="6"/>
      <c r="TWE44" s="6"/>
      <c r="TWF44" s="6"/>
      <c r="TWG44" s="6"/>
      <c r="TWH44" s="6"/>
      <c r="TWI44" s="6"/>
      <c r="TWJ44" s="6"/>
      <c r="TWK44" s="6"/>
      <c r="TWL44" s="6"/>
      <c r="TWM44" s="6"/>
      <c r="TWN44" s="6"/>
      <c r="TWO44" s="6"/>
      <c r="TWP44" s="6"/>
      <c r="TWQ44" s="6"/>
      <c r="TWR44" s="6"/>
      <c r="TWS44" s="6"/>
      <c r="TWT44" s="6"/>
      <c r="TWU44" s="6"/>
      <c r="TWV44" s="6"/>
      <c r="TWW44" s="6"/>
      <c r="TWX44" s="6"/>
      <c r="TWY44" s="6"/>
      <c r="TWZ44" s="6"/>
      <c r="TXA44" s="6"/>
      <c r="TXB44" s="6"/>
      <c r="TXC44" s="6"/>
      <c r="TXD44" s="6"/>
      <c r="TXE44" s="6"/>
      <c r="TXF44" s="6"/>
      <c r="TXG44" s="6"/>
      <c r="TXH44" s="6"/>
      <c r="TXI44" s="6"/>
      <c r="TXJ44" s="6"/>
      <c r="TXK44" s="6"/>
      <c r="TXL44" s="6"/>
      <c r="TXM44" s="6"/>
      <c r="TXN44" s="6"/>
      <c r="TXO44" s="6"/>
      <c r="TXP44" s="6"/>
      <c r="TXQ44" s="6"/>
      <c r="TXR44" s="6"/>
      <c r="TXS44" s="6"/>
      <c r="TXT44" s="6"/>
      <c r="TXU44" s="6"/>
      <c r="TXV44" s="6"/>
      <c r="TXW44" s="6"/>
      <c r="TXX44" s="6"/>
      <c r="TXY44" s="6"/>
      <c r="TXZ44" s="6"/>
      <c r="TYA44" s="6"/>
      <c r="TYB44" s="6"/>
      <c r="TYC44" s="6"/>
      <c r="TYD44" s="6"/>
      <c r="TYE44" s="6"/>
      <c r="TYF44" s="6"/>
      <c r="TYG44" s="6"/>
      <c r="TYH44" s="6"/>
      <c r="TYI44" s="6"/>
      <c r="TYJ44" s="6"/>
      <c r="TYK44" s="6"/>
      <c r="TYL44" s="6"/>
      <c r="TYM44" s="6"/>
      <c r="TYN44" s="6"/>
      <c r="TYO44" s="6"/>
      <c r="TYP44" s="6"/>
      <c r="TYQ44" s="6"/>
      <c r="TYR44" s="6"/>
      <c r="TYS44" s="6"/>
      <c r="TYT44" s="6"/>
      <c r="TYU44" s="6"/>
      <c r="TYV44" s="6"/>
      <c r="TYW44" s="6"/>
      <c r="TYX44" s="6"/>
      <c r="TYY44" s="6"/>
      <c r="TYZ44" s="6"/>
      <c r="TZA44" s="6"/>
      <c r="TZB44" s="6"/>
      <c r="TZC44" s="6"/>
      <c r="TZD44" s="6"/>
      <c r="TZE44" s="6"/>
      <c r="TZF44" s="6"/>
      <c r="TZG44" s="6"/>
      <c r="TZH44" s="6"/>
      <c r="TZI44" s="6"/>
      <c r="TZJ44" s="6"/>
      <c r="TZK44" s="6"/>
      <c r="TZL44" s="6"/>
      <c r="TZM44" s="6"/>
      <c r="TZN44" s="6"/>
      <c r="TZO44" s="6"/>
      <c r="TZP44" s="6"/>
      <c r="TZQ44" s="6"/>
      <c r="TZR44" s="6"/>
      <c r="TZS44" s="6"/>
      <c r="TZT44" s="6"/>
      <c r="TZU44" s="6"/>
      <c r="TZV44" s="6"/>
      <c r="TZW44" s="6"/>
      <c r="TZX44" s="6"/>
      <c r="TZY44" s="6"/>
      <c r="TZZ44" s="6"/>
      <c r="UAA44" s="6"/>
      <c r="UAB44" s="6"/>
      <c r="UAC44" s="6"/>
      <c r="UAD44" s="6"/>
      <c r="UAE44" s="6"/>
      <c r="UAF44" s="6"/>
      <c r="UAG44" s="6"/>
      <c r="UAH44" s="6"/>
      <c r="UAI44" s="6"/>
      <c r="UAJ44" s="6"/>
      <c r="UAK44" s="6"/>
      <c r="UAL44" s="6"/>
      <c r="UAM44" s="6"/>
      <c r="UAN44" s="6"/>
      <c r="UAO44" s="6"/>
      <c r="UAP44" s="6"/>
      <c r="UAQ44" s="6"/>
      <c r="UAR44" s="6"/>
      <c r="UAS44" s="6"/>
      <c r="UAT44" s="6"/>
      <c r="UAU44" s="6"/>
      <c r="UAV44" s="6"/>
      <c r="UAW44" s="6"/>
      <c r="UAX44" s="6"/>
      <c r="UAY44" s="6"/>
      <c r="UAZ44" s="6"/>
      <c r="UBA44" s="6"/>
      <c r="UBB44" s="6"/>
      <c r="UBC44" s="6"/>
      <c r="UBD44" s="6"/>
      <c r="UBE44" s="6"/>
      <c r="UBF44" s="6"/>
      <c r="UBG44" s="6"/>
      <c r="UBH44" s="6"/>
      <c r="UBI44" s="6"/>
      <c r="UBJ44" s="6"/>
      <c r="UBK44" s="6"/>
      <c r="UBL44" s="6"/>
      <c r="UBM44" s="6"/>
      <c r="UBN44" s="6"/>
      <c r="UBO44" s="6"/>
      <c r="UBP44" s="6"/>
      <c r="UBQ44" s="6"/>
      <c r="UBR44" s="6"/>
      <c r="UBS44" s="6"/>
      <c r="UBT44" s="6"/>
      <c r="UBU44" s="6"/>
      <c r="UBV44" s="6"/>
      <c r="UBW44" s="6"/>
      <c r="UBX44" s="6"/>
      <c r="UBY44" s="6"/>
      <c r="UBZ44" s="6"/>
      <c r="UCA44" s="6"/>
      <c r="UCB44" s="6"/>
      <c r="UCC44" s="6"/>
      <c r="UCD44" s="6"/>
      <c r="UCE44" s="6"/>
      <c r="UCF44" s="6"/>
      <c r="UCG44" s="6"/>
      <c r="UCH44" s="6"/>
      <c r="UCI44" s="6"/>
      <c r="UCJ44" s="6"/>
      <c r="UCK44" s="6"/>
      <c r="UCL44" s="6"/>
      <c r="UCM44" s="6"/>
      <c r="UCN44" s="6"/>
      <c r="UCO44" s="6"/>
      <c r="UCP44" s="6"/>
      <c r="UCQ44" s="6"/>
      <c r="UCR44" s="6"/>
      <c r="UCS44" s="6"/>
      <c r="UCT44" s="6"/>
      <c r="UCU44" s="6"/>
      <c r="UCV44" s="6"/>
      <c r="UCW44" s="6"/>
      <c r="UCX44" s="6"/>
      <c r="UCY44" s="6"/>
      <c r="UCZ44" s="6"/>
      <c r="UDA44" s="6"/>
      <c r="UDB44" s="6"/>
      <c r="UDC44" s="6"/>
      <c r="UDD44" s="6"/>
      <c r="UDE44" s="6"/>
      <c r="UDF44" s="6"/>
      <c r="UDG44" s="6"/>
      <c r="UDH44" s="6"/>
      <c r="UDI44" s="6"/>
      <c r="UDJ44" s="6"/>
      <c r="UDK44" s="6"/>
      <c r="UDL44" s="6"/>
      <c r="UDM44" s="6"/>
      <c r="UDN44" s="6"/>
      <c r="UDO44" s="6"/>
      <c r="UDP44" s="6"/>
      <c r="UDQ44" s="6"/>
      <c r="UDR44" s="6"/>
      <c r="UDS44" s="6"/>
      <c r="UDT44" s="6"/>
      <c r="UDU44" s="6"/>
      <c r="UDV44" s="6"/>
      <c r="UDW44" s="6"/>
      <c r="UDX44" s="6"/>
      <c r="UDY44" s="6"/>
      <c r="UDZ44" s="6"/>
      <c r="UEA44" s="6"/>
      <c r="UEB44" s="6"/>
      <c r="UEC44" s="6"/>
      <c r="UED44" s="6"/>
      <c r="UEE44" s="6"/>
      <c r="UEF44" s="6"/>
      <c r="UEG44" s="6"/>
      <c r="UEH44" s="6"/>
      <c r="UEI44" s="6"/>
      <c r="UEJ44" s="6"/>
      <c r="UEK44" s="6"/>
      <c r="UEL44" s="6"/>
      <c r="UEM44" s="6"/>
      <c r="UEN44" s="6"/>
      <c r="UEO44" s="6"/>
      <c r="UEP44" s="6"/>
      <c r="UEQ44" s="6"/>
      <c r="UER44" s="6"/>
      <c r="UES44" s="6"/>
      <c r="UET44" s="6"/>
      <c r="UEU44" s="6"/>
      <c r="UEV44" s="6"/>
      <c r="UEW44" s="6"/>
      <c r="UEX44" s="6"/>
      <c r="UEY44" s="6"/>
      <c r="UEZ44" s="6"/>
      <c r="UFA44" s="6"/>
      <c r="UFB44" s="6"/>
      <c r="UFC44" s="6"/>
      <c r="UFD44" s="6"/>
      <c r="UFE44" s="6"/>
      <c r="UFF44" s="6"/>
      <c r="UFG44" s="6"/>
      <c r="UFH44" s="6"/>
      <c r="UFI44" s="6"/>
      <c r="UFJ44" s="6"/>
      <c r="UFK44" s="6"/>
      <c r="UFL44" s="6"/>
      <c r="UFM44" s="6"/>
      <c r="UFN44" s="6"/>
      <c r="UFO44" s="6"/>
      <c r="UFP44" s="6"/>
      <c r="UFQ44" s="6"/>
      <c r="UFR44" s="6"/>
      <c r="UFS44" s="6"/>
      <c r="UFT44" s="6"/>
      <c r="UFU44" s="6"/>
      <c r="UFV44" s="6"/>
      <c r="UFW44" s="6"/>
      <c r="UFX44" s="6"/>
      <c r="UFY44" s="6"/>
      <c r="UFZ44" s="6"/>
      <c r="UGA44" s="6"/>
      <c r="UGB44" s="6"/>
      <c r="UGC44" s="6"/>
      <c r="UGD44" s="6"/>
      <c r="UGE44" s="6"/>
      <c r="UGF44" s="6"/>
      <c r="UGG44" s="6"/>
      <c r="UGH44" s="6"/>
      <c r="UGI44" s="6"/>
      <c r="UGJ44" s="6"/>
      <c r="UGK44" s="6"/>
      <c r="UGL44" s="6"/>
      <c r="UGM44" s="6"/>
      <c r="UGN44" s="6"/>
      <c r="UGO44" s="6"/>
      <c r="UGP44" s="6"/>
      <c r="UGQ44" s="6"/>
      <c r="UGR44" s="6"/>
      <c r="UGS44" s="6"/>
      <c r="UGT44" s="6"/>
      <c r="UGU44" s="6"/>
      <c r="UGV44" s="6"/>
      <c r="UGW44" s="6"/>
      <c r="UGX44" s="6"/>
      <c r="UGY44" s="6"/>
      <c r="UGZ44" s="6"/>
      <c r="UHA44" s="6"/>
      <c r="UHB44" s="6"/>
      <c r="UHC44" s="6"/>
      <c r="UHD44" s="6"/>
      <c r="UHE44" s="6"/>
      <c r="UHF44" s="6"/>
      <c r="UHG44" s="6"/>
      <c r="UHH44" s="6"/>
      <c r="UHI44" s="6"/>
      <c r="UHJ44" s="6"/>
      <c r="UHK44" s="6"/>
      <c r="UHL44" s="6"/>
      <c r="UHM44" s="6"/>
      <c r="UHN44" s="6"/>
      <c r="UHO44" s="6"/>
      <c r="UHP44" s="6"/>
      <c r="UHQ44" s="6"/>
      <c r="UHR44" s="6"/>
      <c r="UHS44" s="6"/>
      <c r="UHT44" s="6"/>
      <c r="UHU44" s="6"/>
      <c r="UHV44" s="6"/>
      <c r="UHW44" s="6"/>
      <c r="UHX44" s="6"/>
      <c r="UHY44" s="6"/>
      <c r="UHZ44" s="6"/>
      <c r="UIA44" s="6"/>
      <c r="UIB44" s="6"/>
      <c r="UIC44" s="6"/>
      <c r="UID44" s="6"/>
      <c r="UIE44" s="6"/>
      <c r="UIF44" s="6"/>
      <c r="UIG44" s="6"/>
      <c r="UIH44" s="6"/>
      <c r="UII44" s="6"/>
      <c r="UIJ44" s="6"/>
      <c r="UIK44" s="6"/>
      <c r="UIL44" s="6"/>
      <c r="UIM44" s="6"/>
      <c r="UIN44" s="6"/>
      <c r="UIO44" s="6"/>
      <c r="UIP44" s="6"/>
      <c r="UIQ44" s="6"/>
      <c r="UIR44" s="6"/>
      <c r="UIS44" s="6"/>
      <c r="UIT44" s="6"/>
      <c r="UIU44" s="6"/>
      <c r="UIV44" s="6"/>
      <c r="UIW44" s="6"/>
      <c r="UIX44" s="6"/>
      <c r="UIY44" s="6"/>
      <c r="UIZ44" s="6"/>
      <c r="UJA44" s="6"/>
      <c r="UJB44" s="6"/>
      <c r="UJC44" s="6"/>
      <c r="UJD44" s="6"/>
      <c r="UJE44" s="6"/>
      <c r="UJF44" s="6"/>
      <c r="UJG44" s="6"/>
      <c r="UJH44" s="6"/>
      <c r="UJI44" s="6"/>
      <c r="UJJ44" s="6"/>
      <c r="UJK44" s="6"/>
      <c r="UJL44" s="6"/>
      <c r="UJM44" s="6"/>
      <c r="UJN44" s="6"/>
      <c r="UJO44" s="6"/>
      <c r="UJP44" s="6"/>
      <c r="UJQ44" s="6"/>
      <c r="UJR44" s="6"/>
      <c r="UJS44" s="6"/>
      <c r="UJT44" s="6"/>
      <c r="UJU44" s="6"/>
      <c r="UJV44" s="6"/>
      <c r="UJW44" s="6"/>
      <c r="UJX44" s="6"/>
      <c r="UJY44" s="6"/>
      <c r="UJZ44" s="6"/>
      <c r="UKA44" s="6"/>
      <c r="UKB44" s="6"/>
      <c r="UKC44" s="6"/>
      <c r="UKD44" s="6"/>
      <c r="UKE44" s="6"/>
      <c r="UKF44" s="6"/>
      <c r="UKG44" s="6"/>
      <c r="UKH44" s="6"/>
      <c r="UKI44" s="6"/>
      <c r="UKJ44" s="6"/>
      <c r="UKK44" s="6"/>
      <c r="UKL44" s="6"/>
      <c r="UKM44" s="6"/>
      <c r="UKN44" s="6"/>
      <c r="UKO44" s="6"/>
      <c r="UKP44" s="6"/>
      <c r="UKQ44" s="6"/>
      <c r="UKR44" s="6"/>
      <c r="UKS44" s="6"/>
      <c r="UKT44" s="6"/>
      <c r="UKU44" s="6"/>
      <c r="UKV44" s="6"/>
      <c r="UKW44" s="6"/>
      <c r="UKX44" s="6"/>
      <c r="UKY44" s="6"/>
      <c r="UKZ44" s="6"/>
      <c r="ULA44" s="6"/>
      <c r="ULB44" s="6"/>
      <c r="ULC44" s="6"/>
      <c r="ULD44" s="6"/>
      <c r="ULE44" s="6"/>
      <c r="ULF44" s="6"/>
      <c r="ULG44" s="6"/>
      <c r="ULH44" s="6"/>
      <c r="ULI44" s="6"/>
      <c r="ULJ44" s="6"/>
      <c r="ULK44" s="6"/>
      <c r="ULL44" s="6"/>
      <c r="ULM44" s="6"/>
      <c r="ULN44" s="6"/>
      <c r="ULO44" s="6"/>
      <c r="ULP44" s="6"/>
      <c r="ULQ44" s="6"/>
      <c r="ULR44" s="6"/>
      <c r="ULS44" s="6"/>
      <c r="ULT44" s="6"/>
      <c r="ULU44" s="6"/>
      <c r="ULV44" s="6"/>
      <c r="ULW44" s="6"/>
      <c r="ULX44" s="6"/>
      <c r="ULY44" s="6"/>
      <c r="ULZ44" s="6"/>
      <c r="UMA44" s="6"/>
      <c r="UMB44" s="6"/>
      <c r="UMC44" s="6"/>
      <c r="UMD44" s="6"/>
      <c r="UME44" s="6"/>
      <c r="UMF44" s="6"/>
      <c r="UMG44" s="6"/>
      <c r="UMH44" s="6"/>
      <c r="UMI44" s="6"/>
      <c r="UMJ44" s="6"/>
      <c r="UMK44" s="6"/>
      <c r="UML44" s="6"/>
      <c r="UMM44" s="6"/>
      <c r="UMN44" s="6"/>
      <c r="UMO44" s="6"/>
      <c r="UMP44" s="6"/>
      <c r="UMQ44" s="6"/>
      <c r="UMR44" s="6"/>
      <c r="UMS44" s="6"/>
      <c r="UMT44" s="6"/>
      <c r="UMU44" s="6"/>
      <c r="UMV44" s="6"/>
      <c r="UMW44" s="6"/>
      <c r="UMX44" s="6"/>
      <c r="UMY44" s="6"/>
      <c r="UMZ44" s="6"/>
      <c r="UNA44" s="6"/>
      <c r="UNB44" s="6"/>
      <c r="UNC44" s="6"/>
      <c r="UND44" s="6"/>
      <c r="UNE44" s="6"/>
      <c r="UNF44" s="6"/>
      <c r="UNG44" s="6"/>
      <c r="UNH44" s="6"/>
      <c r="UNI44" s="6"/>
      <c r="UNJ44" s="6"/>
      <c r="UNK44" s="6"/>
      <c r="UNL44" s="6"/>
      <c r="UNM44" s="6"/>
      <c r="UNN44" s="6"/>
      <c r="UNO44" s="6"/>
      <c r="UNP44" s="6"/>
      <c r="UNQ44" s="6"/>
      <c r="UNR44" s="6"/>
      <c r="UNS44" s="6"/>
      <c r="UNT44" s="6"/>
      <c r="UNU44" s="6"/>
      <c r="UNV44" s="6"/>
      <c r="UNW44" s="6"/>
      <c r="UNX44" s="6"/>
      <c r="UNY44" s="6"/>
      <c r="UNZ44" s="6"/>
      <c r="UOA44" s="6"/>
      <c r="UOB44" s="6"/>
      <c r="UOC44" s="6"/>
      <c r="UOD44" s="6"/>
      <c r="UOE44" s="6"/>
      <c r="UOF44" s="6"/>
      <c r="UOG44" s="6"/>
      <c r="UOH44" s="6"/>
      <c r="UOI44" s="6"/>
      <c r="UOJ44" s="6"/>
      <c r="UOK44" s="6"/>
      <c r="UOL44" s="6"/>
      <c r="UOM44" s="6"/>
      <c r="UON44" s="6"/>
      <c r="UOO44" s="6"/>
      <c r="UOP44" s="6"/>
      <c r="UOQ44" s="6"/>
      <c r="UOR44" s="6"/>
      <c r="UOS44" s="6"/>
      <c r="UOT44" s="6"/>
      <c r="UOU44" s="6"/>
      <c r="UOV44" s="6"/>
      <c r="UOW44" s="6"/>
      <c r="UOX44" s="6"/>
      <c r="UOY44" s="6"/>
      <c r="UOZ44" s="6"/>
      <c r="UPA44" s="6"/>
      <c r="UPB44" s="6"/>
      <c r="UPC44" s="6"/>
      <c r="UPD44" s="6"/>
      <c r="UPE44" s="6"/>
      <c r="UPF44" s="6"/>
      <c r="UPG44" s="6"/>
      <c r="UPH44" s="6"/>
      <c r="UPI44" s="6"/>
      <c r="UPJ44" s="6"/>
      <c r="UPK44" s="6"/>
      <c r="UPL44" s="6"/>
      <c r="UPM44" s="6"/>
      <c r="UPN44" s="6"/>
      <c r="UPO44" s="6"/>
      <c r="UPP44" s="6"/>
      <c r="UPQ44" s="6"/>
      <c r="UPR44" s="6"/>
      <c r="UPS44" s="6"/>
      <c r="UPT44" s="6"/>
      <c r="UPU44" s="6"/>
      <c r="UPV44" s="6"/>
      <c r="UPW44" s="6"/>
      <c r="UPX44" s="6"/>
      <c r="UPY44" s="6"/>
      <c r="UPZ44" s="6"/>
      <c r="UQA44" s="6"/>
      <c r="UQB44" s="6"/>
      <c r="UQC44" s="6"/>
      <c r="UQD44" s="6"/>
      <c r="UQE44" s="6"/>
      <c r="UQF44" s="6"/>
      <c r="UQG44" s="6"/>
      <c r="UQH44" s="6"/>
      <c r="UQI44" s="6"/>
      <c r="UQJ44" s="6"/>
      <c r="UQK44" s="6"/>
      <c r="UQL44" s="6"/>
      <c r="UQM44" s="6"/>
      <c r="UQN44" s="6"/>
      <c r="UQO44" s="6"/>
      <c r="UQP44" s="6"/>
      <c r="UQQ44" s="6"/>
      <c r="UQR44" s="6"/>
      <c r="UQS44" s="6"/>
      <c r="UQT44" s="6"/>
      <c r="UQU44" s="6"/>
      <c r="UQV44" s="6"/>
      <c r="UQW44" s="6"/>
      <c r="UQX44" s="6"/>
      <c r="UQY44" s="6"/>
      <c r="UQZ44" s="6"/>
      <c r="URA44" s="6"/>
      <c r="URB44" s="6"/>
      <c r="URC44" s="6"/>
      <c r="URD44" s="6"/>
      <c r="URE44" s="6"/>
      <c r="URF44" s="6"/>
      <c r="URG44" s="6"/>
      <c r="URH44" s="6"/>
      <c r="URI44" s="6"/>
      <c r="URJ44" s="6"/>
      <c r="URK44" s="6"/>
      <c r="URL44" s="6"/>
      <c r="URM44" s="6"/>
      <c r="URN44" s="6"/>
      <c r="URO44" s="6"/>
      <c r="URP44" s="6"/>
      <c r="URQ44" s="6"/>
      <c r="URR44" s="6"/>
      <c r="URS44" s="6"/>
      <c r="URT44" s="6"/>
      <c r="URU44" s="6"/>
      <c r="URV44" s="6"/>
      <c r="URW44" s="6"/>
      <c r="URX44" s="6"/>
      <c r="URY44" s="6"/>
      <c r="URZ44" s="6"/>
      <c r="USA44" s="6"/>
      <c r="USB44" s="6"/>
      <c r="USC44" s="6"/>
      <c r="USD44" s="6"/>
      <c r="USE44" s="6"/>
      <c r="USF44" s="6"/>
      <c r="USG44" s="6"/>
      <c r="USH44" s="6"/>
      <c r="USI44" s="6"/>
      <c r="USJ44" s="6"/>
      <c r="USK44" s="6"/>
      <c r="USL44" s="6"/>
      <c r="USM44" s="6"/>
      <c r="USN44" s="6"/>
      <c r="USO44" s="6"/>
      <c r="USP44" s="6"/>
      <c r="USQ44" s="6"/>
      <c r="USR44" s="6"/>
      <c r="USS44" s="6"/>
      <c r="UST44" s="6"/>
      <c r="USU44" s="6"/>
      <c r="USV44" s="6"/>
      <c r="USW44" s="6"/>
      <c r="USX44" s="6"/>
      <c r="USY44" s="6"/>
      <c r="USZ44" s="6"/>
      <c r="UTA44" s="6"/>
      <c r="UTB44" s="6"/>
      <c r="UTC44" s="6"/>
      <c r="UTD44" s="6"/>
      <c r="UTE44" s="6"/>
      <c r="UTF44" s="6"/>
      <c r="UTG44" s="6"/>
      <c r="UTH44" s="6"/>
      <c r="UTI44" s="6"/>
      <c r="UTJ44" s="6"/>
      <c r="UTK44" s="6"/>
      <c r="UTL44" s="6"/>
      <c r="UTM44" s="6"/>
      <c r="UTN44" s="6"/>
      <c r="UTO44" s="6"/>
      <c r="UTP44" s="6"/>
      <c r="UTQ44" s="6"/>
      <c r="UTR44" s="6"/>
      <c r="UTS44" s="6"/>
      <c r="UTT44" s="6"/>
      <c r="UTU44" s="6"/>
      <c r="UTV44" s="6"/>
      <c r="UTW44" s="6"/>
      <c r="UTX44" s="6"/>
      <c r="UTY44" s="6"/>
      <c r="UTZ44" s="6"/>
      <c r="UUA44" s="6"/>
      <c r="UUB44" s="6"/>
      <c r="UUC44" s="6"/>
      <c r="UUD44" s="6"/>
      <c r="UUE44" s="6"/>
      <c r="UUF44" s="6"/>
      <c r="UUG44" s="6"/>
      <c r="UUH44" s="6"/>
      <c r="UUI44" s="6"/>
      <c r="UUJ44" s="6"/>
      <c r="UUK44" s="6"/>
      <c r="UUL44" s="6"/>
      <c r="UUM44" s="6"/>
      <c r="UUN44" s="6"/>
      <c r="UUO44" s="6"/>
      <c r="UUP44" s="6"/>
      <c r="UUQ44" s="6"/>
      <c r="UUR44" s="6"/>
      <c r="UUS44" s="6"/>
      <c r="UUT44" s="6"/>
      <c r="UUU44" s="6"/>
      <c r="UUV44" s="6"/>
      <c r="UUW44" s="6"/>
      <c r="UUX44" s="6"/>
      <c r="UUY44" s="6"/>
      <c r="UUZ44" s="6"/>
      <c r="UVA44" s="6"/>
      <c r="UVB44" s="6"/>
      <c r="UVC44" s="6"/>
      <c r="UVD44" s="6"/>
      <c r="UVE44" s="6"/>
      <c r="UVF44" s="6"/>
      <c r="UVG44" s="6"/>
      <c r="UVH44" s="6"/>
      <c r="UVI44" s="6"/>
      <c r="UVJ44" s="6"/>
      <c r="UVK44" s="6"/>
      <c r="UVL44" s="6"/>
      <c r="UVM44" s="6"/>
      <c r="UVN44" s="6"/>
      <c r="UVO44" s="6"/>
      <c r="UVP44" s="6"/>
      <c r="UVQ44" s="6"/>
      <c r="UVR44" s="6"/>
      <c r="UVS44" s="6"/>
      <c r="UVT44" s="6"/>
      <c r="UVU44" s="6"/>
      <c r="UVV44" s="6"/>
      <c r="UVW44" s="6"/>
      <c r="UVX44" s="6"/>
      <c r="UVY44" s="6"/>
      <c r="UVZ44" s="6"/>
      <c r="UWA44" s="6"/>
      <c r="UWB44" s="6"/>
      <c r="UWC44" s="6"/>
      <c r="UWD44" s="6"/>
      <c r="UWE44" s="6"/>
      <c r="UWF44" s="6"/>
      <c r="UWG44" s="6"/>
      <c r="UWH44" s="6"/>
      <c r="UWI44" s="6"/>
      <c r="UWJ44" s="6"/>
      <c r="UWK44" s="6"/>
      <c r="UWL44" s="6"/>
      <c r="UWM44" s="6"/>
      <c r="UWN44" s="6"/>
      <c r="UWO44" s="6"/>
      <c r="UWP44" s="6"/>
      <c r="UWQ44" s="6"/>
      <c r="UWR44" s="6"/>
      <c r="UWS44" s="6"/>
      <c r="UWT44" s="6"/>
      <c r="UWU44" s="6"/>
      <c r="UWV44" s="6"/>
      <c r="UWW44" s="6"/>
      <c r="UWX44" s="6"/>
      <c r="UWY44" s="6"/>
      <c r="UWZ44" s="6"/>
      <c r="UXA44" s="6"/>
      <c r="UXB44" s="6"/>
      <c r="UXC44" s="6"/>
      <c r="UXD44" s="6"/>
      <c r="UXE44" s="6"/>
      <c r="UXF44" s="6"/>
      <c r="UXG44" s="6"/>
      <c r="UXH44" s="6"/>
      <c r="UXI44" s="6"/>
      <c r="UXJ44" s="6"/>
      <c r="UXK44" s="6"/>
      <c r="UXL44" s="6"/>
      <c r="UXM44" s="6"/>
      <c r="UXN44" s="6"/>
      <c r="UXO44" s="6"/>
      <c r="UXP44" s="6"/>
      <c r="UXQ44" s="6"/>
      <c r="UXR44" s="6"/>
      <c r="UXS44" s="6"/>
      <c r="UXT44" s="6"/>
      <c r="UXU44" s="6"/>
      <c r="UXV44" s="6"/>
      <c r="UXW44" s="6"/>
      <c r="UXX44" s="6"/>
      <c r="UXY44" s="6"/>
      <c r="UXZ44" s="6"/>
      <c r="UYA44" s="6"/>
      <c r="UYB44" s="6"/>
      <c r="UYC44" s="6"/>
      <c r="UYD44" s="6"/>
      <c r="UYE44" s="6"/>
      <c r="UYF44" s="6"/>
      <c r="UYG44" s="6"/>
      <c r="UYH44" s="6"/>
      <c r="UYI44" s="6"/>
      <c r="UYJ44" s="6"/>
      <c r="UYK44" s="6"/>
      <c r="UYL44" s="6"/>
      <c r="UYM44" s="6"/>
      <c r="UYN44" s="6"/>
      <c r="UYO44" s="6"/>
      <c r="UYP44" s="6"/>
      <c r="UYQ44" s="6"/>
      <c r="UYR44" s="6"/>
      <c r="UYS44" s="6"/>
      <c r="UYT44" s="6"/>
      <c r="UYU44" s="6"/>
      <c r="UYV44" s="6"/>
      <c r="UYW44" s="6"/>
      <c r="UYX44" s="6"/>
      <c r="UYY44" s="6"/>
      <c r="UYZ44" s="6"/>
      <c r="UZA44" s="6"/>
      <c r="UZB44" s="6"/>
      <c r="UZC44" s="6"/>
      <c r="UZD44" s="6"/>
      <c r="UZE44" s="6"/>
      <c r="UZF44" s="6"/>
      <c r="UZG44" s="6"/>
      <c r="UZH44" s="6"/>
      <c r="UZI44" s="6"/>
      <c r="UZJ44" s="6"/>
      <c r="UZK44" s="6"/>
      <c r="UZL44" s="6"/>
      <c r="UZM44" s="6"/>
      <c r="UZN44" s="6"/>
      <c r="UZO44" s="6"/>
      <c r="UZP44" s="6"/>
      <c r="UZQ44" s="6"/>
      <c r="UZR44" s="6"/>
      <c r="UZS44" s="6"/>
      <c r="UZT44" s="6"/>
      <c r="UZU44" s="6"/>
      <c r="UZV44" s="6"/>
      <c r="UZW44" s="6"/>
      <c r="UZX44" s="6"/>
      <c r="UZY44" s="6"/>
      <c r="UZZ44" s="6"/>
      <c r="VAA44" s="6"/>
      <c r="VAB44" s="6"/>
      <c r="VAC44" s="6"/>
      <c r="VAD44" s="6"/>
      <c r="VAE44" s="6"/>
      <c r="VAF44" s="6"/>
      <c r="VAG44" s="6"/>
      <c r="VAH44" s="6"/>
      <c r="VAI44" s="6"/>
      <c r="VAJ44" s="6"/>
      <c r="VAK44" s="6"/>
      <c r="VAL44" s="6"/>
      <c r="VAM44" s="6"/>
      <c r="VAN44" s="6"/>
      <c r="VAO44" s="6"/>
      <c r="VAP44" s="6"/>
      <c r="VAQ44" s="6"/>
      <c r="VAR44" s="6"/>
      <c r="VAS44" s="6"/>
      <c r="VAT44" s="6"/>
      <c r="VAU44" s="6"/>
      <c r="VAV44" s="6"/>
      <c r="VAW44" s="6"/>
      <c r="VAX44" s="6"/>
      <c r="VAY44" s="6"/>
      <c r="VAZ44" s="6"/>
      <c r="VBA44" s="6"/>
      <c r="VBB44" s="6"/>
      <c r="VBC44" s="6"/>
      <c r="VBD44" s="6"/>
      <c r="VBE44" s="6"/>
      <c r="VBF44" s="6"/>
      <c r="VBG44" s="6"/>
      <c r="VBH44" s="6"/>
      <c r="VBI44" s="6"/>
      <c r="VBJ44" s="6"/>
      <c r="VBK44" s="6"/>
      <c r="VBL44" s="6"/>
      <c r="VBM44" s="6"/>
      <c r="VBN44" s="6"/>
      <c r="VBO44" s="6"/>
      <c r="VBP44" s="6"/>
      <c r="VBQ44" s="6"/>
      <c r="VBR44" s="6"/>
      <c r="VBS44" s="6"/>
      <c r="VBT44" s="6"/>
      <c r="VBU44" s="6"/>
      <c r="VBV44" s="6"/>
      <c r="VBW44" s="6"/>
      <c r="VBX44" s="6"/>
      <c r="VBY44" s="6"/>
      <c r="VBZ44" s="6"/>
      <c r="VCA44" s="6"/>
      <c r="VCB44" s="6"/>
      <c r="VCC44" s="6"/>
      <c r="VCD44" s="6"/>
      <c r="VCE44" s="6"/>
      <c r="VCF44" s="6"/>
      <c r="VCG44" s="6"/>
      <c r="VCH44" s="6"/>
      <c r="VCI44" s="6"/>
      <c r="VCJ44" s="6"/>
      <c r="VCK44" s="6"/>
      <c r="VCL44" s="6"/>
      <c r="VCM44" s="6"/>
      <c r="VCN44" s="6"/>
      <c r="VCO44" s="6"/>
      <c r="VCP44" s="6"/>
      <c r="VCQ44" s="6"/>
      <c r="VCR44" s="6"/>
      <c r="VCS44" s="6"/>
      <c r="VCT44" s="6"/>
      <c r="VCU44" s="6"/>
      <c r="VCV44" s="6"/>
      <c r="VCW44" s="6"/>
      <c r="VCX44" s="6"/>
      <c r="VCY44" s="6"/>
      <c r="VCZ44" s="6"/>
      <c r="VDA44" s="6"/>
      <c r="VDB44" s="6"/>
      <c r="VDC44" s="6"/>
      <c r="VDD44" s="6"/>
      <c r="VDE44" s="6"/>
      <c r="VDF44" s="6"/>
      <c r="VDG44" s="6"/>
      <c r="VDH44" s="6"/>
      <c r="VDI44" s="6"/>
      <c r="VDJ44" s="6"/>
      <c r="VDK44" s="6"/>
      <c r="VDL44" s="6"/>
      <c r="VDM44" s="6"/>
      <c r="VDN44" s="6"/>
      <c r="VDO44" s="6"/>
      <c r="VDP44" s="6"/>
      <c r="VDQ44" s="6"/>
      <c r="VDR44" s="6"/>
      <c r="VDS44" s="6"/>
      <c r="VDT44" s="6"/>
      <c r="VDU44" s="6"/>
      <c r="VDV44" s="6"/>
      <c r="VDW44" s="6"/>
      <c r="VDX44" s="6"/>
      <c r="VDY44" s="6"/>
      <c r="VDZ44" s="6"/>
      <c r="VEA44" s="6"/>
      <c r="VEB44" s="6"/>
      <c r="VEC44" s="6"/>
      <c r="VED44" s="6"/>
      <c r="VEE44" s="6"/>
      <c r="VEF44" s="6"/>
      <c r="VEG44" s="6"/>
      <c r="VEH44" s="6"/>
      <c r="VEI44" s="6"/>
      <c r="VEJ44" s="6"/>
      <c r="VEK44" s="6"/>
      <c r="VEL44" s="6"/>
      <c r="VEM44" s="6"/>
      <c r="VEN44" s="6"/>
      <c r="VEO44" s="6"/>
      <c r="VEP44" s="6"/>
      <c r="VEQ44" s="6"/>
      <c r="VER44" s="6"/>
      <c r="VES44" s="6"/>
      <c r="VET44" s="6"/>
      <c r="VEU44" s="6"/>
      <c r="VEV44" s="6"/>
      <c r="VEW44" s="6"/>
      <c r="VEX44" s="6"/>
      <c r="VEY44" s="6"/>
      <c r="VEZ44" s="6"/>
      <c r="VFA44" s="6"/>
      <c r="VFB44" s="6"/>
      <c r="VFC44" s="6"/>
      <c r="VFD44" s="6"/>
      <c r="VFE44" s="6"/>
      <c r="VFF44" s="6"/>
      <c r="VFG44" s="6"/>
      <c r="VFH44" s="6"/>
      <c r="VFI44" s="6"/>
    </row>
    <row r="45" spans="1:15085" s="1" customFormat="1" ht="13.8">
      <c r="B45" s="50"/>
      <c r="C45" s="177" t="s">
        <v>40</v>
      </c>
      <c r="D45" s="229">
        <f>SUM(D46:D47)</f>
        <v>0</v>
      </c>
      <c r="E45" s="178" t="s">
        <v>9</v>
      </c>
      <c r="F45" s="44">
        <f>SUM(F46:F47)</f>
        <v>100800.0000000065</v>
      </c>
      <c r="G45" s="44">
        <f t="shared" ref="G45:AI45" si="15">SUM(G46:G47)</f>
        <v>0</v>
      </c>
      <c r="H45" s="44">
        <f t="shared" si="15"/>
        <v>0</v>
      </c>
      <c r="I45" s="44">
        <f t="shared" si="15"/>
        <v>0</v>
      </c>
      <c r="J45" s="349">
        <f t="shared" si="15"/>
        <v>177399.9999999865</v>
      </c>
      <c r="K45" s="349">
        <f t="shared" si="15"/>
        <v>115199.9999999971</v>
      </c>
      <c r="L45" s="44">
        <f t="shared" si="15"/>
        <v>0</v>
      </c>
      <c r="M45" s="44">
        <f t="shared" si="15"/>
        <v>0</v>
      </c>
      <c r="N45" s="44">
        <f t="shared" si="15"/>
        <v>0</v>
      </c>
      <c r="O45" s="44">
        <f t="shared" si="15"/>
        <v>0</v>
      </c>
      <c r="P45" s="44">
        <f t="shared" si="15"/>
        <v>0</v>
      </c>
      <c r="Q45" s="349">
        <f t="shared" si="15"/>
        <v>0</v>
      </c>
      <c r="R45" s="349">
        <f t="shared" si="15"/>
        <v>0</v>
      </c>
      <c r="S45" s="44">
        <f t="shared" si="15"/>
        <v>0</v>
      </c>
      <c r="T45" s="44">
        <f t="shared" si="15"/>
        <v>0</v>
      </c>
      <c r="U45" s="44">
        <f t="shared" si="15"/>
        <v>0</v>
      </c>
      <c r="V45" s="44">
        <f t="shared" si="15"/>
        <v>0</v>
      </c>
      <c r="W45" s="44">
        <f t="shared" si="15"/>
        <v>0</v>
      </c>
      <c r="X45" s="44">
        <f t="shared" si="15"/>
        <v>0</v>
      </c>
      <c r="Y45" s="44">
        <f t="shared" si="15"/>
        <v>0</v>
      </c>
      <c r="Z45" s="44">
        <f t="shared" si="15"/>
        <v>0</v>
      </c>
      <c r="AA45" s="44">
        <f t="shared" si="15"/>
        <v>0</v>
      </c>
      <c r="AB45" s="44">
        <f t="shared" si="15"/>
        <v>0</v>
      </c>
      <c r="AC45" s="44">
        <f t="shared" si="15"/>
        <v>0</v>
      </c>
      <c r="AD45" s="44">
        <f t="shared" si="15"/>
        <v>0</v>
      </c>
      <c r="AE45" s="44">
        <f t="shared" si="15"/>
        <v>0</v>
      </c>
      <c r="AF45" s="44">
        <f t="shared" si="15"/>
        <v>0</v>
      </c>
      <c r="AG45" s="44">
        <f t="shared" si="15"/>
        <v>0</v>
      </c>
      <c r="AH45" s="44">
        <f t="shared" si="15"/>
        <v>0</v>
      </c>
      <c r="AI45" s="44">
        <f t="shared" si="15"/>
        <v>0</v>
      </c>
      <c r="AJ45" s="97"/>
      <c r="AK45" s="105">
        <f>SUM(F45:AI45)</f>
        <v>393399.9999999901</v>
      </c>
      <c r="AL45" s="203"/>
      <c r="AM45" s="98"/>
      <c r="EA45" s="203"/>
      <c r="EB45" s="203"/>
      <c r="FH45" s="203"/>
      <c r="GO45" s="5"/>
      <c r="GP45" s="7"/>
      <c r="GQ45" s="219"/>
      <c r="GR45" s="219"/>
      <c r="GS45" s="219"/>
      <c r="GT45" s="203"/>
      <c r="IW45" s="203"/>
      <c r="MR45" s="203"/>
      <c r="MS45" s="203"/>
      <c r="MT45" s="203"/>
      <c r="MU45" s="203"/>
      <c r="RY45" s="203"/>
      <c r="RZ45" s="203"/>
      <c r="SA45" s="206"/>
      <c r="SB45" s="203"/>
      <c r="SP45" s="206">
        <f>SUM(SP42:SP43)</f>
        <v>40.442639999999997</v>
      </c>
      <c r="ST45" s="203"/>
      <c r="UW45" s="206"/>
    </row>
    <row r="46" spans="1:15085" s="1" customFormat="1" ht="13.8">
      <c r="B46" s="50"/>
      <c r="C46" s="177" t="s">
        <v>41</v>
      </c>
      <c r="D46" s="229"/>
      <c r="E46" s="178" t="s">
        <v>9</v>
      </c>
      <c r="F46" s="44">
        <f>70.6000000000058*1000</f>
        <v>70600.000000005806</v>
      </c>
      <c r="G46" s="44">
        <v>0</v>
      </c>
      <c r="H46" s="44">
        <v>0</v>
      </c>
      <c r="I46" s="44">
        <v>0</v>
      </c>
      <c r="J46" s="349">
        <f>125.299999999988*1000</f>
        <v>125299.99999998801</v>
      </c>
      <c r="K46" s="349">
        <f>80.6999999999971*1000</f>
        <v>80699.999999997104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349">
        <v>0</v>
      </c>
      <c r="R46" s="349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97"/>
      <c r="AK46" s="107">
        <f>SUM(F46:AI46)</f>
        <v>276599.99999999092</v>
      </c>
      <c r="AL46" s="203"/>
      <c r="AM46" s="206"/>
      <c r="AO46" s="204">
        <f>AO41-AO42</f>
        <v>29143.68263473055</v>
      </c>
      <c r="EA46" s="203"/>
      <c r="EB46" s="203"/>
      <c r="FH46" s="203"/>
      <c r="GP46" s="7"/>
      <c r="GQ46" s="206"/>
      <c r="GR46" s="206"/>
      <c r="GS46" s="206"/>
      <c r="GT46" s="203"/>
      <c r="IW46" s="203"/>
      <c r="MR46" s="203"/>
      <c r="MS46" s="203"/>
      <c r="MT46" s="203"/>
      <c r="MU46" s="203"/>
      <c r="RY46" s="203"/>
      <c r="RZ46" s="203"/>
      <c r="SA46" s="206"/>
      <c r="SB46" s="203"/>
      <c r="SP46" s="206"/>
      <c r="ST46" s="203"/>
      <c r="UW46" s="206"/>
    </row>
    <row r="47" spans="1:15085" s="1" customFormat="1" ht="13.8">
      <c r="B47" s="50"/>
      <c r="C47" s="41" t="s">
        <v>37</v>
      </c>
      <c r="D47" s="229"/>
      <c r="E47" s="178" t="s">
        <v>9</v>
      </c>
      <c r="F47" s="44">
        <f>30.2000000000007*1000</f>
        <v>30200.000000000698</v>
      </c>
      <c r="G47" s="44">
        <v>0</v>
      </c>
      <c r="H47" s="44">
        <v>0</v>
      </c>
      <c r="I47" s="44">
        <v>0</v>
      </c>
      <c r="J47" s="349">
        <f>52.0999999999985*1000</f>
        <v>52099.999999998501</v>
      </c>
      <c r="K47" s="349">
        <v>34500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349">
        <v>0</v>
      </c>
      <c r="R47" s="349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97"/>
      <c r="AK47" s="105">
        <f>SUM(F47:AI47)</f>
        <v>116799.9999999992</v>
      </c>
      <c r="AL47" s="206"/>
      <c r="AM47" s="206"/>
      <c r="AO47" s="203">
        <f>AO36</f>
        <v>19</v>
      </c>
      <c r="EA47" s="203"/>
      <c r="EB47" s="203"/>
      <c r="FH47" s="203"/>
      <c r="GP47" s="7"/>
      <c r="GQ47" s="203"/>
      <c r="GR47" s="203"/>
      <c r="GS47" s="203"/>
      <c r="GT47" s="203"/>
      <c r="IW47" s="203"/>
      <c r="MR47" s="203"/>
      <c r="MS47" s="203"/>
      <c r="MT47" s="203"/>
      <c r="MU47" s="203"/>
      <c r="RY47" s="203"/>
      <c r="RZ47" s="203"/>
      <c r="SB47" s="203"/>
      <c r="SP47" s="206"/>
      <c r="ST47" s="203"/>
      <c r="UW47" s="206"/>
    </row>
    <row r="48" spans="1:15085">
      <c r="B48" s="50"/>
      <c r="C48" s="56" t="s">
        <v>42</v>
      </c>
      <c r="D48" s="230"/>
      <c r="E48" s="58"/>
      <c r="F48" s="39"/>
      <c r="G48" s="39"/>
      <c r="H48" s="39"/>
      <c r="I48" s="79"/>
      <c r="J48" s="36"/>
      <c r="K48" s="36"/>
      <c r="L48" s="39"/>
      <c r="M48" s="39"/>
      <c r="N48" s="39"/>
      <c r="O48" s="39"/>
      <c r="P48" s="39"/>
      <c r="Q48" s="36"/>
      <c r="R48" s="36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84"/>
      <c r="AE48" s="84"/>
      <c r="AF48" s="84"/>
      <c r="AG48" s="84"/>
      <c r="AH48" s="84"/>
      <c r="AI48" s="84"/>
      <c r="AJ48" s="97"/>
      <c r="AK48" s="103" t="s">
        <v>43</v>
      </c>
      <c r="AM48" s="240"/>
      <c r="AO48" s="204">
        <f>AO46/AO47</f>
        <v>1533.8780334068711</v>
      </c>
      <c r="SC48" s="1" t="s">
        <v>173</v>
      </c>
    </row>
    <row r="49" spans="1:15037" s="3" customFormat="1" hidden="1">
      <c r="A49" s="6"/>
      <c r="B49" s="22"/>
      <c r="C49" s="59" t="s">
        <v>24</v>
      </c>
      <c r="D49" s="231"/>
      <c r="E49" s="60" t="s">
        <v>9</v>
      </c>
      <c r="F49" s="44"/>
      <c r="G49" s="44"/>
      <c r="H49" s="44"/>
      <c r="I49" s="44"/>
      <c r="J49" s="349"/>
      <c r="K49" s="349"/>
      <c r="L49" s="44"/>
      <c r="M49" s="44"/>
      <c r="N49" s="44"/>
      <c r="O49" s="44"/>
      <c r="P49" s="44"/>
      <c r="Q49" s="349"/>
      <c r="R49" s="349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85"/>
      <c r="AE49" s="85"/>
      <c r="AF49" s="85"/>
      <c r="AG49" s="85"/>
      <c r="AH49" s="85"/>
      <c r="AI49" s="85"/>
      <c r="AJ49" s="104"/>
      <c r="AK49" s="111">
        <f>SUM(F49:AI49)</f>
        <v>0</v>
      </c>
      <c r="AL49" s="6"/>
      <c r="AM49" s="10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210"/>
      <c r="BK49" s="210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205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210"/>
      <c r="EB49" s="210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210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245"/>
      <c r="GQ49" s="210"/>
      <c r="GR49" s="210"/>
      <c r="GS49" s="210"/>
      <c r="GT49" s="210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210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210"/>
      <c r="MS49" s="210"/>
      <c r="MT49" s="210"/>
      <c r="MU49" s="210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210"/>
      <c r="RZ49" s="210"/>
      <c r="SA49" s="6"/>
      <c r="SB49" s="210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292"/>
      <c r="SQ49" s="6"/>
      <c r="SR49" s="6"/>
      <c r="SS49" s="6"/>
      <c r="ST49" s="210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292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</row>
    <row r="50" spans="1:15037" s="1" customFormat="1" ht="13.8">
      <c r="B50" s="50"/>
      <c r="C50" s="177" t="s">
        <v>40</v>
      </c>
      <c r="D50" s="229">
        <f>SUM(D52:D53)</f>
        <v>0</v>
      </c>
      <c r="E50" s="178" t="s">
        <v>9</v>
      </c>
      <c r="F50" s="44">
        <f>SUM(F52:F53)</f>
        <v>0</v>
      </c>
      <c r="G50" s="44">
        <f t="shared" ref="G50:AI50" si="16">SUM(G52:G53)</f>
        <v>0</v>
      </c>
      <c r="H50" s="44">
        <f t="shared" si="16"/>
        <v>0</v>
      </c>
      <c r="I50" s="44">
        <f t="shared" si="16"/>
        <v>0</v>
      </c>
      <c r="J50" s="349">
        <f t="shared" si="16"/>
        <v>0</v>
      </c>
      <c r="K50" s="349">
        <f t="shared" si="16"/>
        <v>0</v>
      </c>
      <c r="L50" s="44">
        <f t="shared" si="16"/>
        <v>0</v>
      </c>
      <c r="M50" s="44">
        <f t="shared" si="16"/>
        <v>0</v>
      </c>
      <c r="N50" s="44">
        <f t="shared" si="16"/>
        <v>0</v>
      </c>
      <c r="O50" s="44">
        <f t="shared" si="16"/>
        <v>0</v>
      </c>
      <c r="P50" s="44">
        <f t="shared" si="16"/>
        <v>0</v>
      </c>
      <c r="Q50" s="349">
        <f t="shared" si="16"/>
        <v>0</v>
      </c>
      <c r="R50" s="349">
        <f t="shared" si="16"/>
        <v>0</v>
      </c>
      <c r="S50" s="44">
        <f t="shared" si="16"/>
        <v>0</v>
      </c>
      <c r="T50" s="44">
        <f t="shared" si="16"/>
        <v>0</v>
      </c>
      <c r="U50" s="44">
        <f t="shared" si="16"/>
        <v>0</v>
      </c>
      <c r="V50" s="44">
        <f t="shared" si="16"/>
        <v>0</v>
      </c>
      <c r="W50" s="44">
        <f t="shared" si="16"/>
        <v>0</v>
      </c>
      <c r="X50" s="44">
        <f t="shared" si="16"/>
        <v>0</v>
      </c>
      <c r="Y50" s="44">
        <f t="shared" si="16"/>
        <v>0</v>
      </c>
      <c r="Z50" s="44">
        <f t="shared" si="16"/>
        <v>0</v>
      </c>
      <c r="AA50" s="44">
        <f t="shared" si="16"/>
        <v>0</v>
      </c>
      <c r="AB50" s="44">
        <f t="shared" si="16"/>
        <v>0</v>
      </c>
      <c r="AC50" s="44">
        <f t="shared" si="16"/>
        <v>0</v>
      </c>
      <c r="AD50" s="44">
        <f t="shared" si="16"/>
        <v>0</v>
      </c>
      <c r="AE50" s="44">
        <f t="shared" si="16"/>
        <v>0</v>
      </c>
      <c r="AF50" s="44">
        <f t="shared" si="16"/>
        <v>0</v>
      </c>
      <c r="AG50" s="44">
        <f t="shared" si="16"/>
        <v>0</v>
      </c>
      <c r="AH50" s="44">
        <f t="shared" si="16"/>
        <v>0</v>
      </c>
      <c r="AI50" s="44">
        <f t="shared" si="16"/>
        <v>0</v>
      </c>
      <c r="AJ50" s="97"/>
      <c r="AK50" s="96">
        <f>SUM(F50:AI50)</f>
        <v>0</v>
      </c>
      <c r="AM50" s="98"/>
      <c r="BJ50" s="203"/>
      <c r="BK50" s="210"/>
      <c r="CO50" s="206"/>
      <c r="EA50" s="203"/>
      <c r="EB50" s="203"/>
      <c r="FH50" s="203"/>
      <c r="GP50" s="7"/>
      <c r="GQ50" s="203">
        <v>2136</v>
      </c>
      <c r="GR50" s="203"/>
      <c r="GS50" s="203"/>
      <c r="GT50" s="203"/>
      <c r="IW50" s="203"/>
      <c r="MR50" s="203"/>
      <c r="MS50" s="203"/>
      <c r="MT50" s="203"/>
      <c r="MU50" s="203"/>
      <c r="RY50" s="203"/>
      <c r="RZ50" s="203"/>
      <c r="SB50" s="203"/>
      <c r="SC50" s="1" t="s">
        <v>167</v>
      </c>
      <c r="SO50" s="1" t="s">
        <v>171</v>
      </c>
      <c r="SP50" s="206"/>
      <c r="ST50" s="203"/>
      <c r="UW50" s="206"/>
    </row>
    <row r="51" spans="1:15037" s="1" customFormat="1" ht="13.8" hidden="1">
      <c r="B51" s="50"/>
      <c r="C51" s="177" t="s">
        <v>44</v>
      </c>
      <c r="D51" s="229"/>
      <c r="E51" s="178" t="s">
        <v>9</v>
      </c>
      <c r="F51" s="44"/>
      <c r="G51" s="44"/>
      <c r="H51" s="44"/>
      <c r="I51" s="44"/>
      <c r="J51" s="349"/>
      <c r="K51" s="349"/>
      <c r="L51" s="44"/>
      <c r="M51" s="44"/>
      <c r="N51" s="44"/>
      <c r="O51" s="44"/>
      <c r="P51" s="44"/>
      <c r="Q51" s="349"/>
      <c r="R51" s="349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97"/>
      <c r="AK51" s="96">
        <f>SUM(F51:AI51)</f>
        <v>0</v>
      </c>
      <c r="AM51" s="98"/>
      <c r="BJ51" s="203"/>
      <c r="BK51" s="203"/>
      <c r="EA51" s="203"/>
      <c r="EB51" s="203"/>
      <c r="FH51" s="203"/>
      <c r="GP51" s="7"/>
      <c r="GQ51" s="203"/>
      <c r="GR51" s="203"/>
      <c r="GS51" s="203"/>
      <c r="GT51" s="203"/>
      <c r="IW51" s="203"/>
      <c r="MR51" s="203"/>
      <c r="MS51" s="203"/>
      <c r="MT51" s="203"/>
      <c r="MU51" s="203"/>
      <c r="RY51" s="203"/>
      <c r="RZ51" s="203"/>
      <c r="SB51" s="203"/>
      <c r="SP51" s="206"/>
      <c r="ST51" s="203"/>
      <c r="UW51" s="206"/>
    </row>
    <row r="52" spans="1:15037" s="1" customFormat="1" ht="13.8">
      <c r="B52" s="50"/>
      <c r="C52" s="177" t="s">
        <v>45</v>
      </c>
      <c r="D52" s="229"/>
      <c r="E52" s="178" t="s">
        <v>9</v>
      </c>
      <c r="F52" s="44">
        <v>0</v>
      </c>
      <c r="G52" s="44">
        <v>0</v>
      </c>
      <c r="H52" s="44">
        <v>0</v>
      </c>
      <c r="I52" s="44">
        <v>0</v>
      </c>
      <c r="J52" s="349">
        <v>0</v>
      </c>
      <c r="K52" s="349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349">
        <v>0</v>
      </c>
      <c r="R52" s="349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97"/>
      <c r="AK52" s="96">
        <f>SUM(F52:AI52)</f>
        <v>0</v>
      </c>
      <c r="AM52" s="98"/>
      <c r="BJ52" s="203"/>
      <c r="BK52" s="213"/>
      <c r="CO52" s="203"/>
      <c r="EA52" s="203"/>
      <c r="EB52" s="203"/>
      <c r="EC52" s="87">
        <f>AM52/1000</f>
        <v>0</v>
      </c>
      <c r="FH52" s="203"/>
      <c r="GP52" s="7"/>
      <c r="GQ52" s="203">
        <v>1796</v>
      </c>
      <c r="GR52" s="203"/>
      <c r="GS52" s="203"/>
      <c r="GT52" s="203"/>
      <c r="IW52" s="203"/>
      <c r="MR52" s="203"/>
      <c r="MS52" s="203"/>
      <c r="MT52" s="203"/>
      <c r="MU52" s="203"/>
      <c r="RY52" s="203"/>
      <c r="RZ52" s="203"/>
      <c r="SB52" s="203"/>
      <c r="SC52" s="1" t="s">
        <v>168</v>
      </c>
      <c r="SO52" s="1" t="s">
        <v>172</v>
      </c>
      <c r="SP52" s="206"/>
      <c r="ST52" s="203"/>
      <c r="UW52" s="206"/>
    </row>
    <row r="53" spans="1:15037" s="1" customFormat="1" ht="13.8">
      <c r="B53" s="50"/>
      <c r="C53" s="177" t="s">
        <v>46</v>
      </c>
      <c r="D53" s="229"/>
      <c r="E53" s="178" t="s">
        <v>9</v>
      </c>
      <c r="F53" s="44">
        <v>0</v>
      </c>
      <c r="G53" s="44">
        <v>0</v>
      </c>
      <c r="H53" s="44">
        <v>0</v>
      </c>
      <c r="I53" s="44">
        <v>0</v>
      </c>
      <c r="J53" s="349">
        <v>0</v>
      </c>
      <c r="K53" s="349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349">
        <v>0</v>
      </c>
      <c r="R53" s="349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97"/>
      <c r="AK53" s="96">
        <f>SUM(F53:AI53)</f>
        <v>0</v>
      </c>
      <c r="AM53" s="98"/>
      <c r="AO53" s="203"/>
      <c r="EA53" s="203"/>
      <c r="EB53" s="203"/>
      <c r="EC53" s="87">
        <f>AM53/1000</f>
        <v>0</v>
      </c>
      <c r="FH53" s="203"/>
      <c r="GP53" s="7"/>
      <c r="GQ53" s="203">
        <f>GQ50/GQ52*100</f>
        <v>118.93095768374164</v>
      </c>
      <c r="GR53" s="203"/>
      <c r="GS53" s="203"/>
      <c r="GT53" s="203"/>
      <c r="IW53" s="203"/>
      <c r="MR53" s="203"/>
      <c r="MS53" s="203"/>
      <c r="MT53" s="203"/>
      <c r="MU53" s="203"/>
      <c r="RY53" s="203"/>
      <c r="RZ53" s="203"/>
      <c r="SB53" s="203"/>
      <c r="SC53" s="1" t="s">
        <v>169</v>
      </c>
      <c r="SO53" s="1" t="s">
        <v>170</v>
      </c>
      <c r="SP53" s="206"/>
      <c r="ST53" s="203"/>
      <c r="UW53" s="206"/>
    </row>
    <row r="54" spans="1:15037">
      <c r="B54" s="37"/>
      <c r="C54" s="179" t="s">
        <v>47</v>
      </c>
      <c r="D54" s="62"/>
      <c r="E54" s="62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97"/>
      <c r="AK54" s="180" t="s">
        <v>48</v>
      </c>
      <c r="AO54" s="219">
        <v>1375600</v>
      </c>
      <c r="RZ54" s="219">
        <v>678</v>
      </c>
    </row>
    <row r="55" spans="1:15037">
      <c r="B55" s="50"/>
      <c r="C55" s="181" t="s">
        <v>49</v>
      </c>
      <c r="D55" s="49">
        <v>94.2</v>
      </c>
      <c r="E55" s="182" t="s">
        <v>12</v>
      </c>
      <c r="F55" s="64">
        <f t="shared" ref="F55:AI55" si="17">(F37/(F31+F32))*100</f>
        <v>95.129611712952595</v>
      </c>
      <c r="G55" s="64">
        <f t="shared" si="17"/>
        <v>95.051654583441646</v>
      </c>
      <c r="H55" s="64">
        <f t="shared" si="17"/>
        <v>94.983196731218413</v>
      </c>
      <c r="I55" s="64">
        <f t="shared" si="17"/>
        <v>95.167466995133665</v>
      </c>
      <c r="J55" s="352">
        <f t="shared" si="17"/>
        <v>95.139774898619919</v>
      </c>
      <c r="K55" s="352">
        <f t="shared" si="17"/>
        <v>95.071848841831283</v>
      </c>
      <c r="L55" s="64">
        <f t="shared" si="17"/>
        <v>95.24331461682435</v>
      </c>
      <c r="M55" s="64">
        <f t="shared" si="17"/>
        <v>95.148821152011479</v>
      </c>
      <c r="N55" s="64">
        <f t="shared" si="17"/>
        <v>95.121509355832188</v>
      </c>
      <c r="O55" s="64">
        <f t="shared" si="17"/>
        <v>95.267576075549485</v>
      </c>
      <c r="P55" s="64">
        <f t="shared" si="17"/>
        <v>95.315393023653613</v>
      </c>
      <c r="Q55" s="352">
        <f t="shared" si="17"/>
        <v>95.17099362656252</v>
      </c>
      <c r="R55" s="352">
        <f t="shared" si="17"/>
        <v>82.745564753721652</v>
      </c>
      <c r="S55" s="64" t="e">
        <f t="shared" si="17"/>
        <v>#DIV/0!</v>
      </c>
      <c r="T55" s="64" t="e">
        <f t="shared" si="17"/>
        <v>#DIV/0!</v>
      </c>
      <c r="U55" s="64" t="e">
        <f t="shared" si="17"/>
        <v>#DIV/0!</v>
      </c>
      <c r="V55" s="64" t="e">
        <f t="shared" si="17"/>
        <v>#DIV/0!</v>
      </c>
      <c r="W55" s="64" t="e">
        <f>(W37/(W31+W32))*100</f>
        <v>#DIV/0!</v>
      </c>
      <c r="X55" s="64" t="e">
        <f t="shared" si="17"/>
        <v>#DIV/0!</v>
      </c>
      <c r="Y55" s="64" t="e">
        <f t="shared" si="17"/>
        <v>#DIV/0!</v>
      </c>
      <c r="Z55" s="64" t="e">
        <f t="shared" si="17"/>
        <v>#DIV/0!</v>
      </c>
      <c r="AA55" s="64" t="e">
        <f t="shared" si="17"/>
        <v>#DIV/0!</v>
      </c>
      <c r="AB55" s="64" t="e">
        <f t="shared" si="17"/>
        <v>#DIV/0!</v>
      </c>
      <c r="AC55" s="64" t="e">
        <f t="shared" si="17"/>
        <v>#DIV/0!</v>
      </c>
      <c r="AD55" s="64" t="e">
        <f t="shared" si="17"/>
        <v>#DIV/0!</v>
      </c>
      <c r="AE55" s="64" t="e">
        <f t="shared" si="17"/>
        <v>#DIV/0!</v>
      </c>
      <c r="AF55" s="64" t="e">
        <f t="shared" si="17"/>
        <v>#DIV/0!</v>
      </c>
      <c r="AG55" s="64" t="e">
        <f t="shared" si="17"/>
        <v>#DIV/0!</v>
      </c>
      <c r="AH55" s="64" t="e">
        <f t="shared" si="17"/>
        <v>#DIV/0!</v>
      </c>
      <c r="AI55" s="64" t="e">
        <f t="shared" si="17"/>
        <v>#DIV/0!</v>
      </c>
      <c r="AJ55" s="101"/>
      <c r="AK55" s="109">
        <f>AK37/(SUM(AK31:AK32))*100</f>
        <v>95.298401044284077</v>
      </c>
      <c r="AL55" s="214"/>
      <c r="AO55" s="219">
        <f>AO54/1000</f>
        <v>1375.6</v>
      </c>
      <c r="RZ55" s="219">
        <v>420</v>
      </c>
      <c r="SB55" s="240">
        <f>RZ55/RZ54*100</f>
        <v>61.946902654867252</v>
      </c>
    </row>
    <row r="56" spans="1:15037">
      <c r="B56" s="50"/>
      <c r="C56" s="181" t="s">
        <v>32</v>
      </c>
      <c r="D56" s="49">
        <v>5</v>
      </c>
      <c r="E56" s="182" t="s">
        <v>12</v>
      </c>
      <c r="F56" s="64">
        <f t="shared" ref="F56:AI56" si="18">(F38/(F31+F32))*100</f>
        <v>4.1688312307274504</v>
      </c>
      <c r="G56" s="64">
        <f t="shared" si="18"/>
        <v>4.1819512242088086</v>
      </c>
      <c r="H56" s="64">
        <f t="shared" si="18"/>
        <v>4.2630739102053079</v>
      </c>
      <c r="I56" s="64">
        <f t="shared" si="18"/>
        <v>4.1434941862349497</v>
      </c>
      <c r="J56" s="352">
        <f t="shared" si="18"/>
        <v>4.1138804530779414</v>
      </c>
      <c r="K56" s="352">
        <f t="shared" si="18"/>
        <v>4.2385048262424014</v>
      </c>
      <c r="L56" s="64">
        <f t="shared" si="18"/>
        <v>4.1003256159783348</v>
      </c>
      <c r="M56" s="64">
        <f t="shared" si="18"/>
        <v>4.1991455673906453</v>
      </c>
      <c r="N56" s="64">
        <f t="shared" si="18"/>
        <v>4.2295349258520538</v>
      </c>
      <c r="O56" s="64">
        <f t="shared" si="18"/>
        <v>4.0720531654425258</v>
      </c>
      <c r="P56" s="64">
        <f t="shared" si="18"/>
        <v>4.0503260635172094</v>
      </c>
      <c r="Q56" s="352">
        <f t="shared" si="18"/>
        <v>4.202724665798824</v>
      </c>
      <c r="R56" s="352">
        <f t="shared" si="18"/>
        <v>3.6870445887369692</v>
      </c>
      <c r="S56" s="64" t="e">
        <f t="shared" si="18"/>
        <v>#DIV/0!</v>
      </c>
      <c r="T56" s="64" t="e">
        <f t="shared" si="18"/>
        <v>#DIV/0!</v>
      </c>
      <c r="U56" s="64" t="e">
        <f t="shared" si="18"/>
        <v>#DIV/0!</v>
      </c>
      <c r="V56" s="64" t="e">
        <f t="shared" si="18"/>
        <v>#DIV/0!</v>
      </c>
      <c r="W56" s="64" t="e">
        <f t="shared" si="18"/>
        <v>#DIV/0!</v>
      </c>
      <c r="X56" s="64" t="e">
        <f t="shared" si="18"/>
        <v>#DIV/0!</v>
      </c>
      <c r="Y56" s="64" t="e">
        <f t="shared" si="18"/>
        <v>#DIV/0!</v>
      </c>
      <c r="Z56" s="64" t="e">
        <f t="shared" si="18"/>
        <v>#DIV/0!</v>
      </c>
      <c r="AA56" s="64" t="e">
        <f t="shared" si="18"/>
        <v>#DIV/0!</v>
      </c>
      <c r="AB56" s="64" t="e">
        <f t="shared" si="18"/>
        <v>#DIV/0!</v>
      </c>
      <c r="AC56" s="64" t="e">
        <f t="shared" si="18"/>
        <v>#DIV/0!</v>
      </c>
      <c r="AD56" s="64" t="e">
        <f t="shared" si="18"/>
        <v>#DIV/0!</v>
      </c>
      <c r="AE56" s="64" t="e">
        <f t="shared" si="18"/>
        <v>#DIV/0!</v>
      </c>
      <c r="AF56" s="64" t="e">
        <f t="shared" si="18"/>
        <v>#DIV/0!</v>
      </c>
      <c r="AG56" s="64" t="e">
        <f t="shared" si="18"/>
        <v>#DIV/0!</v>
      </c>
      <c r="AH56" s="64" t="e">
        <f t="shared" si="18"/>
        <v>#DIV/0!</v>
      </c>
      <c r="AI56" s="64" t="e">
        <f t="shared" si="18"/>
        <v>#DIV/0!</v>
      </c>
      <c r="AJ56" s="101"/>
      <c r="AK56" s="109">
        <f>AK38/(AK31+AK32)*100</f>
        <v>4.2039119820285133</v>
      </c>
      <c r="CK56" s="87"/>
      <c r="RZ56" s="219">
        <f>RZ54-RZ55</f>
        <v>258</v>
      </c>
      <c r="SB56" s="240">
        <f>RZ56/RZ54*100</f>
        <v>38.053097345132741</v>
      </c>
    </row>
    <row r="57" spans="1:15037">
      <c r="B57" s="50"/>
      <c r="C57" s="181" t="s">
        <v>34</v>
      </c>
      <c r="D57" s="49">
        <v>82</v>
      </c>
      <c r="E57" s="182" t="s">
        <v>12</v>
      </c>
      <c r="F57" s="64">
        <f t="shared" ref="F57:AI57" si="19">(F41/F40)*100</f>
        <v>82.102017217011323</v>
      </c>
      <c r="G57" s="64">
        <f t="shared" si="19"/>
        <v>83.539016517941945</v>
      </c>
      <c r="H57" s="64">
        <f t="shared" si="19"/>
        <v>82.823724989609971</v>
      </c>
      <c r="I57" s="64">
        <f t="shared" si="19"/>
        <v>82.996894409937894</v>
      </c>
      <c r="J57" s="352">
        <f t="shared" si="19"/>
        <v>81.997966916182079</v>
      </c>
      <c r="K57" s="352">
        <f t="shared" si="19"/>
        <v>81.616396670544901</v>
      </c>
      <c r="L57" s="64">
        <f t="shared" si="19"/>
        <v>83.345609899823273</v>
      </c>
      <c r="M57" s="64">
        <f t="shared" si="19"/>
        <v>81.047353760445702</v>
      </c>
      <c r="N57" s="64">
        <f t="shared" si="19"/>
        <v>84.790134141064414</v>
      </c>
      <c r="O57" s="64">
        <f t="shared" si="19"/>
        <v>81.83329869050057</v>
      </c>
      <c r="P57" s="64">
        <f t="shared" si="19"/>
        <v>84.950720242608298</v>
      </c>
      <c r="Q57" s="352">
        <f t="shared" si="19"/>
        <v>82.593510590356132</v>
      </c>
      <c r="R57" s="352">
        <f t="shared" si="19"/>
        <v>83.105091927063555</v>
      </c>
      <c r="S57" s="64">
        <f t="shared" si="19"/>
        <v>68.386243386243379</v>
      </c>
      <c r="T57" s="64" t="e">
        <f t="shared" si="19"/>
        <v>#DIV/0!</v>
      </c>
      <c r="U57" s="64" t="e">
        <f t="shared" si="19"/>
        <v>#DIV/0!</v>
      </c>
      <c r="V57" s="64" t="e">
        <f t="shared" si="19"/>
        <v>#DIV/0!</v>
      </c>
      <c r="W57" s="64" t="e">
        <f t="shared" si="19"/>
        <v>#DIV/0!</v>
      </c>
      <c r="X57" s="64" t="e">
        <f t="shared" si="19"/>
        <v>#DIV/0!</v>
      </c>
      <c r="Y57" s="64" t="e">
        <f t="shared" si="19"/>
        <v>#DIV/0!</v>
      </c>
      <c r="Z57" s="64" t="e">
        <f t="shared" si="19"/>
        <v>#DIV/0!</v>
      </c>
      <c r="AA57" s="64" t="e">
        <f t="shared" si="19"/>
        <v>#DIV/0!</v>
      </c>
      <c r="AB57" s="64" t="e">
        <f t="shared" si="19"/>
        <v>#DIV/0!</v>
      </c>
      <c r="AC57" s="64" t="e">
        <f t="shared" si="19"/>
        <v>#DIV/0!</v>
      </c>
      <c r="AD57" s="64" t="e">
        <f t="shared" si="19"/>
        <v>#DIV/0!</v>
      </c>
      <c r="AE57" s="64" t="e">
        <f t="shared" si="19"/>
        <v>#DIV/0!</v>
      </c>
      <c r="AF57" s="64" t="e">
        <f t="shared" si="19"/>
        <v>#DIV/0!</v>
      </c>
      <c r="AG57" s="64" t="e">
        <f t="shared" si="19"/>
        <v>#DIV/0!</v>
      </c>
      <c r="AH57" s="64" t="e">
        <f t="shared" si="19"/>
        <v>#DIV/0!</v>
      </c>
      <c r="AI57" s="64" t="e">
        <f t="shared" si="19"/>
        <v>#DIV/0!</v>
      </c>
      <c r="AJ57" s="101"/>
      <c r="AK57" s="109">
        <f>AK41/AK40*100</f>
        <v>82.62384730859965</v>
      </c>
    </row>
    <row r="58" spans="1:15037">
      <c r="B58" s="50"/>
      <c r="C58" s="181" t="s">
        <v>50</v>
      </c>
      <c r="D58" s="49">
        <v>18</v>
      </c>
      <c r="E58" s="182" t="s">
        <v>12</v>
      </c>
      <c r="F58" s="64">
        <f t="shared" ref="F58:AI58" si="20">(F42/F40)*100</f>
        <v>17.897982782988674</v>
      </c>
      <c r="G58" s="64">
        <f t="shared" si="20"/>
        <v>16.460983482058058</v>
      </c>
      <c r="H58" s="64">
        <f t="shared" si="20"/>
        <v>17.176275010390025</v>
      </c>
      <c r="I58" s="64">
        <f t="shared" si="20"/>
        <v>17.003105590062113</v>
      </c>
      <c r="J58" s="352">
        <f t="shared" si="20"/>
        <v>18.002033083817913</v>
      </c>
      <c r="K58" s="352">
        <f t="shared" si="20"/>
        <v>18.383603329455109</v>
      </c>
      <c r="L58" s="64">
        <f t="shared" si="20"/>
        <v>16.654390100176723</v>
      </c>
      <c r="M58" s="64">
        <f t="shared" si="20"/>
        <v>18.952646239554312</v>
      </c>
      <c r="N58" s="64">
        <f t="shared" si="20"/>
        <v>15.209865858935595</v>
      </c>
      <c r="O58" s="64">
        <f t="shared" si="20"/>
        <v>18.166701309499434</v>
      </c>
      <c r="P58" s="64">
        <f t="shared" si="20"/>
        <v>15.049279757391695</v>
      </c>
      <c r="Q58" s="352">
        <f t="shared" si="20"/>
        <v>17.406489409643868</v>
      </c>
      <c r="R58" s="352">
        <f t="shared" si="20"/>
        <v>16.894908072936431</v>
      </c>
      <c r="S58" s="64">
        <f t="shared" si="20"/>
        <v>31.613756613756617</v>
      </c>
      <c r="T58" s="64" t="e">
        <f t="shared" si="20"/>
        <v>#DIV/0!</v>
      </c>
      <c r="U58" s="64" t="e">
        <f t="shared" si="20"/>
        <v>#DIV/0!</v>
      </c>
      <c r="V58" s="64" t="e">
        <f t="shared" si="20"/>
        <v>#DIV/0!</v>
      </c>
      <c r="W58" s="64" t="e">
        <f t="shared" si="20"/>
        <v>#DIV/0!</v>
      </c>
      <c r="X58" s="64" t="e">
        <f t="shared" si="20"/>
        <v>#DIV/0!</v>
      </c>
      <c r="Y58" s="64" t="e">
        <f t="shared" si="20"/>
        <v>#DIV/0!</v>
      </c>
      <c r="Z58" s="64" t="e">
        <f t="shared" si="20"/>
        <v>#DIV/0!</v>
      </c>
      <c r="AA58" s="64" t="e">
        <f t="shared" si="20"/>
        <v>#DIV/0!</v>
      </c>
      <c r="AB58" s="64" t="e">
        <f t="shared" si="20"/>
        <v>#DIV/0!</v>
      </c>
      <c r="AC58" s="64" t="e">
        <f t="shared" si="20"/>
        <v>#DIV/0!</v>
      </c>
      <c r="AD58" s="64" t="e">
        <f t="shared" si="20"/>
        <v>#DIV/0!</v>
      </c>
      <c r="AE58" s="64" t="e">
        <f t="shared" si="20"/>
        <v>#DIV/0!</v>
      </c>
      <c r="AF58" s="64" t="e">
        <f t="shared" si="20"/>
        <v>#DIV/0!</v>
      </c>
      <c r="AG58" s="64" t="e">
        <f t="shared" si="20"/>
        <v>#DIV/0!</v>
      </c>
      <c r="AH58" s="64" t="e">
        <f t="shared" si="20"/>
        <v>#DIV/0!</v>
      </c>
      <c r="AI58" s="64" t="e">
        <f t="shared" si="20"/>
        <v>#DIV/0!</v>
      </c>
      <c r="AJ58" s="101"/>
      <c r="AK58" s="109">
        <f>AK42/AK40*100</f>
        <v>17.37615269140036</v>
      </c>
    </row>
    <row r="59" spans="1:15037">
      <c r="B59" s="50"/>
      <c r="C59" s="181" t="s">
        <v>39</v>
      </c>
      <c r="D59" s="49">
        <v>70</v>
      </c>
      <c r="E59" s="182" t="s">
        <v>12</v>
      </c>
      <c r="F59" s="64">
        <f t="shared" ref="F59:AC59" si="21">F46/F45*100</f>
        <v>70.039682539683781</v>
      </c>
      <c r="G59" s="64" t="e">
        <f t="shared" si="21"/>
        <v>#DIV/0!</v>
      </c>
      <c r="H59" s="64" t="e">
        <f t="shared" si="21"/>
        <v>#DIV/0!</v>
      </c>
      <c r="I59" s="64" t="e">
        <f t="shared" si="21"/>
        <v>#DIV/0!</v>
      </c>
      <c r="J59" s="352">
        <f t="shared" si="21"/>
        <v>70.631341600900527</v>
      </c>
      <c r="K59" s="352">
        <f t="shared" si="21"/>
        <v>70.052083333332575</v>
      </c>
      <c r="L59" s="64" t="e">
        <f t="shared" si="21"/>
        <v>#DIV/0!</v>
      </c>
      <c r="M59" s="64" t="e">
        <f t="shared" si="21"/>
        <v>#DIV/0!</v>
      </c>
      <c r="N59" s="64" t="e">
        <f t="shared" si="21"/>
        <v>#DIV/0!</v>
      </c>
      <c r="O59" s="64" t="e">
        <f t="shared" si="21"/>
        <v>#DIV/0!</v>
      </c>
      <c r="P59" s="64" t="e">
        <f t="shared" si="21"/>
        <v>#DIV/0!</v>
      </c>
      <c r="Q59" s="352" t="e">
        <f t="shared" si="21"/>
        <v>#DIV/0!</v>
      </c>
      <c r="R59" s="352" t="e">
        <f t="shared" si="21"/>
        <v>#DIV/0!</v>
      </c>
      <c r="S59" s="64" t="e">
        <f t="shared" si="21"/>
        <v>#DIV/0!</v>
      </c>
      <c r="T59" s="64" t="e">
        <f t="shared" si="21"/>
        <v>#DIV/0!</v>
      </c>
      <c r="U59" s="64" t="e">
        <f t="shared" si="21"/>
        <v>#DIV/0!</v>
      </c>
      <c r="V59" s="64" t="e">
        <f t="shared" si="21"/>
        <v>#DIV/0!</v>
      </c>
      <c r="W59" s="64" t="e">
        <f t="shared" si="21"/>
        <v>#DIV/0!</v>
      </c>
      <c r="X59" s="64" t="e">
        <f t="shared" si="21"/>
        <v>#DIV/0!</v>
      </c>
      <c r="Y59" s="64" t="e">
        <f t="shared" si="21"/>
        <v>#DIV/0!</v>
      </c>
      <c r="Z59" s="64" t="e">
        <f t="shared" si="21"/>
        <v>#DIV/0!</v>
      </c>
      <c r="AA59" s="64" t="e">
        <f t="shared" si="21"/>
        <v>#DIV/0!</v>
      </c>
      <c r="AB59" s="64" t="e">
        <f t="shared" si="21"/>
        <v>#DIV/0!</v>
      </c>
      <c r="AC59" s="64" t="e">
        <f t="shared" si="21"/>
        <v>#DIV/0!</v>
      </c>
      <c r="AD59" s="64" t="e">
        <f t="shared" ref="AD59:AI59" si="22">AD49/AD48*100</f>
        <v>#DIV/0!</v>
      </c>
      <c r="AE59" s="64" t="e">
        <f t="shared" si="22"/>
        <v>#DIV/0!</v>
      </c>
      <c r="AF59" s="64" t="e">
        <f t="shared" si="22"/>
        <v>#DIV/0!</v>
      </c>
      <c r="AG59" s="64" t="e">
        <f t="shared" si="22"/>
        <v>#DIV/0!</v>
      </c>
      <c r="AH59" s="64" t="e">
        <f t="shared" si="22"/>
        <v>#DIV/0!</v>
      </c>
      <c r="AI59" s="64" t="e">
        <f t="shared" si="22"/>
        <v>#DIV/0!</v>
      </c>
      <c r="AJ59" s="101"/>
      <c r="AK59" s="109">
        <f>AK46/AK45*100</f>
        <v>70.310116929333461</v>
      </c>
      <c r="CK59" s="87"/>
    </row>
    <row r="60" spans="1:15037">
      <c r="B60" s="50"/>
      <c r="C60" s="181" t="s">
        <v>50</v>
      </c>
      <c r="D60" s="49">
        <v>30</v>
      </c>
      <c r="E60" s="182" t="s">
        <v>12</v>
      </c>
      <c r="F60" s="64">
        <f t="shared" ref="F60:AC60" si="23">F47/F45*100</f>
        <v>29.960317460316222</v>
      </c>
      <c r="G60" s="64" t="e">
        <f t="shared" si="23"/>
        <v>#DIV/0!</v>
      </c>
      <c r="H60" s="64" t="e">
        <f t="shared" si="23"/>
        <v>#DIV/0!</v>
      </c>
      <c r="I60" s="64" t="e">
        <f t="shared" si="23"/>
        <v>#DIV/0!</v>
      </c>
      <c r="J60" s="352">
        <f t="shared" si="23"/>
        <v>29.368658399099473</v>
      </c>
      <c r="K60" s="352">
        <f t="shared" si="23"/>
        <v>29.947916666667417</v>
      </c>
      <c r="L60" s="64" t="e">
        <f t="shared" si="23"/>
        <v>#DIV/0!</v>
      </c>
      <c r="M60" s="64" t="e">
        <f t="shared" si="23"/>
        <v>#DIV/0!</v>
      </c>
      <c r="N60" s="64" t="e">
        <f t="shared" si="23"/>
        <v>#DIV/0!</v>
      </c>
      <c r="O60" s="64" t="e">
        <f t="shared" si="23"/>
        <v>#DIV/0!</v>
      </c>
      <c r="P60" s="64" t="e">
        <f t="shared" si="23"/>
        <v>#DIV/0!</v>
      </c>
      <c r="Q60" s="352" t="e">
        <f t="shared" si="23"/>
        <v>#DIV/0!</v>
      </c>
      <c r="R60" s="352" t="e">
        <f t="shared" si="23"/>
        <v>#DIV/0!</v>
      </c>
      <c r="S60" s="64" t="e">
        <f t="shared" si="23"/>
        <v>#DIV/0!</v>
      </c>
      <c r="T60" s="64" t="e">
        <f t="shared" si="23"/>
        <v>#DIV/0!</v>
      </c>
      <c r="U60" s="64" t="e">
        <f t="shared" si="23"/>
        <v>#DIV/0!</v>
      </c>
      <c r="V60" s="64" t="e">
        <f t="shared" si="23"/>
        <v>#DIV/0!</v>
      </c>
      <c r="W60" s="64" t="e">
        <f t="shared" si="23"/>
        <v>#DIV/0!</v>
      </c>
      <c r="X60" s="64" t="e">
        <f t="shared" si="23"/>
        <v>#DIV/0!</v>
      </c>
      <c r="Y60" s="64" t="e">
        <f t="shared" si="23"/>
        <v>#DIV/0!</v>
      </c>
      <c r="Z60" s="64" t="e">
        <f t="shared" si="23"/>
        <v>#DIV/0!</v>
      </c>
      <c r="AA60" s="64" t="e">
        <f t="shared" si="23"/>
        <v>#DIV/0!</v>
      </c>
      <c r="AB60" s="64" t="e">
        <f t="shared" si="23"/>
        <v>#DIV/0!</v>
      </c>
      <c r="AC60" s="64" t="e">
        <f t="shared" si="23"/>
        <v>#DIV/0!</v>
      </c>
      <c r="AD60" s="64" t="e">
        <f t="shared" ref="AD60:AI60" si="24">AD50/AD48*100</f>
        <v>#DIV/0!</v>
      </c>
      <c r="AE60" s="64" t="e">
        <f t="shared" si="24"/>
        <v>#DIV/0!</v>
      </c>
      <c r="AF60" s="64" t="e">
        <f t="shared" si="24"/>
        <v>#DIV/0!</v>
      </c>
      <c r="AG60" s="64" t="e">
        <f t="shared" si="24"/>
        <v>#DIV/0!</v>
      </c>
      <c r="AH60" s="64" t="e">
        <f t="shared" si="24"/>
        <v>#DIV/0!</v>
      </c>
      <c r="AI60" s="64" t="e">
        <f t="shared" si="24"/>
        <v>#DIV/0!</v>
      </c>
      <c r="AJ60" s="110"/>
      <c r="AK60" s="109">
        <f>AK47/AK45*100</f>
        <v>29.689883070666532</v>
      </c>
      <c r="IX60" s="1">
        <v>95.03</v>
      </c>
    </row>
    <row r="61" spans="1:15037">
      <c r="B61" s="50"/>
      <c r="C61" s="181" t="s">
        <v>43</v>
      </c>
      <c r="D61" s="49">
        <v>60</v>
      </c>
      <c r="E61" s="182" t="s">
        <v>12</v>
      </c>
      <c r="F61" s="64" t="e">
        <f t="shared" ref="F61:AI61" si="25">F52/F50*100</f>
        <v>#DIV/0!</v>
      </c>
      <c r="G61" s="64" t="e">
        <f t="shared" si="25"/>
        <v>#DIV/0!</v>
      </c>
      <c r="H61" s="64" t="e">
        <f t="shared" si="25"/>
        <v>#DIV/0!</v>
      </c>
      <c r="I61" s="64" t="e">
        <f>I52/I50*100</f>
        <v>#DIV/0!</v>
      </c>
      <c r="J61" s="352" t="e">
        <f>J52/J50*100</f>
        <v>#DIV/0!</v>
      </c>
      <c r="K61" s="352" t="e">
        <f>K52/K50*100</f>
        <v>#DIV/0!</v>
      </c>
      <c r="L61" s="64" t="e">
        <f t="shared" si="25"/>
        <v>#DIV/0!</v>
      </c>
      <c r="M61" s="64" t="e">
        <f t="shared" si="25"/>
        <v>#DIV/0!</v>
      </c>
      <c r="N61" s="64" t="e">
        <f t="shared" si="25"/>
        <v>#DIV/0!</v>
      </c>
      <c r="O61" s="64" t="e">
        <f t="shared" si="25"/>
        <v>#DIV/0!</v>
      </c>
      <c r="P61" s="64" t="e">
        <f>P52/P50*100</f>
        <v>#DIV/0!</v>
      </c>
      <c r="Q61" s="352" t="e">
        <f>Q52/Q50*100</f>
        <v>#DIV/0!</v>
      </c>
      <c r="R61" s="352" t="e">
        <f t="shared" si="25"/>
        <v>#DIV/0!</v>
      </c>
      <c r="S61" s="64" t="e">
        <f t="shared" si="25"/>
        <v>#DIV/0!</v>
      </c>
      <c r="T61" s="64" t="e">
        <f t="shared" ref="T61:W61" si="26">(T52+T51)/T50*100</f>
        <v>#DIV/0!</v>
      </c>
      <c r="U61" s="64" t="e">
        <f t="shared" si="26"/>
        <v>#DIV/0!</v>
      </c>
      <c r="V61" s="64" t="e">
        <f>(V52+V51)/V50*100</f>
        <v>#DIV/0!</v>
      </c>
      <c r="W61" s="64" t="e">
        <f t="shared" si="26"/>
        <v>#DIV/0!</v>
      </c>
      <c r="X61" s="64" t="e">
        <f t="shared" si="25"/>
        <v>#DIV/0!</v>
      </c>
      <c r="Y61" s="64" t="e">
        <f t="shared" si="25"/>
        <v>#DIV/0!</v>
      </c>
      <c r="Z61" s="64" t="e">
        <f t="shared" si="25"/>
        <v>#DIV/0!</v>
      </c>
      <c r="AA61" s="64" t="e">
        <f t="shared" si="25"/>
        <v>#DIV/0!</v>
      </c>
      <c r="AB61" s="64" t="e">
        <f t="shared" si="25"/>
        <v>#DIV/0!</v>
      </c>
      <c r="AC61" s="64" t="e">
        <f t="shared" si="25"/>
        <v>#DIV/0!</v>
      </c>
      <c r="AD61" s="64" t="e">
        <f t="shared" si="25"/>
        <v>#DIV/0!</v>
      </c>
      <c r="AE61" s="64" t="e">
        <f t="shared" si="25"/>
        <v>#DIV/0!</v>
      </c>
      <c r="AF61" s="64" t="e">
        <f t="shared" si="25"/>
        <v>#DIV/0!</v>
      </c>
      <c r="AG61" s="64" t="e">
        <f t="shared" si="25"/>
        <v>#DIV/0!</v>
      </c>
      <c r="AH61" s="64" t="e">
        <f t="shared" si="25"/>
        <v>#DIV/0!</v>
      </c>
      <c r="AI61" s="64" t="e">
        <f t="shared" si="25"/>
        <v>#DIV/0!</v>
      </c>
      <c r="AJ61" s="101"/>
      <c r="AK61" s="109" t="e">
        <f>(AK52+AK51)/AK50*100</f>
        <v>#DIV/0!</v>
      </c>
      <c r="IX61" s="1">
        <v>4.2300000000000004</v>
      </c>
      <c r="SB61" s="219">
        <f>SB62/94.2%</f>
        <v>1307.8556263269638</v>
      </c>
      <c r="SC61" s="1" t="s">
        <v>153</v>
      </c>
    </row>
    <row r="62" spans="1:15037">
      <c r="B62" s="50"/>
      <c r="C62" s="181" t="s">
        <v>51</v>
      </c>
      <c r="D62" s="49">
        <v>40</v>
      </c>
      <c r="E62" s="182" t="s">
        <v>12</v>
      </c>
      <c r="F62" s="64" t="e">
        <f t="shared" ref="F62:AI62" si="27">F53/F50*100</f>
        <v>#DIV/0!</v>
      </c>
      <c r="G62" s="64" t="e">
        <f t="shared" si="27"/>
        <v>#DIV/0!</v>
      </c>
      <c r="H62" s="64" t="e">
        <f t="shared" si="27"/>
        <v>#DIV/0!</v>
      </c>
      <c r="I62" s="64" t="e">
        <f>I53/I50*100</f>
        <v>#DIV/0!</v>
      </c>
      <c r="J62" s="352" t="e">
        <f>J53/J50*100</f>
        <v>#DIV/0!</v>
      </c>
      <c r="K62" s="352" t="e">
        <f>K53/K50*100</f>
        <v>#DIV/0!</v>
      </c>
      <c r="L62" s="64" t="e">
        <f t="shared" si="27"/>
        <v>#DIV/0!</v>
      </c>
      <c r="M62" s="64" t="e">
        <f t="shared" si="27"/>
        <v>#DIV/0!</v>
      </c>
      <c r="N62" s="64" t="e">
        <f t="shared" si="27"/>
        <v>#DIV/0!</v>
      </c>
      <c r="O62" s="64" t="e">
        <f t="shared" si="27"/>
        <v>#DIV/0!</v>
      </c>
      <c r="P62" s="64" t="e">
        <f>P53/P50*100</f>
        <v>#DIV/0!</v>
      </c>
      <c r="Q62" s="352" t="e">
        <f>Q53/Q50*100</f>
        <v>#DIV/0!</v>
      </c>
      <c r="R62" s="352" t="e">
        <f t="shared" si="27"/>
        <v>#DIV/0!</v>
      </c>
      <c r="S62" s="64" t="e">
        <f t="shared" si="27"/>
        <v>#DIV/0!</v>
      </c>
      <c r="T62" s="64" t="e">
        <f t="shared" si="27"/>
        <v>#DIV/0!</v>
      </c>
      <c r="U62" s="64" t="e">
        <f t="shared" si="27"/>
        <v>#DIV/0!</v>
      </c>
      <c r="V62" s="64" t="e">
        <f t="shared" si="27"/>
        <v>#DIV/0!</v>
      </c>
      <c r="W62" s="64" t="e">
        <f t="shared" si="27"/>
        <v>#DIV/0!</v>
      </c>
      <c r="X62" s="64" t="e">
        <f t="shared" si="27"/>
        <v>#DIV/0!</v>
      </c>
      <c r="Y62" s="64" t="e">
        <f t="shared" si="27"/>
        <v>#DIV/0!</v>
      </c>
      <c r="Z62" s="64" t="e">
        <f t="shared" si="27"/>
        <v>#DIV/0!</v>
      </c>
      <c r="AA62" s="64" t="e">
        <f t="shared" si="27"/>
        <v>#DIV/0!</v>
      </c>
      <c r="AB62" s="64" t="e">
        <f t="shared" si="27"/>
        <v>#DIV/0!</v>
      </c>
      <c r="AC62" s="64" t="e">
        <f t="shared" si="27"/>
        <v>#DIV/0!</v>
      </c>
      <c r="AD62" s="64" t="e">
        <f t="shared" si="27"/>
        <v>#DIV/0!</v>
      </c>
      <c r="AE62" s="64" t="e">
        <f t="shared" si="27"/>
        <v>#DIV/0!</v>
      </c>
      <c r="AF62" s="64" t="e">
        <f t="shared" si="27"/>
        <v>#DIV/0!</v>
      </c>
      <c r="AG62" s="64" t="e">
        <f t="shared" si="27"/>
        <v>#DIV/0!</v>
      </c>
      <c r="AH62" s="64" t="e">
        <f t="shared" si="27"/>
        <v>#DIV/0!</v>
      </c>
      <c r="AI62" s="64" t="e">
        <f t="shared" si="27"/>
        <v>#DIV/0!</v>
      </c>
      <c r="AJ62" s="110"/>
      <c r="AK62" s="109" t="e">
        <f>AK53/AK50*100</f>
        <v>#DIV/0!</v>
      </c>
      <c r="IX62" s="1">
        <f>100-IX60-IX61</f>
        <v>0.73999999999999844</v>
      </c>
      <c r="SB62" s="219">
        <f>22*56</f>
        <v>1232</v>
      </c>
      <c r="SC62" s="1" t="s">
        <v>154</v>
      </c>
    </row>
    <row r="63" spans="1:15037">
      <c r="B63" s="34">
        <v>3</v>
      </c>
      <c r="C63" s="61" t="s">
        <v>52</v>
      </c>
      <c r="D63" s="62"/>
      <c r="E63" s="62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97"/>
      <c r="AK63" s="108" t="s">
        <v>53</v>
      </c>
      <c r="AL63" s="87"/>
      <c r="SB63" s="219">
        <f>16.5*SB61</f>
        <v>21579.617834394903</v>
      </c>
    </row>
    <row r="64" spans="1:15037">
      <c r="B64" s="37"/>
      <c r="C64" s="176" t="s">
        <v>54</v>
      </c>
      <c r="D64" s="49">
        <v>8</v>
      </c>
      <c r="E64" s="183" t="s">
        <v>55</v>
      </c>
      <c r="F64" s="40">
        <v>15936</v>
      </c>
      <c r="G64" s="40">
        <v>15096</v>
      </c>
      <c r="H64" s="40">
        <v>13472</v>
      </c>
      <c r="I64" s="40">
        <v>17136</v>
      </c>
      <c r="J64" s="349">
        <v>13360</v>
      </c>
      <c r="K64" s="349">
        <v>15408</v>
      </c>
      <c r="L64" s="40">
        <v>18088</v>
      </c>
      <c r="M64" s="40">
        <v>16808</v>
      </c>
      <c r="N64" s="40">
        <v>19960</v>
      </c>
      <c r="O64" s="40">
        <v>18224</v>
      </c>
      <c r="P64" s="40">
        <v>14960</v>
      </c>
      <c r="Q64" s="349">
        <v>9592</v>
      </c>
      <c r="R64" s="349">
        <v>18696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97"/>
      <c r="AK64" s="89">
        <f>SUM(F64:AI64)</f>
        <v>206736</v>
      </c>
      <c r="AL64" s="87"/>
      <c r="BK64" s="87"/>
    </row>
    <row r="65" spans="2:930 15038:15051">
      <c r="B65" s="50"/>
      <c r="C65" s="65"/>
      <c r="D65" s="54"/>
      <c r="E65" s="183" t="s">
        <v>12</v>
      </c>
      <c r="F65" s="64">
        <f>F64/F31*100</f>
        <v>0.75951176966814249</v>
      </c>
      <c r="G65" s="64">
        <f>G64/(G31-G49)*100</f>
        <v>0.72672655324802871</v>
      </c>
      <c r="H65" s="64">
        <f t="shared" ref="H65:M65" si="28">H64/((H31+H32)-H49)*100</f>
        <v>0.81429365827712097</v>
      </c>
      <c r="I65" s="64">
        <f t="shared" si="28"/>
        <v>0.79350599435988389</v>
      </c>
      <c r="J65" s="352">
        <f t="shared" si="28"/>
        <v>0.80025397281772059</v>
      </c>
      <c r="K65" s="371">
        <f>K64/((K31+K32)-K49)*100</f>
        <v>0.98755303739216271</v>
      </c>
      <c r="L65" s="307">
        <f t="shared" si="28"/>
        <v>1.1593979950260236</v>
      </c>
      <c r="M65" s="307">
        <f t="shared" si="28"/>
        <v>1.0765594676129118</v>
      </c>
      <c r="N65" s="64">
        <f>N64/((N31+N32)-(N49+N44))*100</f>
        <v>1.2914412898884546</v>
      </c>
      <c r="O65" s="64">
        <f t="shared" ref="O65:AI65" si="29">O64/((O31+O32)-(O49+O44))*100</f>
        <v>1.274851346624694</v>
      </c>
      <c r="P65" s="64">
        <f t="shared" si="29"/>
        <v>1.11240825978003</v>
      </c>
      <c r="Q65" s="352">
        <f t="shared" si="29"/>
        <v>0.81620844289008598</v>
      </c>
      <c r="R65" s="352">
        <f t="shared" si="29"/>
        <v>1.0907117979592973</v>
      </c>
      <c r="S65" s="64" t="e">
        <f t="shared" si="29"/>
        <v>#DIV/0!</v>
      </c>
      <c r="T65" s="64" t="e">
        <f t="shared" si="29"/>
        <v>#DIV/0!</v>
      </c>
      <c r="U65" s="64" t="e">
        <f t="shared" si="29"/>
        <v>#DIV/0!</v>
      </c>
      <c r="V65" s="64" t="e">
        <f t="shared" si="29"/>
        <v>#DIV/0!</v>
      </c>
      <c r="W65" s="64" t="e">
        <f t="shared" si="29"/>
        <v>#DIV/0!</v>
      </c>
      <c r="X65" s="64" t="e">
        <f t="shared" si="29"/>
        <v>#DIV/0!</v>
      </c>
      <c r="Y65" s="64" t="e">
        <f t="shared" si="29"/>
        <v>#DIV/0!</v>
      </c>
      <c r="Z65" s="64" t="e">
        <f t="shared" si="29"/>
        <v>#DIV/0!</v>
      </c>
      <c r="AA65" s="64" t="e">
        <f>AA64/((AA31+AA32)-(AA49+AA44))*100</f>
        <v>#DIV/0!</v>
      </c>
      <c r="AB65" s="236" t="e">
        <f>AB64/((AB31+AB32)-(AB49+AB44))*100</f>
        <v>#DIV/0!</v>
      </c>
      <c r="AC65" s="64" t="e">
        <f t="shared" si="29"/>
        <v>#DIV/0!</v>
      </c>
      <c r="AD65" s="64" t="e">
        <f t="shared" si="29"/>
        <v>#DIV/0!</v>
      </c>
      <c r="AE65" s="64" t="e">
        <f t="shared" si="29"/>
        <v>#DIV/0!</v>
      </c>
      <c r="AF65" s="64" t="e">
        <f>AF64/((AF31+AF32)-(AF49+AF44))*100</f>
        <v>#DIV/0!</v>
      </c>
      <c r="AG65" s="64" t="e">
        <f>AG64/((AG31+AG32)-(AG49+AG44))*100</f>
        <v>#DIV/0!</v>
      </c>
      <c r="AH65" s="64" t="e">
        <f t="shared" si="29"/>
        <v>#DIV/0!</v>
      </c>
      <c r="AI65" s="64" t="e">
        <f t="shared" si="29"/>
        <v>#DIV/0!</v>
      </c>
      <c r="AJ65" s="97"/>
      <c r="AK65" s="109">
        <f>AK64/((AK31-(AK44+AK49)))*100</f>
        <v>0.9593455868738715</v>
      </c>
      <c r="AL65" s="9"/>
      <c r="AM65" s="8">
        <f>AK65*10</f>
        <v>9.5934558687387153</v>
      </c>
      <c r="AN65" s="214"/>
      <c r="AS65" s="9"/>
      <c r="CJ65" s="214"/>
      <c r="CK65" s="214"/>
      <c r="IX65" s="240">
        <f>R65*10</f>
        <v>10.907117979592973</v>
      </c>
      <c r="RY65" s="240"/>
      <c r="SB65" s="219">
        <f>SB61+(AK49/1000)</f>
        <v>1307.8556263269638</v>
      </c>
      <c r="SC65" s="219" t="s">
        <v>155</v>
      </c>
    </row>
    <row r="66" spans="2:930 15038:15051" s="1" customFormat="1">
      <c r="B66" s="37"/>
      <c r="C66" s="184" t="s">
        <v>56</v>
      </c>
      <c r="D66" s="66">
        <v>16</v>
      </c>
      <c r="E66" s="185" t="s">
        <v>55</v>
      </c>
      <c r="F66" s="82">
        <v>0</v>
      </c>
      <c r="G66" s="82">
        <v>0</v>
      </c>
      <c r="H66" s="82">
        <v>0</v>
      </c>
      <c r="I66" s="82">
        <v>0</v>
      </c>
      <c r="J66" s="372">
        <v>0</v>
      </c>
      <c r="K66" s="372">
        <v>0</v>
      </c>
      <c r="L66" s="82">
        <v>0</v>
      </c>
      <c r="M66" s="82">
        <v>0</v>
      </c>
      <c r="N66" s="82">
        <v>0</v>
      </c>
      <c r="O66" s="67">
        <v>0</v>
      </c>
      <c r="P66" s="67">
        <v>0</v>
      </c>
      <c r="Q66" s="353"/>
      <c r="R66" s="353">
        <v>0</v>
      </c>
      <c r="S66" s="67">
        <v>0</v>
      </c>
      <c r="T66" s="67">
        <v>0</v>
      </c>
      <c r="U66" s="67">
        <v>0</v>
      </c>
      <c r="V66" s="67">
        <v>0</v>
      </c>
      <c r="W66" s="67">
        <v>0</v>
      </c>
      <c r="X66" s="67">
        <v>0</v>
      </c>
      <c r="Y66" s="67">
        <v>0</v>
      </c>
      <c r="Z66" s="67">
        <v>0</v>
      </c>
      <c r="AA66" s="67">
        <v>0</v>
      </c>
      <c r="AB66" s="67">
        <v>0</v>
      </c>
      <c r="AC66" s="67">
        <v>0</v>
      </c>
      <c r="AD66" s="67">
        <v>0</v>
      </c>
      <c r="AE66" s="67">
        <v>0</v>
      </c>
      <c r="AF66" s="67">
        <v>0</v>
      </c>
      <c r="AG66" s="67">
        <v>0</v>
      </c>
      <c r="AH66" s="67">
        <v>0</v>
      </c>
      <c r="AI66" s="67">
        <v>0</v>
      </c>
      <c r="AJ66" s="97"/>
      <c r="AK66" s="111">
        <f>SUM(F66:AI66)</f>
        <v>0</v>
      </c>
      <c r="AL66" s="214"/>
      <c r="AM66" s="8"/>
      <c r="EA66" s="219"/>
      <c r="EB66" s="219"/>
      <c r="FH66" s="219"/>
      <c r="GP66" s="7"/>
      <c r="GQ66" s="219"/>
      <c r="GR66" s="219"/>
      <c r="GS66" s="219"/>
      <c r="GT66" s="219"/>
      <c r="IW66" s="219"/>
      <c r="IX66" s="240"/>
      <c r="MR66" s="219"/>
      <c r="MS66" s="219"/>
      <c r="MT66" s="219"/>
      <c r="MU66" s="219"/>
      <c r="RY66" s="219"/>
      <c r="RZ66" s="219"/>
      <c r="SB66" s="219">
        <f>SB63+AK66</f>
        <v>21579.617834394903</v>
      </c>
      <c r="SC66" s="219" t="s">
        <v>156</v>
      </c>
      <c r="SP66" s="240"/>
      <c r="ST66" s="219"/>
      <c r="UW66" s="240"/>
      <c r="VFJ66"/>
      <c r="VFK66"/>
      <c r="VFL66"/>
      <c r="VFM66"/>
      <c r="VFN66"/>
      <c r="VFO66"/>
      <c r="VFP66"/>
      <c r="VFQ66"/>
      <c r="VFR66"/>
      <c r="VFS66"/>
      <c r="VFT66"/>
      <c r="VFU66"/>
      <c r="VFV66"/>
      <c r="VFW66"/>
    </row>
    <row r="67" spans="2:930 15038:15051" s="1" customFormat="1">
      <c r="B67" s="50"/>
      <c r="C67" s="68"/>
      <c r="D67" s="69"/>
      <c r="E67" s="186" t="s">
        <v>12</v>
      </c>
      <c r="F67" s="70" t="e">
        <f>F66/F49*100</f>
        <v>#DIV/0!</v>
      </c>
      <c r="G67" s="70" t="e">
        <f>G66/G49*100</f>
        <v>#DIV/0!</v>
      </c>
      <c r="H67" s="70" t="e">
        <f t="shared" ref="H67:S67" si="30">H66/H49*100</f>
        <v>#DIV/0!</v>
      </c>
      <c r="I67" s="70" t="e">
        <f t="shared" si="30"/>
        <v>#DIV/0!</v>
      </c>
      <c r="J67" s="354" t="e">
        <f t="shared" si="30"/>
        <v>#DIV/0!</v>
      </c>
      <c r="K67" s="354" t="e">
        <f t="shared" si="30"/>
        <v>#DIV/0!</v>
      </c>
      <c r="L67" s="70" t="e">
        <f t="shared" si="30"/>
        <v>#DIV/0!</v>
      </c>
      <c r="M67" s="70" t="e">
        <f>M66/M49*100</f>
        <v>#DIV/0!</v>
      </c>
      <c r="N67" s="70" t="e">
        <f>N66/(N44+N49)*100</f>
        <v>#DIV/0!</v>
      </c>
      <c r="O67" s="70" t="e">
        <f t="shared" si="30"/>
        <v>#DIV/0!</v>
      </c>
      <c r="P67" s="70" t="e">
        <f>P66/(P49+P44)*100</f>
        <v>#DIV/0!</v>
      </c>
      <c r="Q67" s="354" t="e">
        <f>Q66/Q49*100</f>
        <v>#DIV/0!</v>
      </c>
      <c r="R67" s="354" t="e">
        <f>R66/R49*100</f>
        <v>#DIV/0!</v>
      </c>
      <c r="S67" s="70" t="e">
        <f t="shared" si="30"/>
        <v>#DIV/0!</v>
      </c>
      <c r="T67" s="70" t="e">
        <f>T66/(T49+T44)*100</f>
        <v>#DIV/0!</v>
      </c>
      <c r="U67" s="70" t="e">
        <f>U66/U49*100</f>
        <v>#DIV/0!</v>
      </c>
      <c r="V67" s="70" t="e">
        <f t="shared" ref="V67:AA67" si="31">V66/V49*100</f>
        <v>#DIV/0!</v>
      </c>
      <c r="W67" s="70" t="e">
        <f>W66/W49*100</f>
        <v>#DIV/0!</v>
      </c>
      <c r="X67" s="70" t="e">
        <f t="shared" si="31"/>
        <v>#DIV/0!</v>
      </c>
      <c r="Y67" s="70" t="e">
        <f t="shared" si="31"/>
        <v>#DIV/0!</v>
      </c>
      <c r="Z67" s="70" t="e">
        <f t="shared" si="31"/>
        <v>#DIV/0!</v>
      </c>
      <c r="AA67" s="70" t="e">
        <f t="shared" si="31"/>
        <v>#DIV/0!</v>
      </c>
      <c r="AB67" s="70" t="e">
        <f>AB66/(AB49+AB44)*100</f>
        <v>#DIV/0!</v>
      </c>
      <c r="AC67" s="70" t="e">
        <f>AC66/(AC49)*100</f>
        <v>#DIV/0!</v>
      </c>
      <c r="AD67" s="70" t="e">
        <f t="shared" ref="AD67:AI67" si="32">AD66/AD49*100</f>
        <v>#DIV/0!</v>
      </c>
      <c r="AE67" s="70" t="e">
        <f t="shared" si="32"/>
        <v>#DIV/0!</v>
      </c>
      <c r="AF67" s="70" t="e">
        <f t="shared" si="32"/>
        <v>#DIV/0!</v>
      </c>
      <c r="AG67" s="70" t="e">
        <f>AG66/AG49*100</f>
        <v>#DIV/0!</v>
      </c>
      <c r="AH67" s="70" t="e">
        <f t="shared" si="32"/>
        <v>#DIV/0!</v>
      </c>
      <c r="AI67" s="70" t="e">
        <f t="shared" si="32"/>
        <v>#DIV/0!</v>
      </c>
      <c r="AJ67" s="97"/>
      <c r="AK67" s="112" t="e">
        <f>AK66/((AK49)+AK44)*100</f>
        <v>#DIV/0!</v>
      </c>
      <c r="AL67" s="9"/>
      <c r="AM67" s="8" t="e">
        <f>AK67*10</f>
        <v>#DIV/0!</v>
      </c>
      <c r="EA67" s="219"/>
      <c r="EB67" s="219"/>
      <c r="FH67" s="219"/>
      <c r="GP67" s="7"/>
      <c r="GQ67" s="219"/>
      <c r="GR67" s="219"/>
      <c r="GS67" s="219"/>
      <c r="GT67" s="219"/>
      <c r="IW67" s="219"/>
      <c r="IX67" s="240"/>
      <c r="MR67" s="219"/>
      <c r="MS67" s="219"/>
      <c r="MT67" s="219"/>
      <c r="MU67" s="219"/>
      <c r="RY67" s="240"/>
      <c r="RZ67" s="219"/>
      <c r="SB67" s="299">
        <f>SB66/SB65</f>
        <v>16.5</v>
      </c>
      <c r="SC67" s="300" t="s">
        <v>157</v>
      </c>
      <c r="SP67" s="240"/>
      <c r="ST67" s="219"/>
      <c r="UW67" s="240"/>
      <c r="VFJ67"/>
      <c r="VFK67"/>
      <c r="VFL67"/>
      <c r="VFM67"/>
      <c r="VFN67"/>
      <c r="VFO67"/>
      <c r="VFP67"/>
      <c r="VFQ67"/>
      <c r="VFR67"/>
      <c r="VFS67"/>
      <c r="VFT67"/>
      <c r="VFU67"/>
      <c r="VFV67"/>
      <c r="VFW67"/>
    </row>
    <row r="68" spans="2:930 15038:15051">
      <c r="B68" s="50"/>
      <c r="C68" s="176" t="s">
        <v>57</v>
      </c>
      <c r="D68" s="49">
        <v>0.55000000000000004</v>
      </c>
      <c r="E68" s="183" t="s">
        <v>9</v>
      </c>
      <c r="F68" s="40">
        <v>1153.17</v>
      </c>
      <c r="G68" s="40">
        <v>1126.3499999999999</v>
      </c>
      <c r="H68" s="40">
        <v>938.63</v>
      </c>
      <c r="I68" s="40">
        <v>1193.98</v>
      </c>
      <c r="J68" s="349">
        <v>804.54000000000008</v>
      </c>
      <c r="K68" s="349">
        <v>872.17</v>
      </c>
      <c r="L68" s="40">
        <v>860.48</v>
      </c>
      <c r="M68" s="40">
        <v>838.29</v>
      </c>
      <c r="N68" s="40">
        <v>845.35</v>
      </c>
      <c r="O68" s="40">
        <v>746.15000000000009</v>
      </c>
      <c r="P68" s="40">
        <v>652.95999999999992</v>
      </c>
      <c r="Q68" s="349">
        <v>613.31999999999994</v>
      </c>
      <c r="R68" s="349">
        <v>754.4799999999999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97"/>
      <c r="AK68" s="111">
        <f>SUM(F68:AI68)</f>
        <v>11399.869999999997</v>
      </c>
      <c r="IX68" s="240"/>
      <c r="SB68" s="240">
        <v>16</v>
      </c>
      <c r="SC68" s="1" t="s">
        <v>159</v>
      </c>
    </row>
    <row r="69" spans="2:930 15038:15051">
      <c r="B69" s="71"/>
      <c r="C69" s="72"/>
      <c r="D69" s="54"/>
      <c r="E69" s="187" t="s">
        <v>12</v>
      </c>
      <c r="F69" s="73">
        <f t="shared" ref="F69:AI69" si="33">F68/(F31+F32)*100</f>
        <v>5.4960227624762305E-2</v>
      </c>
      <c r="G69" s="73">
        <f t="shared" si="33"/>
        <v>5.4222870512116918E-2</v>
      </c>
      <c r="H69" s="73">
        <f t="shared" si="33"/>
        <v>5.6734000628611489E-2</v>
      </c>
      <c r="I69" s="86">
        <f t="shared" si="33"/>
        <v>5.5288882303093728E-2</v>
      </c>
      <c r="J69" s="355">
        <f t="shared" si="33"/>
        <v>4.8191342162482713E-2</v>
      </c>
      <c r="K69" s="355">
        <f t="shared" si="33"/>
        <v>5.5900449936547407E-2</v>
      </c>
      <c r="L69" s="73">
        <f t="shared" si="33"/>
        <v>5.5154731687306113E-2</v>
      </c>
      <c r="M69" s="73">
        <f t="shared" si="33"/>
        <v>5.3692826993409555E-2</v>
      </c>
      <c r="N69" s="73">
        <f t="shared" si="33"/>
        <v>5.4695385491342945E-2</v>
      </c>
      <c r="O69" s="73">
        <f t="shared" si="33"/>
        <v>5.2196572228051775E-2</v>
      </c>
      <c r="P69" s="73">
        <f t="shared" si="33"/>
        <v>4.8553348750398947E-2</v>
      </c>
      <c r="Q69" s="355">
        <f t="shared" si="33"/>
        <v>5.2189007734919454E-2</v>
      </c>
      <c r="R69" s="355">
        <f t="shared" si="33"/>
        <v>4.4015844957441722E-2</v>
      </c>
      <c r="S69" s="73" t="e">
        <f t="shared" si="33"/>
        <v>#DIV/0!</v>
      </c>
      <c r="T69" s="73" t="e">
        <f t="shared" si="33"/>
        <v>#DIV/0!</v>
      </c>
      <c r="U69" s="73" t="e">
        <f t="shared" si="33"/>
        <v>#DIV/0!</v>
      </c>
      <c r="V69" s="73" t="e">
        <f t="shared" si="33"/>
        <v>#DIV/0!</v>
      </c>
      <c r="W69" s="73" t="e">
        <f t="shared" si="33"/>
        <v>#DIV/0!</v>
      </c>
      <c r="X69" s="73" t="e">
        <f t="shared" si="33"/>
        <v>#DIV/0!</v>
      </c>
      <c r="Y69" s="73" t="e">
        <f t="shared" si="33"/>
        <v>#DIV/0!</v>
      </c>
      <c r="Z69" s="73" t="e">
        <f t="shared" si="33"/>
        <v>#DIV/0!</v>
      </c>
      <c r="AA69" s="73" t="e">
        <f t="shared" si="33"/>
        <v>#DIV/0!</v>
      </c>
      <c r="AB69" s="73" t="e">
        <f t="shared" si="33"/>
        <v>#DIV/0!</v>
      </c>
      <c r="AC69" s="73" t="e">
        <f t="shared" si="33"/>
        <v>#DIV/0!</v>
      </c>
      <c r="AD69" s="73" t="e">
        <f t="shared" si="33"/>
        <v>#DIV/0!</v>
      </c>
      <c r="AE69" s="73" t="e">
        <f t="shared" si="33"/>
        <v>#DIV/0!</v>
      </c>
      <c r="AF69" s="73" t="e">
        <f t="shared" si="33"/>
        <v>#DIV/0!</v>
      </c>
      <c r="AG69" s="73" t="e">
        <f t="shared" si="33"/>
        <v>#DIV/0!</v>
      </c>
      <c r="AH69" s="73" t="e">
        <f t="shared" si="33"/>
        <v>#DIV/0!</v>
      </c>
      <c r="AI69" s="73" t="e">
        <f t="shared" si="33"/>
        <v>#DIV/0!</v>
      </c>
      <c r="AJ69" s="2"/>
      <c r="AK69" s="113">
        <f>AK68/(AK31)*100</f>
        <v>5.290038975038619E-2</v>
      </c>
      <c r="AM69" s="8">
        <f>AK69*10</f>
        <v>0.5290038975038619</v>
      </c>
      <c r="IX69" s="240">
        <f>R69*10</f>
        <v>0.44015844957441719</v>
      </c>
      <c r="RY69" s="240"/>
      <c r="SB69" s="240">
        <f>SB67-SB68</f>
        <v>0.5</v>
      </c>
      <c r="SC69" s="1" t="s">
        <v>158</v>
      </c>
    </row>
    <row r="70" spans="2:930 15038:15051" s="4" customFormat="1" ht="13.8">
      <c r="B70" s="74">
        <v>4</v>
      </c>
      <c r="C70" s="188" t="s">
        <v>58</v>
      </c>
      <c r="D70" s="75">
        <v>0.8</v>
      </c>
      <c r="E70" s="189" t="s">
        <v>12</v>
      </c>
      <c r="F70" s="76">
        <f t="shared" ref="F70:M70" si="34">((SUM(F37:F38))-(SUM(F31:F32)))/(SUM(F31:F32))*100</f>
        <v>-0.7015570563199599</v>
      </c>
      <c r="G70" s="76">
        <f t="shared" si="34"/>
        <v>-0.76639419234953732</v>
      </c>
      <c r="H70" s="76">
        <f t="shared" si="34"/>
        <v>-0.75372935857627577</v>
      </c>
      <c r="I70" s="76">
        <f t="shared" si="34"/>
        <v>-0.68903881863137906</v>
      </c>
      <c r="J70" s="356">
        <f t="shared" si="34"/>
        <v>-0.74634464830214253</v>
      </c>
      <c r="K70" s="356">
        <f t="shared" si="34"/>
        <v>-0.68964633192631009</v>
      </c>
      <c r="L70" s="76">
        <f t="shared" si="34"/>
        <v>-0.65635976719732048</v>
      </c>
      <c r="M70" s="76">
        <f t="shared" si="34"/>
        <v>-0.65203328059787991</v>
      </c>
      <c r="N70" s="76">
        <f t="shared" ref="N70:AH70" si="35">((SUM(N37:N38))-(SUM(N31:N32)))/(SUM(N31:N32))*100</f>
        <v>-0.64895571831575172</v>
      </c>
      <c r="O70" s="76">
        <f t="shared" si="35"/>
        <v>-0.66037075900798126</v>
      </c>
      <c r="P70" s="76">
        <f t="shared" si="35"/>
        <v>-0.63428091282917332</v>
      </c>
      <c r="Q70" s="356">
        <f t="shared" si="35"/>
        <v>-0.62628170763866564</v>
      </c>
      <c r="R70" s="356">
        <f t="shared" si="35"/>
        <v>-13.567390657541377</v>
      </c>
      <c r="S70" s="76" t="e">
        <f t="shared" si="35"/>
        <v>#DIV/0!</v>
      </c>
      <c r="T70" s="76" t="e">
        <f t="shared" si="35"/>
        <v>#DIV/0!</v>
      </c>
      <c r="U70" s="76" t="e">
        <f t="shared" si="35"/>
        <v>#DIV/0!</v>
      </c>
      <c r="V70" s="76" t="e">
        <f t="shared" si="35"/>
        <v>#DIV/0!</v>
      </c>
      <c r="W70" s="76" t="e">
        <f t="shared" si="35"/>
        <v>#DIV/0!</v>
      </c>
      <c r="X70" s="76" t="e">
        <f t="shared" si="35"/>
        <v>#DIV/0!</v>
      </c>
      <c r="Y70" s="76" t="e">
        <f t="shared" si="35"/>
        <v>#DIV/0!</v>
      </c>
      <c r="Z70" s="76" t="e">
        <f t="shared" si="35"/>
        <v>#DIV/0!</v>
      </c>
      <c r="AA70" s="76" t="e">
        <f t="shared" si="35"/>
        <v>#DIV/0!</v>
      </c>
      <c r="AB70" s="76" t="e">
        <f t="shared" si="35"/>
        <v>#DIV/0!</v>
      </c>
      <c r="AC70" s="76" t="e">
        <f t="shared" si="35"/>
        <v>#DIV/0!</v>
      </c>
      <c r="AD70" s="76" t="e">
        <f>((SUM(AD37:AD38))-(SUM(AD31:AD32)))/(SUM(AD31:AD32))*100</f>
        <v>#DIV/0!</v>
      </c>
      <c r="AE70" s="76" t="e">
        <f t="shared" ref="AE70:AG70" si="36">((SUM(AE37:AE38))-(SUM(AE31:AE32)))/(SUM(AE31:AE32))*100</f>
        <v>#DIV/0!</v>
      </c>
      <c r="AF70" s="76" t="e">
        <f t="shared" si="36"/>
        <v>#DIV/0!</v>
      </c>
      <c r="AG70" s="76" t="e">
        <f t="shared" si="36"/>
        <v>#DIV/0!</v>
      </c>
      <c r="AH70" s="76" t="e">
        <f t="shared" si="35"/>
        <v>#DIV/0!</v>
      </c>
      <c r="AI70" s="76" t="e">
        <f t="shared" ref="AI70" si="37">((SUM(AI37:AI38))-(SUM(AI31:AI32)))/(SUM(AI31:AI32))*100</f>
        <v>#DIV/0!</v>
      </c>
      <c r="AJ70" s="114"/>
      <c r="AK70" s="115">
        <f>((SUM(AK37:AK38))-(SUM(AK31:AK32)))/(SUM(AK31:AK32))*100</f>
        <v>-0.49768697368741094</v>
      </c>
      <c r="AL70" s="241"/>
      <c r="AM70" s="116"/>
      <c r="EA70" s="237"/>
      <c r="EB70" s="237"/>
      <c r="FH70" s="237"/>
      <c r="GP70" s="246"/>
      <c r="GQ70" s="237"/>
      <c r="GR70" s="237"/>
      <c r="GS70" s="237"/>
      <c r="GT70" s="237"/>
      <c r="IW70" s="237"/>
      <c r="MR70" s="237"/>
      <c r="MS70" s="237"/>
      <c r="MT70" s="237"/>
      <c r="MU70" s="237"/>
      <c r="RY70" s="237"/>
      <c r="RZ70" s="237"/>
      <c r="SB70" s="240"/>
      <c r="SC70" s="1"/>
      <c r="SP70" s="222"/>
      <c r="ST70" s="237"/>
      <c r="UW70" s="222"/>
    </row>
    <row r="71" spans="2:930 15038:15051" s="4" customFormat="1" ht="13.8">
      <c r="B71" s="55"/>
      <c r="C71" s="181" t="s">
        <v>59</v>
      </c>
      <c r="D71" s="77">
        <v>22</v>
      </c>
      <c r="E71" s="182" t="s">
        <v>12</v>
      </c>
      <c r="F71" s="64">
        <v>21.4</v>
      </c>
      <c r="G71" s="64">
        <v>21.4</v>
      </c>
      <c r="H71" s="64">
        <v>21.41</v>
      </c>
      <c r="I71" s="64">
        <v>21.38</v>
      </c>
      <c r="J71" s="352">
        <v>21.41</v>
      </c>
      <c r="K71" s="352">
        <v>21.39</v>
      </c>
      <c r="L71" s="64">
        <v>21.4</v>
      </c>
      <c r="M71" s="64">
        <v>21.39</v>
      </c>
      <c r="N71" s="64">
        <v>21.36</v>
      </c>
      <c r="O71" s="64">
        <v>21.4</v>
      </c>
      <c r="P71" s="64">
        <v>21.4</v>
      </c>
      <c r="Q71" s="352">
        <v>21.38</v>
      </c>
      <c r="R71" s="352">
        <v>21.35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101"/>
      <c r="AK71" s="117">
        <f>AVERAGE(F71:R71)</f>
        <v>21.390000000000004</v>
      </c>
      <c r="AL71" s="237"/>
      <c r="AM71" s="116"/>
      <c r="EA71" s="237"/>
      <c r="EB71" s="237"/>
      <c r="FH71" s="237"/>
      <c r="GP71" s="246"/>
      <c r="GQ71" s="237"/>
      <c r="GR71" s="237"/>
      <c r="GS71" s="237"/>
      <c r="GT71" s="237"/>
      <c r="IW71" s="237"/>
      <c r="MR71" s="237"/>
      <c r="MS71" s="237"/>
      <c r="MT71" s="237"/>
      <c r="MU71" s="237"/>
      <c r="RY71" s="237"/>
      <c r="RZ71" s="237"/>
      <c r="SB71" s="237"/>
      <c r="SP71" s="222"/>
      <c r="ST71" s="237"/>
      <c r="UW71" s="222"/>
    </row>
    <row r="72" spans="2:930 15038:15051" s="4" customFormat="1" ht="13.8">
      <c r="B72" s="78"/>
      <c r="C72" s="190" t="s">
        <v>60</v>
      </c>
      <c r="D72" s="54"/>
      <c r="E72" s="191" t="s">
        <v>9</v>
      </c>
      <c r="F72" s="64">
        <f t="shared" ref="F72:AI72" si="38">SUM(F64,F66)+(F71%*SUM(F64,F66))</f>
        <v>19346.304</v>
      </c>
      <c r="G72" s="64">
        <f t="shared" si="38"/>
        <v>18326.544000000002</v>
      </c>
      <c r="H72" s="64">
        <f t="shared" si="38"/>
        <v>16356.3552</v>
      </c>
      <c r="I72" s="64">
        <f t="shared" si="38"/>
        <v>20799.676800000001</v>
      </c>
      <c r="J72" s="352">
        <f>SUM(J64,J66)+(J71%*SUM(J64,J66))</f>
        <v>16220.376</v>
      </c>
      <c r="K72" s="352">
        <f t="shared" si="38"/>
        <v>18703.771199999999</v>
      </c>
      <c r="L72" s="64">
        <f t="shared" si="38"/>
        <v>21958.831999999999</v>
      </c>
      <c r="M72" s="64">
        <f t="shared" si="38"/>
        <v>20403.231200000002</v>
      </c>
      <c r="N72" s="64">
        <f t="shared" si="38"/>
        <v>24223.455999999998</v>
      </c>
      <c r="O72" s="64">
        <f t="shared" si="38"/>
        <v>22123.936000000002</v>
      </c>
      <c r="P72" s="64">
        <f t="shared" si="38"/>
        <v>18161.439999999999</v>
      </c>
      <c r="Q72" s="352">
        <f t="shared" si="38"/>
        <v>11642.7696</v>
      </c>
      <c r="R72" s="352">
        <f t="shared" si="38"/>
        <v>22687.596000000001</v>
      </c>
      <c r="S72" s="64">
        <f t="shared" si="38"/>
        <v>0</v>
      </c>
      <c r="T72" s="64">
        <f t="shared" si="38"/>
        <v>0</v>
      </c>
      <c r="U72" s="64">
        <f t="shared" si="38"/>
        <v>0</v>
      </c>
      <c r="V72" s="64">
        <f t="shared" si="38"/>
        <v>0</v>
      </c>
      <c r="W72" s="64">
        <f t="shared" si="38"/>
        <v>0</v>
      </c>
      <c r="X72" s="64">
        <f t="shared" si="38"/>
        <v>0</v>
      </c>
      <c r="Y72" s="64">
        <f>SUM(Y64,Y66)+(Y71%*SUM(Y64,Y66))</f>
        <v>0</v>
      </c>
      <c r="Z72" s="64">
        <f t="shared" si="38"/>
        <v>0</v>
      </c>
      <c r="AA72" s="64">
        <f t="shared" si="38"/>
        <v>0</v>
      </c>
      <c r="AB72" s="64">
        <f t="shared" si="38"/>
        <v>0</v>
      </c>
      <c r="AC72" s="64">
        <f t="shared" si="38"/>
        <v>0</v>
      </c>
      <c r="AD72" s="64">
        <f t="shared" si="38"/>
        <v>0</v>
      </c>
      <c r="AE72" s="64">
        <f t="shared" si="38"/>
        <v>0</v>
      </c>
      <c r="AF72" s="64">
        <f t="shared" si="38"/>
        <v>0</v>
      </c>
      <c r="AG72" s="64">
        <f t="shared" si="38"/>
        <v>0</v>
      </c>
      <c r="AH72" s="64">
        <f t="shared" si="38"/>
        <v>0</v>
      </c>
      <c r="AI72" s="64">
        <f t="shared" si="38"/>
        <v>0</v>
      </c>
      <c r="AJ72" s="101"/>
      <c r="AK72" s="117">
        <f>SUM(AK64,AK66)+(AK71%*SUM(AK64,AK66))</f>
        <v>250956.83040000001</v>
      </c>
      <c r="AL72" s="242"/>
      <c r="AM72" s="116"/>
      <c r="EA72" s="237"/>
      <c r="EB72" s="237"/>
      <c r="FH72" s="237"/>
      <c r="GP72" s="246"/>
      <c r="GQ72" s="237"/>
      <c r="GR72" s="237"/>
      <c r="GS72" s="237"/>
      <c r="GT72" s="237"/>
      <c r="IW72" s="237"/>
      <c r="IX72" s="301">
        <f>AM72+400</f>
        <v>400</v>
      </c>
      <c r="MR72" s="237"/>
      <c r="MS72" s="237"/>
      <c r="MT72" s="237"/>
      <c r="MU72" s="237"/>
      <c r="RY72" s="237"/>
      <c r="RZ72" s="237"/>
      <c r="SB72" s="237"/>
      <c r="SP72" s="222"/>
      <c r="ST72" s="237"/>
      <c r="UW72" s="222"/>
    </row>
    <row r="73" spans="2:930 15038:15051" hidden="1">
      <c r="B73" s="34">
        <v>5</v>
      </c>
      <c r="C73" s="16" t="s">
        <v>61</v>
      </c>
      <c r="D73" s="35"/>
      <c r="E73" s="35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83"/>
      <c r="AD73" s="36"/>
      <c r="AE73" s="36"/>
      <c r="AF73" s="36"/>
      <c r="AG73" s="36"/>
      <c r="AH73" s="36"/>
      <c r="AI73" s="36"/>
      <c r="AJ73" s="87"/>
      <c r="AK73" s="180" t="s">
        <v>62</v>
      </c>
      <c r="IX73" s="87">
        <v>17292</v>
      </c>
      <c r="RY73" s="219">
        <f>AM73-IX73</f>
        <v>-17292</v>
      </c>
    </row>
    <row r="74" spans="2:930 15038:15051" s="5" customFormat="1" ht="13.8" hidden="1">
      <c r="B74" s="37"/>
      <c r="C74" s="119" t="s">
        <v>63</v>
      </c>
      <c r="D74" s="120"/>
      <c r="E74" s="121" t="s">
        <v>9</v>
      </c>
      <c r="F74" s="122">
        <v>0</v>
      </c>
      <c r="G74" s="122">
        <v>0</v>
      </c>
      <c r="H74" s="122">
        <v>91279</v>
      </c>
      <c r="I74" s="122">
        <v>0</v>
      </c>
      <c r="J74" s="357">
        <v>0</v>
      </c>
      <c r="K74" s="357">
        <v>65036</v>
      </c>
      <c r="L74" s="122">
        <v>0</v>
      </c>
      <c r="M74" s="122">
        <v>75994</v>
      </c>
      <c r="N74" s="122">
        <v>0</v>
      </c>
      <c r="O74" s="122">
        <v>76340</v>
      </c>
      <c r="P74" s="122">
        <v>0</v>
      </c>
      <c r="Q74" s="357">
        <v>0</v>
      </c>
      <c r="R74" s="357">
        <v>0</v>
      </c>
      <c r="S74" s="122">
        <v>69714</v>
      </c>
      <c r="T74" s="122">
        <v>0</v>
      </c>
      <c r="U74" s="122">
        <v>0</v>
      </c>
      <c r="V74" s="122">
        <v>0</v>
      </c>
      <c r="W74" s="122">
        <v>79970</v>
      </c>
      <c r="X74" s="122">
        <v>0</v>
      </c>
      <c r="Y74" s="122">
        <v>0</v>
      </c>
      <c r="Z74" s="122">
        <v>0</v>
      </c>
      <c r="AA74" s="122">
        <v>0</v>
      </c>
      <c r="AB74" s="122">
        <v>0</v>
      </c>
      <c r="AC74" s="122">
        <v>0</v>
      </c>
      <c r="AD74" s="122">
        <v>0</v>
      </c>
      <c r="AE74" s="122">
        <v>0</v>
      </c>
      <c r="AF74" s="122">
        <v>0</v>
      </c>
      <c r="AG74" s="122">
        <v>87848</v>
      </c>
      <c r="AH74" s="122">
        <v>67046</v>
      </c>
      <c r="AI74" s="122">
        <v>81851</v>
      </c>
      <c r="AJ74" s="134"/>
      <c r="AK74" s="135">
        <f>SUM(F74:AI74)</f>
        <v>695078</v>
      </c>
      <c r="AM74" s="136"/>
      <c r="CB74" s="134"/>
      <c r="EA74" s="213"/>
      <c r="EB74" s="213"/>
      <c r="FH74" s="213"/>
      <c r="GP74" s="247"/>
      <c r="GQ74" s="213"/>
      <c r="GR74" s="213"/>
      <c r="GS74" s="213"/>
      <c r="GT74" s="213"/>
      <c r="IW74" s="213"/>
      <c r="MR74" s="213"/>
      <c r="MS74" s="213"/>
      <c r="MT74" s="213"/>
      <c r="MU74" s="213"/>
      <c r="RY74" s="213"/>
      <c r="RZ74" s="213"/>
      <c r="SB74" s="213"/>
      <c r="SP74" s="296"/>
      <c r="ST74" s="213"/>
      <c r="UW74" s="296"/>
    </row>
    <row r="75" spans="2:930 15038:15051" s="1" customFormat="1" ht="13.8" hidden="1">
      <c r="B75" s="50"/>
      <c r="C75" s="192" t="s">
        <v>64</v>
      </c>
      <c r="D75" s="123"/>
      <c r="E75" s="193" t="s">
        <v>9</v>
      </c>
      <c r="F75" s="302">
        <v>0</v>
      </c>
      <c r="G75" s="302">
        <v>0</v>
      </c>
      <c r="H75" s="302">
        <v>0</v>
      </c>
      <c r="I75" s="232">
        <v>13488.12</v>
      </c>
      <c r="J75" s="377">
        <v>0</v>
      </c>
      <c r="K75" s="350">
        <v>40261.645000000004</v>
      </c>
      <c r="L75" s="48">
        <v>40260.735000000001</v>
      </c>
      <c r="M75" s="48">
        <v>27413.355</v>
      </c>
      <c r="N75" s="208">
        <v>0</v>
      </c>
      <c r="O75" s="208">
        <v>26579.850000000002</v>
      </c>
      <c r="P75" s="48">
        <v>26568.99</v>
      </c>
      <c r="Q75" s="358">
        <v>0</v>
      </c>
      <c r="R75" s="377">
        <v>40250.785000000003</v>
      </c>
      <c r="S75" s="209">
        <v>40260.735000000001</v>
      </c>
      <c r="T75" s="209">
        <v>40424.544999999998</v>
      </c>
      <c r="U75" s="48">
        <v>0</v>
      </c>
      <c r="V75" s="48">
        <v>0</v>
      </c>
      <c r="W75" s="48">
        <v>0</v>
      </c>
      <c r="X75" s="48">
        <v>0</v>
      </c>
      <c r="Y75" s="209">
        <v>40250.785000000003</v>
      </c>
      <c r="Z75" s="48">
        <v>0</v>
      </c>
      <c r="AA75" s="48">
        <v>0</v>
      </c>
      <c r="AB75" s="48">
        <v>0</v>
      </c>
      <c r="AC75" s="48">
        <v>0</v>
      </c>
      <c r="AD75" s="48">
        <v>0</v>
      </c>
      <c r="AE75" s="48">
        <v>0</v>
      </c>
      <c r="AF75" s="48">
        <v>0</v>
      </c>
      <c r="AG75" s="48">
        <v>80500.654999999999</v>
      </c>
      <c r="AH75" s="48">
        <v>80510.614999999991</v>
      </c>
      <c r="AI75" s="48">
        <v>40315.945</v>
      </c>
      <c r="AJ75" s="137"/>
      <c r="AK75" s="135">
        <f>SUM(F75:AI75)</f>
        <v>537086.75999999989</v>
      </c>
      <c r="AL75" s="214"/>
      <c r="AM75" s="315">
        <f>SUM(AK75,AK102,AK128,AK148)</f>
        <v>738635.05053999985</v>
      </c>
      <c r="AN75" s="270"/>
      <c r="AO75" s="300">
        <f>SUM(AK76,AK103)/1000</f>
        <v>686.11307999999997</v>
      </c>
      <c r="AP75" s="270"/>
      <c r="AQ75" s="270"/>
      <c r="AR75" s="270"/>
      <c r="AS75" s="270"/>
      <c r="AT75" s="270"/>
      <c r="AU75" s="270"/>
      <c r="AV75" s="270"/>
      <c r="AW75" s="270"/>
      <c r="AX75" s="270"/>
      <c r="AY75" s="270"/>
      <c r="AZ75" s="270"/>
      <c r="BA75" s="270"/>
      <c r="BB75" s="270"/>
      <c r="BC75" s="270"/>
      <c r="BD75" s="270"/>
      <c r="BE75" s="270"/>
      <c r="BF75" s="270"/>
      <c r="BG75" s="270"/>
      <c r="BH75" s="270"/>
      <c r="BI75" s="270"/>
      <c r="BJ75" s="270"/>
      <c r="BK75" s="270"/>
      <c r="BL75" s="270"/>
      <c r="BM75" s="270"/>
      <c r="BN75" s="270"/>
      <c r="BO75" s="270"/>
      <c r="BP75" s="270"/>
      <c r="BQ75" s="270"/>
      <c r="BR75" s="270"/>
      <c r="BS75" s="270"/>
      <c r="BT75" s="270"/>
      <c r="BU75" s="270"/>
      <c r="BV75" s="270"/>
      <c r="BW75" s="270"/>
      <c r="BX75" s="270"/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>
        <v>3891</v>
      </c>
      <c r="CK75" s="316">
        <f>AO75/CJ75*100</f>
        <v>17.63333538936006</v>
      </c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70"/>
      <c r="DB75" s="270"/>
      <c r="DC75" s="270"/>
      <c r="DD75" s="270"/>
      <c r="DE75" s="270"/>
      <c r="DF75" s="270"/>
      <c r="DG75" s="270"/>
      <c r="DH75" s="270"/>
      <c r="DI75" s="270"/>
      <c r="DJ75" s="270"/>
      <c r="DK75" s="270"/>
      <c r="DL75" s="270"/>
      <c r="DM75" s="270"/>
      <c r="DN75" s="270"/>
      <c r="DO75" s="270"/>
      <c r="DP75" s="270"/>
      <c r="DQ75" s="270"/>
      <c r="DR75" s="270"/>
      <c r="DS75" s="270"/>
      <c r="DT75" s="270"/>
      <c r="DU75" s="270"/>
      <c r="DV75" s="270"/>
      <c r="DW75" s="270"/>
      <c r="DX75" s="270"/>
      <c r="DY75" s="270"/>
      <c r="DZ75" s="270"/>
      <c r="EA75" s="300"/>
      <c r="EB75" s="300"/>
      <c r="EC75" s="270"/>
      <c r="ED75" s="270"/>
      <c r="EE75" s="270"/>
      <c r="EF75" s="270"/>
      <c r="EG75" s="270"/>
      <c r="EH75" s="270"/>
      <c r="EI75" s="270"/>
      <c r="EJ75" s="270"/>
      <c r="EK75" s="270"/>
      <c r="EL75" s="270"/>
      <c r="EM75" s="270"/>
      <c r="EN75" s="270"/>
      <c r="EO75" s="270"/>
      <c r="EP75" s="270"/>
      <c r="EQ75" s="270"/>
      <c r="ER75" s="270"/>
      <c r="ES75" s="270"/>
      <c r="ET75" s="270"/>
      <c r="EU75" s="270"/>
      <c r="EV75" s="270"/>
      <c r="EW75" s="270"/>
      <c r="EX75" s="270"/>
      <c r="EY75" s="270"/>
      <c r="EZ75" s="270"/>
      <c r="FA75" s="270"/>
      <c r="FB75" s="270"/>
      <c r="FC75" s="270"/>
      <c r="FD75" s="270"/>
      <c r="FE75" s="270"/>
      <c r="FF75" s="270"/>
      <c r="FG75" s="270"/>
      <c r="FH75" s="300"/>
      <c r="FI75" s="270"/>
      <c r="FJ75" s="270"/>
      <c r="FK75" s="270"/>
      <c r="FL75" s="270"/>
      <c r="FM75" s="270"/>
      <c r="FN75" s="270"/>
      <c r="FO75" s="270"/>
      <c r="FP75" s="270"/>
      <c r="FQ75" s="270"/>
      <c r="FR75" s="270"/>
      <c r="FS75" s="270"/>
      <c r="FT75" s="270"/>
      <c r="FU75" s="270"/>
      <c r="FV75" s="270"/>
      <c r="FW75" s="270"/>
      <c r="FX75" s="270"/>
      <c r="FY75" s="270"/>
      <c r="FZ75" s="270"/>
      <c r="GA75" s="270"/>
      <c r="GB75" s="270"/>
      <c r="GC75" s="270"/>
      <c r="GD75" s="270"/>
      <c r="GE75" s="270"/>
      <c r="GF75" s="270"/>
      <c r="GG75" s="270"/>
      <c r="GH75" s="270"/>
      <c r="GI75" s="270"/>
      <c r="GJ75" s="270"/>
      <c r="GK75" s="270"/>
      <c r="GL75" s="270"/>
      <c r="GM75" s="270"/>
      <c r="GN75" s="270"/>
      <c r="GO75" s="270"/>
      <c r="GP75" s="317"/>
      <c r="GQ75" s="300"/>
      <c r="GR75" s="300"/>
      <c r="GS75" s="300"/>
      <c r="GT75" s="300"/>
      <c r="GU75" s="270"/>
      <c r="GV75" s="270"/>
      <c r="GW75" s="270"/>
      <c r="GX75" s="270"/>
      <c r="GY75" s="270"/>
      <c r="GZ75" s="270"/>
      <c r="HA75" s="270"/>
      <c r="HB75" s="270"/>
      <c r="HC75" s="270"/>
      <c r="HD75" s="270"/>
      <c r="HE75" s="270"/>
      <c r="HF75" s="270"/>
      <c r="HG75" s="270"/>
      <c r="HH75" s="270"/>
      <c r="HI75" s="270"/>
      <c r="HJ75" s="270"/>
      <c r="HK75" s="270"/>
      <c r="HL75" s="270"/>
      <c r="HM75" s="270"/>
      <c r="HN75" s="270"/>
      <c r="HO75" s="270"/>
      <c r="HP75" s="270"/>
      <c r="HQ75" s="270"/>
      <c r="HR75" s="270"/>
      <c r="HS75" s="270"/>
      <c r="HT75" s="270"/>
      <c r="HU75" s="270"/>
      <c r="HV75" s="270"/>
      <c r="HW75" s="270"/>
      <c r="HX75" s="270"/>
      <c r="HY75" s="270"/>
      <c r="HZ75" s="270"/>
      <c r="IA75" s="270"/>
      <c r="IB75" s="270"/>
      <c r="IC75" s="270"/>
      <c r="ID75" s="270"/>
      <c r="IE75" s="270"/>
      <c r="IF75" s="270"/>
      <c r="IG75" s="270"/>
      <c r="IH75" s="270"/>
      <c r="II75" s="270"/>
      <c r="IJ75" s="270"/>
      <c r="IK75" s="270"/>
      <c r="IL75" s="270"/>
      <c r="IM75" s="270"/>
      <c r="IN75" s="270"/>
      <c r="IO75" s="270"/>
      <c r="IP75" s="270"/>
      <c r="IQ75" s="270"/>
      <c r="IR75" s="270"/>
      <c r="IS75" s="270"/>
      <c r="IT75" s="270"/>
      <c r="IU75" s="270"/>
      <c r="IV75" s="270"/>
      <c r="IW75" s="300"/>
      <c r="IX75" s="270"/>
      <c r="IY75" s="270"/>
      <c r="IZ75" s="270"/>
      <c r="JA75" s="270"/>
      <c r="JB75" s="270"/>
      <c r="JC75" s="270"/>
      <c r="JD75" s="270"/>
      <c r="JE75" s="270"/>
      <c r="JF75" s="270"/>
      <c r="JG75" s="270"/>
      <c r="JH75" s="270"/>
      <c r="JI75" s="270"/>
      <c r="JJ75" s="270"/>
      <c r="JK75" s="270"/>
      <c r="JL75" s="270"/>
      <c r="JM75" s="270"/>
      <c r="JN75" s="270"/>
      <c r="JO75" s="270"/>
      <c r="JP75" s="270"/>
      <c r="JQ75" s="270"/>
      <c r="JR75" s="270"/>
      <c r="JS75" s="270"/>
      <c r="JT75" s="270"/>
      <c r="JU75" s="270"/>
      <c r="JV75" s="270"/>
      <c r="JW75" s="270"/>
      <c r="JX75" s="270"/>
      <c r="JY75" s="270"/>
      <c r="JZ75" s="270"/>
      <c r="KA75" s="270"/>
      <c r="KB75" s="270"/>
      <c r="KC75" s="270"/>
      <c r="KD75" s="270"/>
      <c r="KE75" s="270"/>
      <c r="KF75" s="270"/>
      <c r="KG75" s="270"/>
      <c r="KH75" s="270"/>
      <c r="KI75" s="270"/>
      <c r="KJ75" s="270"/>
      <c r="KK75" s="270"/>
      <c r="KL75" s="270"/>
      <c r="KM75" s="270"/>
      <c r="KN75" s="270"/>
      <c r="KO75" s="270"/>
      <c r="KP75" s="270"/>
      <c r="KQ75" s="270"/>
      <c r="KR75" s="270"/>
      <c r="KS75" s="270"/>
      <c r="KT75" s="270"/>
      <c r="KU75" s="270"/>
      <c r="KV75" s="270"/>
      <c r="KW75" s="270"/>
      <c r="KX75" s="270"/>
      <c r="KY75" s="270"/>
      <c r="KZ75" s="270"/>
      <c r="LA75" s="270"/>
      <c r="LB75" s="270"/>
      <c r="LC75" s="270"/>
      <c r="LD75" s="270"/>
      <c r="LE75" s="270"/>
      <c r="LF75" s="270"/>
      <c r="LG75" s="270"/>
      <c r="LH75" s="270"/>
      <c r="LI75" s="270"/>
      <c r="LJ75" s="270"/>
      <c r="LK75" s="270"/>
      <c r="LL75" s="270"/>
      <c r="LM75" s="270"/>
      <c r="LN75" s="270"/>
      <c r="LO75" s="270"/>
      <c r="LP75" s="270"/>
      <c r="LQ75" s="270"/>
      <c r="LR75" s="270"/>
      <c r="LS75" s="270"/>
      <c r="LT75" s="270"/>
      <c r="LU75" s="270"/>
      <c r="LV75" s="270"/>
      <c r="LW75" s="270"/>
      <c r="LX75" s="270"/>
      <c r="LY75" s="270"/>
      <c r="LZ75" s="270"/>
      <c r="MA75" s="270"/>
      <c r="MB75" s="270"/>
      <c r="MC75" s="270"/>
      <c r="MD75" s="270"/>
      <c r="ME75" s="270"/>
      <c r="MF75" s="270"/>
      <c r="MG75" s="270"/>
      <c r="MH75" s="270"/>
      <c r="MI75" s="270"/>
      <c r="MJ75" s="270"/>
      <c r="MK75" s="270"/>
      <c r="ML75" s="270"/>
      <c r="MM75" s="270"/>
      <c r="MN75" s="270"/>
      <c r="MO75" s="270"/>
      <c r="MP75" s="270"/>
      <c r="MQ75" s="270"/>
      <c r="MR75" s="300"/>
      <c r="MS75" s="300"/>
      <c r="MT75" s="300"/>
      <c r="MU75" s="300"/>
      <c r="MV75" s="270"/>
      <c r="MW75" s="270"/>
      <c r="MX75" s="270"/>
      <c r="MY75" s="270"/>
      <c r="MZ75" s="270"/>
      <c r="NA75" s="270"/>
      <c r="NB75" s="270"/>
      <c r="NC75" s="270"/>
      <c r="ND75" s="270"/>
      <c r="NE75" s="270"/>
      <c r="NF75" s="270"/>
      <c r="NG75" s="270"/>
      <c r="NH75" s="270"/>
      <c r="NI75" s="270"/>
      <c r="NJ75" s="270"/>
      <c r="NK75" s="270"/>
      <c r="NL75" s="270"/>
      <c r="NM75" s="270"/>
      <c r="NN75" s="270"/>
      <c r="NO75" s="270"/>
      <c r="NP75" s="270"/>
      <c r="NQ75" s="270"/>
      <c r="NR75" s="270"/>
      <c r="NS75" s="270"/>
      <c r="NT75" s="270"/>
      <c r="NU75" s="270"/>
      <c r="NV75" s="270"/>
      <c r="NW75" s="270"/>
      <c r="NX75" s="270"/>
      <c r="NY75" s="270"/>
      <c r="NZ75" s="270"/>
      <c r="OA75" s="270"/>
      <c r="OB75" s="270"/>
      <c r="OC75" s="270"/>
      <c r="OD75" s="270"/>
      <c r="OE75" s="270"/>
      <c r="OF75" s="270"/>
      <c r="OG75" s="270"/>
      <c r="OH75" s="270"/>
      <c r="OI75" s="270"/>
      <c r="OJ75" s="270"/>
      <c r="OK75" s="270"/>
      <c r="OL75" s="270"/>
      <c r="OM75" s="270"/>
      <c r="ON75" s="270"/>
      <c r="OO75" s="270"/>
      <c r="OP75" s="270"/>
      <c r="OQ75" s="270"/>
      <c r="OR75" s="270"/>
      <c r="OS75" s="270"/>
      <c r="OT75" s="270"/>
      <c r="OU75" s="270"/>
      <c r="OV75" s="270"/>
      <c r="OW75" s="270"/>
      <c r="OX75" s="270"/>
      <c r="OY75" s="270"/>
      <c r="OZ75" s="270"/>
      <c r="PA75" s="270"/>
      <c r="PB75" s="270"/>
      <c r="PC75" s="270"/>
      <c r="PD75" s="270"/>
      <c r="PE75" s="270"/>
      <c r="PF75" s="270"/>
      <c r="PG75" s="270"/>
      <c r="PH75" s="270"/>
      <c r="PI75" s="270"/>
      <c r="PJ75" s="270"/>
      <c r="PK75" s="270"/>
      <c r="PL75" s="270"/>
      <c r="PM75" s="270"/>
      <c r="PN75" s="270"/>
      <c r="PO75" s="270"/>
      <c r="PP75" s="270"/>
      <c r="PQ75" s="270"/>
      <c r="PR75" s="270"/>
      <c r="PS75" s="270"/>
      <c r="PT75" s="270"/>
      <c r="PU75" s="270"/>
      <c r="PV75" s="270"/>
      <c r="PW75" s="270"/>
      <c r="PX75" s="270"/>
      <c r="PY75" s="270"/>
      <c r="PZ75" s="270"/>
      <c r="QA75" s="270"/>
      <c r="QB75" s="270"/>
      <c r="QC75" s="270"/>
      <c r="QD75" s="270"/>
      <c r="QE75" s="270"/>
      <c r="QF75" s="270"/>
      <c r="QG75" s="270"/>
      <c r="QH75" s="270"/>
      <c r="QI75" s="270"/>
      <c r="QJ75" s="270"/>
      <c r="QK75" s="270"/>
      <c r="QL75" s="270"/>
      <c r="QM75" s="270"/>
      <c r="QN75" s="270"/>
      <c r="QO75" s="270"/>
      <c r="QP75" s="270"/>
      <c r="QQ75" s="270"/>
      <c r="QR75" s="270"/>
      <c r="QS75" s="270"/>
      <c r="QT75" s="270"/>
      <c r="QU75" s="270"/>
      <c r="QV75" s="270"/>
      <c r="QW75" s="270"/>
      <c r="QX75" s="270"/>
      <c r="QY75" s="270"/>
      <c r="QZ75" s="270"/>
      <c r="RA75" s="270"/>
      <c r="RB75" s="270"/>
      <c r="RC75" s="270"/>
      <c r="RD75" s="270"/>
      <c r="RE75" s="270"/>
      <c r="RF75" s="270"/>
      <c r="RG75" s="270"/>
      <c r="RH75" s="270"/>
      <c r="RI75" s="270"/>
      <c r="RJ75" s="270"/>
      <c r="RK75" s="270"/>
      <c r="RL75" s="270"/>
      <c r="RM75" s="270"/>
      <c r="RN75" s="270"/>
      <c r="RO75" s="270"/>
      <c r="RP75" s="270"/>
      <c r="RQ75" s="270"/>
      <c r="RR75" s="270"/>
      <c r="RS75" s="270"/>
      <c r="RT75" s="270"/>
      <c r="RU75" s="270"/>
      <c r="RV75" s="270"/>
      <c r="RW75" s="270"/>
      <c r="RX75" s="270"/>
      <c r="RY75" s="300"/>
      <c r="RZ75" s="300"/>
      <c r="SA75" s="270"/>
      <c r="SB75" s="300"/>
      <c r="SC75" s="270"/>
      <c r="SD75" s="270"/>
      <c r="SE75" s="270"/>
      <c r="SF75" s="270"/>
      <c r="SG75" s="270"/>
      <c r="SH75" s="270"/>
      <c r="SI75" s="270"/>
      <c r="SJ75" s="270"/>
      <c r="SK75" s="270"/>
      <c r="SL75" s="270"/>
      <c r="SM75" s="270"/>
      <c r="SN75" s="270"/>
      <c r="SO75" s="270"/>
      <c r="SP75" s="299"/>
      <c r="SQ75" s="270"/>
      <c r="SR75" s="270"/>
      <c r="SS75" s="270"/>
      <c r="ST75" s="300"/>
      <c r="SU75" s="270"/>
      <c r="SV75" s="270"/>
      <c r="SW75" s="270"/>
      <c r="SX75" s="270"/>
      <c r="SY75" s="270"/>
      <c r="SZ75" s="270"/>
      <c r="TA75" s="270"/>
      <c r="TB75" s="270"/>
      <c r="TC75" s="270"/>
      <c r="TD75" s="270"/>
      <c r="TE75" s="270"/>
      <c r="TF75" s="270"/>
      <c r="TG75" s="270"/>
      <c r="TH75" s="270"/>
      <c r="TI75" s="270"/>
      <c r="TJ75" s="270"/>
      <c r="TK75" s="270"/>
      <c r="TL75" s="270"/>
      <c r="TM75" s="270"/>
      <c r="TN75" s="270"/>
      <c r="TO75" s="270"/>
      <c r="TP75" s="270"/>
      <c r="TQ75" s="270"/>
      <c r="TR75" s="270"/>
      <c r="TS75" s="270"/>
      <c r="TT75" s="270"/>
      <c r="TU75" s="270"/>
      <c r="TV75" s="270"/>
      <c r="TW75" s="270"/>
      <c r="TX75" s="270"/>
      <c r="TY75" s="270"/>
      <c r="TZ75" s="270"/>
      <c r="UA75" s="270"/>
      <c r="UB75" s="270"/>
      <c r="UC75" s="270"/>
      <c r="UD75" s="270"/>
      <c r="UE75" s="270"/>
      <c r="UF75" s="270"/>
      <c r="UG75" s="270"/>
      <c r="UH75" s="270"/>
      <c r="UI75" s="270"/>
      <c r="UJ75" s="270"/>
      <c r="UK75" s="270"/>
      <c r="UL75" s="270"/>
      <c r="UM75" s="270"/>
      <c r="UN75" s="270"/>
      <c r="UO75" s="270"/>
      <c r="UP75" s="270"/>
      <c r="UQ75" s="270"/>
      <c r="UR75" s="270"/>
      <c r="US75" s="270"/>
      <c r="UT75" s="270"/>
      <c r="UU75" s="270"/>
      <c r="UV75" s="270"/>
      <c r="UW75" s="299"/>
      <c r="UX75" s="270"/>
      <c r="UY75" s="270"/>
      <c r="UZ75" s="270"/>
      <c r="VA75" s="270"/>
      <c r="VB75" s="270"/>
      <c r="VC75" s="270"/>
      <c r="VD75" s="270"/>
      <c r="VE75" s="270"/>
      <c r="VF75" s="270"/>
      <c r="VG75" s="270"/>
      <c r="VH75" s="270"/>
      <c r="VI75" s="270"/>
      <c r="VJ75" s="270"/>
      <c r="VK75" s="270"/>
      <c r="VL75" s="270"/>
      <c r="VM75" s="270"/>
      <c r="VN75" s="270"/>
      <c r="VO75" s="270"/>
      <c r="VP75" s="270"/>
      <c r="VQ75" s="270"/>
      <c r="VR75" s="270"/>
      <c r="VS75" s="270"/>
      <c r="VT75" s="270"/>
      <c r="VU75" s="270"/>
      <c r="VV75" s="270"/>
      <c r="VW75" s="270"/>
      <c r="VX75" s="270"/>
      <c r="VY75" s="270"/>
      <c r="VZ75" s="270"/>
      <c r="WA75" s="270"/>
      <c r="WB75" s="270"/>
      <c r="WC75" s="270"/>
      <c r="WD75" s="270"/>
      <c r="WE75" s="270"/>
      <c r="WF75" s="270"/>
      <c r="WG75" s="270"/>
      <c r="WH75" s="270"/>
      <c r="WI75" s="270"/>
      <c r="WJ75" s="270"/>
      <c r="WK75" s="270"/>
      <c r="WL75" s="270"/>
      <c r="WM75" s="270"/>
      <c r="WN75" s="270"/>
      <c r="WO75" s="270"/>
      <c r="WP75" s="270"/>
      <c r="WQ75" s="270"/>
      <c r="WR75" s="270"/>
      <c r="WS75" s="270"/>
      <c r="WT75" s="270"/>
      <c r="WU75" s="270"/>
      <c r="WV75" s="270"/>
      <c r="WW75" s="270"/>
      <c r="WX75" s="270"/>
      <c r="WY75" s="270"/>
      <c r="WZ75" s="270"/>
      <c r="XA75" s="270"/>
      <c r="XB75" s="270"/>
      <c r="XC75" s="270"/>
      <c r="XD75" s="270"/>
      <c r="XE75" s="270"/>
      <c r="XF75" s="270"/>
      <c r="XG75" s="270"/>
      <c r="XH75" s="270"/>
      <c r="XI75" s="270"/>
      <c r="XJ75" s="270"/>
      <c r="XK75" s="270"/>
      <c r="XL75" s="270"/>
      <c r="XM75" s="270"/>
      <c r="XN75" s="270"/>
      <c r="XO75" s="270"/>
      <c r="XP75" s="270"/>
      <c r="XQ75" s="270"/>
      <c r="XR75" s="270"/>
      <c r="XS75" s="270"/>
      <c r="XT75" s="270"/>
      <c r="XU75" s="270"/>
      <c r="XV75" s="270"/>
      <c r="XW75" s="270"/>
      <c r="XX75" s="270"/>
      <c r="XY75" s="270"/>
      <c r="XZ75" s="270"/>
      <c r="YA75" s="270"/>
      <c r="YB75" s="270"/>
      <c r="YC75" s="270"/>
      <c r="YD75" s="270"/>
      <c r="YE75" s="270"/>
      <c r="YF75" s="270"/>
      <c r="YG75" s="270"/>
      <c r="YH75" s="270"/>
      <c r="YI75" s="270"/>
      <c r="YJ75" s="270"/>
      <c r="YK75" s="270"/>
      <c r="YL75" s="270"/>
      <c r="YM75" s="270"/>
      <c r="YN75" s="270"/>
      <c r="YO75" s="270"/>
      <c r="YP75" s="270"/>
      <c r="YQ75" s="270"/>
      <c r="YR75" s="270"/>
      <c r="YS75" s="270"/>
      <c r="YT75" s="270"/>
      <c r="YU75" s="270"/>
      <c r="YV75" s="270"/>
      <c r="YW75" s="270"/>
      <c r="YX75" s="270"/>
      <c r="YY75" s="270"/>
      <c r="YZ75" s="270"/>
      <c r="ZA75" s="270"/>
      <c r="ZB75" s="270"/>
      <c r="ZC75" s="270"/>
      <c r="ZD75" s="270"/>
      <c r="ZE75" s="270"/>
      <c r="ZF75" s="270"/>
      <c r="ZG75" s="270"/>
      <c r="ZH75" s="270"/>
      <c r="ZI75" s="270"/>
      <c r="ZJ75" s="270"/>
      <c r="ZK75" s="270"/>
      <c r="ZL75" s="270"/>
      <c r="ZM75" s="270"/>
      <c r="ZN75" s="270"/>
      <c r="ZO75" s="270"/>
      <c r="ZP75" s="270"/>
      <c r="ZQ75" s="270"/>
      <c r="ZR75" s="270"/>
      <c r="ZS75" s="270"/>
      <c r="ZT75" s="270"/>
      <c r="ZU75" s="270"/>
      <c r="ZV75" s="270"/>
      <c r="ZW75" s="270"/>
      <c r="ZX75" s="270"/>
      <c r="ZY75" s="270"/>
      <c r="ZZ75" s="270"/>
      <c r="AAA75" s="270"/>
      <c r="AAB75" s="270"/>
      <c r="AAC75" s="270"/>
      <c r="AAD75" s="270"/>
      <c r="AAE75" s="270"/>
      <c r="AAF75" s="270"/>
      <c r="AAG75" s="270"/>
      <c r="AAH75" s="270"/>
      <c r="AAI75" s="270"/>
      <c r="AAJ75" s="270"/>
      <c r="AAK75" s="270"/>
      <c r="AAL75" s="270"/>
      <c r="AAM75" s="270"/>
      <c r="AAN75" s="270"/>
      <c r="AAO75" s="270"/>
      <c r="AAP75" s="270"/>
      <c r="AAQ75" s="270"/>
      <c r="AAR75" s="270"/>
      <c r="AAS75" s="270"/>
      <c r="AAT75" s="270"/>
      <c r="AAU75" s="270"/>
      <c r="AAV75" s="270"/>
      <c r="AAW75" s="270"/>
      <c r="AAX75" s="270"/>
      <c r="AAY75" s="270"/>
      <c r="AAZ75" s="270"/>
      <c r="ABA75" s="270"/>
      <c r="ABB75" s="270"/>
      <c r="ABC75" s="270"/>
      <c r="ABD75" s="270"/>
      <c r="ABE75" s="270"/>
      <c r="ABF75" s="270"/>
      <c r="ABG75" s="270"/>
      <c r="ABH75" s="270"/>
      <c r="ABI75" s="270"/>
      <c r="ABJ75" s="270"/>
      <c r="ABK75" s="270"/>
      <c r="ABL75" s="270"/>
      <c r="ABM75" s="270"/>
      <c r="ABN75" s="270"/>
      <c r="ABO75" s="270"/>
      <c r="ABP75" s="270"/>
      <c r="ABQ75" s="270"/>
      <c r="ABR75" s="270"/>
      <c r="ABS75" s="270"/>
      <c r="ABT75" s="270"/>
      <c r="ABU75" s="270"/>
      <c r="ABV75" s="270"/>
      <c r="ABW75" s="270"/>
      <c r="ABX75" s="270"/>
      <c r="ABY75" s="270"/>
      <c r="ABZ75" s="270"/>
      <c r="ACA75" s="270"/>
      <c r="ACB75" s="270"/>
      <c r="ACC75" s="270"/>
      <c r="ACD75" s="270"/>
      <c r="ACE75" s="270"/>
      <c r="ACF75" s="270"/>
      <c r="ACG75" s="270"/>
      <c r="ACH75" s="270"/>
      <c r="ACI75" s="270"/>
      <c r="ACJ75" s="270"/>
      <c r="ACK75" s="270"/>
      <c r="ACL75" s="270"/>
      <c r="ACM75" s="270"/>
      <c r="ACN75" s="270"/>
      <c r="ACO75" s="270"/>
      <c r="ACP75" s="270"/>
      <c r="ACQ75" s="270"/>
      <c r="ACR75" s="270"/>
      <c r="ACS75" s="270"/>
      <c r="ACT75" s="270"/>
      <c r="ACU75" s="270"/>
      <c r="ACV75" s="270"/>
      <c r="ACW75" s="270"/>
      <c r="ACX75" s="270"/>
      <c r="ACY75" s="270"/>
      <c r="ACZ75" s="270"/>
      <c r="ADA75" s="270"/>
      <c r="ADB75" s="270"/>
      <c r="ADC75" s="270"/>
      <c r="ADD75" s="270"/>
      <c r="ADE75" s="270"/>
      <c r="ADF75" s="270"/>
      <c r="ADG75" s="270"/>
      <c r="ADH75" s="270"/>
      <c r="ADI75" s="270"/>
      <c r="ADJ75" s="270"/>
      <c r="ADK75" s="270"/>
      <c r="ADL75" s="270"/>
      <c r="ADM75" s="270"/>
      <c r="ADN75" s="270"/>
      <c r="ADO75" s="270"/>
      <c r="ADP75" s="270"/>
      <c r="ADQ75" s="270"/>
      <c r="ADR75" s="270"/>
      <c r="ADS75" s="270"/>
      <c r="ADT75" s="270"/>
      <c r="ADU75" s="270"/>
      <c r="ADV75" s="270"/>
      <c r="ADW75" s="270"/>
      <c r="ADX75" s="270"/>
      <c r="ADY75" s="270"/>
      <c r="ADZ75" s="270"/>
      <c r="AEA75" s="270"/>
      <c r="AEB75" s="270"/>
      <c r="AEC75" s="270"/>
      <c r="AED75" s="270"/>
      <c r="AEE75" s="270"/>
      <c r="AEF75" s="270"/>
      <c r="AEG75" s="270"/>
      <c r="AEH75" s="270"/>
      <c r="AEI75" s="270"/>
      <c r="AEJ75" s="270"/>
      <c r="AEK75" s="270"/>
      <c r="AEL75" s="270"/>
      <c r="AEM75" s="270"/>
      <c r="AEN75" s="270"/>
      <c r="AEO75" s="270"/>
      <c r="AEP75" s="270"/>
      <c r="AEQ75" s="270"/>
      <c r="AER75" s="270"/>
      <c r="AES75" s="270"/>
      <c r="AET75" s="270"/>
      <c r="AEU75" s="270"/>
      <c r="AEV75" s="270"/>
      <c r="AEW75" s="270"/>
      <c r="AEX75" s="270"/>
      <c r="AEY75" s="270"/>
      <c r="AEZ75" s="270"/>
      <c r="AFA75" s="270"/>
      <c r="AFB75" s="270"/>
      <c r="AFC75" s="270"/>
      <c r="AFD75" s="270"/>
      <c r="AFE75" s="270"/>
      <c r="AFF75" s="270"/>
      <c r="AFG75" s="270"/>
      <c r="AFH75" s="270"/>
      <c r="AFI75" s="270"/>
      <c r="AFJ75" s="270"/>
      <c r="AFK75" s="270"/>
      <c r="AFL75" s="270"/>
      <c r="AFM75" s="270"/>
      <c r="AFN75" s="270"/>
      <c r="AFO75" s="270"/>
      <c r="AFP75" s="270"/>
      <c r="AFQ75" s="270"/>
      <c r="AFR75" s="270"/>
      <c r="AFS75" s="270"/>
      <c r="AFT75" s="270"/>
      <c r="AFU75" s="270"/>
      <c r="AFV75" s="270"/>
      <c r="AFW75" s="270"/>
      <c r="AFX75" s="270"/>
      <c r="AFY75" s="270"/>
      <c r="AFZ75" s="270"/>
      <c r="AGA75" s="270"/>
      <c r="AGB75" s="270"/>
      <c r="AGC75" s="270"/>
      <c r="AGD75" s="270"/>
      <c r="AGE75" s="270"/>
      <c r="AGF75" s="270"/>
      <c r="AGG75" s="270"/>
      <c r="AGH75" s="270"/>
      <c r="AGI75" s="270"/>
      <c r="AGJ75" s="270"/>
      <c r="AGK75" s="270"/>
      <c r="AGL75" s="270"/>
      <c r="AGM75" s="270"/>
      <c r="AGN75" s="270"/>
      <c r="AGO75" s="270"/>
      <c r="AGP75" s="270"/>
      <c r="AGQ75" s="270"/>
      <c r="AGR75" s="270"/>
      <c r="AGS75" s="270"/>
      <c r="AGT75" s="270"/>
      <c r="AGU75" s="270"/>
      <c r="AGV75" s="270"/>
      <c r="AGW75" s="270"/>
      <c r="AGX75" s="270"/>
      <c r="AGY75" s="270"/>
      <c r="AGZ75" s="270"/>
      <c r="AHA75" s="270"/>
      <c r="AHB75" s="270"/>
      <c r="AHC75" s="270"/>
      <c r="AHD75" s="270"/>
      <c r="AHE75" s="270"/>
      <c r="AHF75" s="270"/>
      <c r="AHG75" s="270"/>
      <c r="AHH75" s="270"/>
      <c r="AHI75" s="270"/>
      <c r="AHJ75" s="270"/>
      <c r="AHK75" s="270"/>
      <c r="AHL75" s="270"/>
      <c r="AHM75" s="270"/>
      <c r="AHN75" s="270"/>
      <c r="AHO75" s="270"/>
      <c r="AHP75" s="270"/>
      <c r="AHQ75" s="270"/>
      <c r="AHR75" s="270"/>
      <c r="AHS75" s="270"/>
      <c r="AHT75" s="270"/>
      <c r="AHU75" s="270"/>
      <c r="AHV75" s="270"/>
      <c r="AHW75" s="270"/>
      <c r="AHX75" s="270"/>
      <c r="AHY75" s="270"/>
      <c r="AHZ75" s="270"/>
      <c r="AIA75" s="270"/>
      <c r="AIB75" s="270"/>
      <c r="AIC75" s="270"/>
      <c r="AID75" s="270"/>
      <c r="AIE75" s="270"/>
      <c r="AIF75" s="270"/>
      <c r="AIG75" s="270"/>
      <c r="AIH75" s="270"/>
      <c r="AII75" s="270"/>
      <c r="AIJ75" s="270"/>
      <c r="AIK75" s="270"/>
      <c r="AIL75" s="270"/>
      <c r="AIM75" s="270"/>
      <c r="AIN75" s="270"/>
      <c r="AIO75" s="270"/>
      <c r="AIP75" s="270"/>
      <c r="AIQ75" s="270"/>
      <c r="AIR75" s="318" t="s">
        <v>9</v>
      </c>
      <c r="AIS75" s="270" t="s">
        <v>177</v>
      </c>
      <c r="AIT75" s="318"/>
    </row>
    <row r="76" spans="2:930 15038:15051" s="1" customFormat="1" hidden="1">
      <c r="B76" s="50"/>
      <c r="C76" s="194" t="s">
        <v>65</v>
      </c>
      <c r="D76" s="54"/>
      <c r="E76" s="183" t="s">
        <v>9</v>
      </c>
      <c r="F76" s="64">
        <f t="shared" ref="F76:AH76" si="39">SUM(F80:F81)*10.86</f>
        <v>0</v>
      </c>
      <c r="G76" s="64">
        <f t="shared" si="39"/>
        <v>0</v>
      </c>
      <c r="H76" s="64">
        <f>SUM(H80:H81)*10.86</f>
        <v>0</v>
      </c>
      <c r="I76" s="64">
        <f t="shared" si="39"/>
        <v>13488.119999999999</v>
      </c>
      <c r="J76" s="352">
        <f t="shared" si="39"/>
        <v>0</v>
      </c>
      <c r="K76" s="352">
        <f t="shared" si="39"/>
        <v>40258.019999999997</v>
      </c>
      <c r="L76" s="64">
        <f t="shared" si="39"/>
        <v>40258.019999999997</v>
      </c>
      <c r="M76" s="64">
        <f t="shared" si="39"/>
        <v>27410.639999999999</v>
      </c>
      <c r="N76" s="64">
        <f t="shared" si="39"/>
        <v>0</v>
      </c>
      <c r="O76" s="64">
        <f t="shared" si="39"/>
        <v>26574.42</v>
      </c>
      <c r="P76" s="64">
        <f t="shared" si="39"/>
        <v>26563.559999999998</v>
      </c>
      <c r="Q76" s="352">
        <f t="shared" si="39"/>
        <v>0</v>
      </c>
      <c r="R76" s="352">
        <f t="shared" si="39"/>
        <v>40247.159999999996</v>
      </c>
      <c r="S76" s="64">
        <f t="shared" si="39"/>
        <v>40258.019999999997</v>
      </c>
      <c r="T76" s="64">
        <f t="shared" si="39"/>
        <v>40420.92</v>
      </c>
      <c r="U76" s="64">
        <f t="shared" si="39"/>
        <v>0</v>
      </c>
      <c r="V76" s="64">
        <f t="shared" si="39"/>
        <v>0</v>
      </c>
      <c r="W76" s="64">
        <f t="shared" si="39"/>
        <v>0</v>
      </c>
      <c r="X76" s="64">
        <f t="shared" si="39"/>
        <v>0</v>
      </c>
      <c r="Y76" s="64">
        <f t="shared" si="39"/>
        <v>40247.159999999996</v>
      </c>
      <c r="Z76" s="64">
        <f t="shared" si="39"/>
        <v>0</v>
      </c>
      <c r="AA76" s="64">
        <f t="shared" si="39"/>
        <v>0</v>
      </c>
      <c r="AB76" s="64">
        <f t="shared" si="39"/>
        <v>0</v>
      </c>
      <c r="AC76" s="64">
        <f t="shared" si="39"/>
        <v>0</v>
      </c>
      <c r="AD76" s="64">
        <f t="shared" si="39"/>
        <v>0</v>
      </c>
      <c r="AE76" s="64">
        <f t="shared" ref="AE76:AG76" si="40">SUM(AE80:AE81)*10.86</f>
        <v>0</v>
      </c>
      <c r="AF76" s="216">
        <f t="shared" si="40"/>
        <v>0</v>
      </c>
      <c r="AG76" s="64">
        <f t="shared" si="40"/>
        <v>80494.319999999992</v>
      </c>
      <c r="AH76" s="64">
        <f t="shared" si="39"/>
        <v>80505.179999999993</v>
      </c>
      <c r="AI76" s="216">
        <f t="shared" ref="AI76" si="41">SUM(AI80:AI81)*10.86</f>
        <v>40312.32</v>
      </c>
      <c r="AJ76" s="97"/>
      <c r="AK76" s="99">
        <f>SUM(F76:AI76)</f>
        <v>537037.86</v>
      </c>
      <c r="AL76" s="9"/>
      <c r="AM76" s="215">
        <f>SUM(AK76,AK103)</f>
        <v>686113.08</v>
      </c>
      <c r="AO76" s="206">
        <f>AK149/1000</f>
        <v>0</v>
      </c>
      <c r="CJ76" s="1">
        <v>963</v>
      </c>
      <c r="CK76" s="214">
        <f>AO76/CJ76*100</f>
        <v>0</v>
      </c>
      <c r="EA76" s="203"/>
      <c r="EB76" s="203"/>
      <c r="FH76" s="203"/>
      <c r="GP76" s="7"/>
      <c r="GQ76" s="203"/>
      <c r="GR76" s="203"/>
      <c r="GS76" s="203"/>
      <c r="GT76" s="203"/>
      <c r="IW76" s="203"/>
      <c r="IX76" s="214">
        <f>AM76/1000</f>
        <v>686.11307999999997</v>
      </c>
      <c r="MR76" s="203"/>
      <c r="MS76" s="203"/>
      <c r="MT76" s="203"/>
      <c r="MU76" s="203"/>
      <c r="RY76" s="203">
        <v>4696</v>
      </c>
      <c r="RZ76" s="206">
        <f>IX76/RY76*100</f>
        <v>14.610585178875638</v>
      </c>
      <c r="SB76" s="203"/>
      <c r="SP76" s="206"/>
      <c r="ST76" s="203"/>
      <c r="UW76" s="206"/>
    </row>
    <row r="77" spans="2:930 15038:15051" s="1" customFormat="1" hidden="1">
      <c r="B77" s="50"/>
      <c r="C77" s="194" t="s">
        <v>66</v>
      </c>
      <c r="D77" s="54"/>
      <c r="E77" s="183" t="s">
        <v>9</v>
      </c>
      <c r="F77" s="64">
        <f>F75-F76</f>
        <v>0</v>
      </c>
      <c r="G77" s="64">
        <f t="shared" ref="G77:AI77" si="42">G75-G76</f>
        <v>0</v>
      </c>
      <c r="H77" s="64">
        <f t="shared" si="42"/>
        <v>0</v>
      </c>
      <c r="I77" s="64">
        <f t="shared" si="42"/>
        <v>0</v>
      </c>
      <c r="J77" s="352">
        <f t="shared" si="42"/>
        <v>0</v>
      </c>
      <c r="K77" s="352">
        <f t="shared" si="42"/>
        <v>3.625000000007276</v>
      </c>
      <c r="L77" s="64">
        <f t="shared" si="42"/>
        <v>2.7150000000037835</v>
      </c>
      <c r="M77" s="64">
        <f t="shared" si="42"/>
        <v>2.7150000000001455</v>
      </c>
      <c r="N77" s="64">
        <f t="shared" si="42"/>
        <v>0</v>
      </c>
      <c r="O77" s="64">
        <f t="shared" si="42"/>
        <v>5.430000000003929</v>
      </c>
      <c r="P77" s="64">
        <f t="shared" si="42"/>
        <v>5.430000000003929</v>
      </c>
      <c r="Q77" s="352">
        <f t="shared" si="42"/>
        <v>0</v>
      </c>
      <c r="R77" s="352">
        <f t="shared" si="42"/>
        <v>3.625000000007276</v>
      </c>
      <c r="S77" s="64">
        <f t="shared" si="42"/>
        <v>2.7150000000037835</v>
      </c>
      <c r="T77" s="64">
        <f t="shared" si="42"/>
        <v>3.625</v>
      </c>
      <c r="U77" s="64">
        <f t="shared" si="42"/>
        <v>0</v>
      </c>
      <c r="V77" s="64">
        <f t="shared" si="42"/>
        <v>0</v>
      </c>
      <c r="W77" s="64">
        <f t="shared" si="42"/>
        <v>0</v>
      </c>
      <c r="X77" s="64">
        <f t="shared" si="42"/>
        <v>0</v>
      </c>
      <c r="Y77" s="64">
        <f t="shared" si="42"/>
        <v>3.625000000007276</v>
      </c>
      <c r="Z77" s="64">
        <f t="shared" si="42"/>
        <v>0</v>
      </c>
      <c r="AA77" s="64">
        <f t="shared" si="42"/>
        <v>0</v>
      </c>
      <c r="AB77" s="64">
        <f t="shared" si="42"/>
        <v>0</v>
      </c>
      <c r="AC77" s="64">
        <f t="shared" si="42"/>
        <v>0</v>
      </c>
      <c r="AD77" s="64">
        <f t="shared" si="42"/>
        <v>0</v>
      </c>
      <c r="AE77" s="64">
        <f t="shared" si="42"/>
        <v>0</v>
      </c>
      <c r="AF77" s="64">
        <f t="shared" si="42"/>
        <v>0</v>
      </c>
      <c r="AG77" s="64">
        <f t="shared" si="42"/>
        <v>6.3350000000064028</v>
      </c>
      <c r="AH77" s="64">
        <f t="shared" si="42"/>
        <v>5.4349999999976717</v>
      </c>
      <c r="AI77" s="64">
        <f t="shared" si="42"/>
        <v>3.625</v>
      </c>
      <c r="AJ77" s="97"/>
      <c r="AK77" s="99">
        <f>SUM(F77:AI77)</f>
        <v>48.900000000041473</v>
      </c>
      <c r="AL77" s="214"/>
      <c r="AM77" s="98">
        <f>AK129</f>
        <v>52454.21544</v>
      </c>
      <c r="EA77" s="203"/>
      <c r="EB77" s="203"/>
      <c r="FH77" s="203"/>
      <c r="GP77" s="7"/>
      <c r="GQ77" s="203"/>
      <c r="GR77" s="203"/>
      <c r="GS77" s="203"/>
      <c r="GT77" s="203"/>
      <c r="IW77" s="203"/>
      <c r="IX77" s="240">
        <f>AM77/1000</f>
        <v>52.454215439999999</v>
      </c>
      <c r="MR77" s="203"/>
      <c r="MS77" s="203"/>
      <c r="MT77" s="203"/>
      <c r="MU77" s="203"/>
      <c r="RY77" s="203">
        <v>565</v>
      </c>
      <c r="RZ77" s="206">
        <f>IX77/RY77*100</f>
        <v>9.2839319362831851</v>
      </c>
      <c r="SB77" s="203"/>
      <c r="SP77" s="206"/>
      <c r="ST77" s="203"/>
      <c r="UW77" s="206"/>
    </row>
    <row r="78" spans="2:930 15038:15051" s="1" customFormat="1" hidden="1">
      <c r="B78" s="50"/>
      <c r="C78" s="194" t="s">
        <v>119</v>
      </c>
      <c r="D78" s="54"/>
      <c r="E78" s="50" t="s">
        <v>9</v>
      </c>
      <c r="F78" s="64">
        <v>0</v>
      </c>
      <c r="G78" s="64">
        <v>102.26</v>
      </c>
      <c r="H78" s="64">
        <v>0</v>
      </c>
      <c r="I78" s="64">
        <v>0</v>
      </c>
      <c r="J78" s="352">
        <v>0</v>
      </c>
      <c r="K78" s="352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352">
        <v>0</v>
      </c>
      <c r="R78" s="352">
        <v>0</v>
      </c>
      <c r="S78" s="64">
        <v>6.56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460</v>
      </c>
      <c r="AF78" s="64">
        <v>0</v>
      </c>
      <c r="AG78" s="64">
        <v>0</v>
      </c>
      <c r="AH78" s="64">
        <v>460</v>
      </c>
      <c r="AI78" s="64">
        <v>0</v>
      </c>
      <c r="AJ78" s="97"/>
      <c r="AK78" s="99">
        <f>SUM(F78:AI78)</f>
        <v>1028.8200000000002</v>
      </c>
      <c r="AM78" s="98"/>
      <c r="EA78" s="203"/>
      <c r="EB78" s="203"/>
      <c r="FH78" s="203"/>
      <c r="GP78" s="7"/>
      <c r="GQ78" s="203"/>
      <c r="GR78" s="203"/>
      <c r="GS78" s="203"/>
      <c r="GT78" s="203"/>
      <c r="IW78" s="203"/>
      <c r="MR78" s="203"/>
      <c r="MS78" s="203"/>
      <c r="MT78" s="203"/>
      <c r="MU78" s="203"/>
      <c r="RY78" s="203"/>
      <c r="RZ78" s="203"/>
      <c r="SB78" s="203"/>
      <c r="SP78" s="206"/>
      <c r="ST78" s="203"/>
      <c r="UW78" s="206"/>
    </row>
    <row r="79" spans="2:930 15038:15051" s="1" customFormat="1" hidden="1">
      <c r="B79" s="50"/>
      <c r="C79" s="194" t="s">
        <v>67</v>
      </c>
      <c r="D79" s="54"/>
      <c r="E79" s="50"/>
      <c r="F79" s="40"/>
      <c r="G79" s="40"/>
      <c r="H79" s="40"/>
      <c r="I79" s="40"/>
      <c r="J79" s="349"/>
      <c r="K79" s="349"/>
      <c r="L79" s="40"/>
      <c r="M79" s="40"/>
      <c r="N79" s="40"/>
      <c r="O79" s="40"/>
      <c r="P79" s="40"/>
      <c r="Q79" s="349"/>
      <c r="R79" s="349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97"/>
      <c r="AK79" s="102" t="s">
        <v>67</v>
      </c>
      <c r="AM79" s="98"/>
      <c r="EA79" s="203"/>
      <c r="EB79" s="203"/>
      <c r="FH79" s="203"/>
      <c r="GP79" s="7"/>
      <c r="GQ79" s="203"/>
      <c r="GR79" s="203"/>
      <c r="GS79" s="203"/>
      <c r="GT79" s="203"/>
      <c r="IW79" s="203"/>
      <c r="MR79" s="203"/>
      <c r="MS79" s="203"/>
      <c r="MT79" s="203"/>
      <c r="MU79" s="203"/>
      <c r="RY79" s="203"/>
      <c r="RZ79" s="203"/>
      <c r="SB79" s="203"/>
      <c r="SP79" s="206"/>
      <c r="ST79" s="203"/>
      <c r="UW79" s="206"/>
    </row>
    <row r="80" spans="2:930 15038:15051" s="6" customFormat="1" ht="13.8" hidden="1">
      <c r="B80" s="22"/>
      <c r="C80" s="195" t="s">
        <v>68</v>
      </c>
      <c r="D80" s="21"/>
      <c r="E80" s="196" t="s">
        <v>69</v>
      </c>
      <c r="F80" s="125">
        <v>0</v>
      </c>
      <c r="G80" s="125">
        <v>0</v>
      </c>
      <c r="H80" s="125">
        <v>0</v>
      </c>
      <c r="I80" s="125">
        <v>1242</v>
      </c>
      <c r="J80" s="359">
        <v>0</v>
      </c>
      <c r="K80" s="359">
        <v>1262</v>
      </c>
      <c r="L80" s="125">
        <v>1262</v>
      </c>
      <c r="M80" s="125">
        <v>2524</v>
      </c>
      <c r="N80" s="125">
        <v>0</v>
      </c>
      <c r="O80" s="125">
        <v>0</v>
      </c>
      <c r="P80" s="125">
        <v>0</v>
      </c>
      <c r="Q80" s="359">
        <v>0</v>
      </c>
      <c r="R80" s="359">
        <v>1262</v>
      </c>
      <c r="S80" s="125">
        <v>1262</v>
      </c>
      <c r="T80" s="125">
        <v>1267</v>
      </c>
      <c r="U80" s="125">
        <v>0</v>
      </c>
      <c r="V80" s="125">
        <v>0</v>
      </c>
      <c r="W80" s="125">
        <v>0</v>
      </c>
      <c r="X80" s="125">
        <v>0</v>
      </c>
      <c r="Y80" s="125">
        <v>1262</v>
      </c>
      <c r="Z80" s="125">
        <v>0</v>
      </c>
      <c r="AA80" s="125">
        <v>0</v>
      </c>
      <c r="AB80" s="125">
        <v>0</v>
      </c>
      <c r="AC80" s="125">
        <v>0</v>
      </c>
      <c r="AD80" s="125">
        <v>0</v>
      </c>
      <c r="AE80" s="125">
        <v>0</v>
      </c>
      <c r="AF80" s="125">
        <v>0</v>
      </c>
      <c r="AG80" s="125">
        <v>2524</v>
      </c>
      <c r="AH80" s="125">
        <v>2524</v>
      </c>
      <c r="AI80" s="125">
        <v>1268</v>
      </c>
      <c r="AJ80" s="104"/>
      <c r="AK80" s="96">
        <f>SUM(F80:AI80)</f>
        <v>17659</v>
      </c>
      <c r="AM80" s="290"/>
      <c r="EA80" s="233"/>
      <c r="EB80" s="233"/>
      <c r="FH80" s="233"/>
      <c r="GP80" s="245"/>
      <c r="GQ80" s="233"/>
      <c r="GR80" s="233"/>
      <c r="GS80" s="233"/>
      <c r="GT80" s="233"/>
      <c r="IW80" s="233"/>
      <c r="MR80" s="233"/>
      <c r="MS80" s="233"/>
      <c r="MT80" s="233"/>
      <c r="MU80" s="233"/>
      <c r="RY80" s="233"/>
      <c r="RZ80" s="233"/>
      <c r="SB80" s="233"/>
      <c r="SP80" s="297"/>
      <c r="ST80" s="233"/>
      <c r="UW80" s="297"/>
    </row>
    <row r="81" spans="2:569" s="6" customFormat="1" ht="13.8" hidden="1">
      <c r="B81" s="22"/>
      <c r="C81" s="195" t="s">
        <v>70</v>
      </c>
      <c r="D81" s="21"/>
      <c r="E81" s="196" t="s">
        <v>69</v>
      </c>
      <c r="F81" s="125">
        <v>0</v>
      </c>
      <c r="G81" s="125">
        <v>0</v>
      </c>
      <c r="H81" s="125">
        <v>0</v>
      </c>
      <c r="I81" s="125">
        <v>0</v>
      </c>
      <c r="J81" s="359">
        <v>0</v>
      </c>
      <c r="K81" s="359">
        <v>2445</v>
      </c>
      <c r="L81" s="125">
        <v>2445</v>
      </c>
      <c r="M81" s="125">
        <v>0</v>
      </c>
      <c r="N81" s="125">
        <v>0</v>
      </c>
      <c r="O81" s="125">
        <v>2447</v>
      </c>
      <c r="P81" s="125">
        <v>2446</v>
      </c>
      <c r="Q81" s="359">
        <v>0</v>
      </c>
      <c r="R81" s="359">
        <v>2444</v>
      </c>
      <c r="S81" s="125">
        <v>2445</v>
      </c>
      <c r="T81" s="125">
        <v>2455</v>
      </c>
      <c r="U81" s="125">
        <v>0</v>
      </c>
      <c r="V81" s="125">
        <v>0</v>
      </c>
      <c r="W81" s="125">
        <v>0</v>
      </c>
      <c r="X81" s="125">
        <v>0</v>
      </c>
      <c r="Y81" s="125">
        <v>2444</v>
      </c>
      <c r="Z81" s="125">
        <v>0</v>
      </c>
      <c r="AA81" s="125">
        <v>0</v>
      </c>
      <c r="AB81" s="125">
        <v>0</v>
      </c>
      <c r="AC81" s="125">
        <v>0</v>
      </c>
      <c r="AD81" s="125">
        <v>0</v>
      </c>
      <c r="AE81" s="125">
        <v>0</v>
      </c>
      <c r="AF81" s="125">
        <v>0</v>
      </c>
      <c r="AG81" s="125">
        <v>4888</v>
      </c>
      <c r="AH81" s="125">
        <v>4889</v>
      </c>
      <c r="AI81" s="125">
        <v>2444</v>
      </c>
      <c r="AJ81" s="104"/>
      <c r="AK81" s="96">
        <f>SUM(F81:AI81)</f>
        <v>31792</v>
      </c>
      <c r="AM81" s="138"/>
      <c r="EA81" s="233"/>
      <c r="EB81" s="233"/>
      <c r="FH81" s="233"/>
      <c r="GP81" s="245"/>
      <c r="GQ81" s="233"/>
      <c r="GR81" s="233"/>
      <c r="GS81" s="233"/>
      <c r="GT81" s="233"/>
      <c r="IW81" s="233"/>
      <c r="MR81" s="233"/>
      <c r="MS81" s="233"/>
      <c r="MT81" s="233"/>
      <c r="MU81" s="233"/>
      <c r="RY81" s="233"/>
      <c r="RZ81" s="233"/>
      <c r="SB81" s="233"/>
      <c r="SP81" s="297"/>
      <c r="ST81" s="233"/>
      <c r="UW81" s="297"/>
    </row>
    <row r="82" spans="2:569" s="1" customFormat="1" hidden="1">
      <c r="B82" s="50"/>
      <c r="C82" s="194" t="s">
        <v>71</v>
      </c>
      <c r="D82" s="54"/>
      <c r="E82" s="50"/>
      <c r="F82" s="40"/>
      <c r="G82" s="40"/>
      <c r="H82" s="40"/>
      <c r="I82" s="40"/>
      <c r="J82" s="349"/>
      <c r="K82" s="349"/>
      <c r="L82" s="40"/>
      <c r="M82" s="40"/>
      <c r="N82" s="40"/>
      <c r="O82" s="40"/>
      <c r="P82" s="40"/>
      <c r="Q82" s="349"/>
      <c r="R82" s="349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97"/>
      <c r="AK82" s="102" t="s">
        <v>71</v>
      </c>
      <c r="AM82" s="98"/>
      <c r="EA82" s="203"/>
      <c r="EB82" s="203"/>
      <c r="FH82" s="203"/>
      <c r="GP82" s="7"/>
      <c r="GQ82" s="203"/>
      <c r="GR82" s="203"/>
      <c r="GS82" s="203"/>
      <c r="GT82" s="203"/>
      <c r="IW82" s="203"/>
      <c r="MR82" s="203"/>
      <c r="MS82" s="203"/>
      <c r="MT82" s="203"/>
      <c r="MU82" s="203"/>
      <c r="RY82" s="203"/>
      <c r="RZ82" s="203"/>
      <c r="SB82" s="203"/>
      <c r="SP82" s="206"/>
      <c r="ST82" s="203"/>
      <c r="UW82" s="206"/>
    </row>
    <row r="83" spans="2:569" s="1" customFormat="1" ht="13.8" hidden="1">
      <c r="B83" s="50"/>
      <c r="C83" s="176" t="s">
        <v>68</v>
      </c>
      <c r="D83" s="54"/>
      <c r="E83" s="183" t="s">
        <v>71</v>
      </c>
      <c r="F83" s="40">
        <f t="shared" ref="F83:AI83" si="43">F80*12</f>
        <v>0</v>
      </c>
      <c r="G83" s="40">
        <f t="shared" si="43"/>
        <v>0</v>
      </c>
      <c r="H83" s="40">
        <f>H80*12</f>
        <v>0</v>
      </c>
      <c r="I83" s="40">
        <f t="shared" si="43"/>
        <v>14904</v>
      </c>
      <c r="J83" s="349">
        <f t="shared" si="43"/>
        <v>0</v>
      </c>
      <c r="K83" s="349">
        <f t="shared" si="43"/>
        <v>15144</v>
      </c>
      <c r="L83" s="40">
        <f t="shared" si="43"/>
        <v>15144</v>
      </c>
      <c r="M83" s="40">
        <f t="shared" si="43"/>
        <v>30288</v>
      </c>
      <c r="N83" s="40">
        <f t="shared" si="43"/>
        <v>0</v>
      </c>
      <c r="O83" s="40">
        <f t="shared" si="43"/>
        <v>0</v>
      </c>
      <c r="P83" s="40">
        <f t="shared" si="43"/>
        <v>0</v>
      </c>
      <c r="Q83" s="349">
        <f t="shared" si="43"/>
        <v>0</v>
      </c>
      <c r="R83" s="349">
        <f t="shared" si="43"/>
        <v>15144</v>
      </c>
      <c r="S83" s="40">
        <f t="shared" si="43"/>
        <v>15144</v>
      </c>
      <c r="T83" s="40">
        <f t="shared" si="43"/>
        <v>15204</v>
      </c>
      <c r="U83" s="40">
        <f t="shared" si="43"/>
        <v>0</v>
      </c>
      <c r="V83" s="40">
        <f t="shared" si="43"/>
        <v>0</v>
      </c>
      <c r="W83" s="40">
        <f t="shared" si="43"/>
        <v>0</v>
      </c>
      <c r="X83" s="40">
        <f t="shared" si="43"/>
        <v>0</v>
      </c>
      <c r="Y83" s="40">
        <f t="shared" si="43"/>
        <v>15144</v>
      </c>
      <c r="Z83" s="40">
        <f t="shared" si="43"/>
        <v>0</v>
      </c>
      <c r="AA83" s="40">
        <f t="shared" si="43"/>
        <v>0</v>
      </c>
      <c r="AB83" s="40">
        <f t="shared" si="43"/>
        <v>0</v>
      </c>
      <c r="AC83" s="40">
        <f t="shared" si="43"/>
        <v>0</v>
      </c>
      <c r="AD83" s="40">
        <f t="shared" si="43"/>
        <v>0</v>
      </c>
      <c r="AE83" s="40">
        <f t="shared" si="43"/>
        <v>0</v>
      </c>
      <c r="AF83" s="40">
        <f t="shared" si="43"/>
        <v>0</v>
      </c>
      <c r="AG83" s="40">
        <f t="shared" si="43"/>
        <v>30288</v>
      </c>
      <c r="AH83" s="40">
        <f t="shared" si="43"/>
        <v>30288</v>
      </c>
      <c r="AI83" s="40">
        <f t="shared" si="43"/>
        <v>15216</v>
      </c>
      <c r="AJ83" s="97"/>
      <c r="AK83" s="96">
        <f>AK80*12</f>
        <v>211908</v>
      </c>
      <c r="AM83" s="98"/>
      <c r="EA83" s="203"/>
      <c r="EB83" s="203"/>
      <c r="FH83" s="203"/>
      <c r="GP83" s="7"/>
      <c r="GQ83" s="203"/>
      <c r="GR83" s="203"/>
      <c r="GS83" s="203"/>
      <c r="GT83" s="203"/>
      <c r="IW83" s="203"/>
      <c r="MR83" s="203"/>
      <c r="MS83" s="203"/>
      <c r="MT83" s="203"/>
      <c r="MU83" s="203"/>
      <c r="RY83" s="203"/>
      <c r="RZ83" s="203"/>
      <c r="SB83" s="203"/>
      <c r="SP83" s="206"/>
      <c r="ST83" s="203"/>
      <c r="UW83" s="206"/>
    </row>
    <row r="84" spans="2:569" s="1" customFormat="1" ht="13.8" hidden="1">
      <c r="B84" s="50"/>
      <c r="C84" s="176" t="s">
        <v>70</v>
      </c>
      <c r="D84" s="54"/>
      <c r="E84" s="183" t="s">
        <v>71</v>
      </c>
      <c r="F84" s="40">
        <f t="shared" ref="F84:AI84" si="44">F81*6</f>
        <v>0</v>
      </c>
      <c r="G84" s="40">
        <f t="shared" si="44"/>
        <v>0</v>
      </c>
      <c r="H84" s="40">
        <v>0</v>
      </c>
      <c r="I84" s="40">
        <f t="shared" si="44"/>
        <v>0</v>
      </c>
      <c r="J84" s="349">
        <f t="shared" si="44"/>
        <v>0</v>
      </c>
      <c r="K84" s="349">
        <f t="shared" si="44"/>
        <v>14670</v>
      </c>
      <c r="L84" s="40">
        <f t="shared" si="44"/>
        <v>14670</v>
      </c>
      <c r="M84" s="40">
        <f t="shared" si="44"/>
        <v>0</v>
      </c>
      <c r="N84" s="40">
        <f t="shared" si="44"/>
        <v>0</v>
      </c>
      <c r="O84" s="40">
        <f t="shared" si="44"/>
        <v>14682</v>
      </c>
      <c r="P84" s="40">
        <f t="shared" si="44"/>
        <v>14676</v>
      </c>
      <c r="Q84" s="349">
        <f t="shared" si="44"/>
        <v>0</v>
      </c>
      <c r="R84" s="349">
        <f t="shared" si="44"/>
        <v>14664</v>
      </c>
      <c r="S84" s="40">
        <f t="shared" si="44"/>
        <v>14670</v>
      </c>
      <c r="T84" s="40">
        <f t="shared" si="44"/>
        <v>14730</v>
      </c>
      <c r="U84" s="40">
        <f t="shared" si="44"/>
        <v>0</v>
      </c>
      <c r="V84" s="40">
        <f t="shared" si="44"/>
        <v>0</v>
      </c>
      <c r="W84" s="40">
        <f t="shared" si="44"/>
        <v>0</v>
      </c>
      <c r="X84" s="40">
        <f t="shared" si="44"/>
        <v>0</v>
      </c>
      <c r="Y84" s="40">
        <f t="shared" si="44"/>
        <v>14664</v>
      </c>
      <c r="Z84" s="40">
        <f t="shared" si="44"/>
        <v>0</v>
      </c>
      <c r="AA84" s="40">
        <f t="shared" si="44"/>
        <v>0</v>
      </c>
      <c r="AB84" s="40">
        <f t="shared" si="44"/>
        <v>0</v>
      </c>
      <c r="AC84" s="40">
        <f t="shared" si="44"/>
        <v>0</v>
      </c>
      <c r="AD84" s="40">
        <f t="shared" si="44"/>
        <v>0</v>
      </c>
      <c r="AE84" s="40">
        <f t="shared" si="44"/>
        <v>0</v>
      </c>
      <c r="AF84" s="40">
        <f t="shared" si="44"/>
        <v>0</v>
      </c>
      <c r="AG84" s="40">
        <f t="shared" si="44"/>
        <v>29328</v>
      </c>
      <c r="AH84" s="40">
        <f t="shared" si="44"/>
        <v>29334</v>
      </c>
      <c r="AI84" s="40">
        <f t="shared" si="44"/>
        <v>14664</v>
      </c>
      <c r="AJ84" s="97"/>
      <c r="AK84" s="96">
        <f>AK81*6</f>
        <v>190752</v>
      </c>
      <c r="AM84" s="98"/>
      <c r="EA84" s="203"/>
      <c r="EB84" s="203"/>
      <c r="FH84" s="203"/>
      <c r="GP84" s="7"/>
      <c r="GQ84" s="203"/>
      <c r="GR84" s="203"/>
      <c r="GS84" s="203"/>
      <c r="GT84" s="203"/>
      <c r="IW84" s="203"/>
      <c r="MR84" s="203"/>
      <c r="MS84" s="203"/>
      <c r="MT84" s="203"/>
      <c r="MU84" s="203"/>
      <c r="RY84" s="203"/>
      <c r="RZ84" s="203"/>
      <c r="SB84" s="203"/>
      <c r="SP84" s="206"/>
      <c r="ST84" s="203"/>
      <c r="UW84" s="206"/>
    </row>
    <row r="85" spans="2:569" s="1" customFormat="1" hidden="1">
      <c r="B85" s="50"/>
      <c r="C85" s="194" t="s">
        <v>72</v>
      </c>
      <c r="D85" s="54"/>
      <c r="E85" s="183" t="s">
        <v>73</v>
      </c>
      <c r="F85" s="126">
        <f>(F75*45)/1700</f>
        <v>0</v>
      </c>
      <c r="G85" s="126">
        <f>(G75*45)/1700</f>
        <v>0</v>
      </c>
      <c r="H85" s="126">
        <f t="shared" ref="H85:AI85" si="45">(H75*45)/1700</f>
        <v>0</v>
      </c>
      <c r="I85" s="126">
        <f t="shared" si="45"/>
        <v>357.03847058823533</v>
      </c>
      <c r="J85" s="360">
        <f t="shared" si="45"/>
        <v>0</v>
      </c>
      <c r="K85" s="360">
        <f t="shared" si="45"/>
        <v>1065.7494264705883</v>
      </c>
      <c r="L85" s="126">
        <f t="shared" si="45"/>
        <v>1065.7253382352942</v>
      </c>
      <c r="M85" s="126">
        <f t="shared" si="45"/>
        <v>725.64763235294129</v>
      </c>
      <c r="N85" s="126">
        <f t="shared" si="45"/>
        <v>0</v>
      </c>
      <c r="O85" s="126">
        <f t="shared" si="45"/>
        <v>703.58426470588233</v>
      </c>
      <c r="P85" s="126">
        <f t="shared" si="45"/>
        <v>703.2967941176471</v>
      </c>
      <c r="Q85" s="360">
        <f t="shared" si="45"/>
        <v>0</v>
      </c>
      <c r="R85" s="360">
        <f t="shared" si="45"/>
        <v>1065.4619558823531</v>
      </c>
      <c r="S85" s="126">
        <f t="shared" si="45"/>
        <v>1065.7253382352942</v>
      </c>
      <c r="T85" s="126">
        <f t="shared" si="45"/>
        <v>1070.0614852941176</v>
      </c>
      <c r="U85" s="126">
        <f t="shared" si="45"/>
        <v>0</v>
      </c>
      <c r="V85" s="126">
        <f t="shared" si="45"/>
        <v>0</v>
      </c>
      <c r="W85" s="126">
        <f t="shared" si="45"/>
        <v>0</v>
      </c>
      <c r="X85" s="126">
        <f t="shared" si="45"/>
        <v>0</v>
      </c>
      <c r="Y85" s="126">
        <f t="shared" si="45"/>
        <v>1065.4619558823531</v>
      </c>
      <c r="Z85" s="126">
        <f t="shared" si="45"/>
        <v>0</v>
      </c>
      <c r="AA85" s="126">
        <f t="shared" si="45"/>
        <v>0</v>
      </c>
      <c r="AB85" s="126">
        <f t="shared" si="45"/>
        <v>0</v>
      </c>
      <c r="AC85" s="126">
        <f t="shared" si="45"/>
        <v>0</v>
      </c>
      <c r="AD85" s="126">
        <f>(AD75*45)/1700</f>
        <v>0</v>
      </c>
      <c r="AE85" s="126">
        <f t="shared" ref="AE85:AG85" si="46">(AE75*45)/1700</f>
        <v>0</v>
      </c>
      <c r="AF85" s="126">
        <f t="shared" si="46"/>
        <v>0</v>
      </c>
      <c r="AG85" s="126">
        <f t="shared" si="46"/>
        <v>2130.8996911764707</v>
      </c>
      <c r="AH85" s="126">
        <f t="shared" si="45"/>
        <v>2131.1633382352938</v>
      </c>
      <c r="AI85" s="126">
        <f t="shared" si="45"/>
        <v>1067.1867794117647</v>
      </c>
      <c r="AJ85" s="97"/>
      <c r="AK85" s="96">
        <f>SUM(F85:AI85)</f>
        <v>14217.002470588237</v>
      </c>
      <c r="AM85" s="98"/>
      <c r="EA85" s="203"/>
      <c r="EB85" s="203"/>
      <c r="FH85" s="203"/>
      <c r="GP85" s="7"/>
      <c r="GQ85" s="203"/>
      <c r="GR85" s="203"/>
      <c r="GS85" s="203"/>
      <c r="GT85" s="203"/>
      <c r="IW85" s="203"/>
      <c r="MR85" s="203"/>
      <c r="MS85" s="203"/>
      <c r="MT85" s="203"/>
      <c r="MU85" s="203"/>
      <c r="RY85" s="203"/>
      <c r="RZ85" s="203"/>
      <c r="SB85" s="203"/>
      <c r="SP85" s="206"/>
      <c r="ST85" s="203"/>
      <c r="UW85" s="206"/>
    </row>
    <row r="86" spans="2:569" s="1" customFormat="1" hidden="1">
      <c r="B86" s="50"/>
      <c r="C86" s="194" t="s">
        <v>74</v>
      </c>
      <c r="D86" s="54"/>
      <c r="E86" s="183" t="s">
        <v>75</v>
      </c>
      <c r="F86" s="40">
        <f t="shared" ref="F86:AH86" si="47">SUM(F80:F81)/500</f>
        <v>0</v>
      </c>
      <c r="G86" s="40">
        <f t="shared" si="47"/>
        <v>0</v>
      </c>
      <c r="H86" s="40">
        <f>SUM(H80:H81)/500</f>
        <v>0</v>
      </c>
      <c r="I86" s="40">
        <f t="shared" si="47"/>
        <v>2.484</v>
      </c>
      <c r="J86" s="349">
        <f t="shared" si="47"/>
        <v>0</v>
      </c>
      <c r="K86" s="349">
        <f t="shared" si="47"/>
        <v>7.4139999999999997</v>
      </c>
      <c r="L86" s="40">
        <f t="shared" si="47"/>
        <v>7.4139999999999997</v>
      </c>
      <c r="M86" s="40">
        <f t="shared" si="47"/>
        <v>5.048</v>
      </c>
      <c r="N86" s="40">
        <f t="shared" si="47"/>
        <v>0</v>
      </c>
      <c r="O86" s="40">
        <f t="shared" si="47"/>
        <v>4.8940000000000001</v>
      </c>
      <c r="P86" s="40">
        <f t="shared" si="47"/>
        <v>4.8920000000000003</v>
      </c>
      <c r="Q86" s="349">
        <f t="shared" si="47"/>
        <v>0</v>
      </c>
      <c r="R86" s="349">
        <f t="shared" si="47"/>
        <v>7.4119999999999999</v>
      </c>
      <c r="S86" s="40">
        <f t="shared" si="47"/>
        <v>7.4139999999999997</v>
      </c>
      <c r="T86" s="40">
        <f t="shared" si="47"/>
        <v>7.444</v>
      </c>
      <c r="U86" s="40">
        <f t="shared" si="47"/>
        <v>0</v>
      </c>
      <c r="V86" s="40">
        <f t="shared" si="47"/>
        <v>0</v>
      </c>
      <c r="W86" s="40">
        <f t="shared" si="47"/>
        <v>0</v>
      </c>
      <c r="X86" s="40">
        <f t="shared" si="47"/>
        <v>0</v>
      </c>
      <c r="Y86" s="40">
        <f t="shared" si="47"/>
        <v>7.4119999999999999</v>
      </c>
      <c r="Z86" s="40">
        <f t="shared" si="47"/>
        <v>0</v>
      </c>
      <c r="AA86" s="40">
        <f t="shared" si="47"/>
        <v>0</v>
      </c>
      <c r="AB86" s="40">
        <f t="shared" si="47"/>
        <v>0</v>
      </c>
      <c r="AC86" s="40">
        <f t="shared" si="47"/>
        <v>0</v>
      </c>
      <c r="AD86" s="40">
        <f t="shared" si="47"/>
        <v>0</v>
      </c>
      <c r="AE86" s="40">
        <f t="shared" ref="AE86:AG86" si="48">SUM(AE80:AE81)/500</f>
        <v>0</v>
      </c>
      <c r="AF86" s="40">
        <f t="shared" si="48"/>
        <v>0</v>
      </c>
      <c r="AG86" s="40">
        <f t="shared" si="48"/>
        <v>14.824</v>
      </c>
      <c r="AH86" s="40">
        <f t="shared" si="47"/>
        <v>14.826000000000001</v>
      </c>
      <c r="AI86" s="40">
        <f t="shared" ref="AI86" si="49">SUM(AI80:AI81)/500</f>
        <v>7.4240000000000004</v>
      </c>
      <c r="AJ86" s="97"/>
      <c r="AK86" s="96">
        <f>SUM(F86:AI86)</f>
        <v>98.902000000000015</v>
      </c>
      <c r="AM86" s="98"/>
      <c r="EA86" s="203"/>
      <c r="EB86" s="203"/>
      <c r="FH86" s="203"/>
      <c r="GP86" s="7"/>
      <c r="GQ86" s="203"/>
      <c r="GR86" s="203"/>
      <c r="GS86" s="203"/>
      <c r="GT86" s="203"/>
      <c r="IW86" s="203"/>
      <c r="MR86" s="203"/>
      <c r="MS86" s="203"/>
      <c r="MT86" s="203"/>
      <c r="MU86" s="203"/>
      <c r="RY86" s="203"/>
      <c r="RZ86" s="203"/>
      <c r="SB86" s="203"/>
      <c r="SP86" s="206"/>
      <c r="ST86" s="203"/>
      <c r="UW86" s="206"/>
    </row>
    <row r="87" spans="2:569" hidden="1">
      <c r="B87" s="37"/>
      <c r="C87" s="16" t="s">
        <v>76</v>
      </c>
      <c r="D87" s="35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83"/>
      <c r="AD87" s="36"/>
      <c r="AE87" s="36"/>
      <c r="AF87" s="36"/>
      <c r="AG87" s="36"/>
      <c r="AH87" s="36"/>
      <c r="AI87" s="36"/>
      <c r="AJ87" s="87"/>
      <c r="AK87" s="180" t="s">
        <v>77</v>
      </c>
    </row>
    <row r="88" spans="2:569" s="1" customFormat="1" hidden="1">
      <c r="B88" s="50"/>
      <c r="C88" s="194" t="s">
        <v>67</v>
      </c>
      <c r="D88" s="54"/>
      <c r="E88" s="50"/>
      <c r="F88" s="40"/>
      <c r="G88" s="40"/>
      <c r="H88" s="40"/>
      <c r="I88" s="40"/>
      <c r="J88" s="349"/>
      <c r="K88" s="349"/>
      <c r="L88" s="40"/>
      <c r="M88" s="40"/>
      <c r="N88" s="40"/>
      <c r="O88" s="40"/>
      <c r="P88" s="40"/>
      <c r="Q88" s="349"/>
      <c r="R88" s="349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97"/>
      <c r="AK88" s="102" t="s">
        <v>67</v>
      </c>
      <c r="AM88" s="98"/>
      <c r="EA88" s="203"/>
      <c r="EB88" s="203"/>
      <c r="FH88" s="203"/>
      <c r="GP88" s="7"/>
      <c r="GQ88" s="203"/>
      <c r="GR88" s="203"/>
      <c r="GS88" s="203"/>
      <c r="GT88" s="203"/>
      <c r="IW88" s="203"/>
      <c r="MR88" s="203"/>
      <c r="MS88" s="203"/>
      <c r="MT88" s="203"/>
      <c r="MU88" s="203"/>
      <c r="RY88" s="203"/>
      <c r="RZ88" s="203"/>
      <c r="SB88" s="203"/>
      <c r="SP88" s="206"/>
      <c r="ST88" s="203"/>
      <c r="UW88" s="206"/>
    </row>
    <row r="89" spans="2:569" s="1" customFormat="1" ht="13.8" hidden="1">
      <c r="B89" s="50"/>
      <c r="C89" s="176" t="s">
        <v>68</v>
      </c>
      <c r="D89" s="54"/>
      <c r="E89" s="183" t="s">
        <v>69</v>
      </c>
      <c r="F89" s="125">
        <v>0</v>
      </c>
      <c r="G89" s="125">
        <v>0</v>
      </c>
      <c r="H89" s="125">
        <v>0</v>
      </c>
      <c r="I89" s="125">
        <v>4</v>
      </c>
      <c r="J89" s="359">
        <v>0</v>
      </c>
      <c r="K89" s="359">
        <v>1</v>
      </c>
      <c r="L89" s="40">
        <v>0</v>
      </c>
      <c r="M89" s="40">
        <v>16</v>
      </c>
      <c r="N89" s="125">
        <v>0</v>
      </c>
      <c r="O89" s="125">
        <v>0</v>
      </c>
      <c r="P89" s="125">
        <v>0</v>
      </c>
      <c r="Q89" s="359">
        <v>0</v>
      </c>
      <c r="R89" s="349">
        <v>1</v>
      </c>
      <c r="S89" s="40">
        <v>0</v>
      </c>
      <c r="T89" s="40">
        <v>0</v>
      </c>
      <c r="U89" s="125">
        <v>0</v>
      </c>
      <c r="V89" s="125">
        <v>0</v>
      </c>
      <c r="W89" s="125">
        <v>0</v>
      </c>
      <c r="X89" s="125">
        <v>0</v>
      </c>
      <c r="Y89" s="40">
        <v>0</v>
      </c>
      <c r="Z89" s="125">
        <v>0</v>
      </c>
      <c r="AA89" s="125">
        <v>0</v>
      </c>
      <c r="AB89" s="125">
        <v>0</v>
      </c>
      <c r="AC89" s="125">
        <v>0</v>
      </c>
      <c r="AD89" s="125">
        <v>0</v>
      </c>
      <c r="AE89" s="125">
        <v>0</v>
      </c>
      <c r="AF89" s="125">
        <v>0</v>
      </c>
      <c r="AG89" s="40">
        <v>1</v>
      </c>
      <c r="AH89" s="40">
        <v>7</v>
      </c>
      <c r="AI89" s="40">
        <v>5</v>
      </c>
      <c r="AJ89" s="97"/>
      <c r="AK89" s="96">
        <f>SUM(F89:AI89)</f>
        <v>35</v>
      </c>
      <c r="AM89" s="98"/>
      <c r="EA89" s="203"/>
      <c r="EB89" s="203"/>
      <c r="FH89" s="203"/>
      <c r="GP89" s="7"/>
      <c r="GQ89" s="203"/>
      <c r="GR89" s="203"/>
      <c r="GS89" s="203"/>
      <c r="GT89" s="203"/>
      <c r="IW89" s="203"/>
      <c r="MR89" s="203"/>
      <c r="MS89" s="203"/>
      <c r="MT89" s="203"/>
      <c r="MU89" s="203"/>
      <c r="RY89" s="203"/>
      <c r="RZ89" s="203"/>
      <c r="SB89" s="203"/>
      <c r="SP89" s="206"/>
      <c r="ST89" s="203"/>
      <c r="UW89" s="206"/>
    </row>
    <row r="90" spans="2:569" s="1" customFormat="1" ht="13.8" hidden="1">
      <c r="B90" s="50"/>
      <c r="C90" s="176" t="s">
        <v>70</v>
      </c>
      <c r="D90" s="54"/>
      <c r="E90" s="183" t="s">
        <v>69</v>
      </c>
      <c r="F90" s="125">
        <v>0</v>
      </c>
      <c r="G90" s="125">
        <v>0</v>
      </c>
      <c r="H90" s="125">
        <v>0</v>
      </c>
      <c r="I90" s="125">
        <v>0</v>
      </c>
      <c r="J90" s="359">
        <v>0</v>
      </c>
      <c r="K90" s="359">
        <v>7</v>
      </c>
      <c r="L90" s="40">
        <v>10</v>
      </c>
      <c r="M90" s="40">
        <v>0</v>
      </c>
      <c r="N90" s="125">
        <v>0</v>
      </c>
      <c r="O90" s="40">
        <v>1</v>
      </c>
      <c r="P90" s="40">
        <v>3</v>
      </c>
      <c r="Q90" s="359">
        <v>0</v>
      </c>
      <c r="R90" s="349">
        <v>5</v>
      </c>
      <c r="S90" s="40">
        <v>10</v>
      </c>
      <c r="T90" s="40">
        <v>1</v>
      </c>
      <c r="U90" s="125">
        <v>0</v>
      </c>
      <c r="V90" s="125">
        <v>0</v>
      </c>
      <c r="W90" s="125">
        <v>0</v>
      </c>
      <c r="X90" s="125">
        <v>0</v>
      </c>
      <c r="Y90" s="40">
        <v>0</v>
      </c>
      <c r="Z90" s="125">
        <v>0</v>
      </c>
      <c r="AA90" s="125">
        <v>0</v>
      </c>
      <c r="AB90" s="125">
        <v>0</v>
      </c>
      <c r="AC90" s="125">
        <v>0</v>
      </c>
      <c r="AD90" s="125">
        <v>0</v>
      </c>
      <c r="AE90" s="125">
        <v>0</v>
      </c>
      <c r="AF90" s="125">
        <v>0</v>
      </c>
      <c r="AG90" s="40">
        <v>5</v>
      </c>
      <c r="AH90" s="40">
        <v>10</v>
      </c>
      <c r="AI90" s="40">
        <v>3</v>
      </c>
      <c r="AJ90" s="97"/>
      <c r="AK90" s="96">
        <f>SUM(F90:AI90)</f>
        <v>55</v>
      </c>
      <c r="AM90" s="98"/>
      <c r="EA90" s="203"/>
      <c r="EB90" s="203"/>
      <c r="FH90" s="203"/>
      <c r="GP90" s="7"/>
      <c r="GQ90" s="203"/>
      <c r="GR90" s="203"/>
      <c r="GS90" s="203"/>
      <c r="GT90" s="203"/>
      <c r="IW90" s="203"/>
      <c r="MR90" s="203"/>
      <c r="MS90" s="203"/>
      <c r="MT90" s="203"/>
      <c r="MU90" s="203"/>
      <c r="RY90" s="203"/>
      <c r="RZ90" s="203"/>
      <c r="SB90" s="203"/>
      <c r="SP90" s="206"/>
      <c r="ST90" s="203"/>
      <c r="UW90" s="206"/>
    </row>
    <row r="91" spans="2:569" s="1" customFormat="1" hidden="1">
      <c r="B91" s="50"/>
      <c r="C91" s="194" t="s">
        <v>71</v>
      </c>
      <c r="D91" s="54"/>
      <c r="E91" s="50"/>
      <c r="F91" s="125"/>
      <c r="G91" s="125"/>
      <c r="H91" s="125"/>
      <c r="I91" s="125"/>
      <c r="J91" s="359"/>
      <c r="K91" s="359"/>
      <c r="L91" s="125"/>
      <c r="M91" s="125"/>
      <c r="N91" s="125"/>
      <c r="O91" s="40"/>
      <c r="P91" s="40"/>
      <c r="Q91" s="359"/>
      <c r="R91" s="349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97"/>
      <c r="AK91" s="102" t="s">
        <v>71</v>
      </c>
      <c r="AM91" s="98"/>
      <c r="DD91" s="203"/>
      <c r="DE91" s="203"/>
      <c r="DF91" s="203"/>
      <c r="DG91" s="203"/>
      <c r="DH91" s="203"/>
      <c r="DI91" s="203"/>
      <c r="DJ91" s="203"/>
      <c r="DK91" s="203"/>
      <c r="DL91" s="203"/>
      <c r="DM91" s="203"/>
      <c r="EA91" s="203"/>
      <c r="EB91" s="203"/>
      <c r="FH91" s="203"/>
      <c r="GP91" s="7"/>
      <c r="GQ91" s="203"/>
      <c r="GR91" s="203"/>
      <c r="GS91" s="203"/>
      <c r="GT91" s="203"/>
      <c r="IW91" s="203"/>
      <c r="MR91" s="203"/>
      <c r="MS91" s="203"/>
      <c r="MT91" s="203"/>
      <c r="MU91" s="203"/>
      <c r="RY91" s="203"/>
      <c r="RZ91" s="203"/>
      <c r="SB91" s="203"/>
      <c r="SP91" s="206"/>
      <c r="ST91" s="203"/>
      <c r="UW91" s="206"/>
    </row>
    <row r="92" spans="2:569" s="1" customFormat="1" ht="13.8" hidden="1">
      <c r="B92" s="50"/>
      <c r="C92" s="176" t="s">
        <v>68</v>
      </c>
      <c r="D92" s="54"/>
      <c r="E92" s="183" t="s">
        <v>71</v>
      </c>
      <c r="F92" s="125">
        <v>0</v>
      </c>
      <c r="G92" s="125">
        <v>0</v>
      </c>
      <c r="H92" s="125">
        <v>0</v>
      </c>
      <c r="I92" s="125">
        <v>17</v>
      </c>
      <c r="J92" s="359">
        <v>0</v>
      </c>
      <c r="K92" s="359">
        <v>5</v>
      </c>
      <c r="L92" s="125">
        <v>14</v>
      </c>
      <c r="M92" s="125">
        <v>18</v>
      </c>
      <c r="N92" s="125">
        <v>0</v>
      </c>
      <c r="O92" s="125">
        <v>0</v>
      </c>
      <c r="P92" s="125">
        <v>0</v>
      </c>
      <c r="Q92" s="359">
        <v>0</v>
      </c>
      <c r="R92" s="349">
        <v>22</v>
      </c>
      <c r="S92" s="40">
        <v>0</v>
      </c>
      <c r="T92" s="40">
        <v>0</v>
      </c>
      <c r="U92" s="125">
        <v>0</v>
      </c>
      <c r="V92" s="125">
        <v>0</v>
      </c>
      <c r="W92" s="125">
        <v>0</v>
      </c>
      <c r="X92" s="125">
        <v>0</v>
      </c>
      <c r="Y92" s="40">
        <v>1</v>
      </c>
      <c r="Z92" s="125">
        <v>0</v>
      </c>
      <c r="AA92" s="125">
        <v>0</v>
      </c>
      <c r="AB92" s="125">
        <v>0</v>
      </c>
      <c r="AC92" s="125">
        <v>0</v>
      </c>
      <c r="AD92" s="125">
        <v>0</v>
      </c>
      <c r="AE92" s="125">
        <v>0</v>
      </c>
      <c r="AF92" s="125">
        <v>0</v>
      </c>
      <c r="AG92" s="40">
        <v>0</v>
      </c>
      <c r="AH92" s="40">
        <v>5</v>
      </c>
      <c r="AI92" s="40">
        <v>0</v>
      </c>
      <c r="AJ92" s="97"/>
      <c r="AK92" s="96">
        <f>SUM(F92:AI92)</f>
        <v>82</v>
      </c>
      <c r="AM92" s="98"/>
      <c r="DD92" s="213"/>
      <c r="DE92" s="203"/>
      <c r="DF92" s="203"/>
      <c r="DG92" s="203"/>
      <c r="DH92" s="235"/>
      <c r="DI92" s="203"/>
      <c r="DJ92" s="203"/>
      <c r="DK92" s="203"/>
      <c r="DL92" s="203"/>
      <c r="DM92" s="203"/>
      <c r="EA92" s="203"/>
      <c r="EB92" s="203"/>
      <c r="FH92" s="203"/>
      <c r="GP92" s="7"/>
      <c r="GQ92" s="203"/>
      <c r="GR92" s="203"/>
      <c r="GS92" s="203"/>
      <c r="GT92" s="203"/>
      <c r="IW92" s="203"/>
      <c r="MR92" s="203"/>
      <c r="MS92" s="203"/>
      <c r="MT92" s="203"/>
      <c r="MU92" s="203"/>
      <c r="RY92" s="203"/>
      <c r="RZ92" s="203"/>
      <c r="SB92" s="203"/>
      <c r="SP92" s="206"/>
      <c r="ST92" s="203"/>
      <c r="UW92" s="206"/>
    </row>
    <row r="93" spans="2:569" s="1" customFormat="1" ht="13.8" hidden="1">
      <c r="B93" s="50"/>
      <c r="C93" s="176" t="s">
        <v>70</v>
      </c>
      <c r="D93" s="54"/>
      <c r="E93" s="183" t="s">
        <v>71</v>
      </c>
      <c r="F93" s="125"/>
      <c r="G93" s="125"/>
      <c r="H93" s="125"/>
      <c r="I93" s="125"/>
      <c r="J93" s="359"/>
      <c r="K93" s="359">
        <v>17</v>
      </c>
      <c r="L93" s="125">
        <v>1</v>
      </c>
      <c r="M93" s="125"/>
      <c r="N93" s="125"/>
      <c r="O93" s="40">
        <v>0</v>
      </c>
      <c r="P93" s="40">
        <v>3</v>
      </c>
      <c r="Q93" s="359"/>
      <c r="R93" s="349">
        <v>4</v>
      </c>
      <c r="S93" s="40">
        <v>4</v>
      </c>
      <c r="T93" s="40">
        <v>2</v>
      </c>
      <c r="U93" s="40"/>
      <c r="V93" s="40"/>
      <c r="W93" s="40"/>
      <c r="X93" s="40"/>
      <c r="Y93" s="40">
        <v>1</v>
      </c>
      <c r="Z93" s="40"/>
      <c r="AA93" s="40"/>
      <c r="AB93" s="40"/>
      <c r="AC93" s="40"/>
      <c r="AD93" s="40"/>
      <c r="AE93" s="40"/>
      <c r="AF93" s="40"/>
      <c r="AG93" s="40">
        <v>2</v>
      </c>
      <c r="AH93" s="40">
        <v>4</v>
      </c>
      <c r="AI93" s="40">
        <v>0</v>
      </c>
      <c r="AJ93" s="97"/>
      <c r="AK93" s="96">
        <f>SUM(F93:AI93)</f>
        <v>38</v>
      </c>
      <c r="AM93" s="98"/>
      <c r="DD93" s="219"/>
      <c r="DE93" s="203"/>
      <c r="DF93" s="203"/>
      <c r="DG93" s="203"/>
      <c r="DH93" s="203"/>
      <c r="DI93" s="203"/>
      <c r="DJ93" s="203"/>
      <c r="DK93" s="203"/>
      <c r="DL93" s="203"/>
      <c r="DM93" s="203"/>
      <c r="EA93" s="203"/>
      <c r="EB93" s="203"/>
      <c r="FH93" s="203"/>
      <c r="GP93" s="7"/>
      <c r="GQ93" s="203"/>
      <c r="GR93" s="203"/>
      <c r="GS93" s="203"/>
      <c r="GT93" s="203"/>
      <c r="IW93" s="203"/>
      <c r="MR93" s="203"/>
      <c r="MS93" s="203"/>
      <c r="MT93" s="203"/>
      <c r="MU93" s="203"/>
      <c r="RY93" s="203"/>
      <c r="RZ93" s="203"/>
      <c r="SB93" s="203"/>
      <c r="SP93" s="206"/>
      <c r="ST93" s="203"/>
      <c r="UW93" s="206"/>
    </row>
    <row r="94" spans="2:569" hidden="1">
      <c r="B94" s="37"/>
      <c r="C94" s="16" t="s">
        <v>78</v>
      </c>
      <c r="D94" s="35"/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83"/>
      <c r="AD94" s="36"/>
      <c r="AE94" s="36"/>
      <c r="AF94" s="36"/>
      <c r="AG94" s="36"/>
      <c r="AH94" s="36"/>
      <c r="AI94" s="36"/>
      <c r="AJ94" s="87"/>
      <c r="AK94" s="180" t="s">
        <v>77</v>
      </c>
      <c r="DD94" s="219"/>
      <c r="DE94" s="219"/>
      <c r="DF94" s="219"/>
      <c r="DG94" s="219"/>
      <c r="DH94" s="219"/>
      <c r="DI94" s="219"/>
      <c r="DJ94" s="219"/>
      <c r="DK94" s="219"/>
      <c r="DL94" s="219"/>
      <c r="DM94" s="219"/>
    </row>
    <row r="95" spans="2:569" s="1" customFormat="1" hidden="1">
      <c r="B95" s="50"/>
      <c r="C95" s="194" t="s">
        <v>67</v>
      </c>
      <c r="D95" s="54"/>
      <c r="E95" s="50"/>
      <c r="F95" s="40"/>
      <c r="G95" s="40"/>
      <c r="H95" s="40"/>
      <c r="I95" s="40"/>
      <c r="J95" s="349"/>
      <c r="K95" s="349"/>
      <c r="L95" s="40"/>
      <c r="M95" s="40"/>
      <c r="N95" s="40"/>
      <c r="O95" s="40"/>
      <c r="P95" s="40"/>
      <c r="Q95" s="349"/>
      <c r="R95" s="349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97"/>
      <c r="AK95" s="102" t="s">
        <v>67</v>
      </c>
      <c r="AM95" s="98"/>
      <c r="DD95" s="203"/>
      <c r="DE95" s="203"/>
      <c r="DF95" s="203"/>
      <c r="DG95" s="203"/>
      <c r="DH95" s="203"/>
      <c r="DI95" s="203"/>
      <c r="DJ95" s="203"/>
      <c r="DK95" s="203"/>
      <c r="DL95" s="203"/>
      <c r="DM95" s="203"/>
      <c r="EA95" s="203"/>
      <c r="EB95" s="203"/>
      <c r="FH95" s="203"/>
      <c r="GP95" s="7"/>
      <c r="GQ95" s="203"/>
      <c r="GR95" s="203"/>
      <c r="GS95" s="203"/>
      <c r="GT95" s="203"/>
      <c r="IW95" s="203"/>
      <c r="MR95" s="203"/>
      <c r="MS95" s="203"/>
      <c r="MT95" s="203"/>
      <c r="MU95" s="203"/>
      <c r="RY95" s="203"/>
      <c r="RZ95" s="203"/>
      <c r="SB95" s="203"/>
      <c r="SP95" s="206"/>
      <c r="ST95" s="203"/>
      <c r="UW95" s="206"/>
    </row>
    <row r="96" spans="2:569" s="1" customFormat="1" ht="13.8" hidden="1">
      <c r="B96" s="50"/>
      <c r="C96" s="176" t="s">
        <v>68</v>
      </c>
      <c r="D96" s="49">
        <v>0.3</v>
      </c>
      <c r="E96" s="183" t="s">
        <v>12</v>
      </c>
      <c r="F96" s="64" t="e">
        <f t="shared" ref="F96:AI97" si="50">F89/F80*100</f>
        <v>#DIV/0!</v>
      </c>
      <c r="G96" s="64" t="e">
        <f t="shared" si="50"/>
        <v>#DIV/0!</v>
      </c>
      <c r="H96" s="64" t="e">
        <f>H89/H80*100</f>
        <v>#DIV/0!</v>
      </c>
      <c r="I96" s="64">
        <f t="shared" si="50"/>
        <v>0.322061191626409</v>
      </c>
      <c r="J96" s="352" t="e">
        <f t="shared" si="50"/>
        <v>#DIV/0!</v>
      </c>
      <c r="K96" s="352">
        <f t="shared" si="50"/>
        <v>7.9239302694136288E-2</v>
      </c>
      <c r="L96" s="64">
        <f t="shared" si="50"/>
        <v>0</v>
      </c>
      <c r="M96" s="64">
        <f t="shared" si="50"/>
        <v>0.6339144215530903</v>
      </c>
      <c r="N96" s="64" t="e">
        <f t="shared" si="50"/>
        <v>#DIV/0!</v>
      </c>
      <c r="O96" s="64" t="e">
        <f t="shared" si="50"/>
        <v>#DIV/0!</v>
      </c>
      <c r="P96" s="64" t="e">
        <f t="shared" si="50"/>
        <v>#DIV/0!</v>
      </c>
      <c r="Q96" s="352" t="e">
        <f t="shared" si="50"/>
        <v>#DIV/0!</v>
      </c>
      <c r="R96" s="352">
        <f t="shared" si="50"/>
        <v>7.9239302694136288E-2</v>
      </c>
      <c r="S96" s="64">
        <f t="shared" si="50"/>
        <v>0</v>
      </c>
      <c r="T96" s="64">
        <f t="shared" si="50"/>
        <v>0</v>
      </c>
      <c r="U96" s="64" t="e">
        <f t="shared" si="50"/>
        <v>#DIV/0!</v>
      </c>
      <c r="V96" s="64" t="e">
        <f t="shared" si="50"/>
        <v>#DIV/0!</v>
      </c>
      <c r="W96" s="64" t="e">
        <f t="shared" si="50"/>
        <v>#DIV/0!</v>
      </c>
      <c r="X96" s="64" t="e">
        <f t="shared" si="50"/>
        <v>#DIV/0!</v>
      </c>
      <c r="Y96" s="64">
        <f t="shared" si="50"/>
        <v>0</v>
      </c>
      <c r="Z96" s="64" t="e">
        <f t="shared" si="50"/>
        <v>#DIV/0!</v>
      </c>
      <c r="AA96" s="64" t="e">
        <f t="shared" si="50"/>
        <v>#DIV/0!</v>
      </c>
      <c r="AB96" s="64" t="e">
        <f t="shared" si="50"/>
        <v>#DIV/0!</v>
      </c>
      <c r="AC96" s="64" t="e">
        <f t="shared" si="50"/>
        <v>#DIV/0!</v>
      </c>
      <c r="AD96" s="64" t="e">
        <f t="shared" si="50"/>
        <v>#DIV/0!</v>
      </c>
      <c r="AE96" s="64" t="e">
        <f t="shared" si="50"/>
        <v>#DIV/0!</v>
      </c>
      <c r="AF96" s="64" t="e">
        <f t="shared" si="50"/>
        <v>#DIV/0!</v>
      </c>
      <c r="AG96" s="64">
        <f t="shared" si="50"/>
        <v>3.9619651347068144E-2</v>
      </c>
      <c r="AH96" s="64">
        <f t="shared" si="50"/>
        <v>0.27733755942947702</v>
      </c>
      <c r="AI96" s="64">
        <f t="shared" si="50"/>
        <v>0.39432176656151419</v>
      </c>
      <c r="AJ96" s="97"/>
      <c r="AK96" s="99">
        <f>AK89/AK80*100</f>
        <v>0.19819921852879552</v>
      </c>
      <c r="AM96" s="98"/>
      <c r="DD96" s="203"/>
      <c r="DE96" s="203"/>
      <c r="DF96" s="203"/>
      <c r="DG96" s="203"/>
      <c r="DH96" s="203"/>
      <c r="DI96" s="203"/>
      <c r="DJ96" s="203"/>
      <c r="DK96" s="203"/>
      <c r="DL96" s="203"/>
      <c r="DM96" s="203"/>
      <c r="EA96" s="203"/>
      <c r="EB96" s="203"/>
      <c r="FH96" s="203"/>
      <c r="GP96" s="7"/>
      <c r="GQ96" s="203"/>
      <c r="GR96" s="203"/>
      <c r="GS96" s="203"/>
      <c r="GT96" s="203"/>
      <c r="IW96" s="203"/>
      <c r="MR96" s="203"/>
      <c r="MS96" s="203"/>
      <c r="MT96" s="203"/>
      <c r="MU96" s="203"/>
      <c r="RY96" s="203"/>
      <c r="RZ96" s="203"/>
      <c r="SB96" s="203"/>
      <c r="SP96" s="206"/>
      <c r="ST96" s="203"/>
      <c r="UW96" s="206"/>
    </row>
    <row r="97" spans="2:569 15038:15430" s="1" customFormat="1" ht="13.8" hidden="1">
      <c r="B97" s="50"/>
      <c r="C97" s="176" t="s">
        <v>70</v>
      </c>
      <c r="D97" s="49">
        <v>0.3</v>
      </c>
      <c r="E97" s="183" t="s">
        <v>12</v>
      </c>
      <c r="F97" s="64" t="e">
        <f t="shared" si="50"/>
        <v>#DIV/0!</v>
      </c>
      <c r="G97" s="64" t="e">
        <f t="shared" si="50"/>
        <v>#DIV/0!</v>
      </c>
      <c r="H97" s="64" t="e">
        <f>H90/H81*100</f>
        <v>#DIV/0!</v>
      </c>
      <c r="I97" s="64" t="e">
        <f t="shared" si="50"/>
        <v>#DIV/0!</v>
      </c>
      <c r="J97" s="352" t="e">
        <f t="shared" si="50"/>
        <v>#DIV/0!</v>
      </c>
      <c r="K97" s="352">
        <f t="shared" si="50"/>
        <v>0.28629856850715746</v>
      </c>
      <c r="L97" s="64">
        <f t="shared" si="50"/>
        <v>0.40899795501022501</v>
      </c>
      <c r="M97" s="64" t="e">
        <f t="shared" si="50"/>
        <v>#DIV/0!</v>
      </c>
      <c r="N97" s="64" t="e">
        <f t="shared" si="50"/>
        <v>#DIV/0!</v>
      </c>
      <c r="O97" s="64">
        <f t="shared" si="50"/>
        <v>4.0866366979975477E-2</v>
      </c>
      <c r="P97" s="64">
        <f t="shared" si="50"/>
        <v>0.12264922322158626</v>
      </c>
      <c r="Q97" s="352" t="e">
        <f t="shared" si="50"/>
        <v>#DIV/0!</v>
      </c>
      <c r="R97" s="352">
        <f t="shared" si="50"/>
        <v>0.20458265139116205</v>
      </c>
      <c r="S97" s="64">
        <f t="shared" si="50"/>
        <v>0.40899795501022501</v>
      </c>
      <c r="T97" s="64">
        <f t="shared" si="50"/>
        <v>4.0733197556008148E-2</v>
      </c>
      <c r="U97" s="64" t="e">
        <f t="shared" si="50"/>
        <v>#DIV/0!</v>
      </c>
      <c r="V97" s="64" t="e">
        <f t="shared" si="50"/>
        <v>#DIV/0!</v>
      </c>
      <c r="W97" s="64" t="e">
        <f t="shared" si="50"/>
        <v>#DIV/0!</v>
      </c>
      <c r="X97" s="64" t="e">
        <f t="shared" si="50"/>
        <v>#DIV/0!</v>
      </c>
      <c r="Y97" s="64">
        <f t="shared" si="50"/>
        <v>0</v>
      </c>
      <c r="Z97" s="64" t="e">
        <f t="shared" si="50"/>
        <v>#DIV/0!</v>
      </c>
      <c r="AA97" s="64" t="e">
        <f t="shared" si="50"/>
        <v>#DIV/0!</v>
      </c>
      <c r="AB97" s="64" t="e">
        <f t="shared" si="50"/>
        <v>#DIV/0!</v>
      </c>
      <c r="AC97" s="64" t="e">
        <f t="shared" si="50"/>
        <v>#DIV/0!</v>
      </c>
      <c r="AD97" s="64" t="e">
        <f t="shared" si="50"/>
        <v>#DIV/0!</v>
      </c>
      <c r="AE97" s="64" t="e">
        <f t="shared" si="50"/>
        <v>#DIV/0!</v>
      </c>
      <c r="AF97" s="64" t="e">
        <f t="shared" si="50"/>
        <v>#DIV/0!</v>
      </c>
      <c r="AG97" s="64">
        <f t="shared" si="50"/>
        <v>0.10229132569558103</v>
      </c>
      <c r="AH97" s="64">
        <f t="shared" si="50"/>
        <v>0.20454080589077522</v>
      </c>
      <c r="AI97" s="64">
        <f t="shared" si="50"/>
        <v>0.12274959083469722</v>
      </c>
      <c r="AJ97" s="97"/>
      <c r="AK97" s="99">
        <f>AK90/AK81*100</f>
        <v>0.1729994967287368</v>
      </c>
      <c r="AM97" s="98"/>
      <c r="DD97" s="203"/>
      <c r="DE97" s="203"/>
      <c r="DF97" s="203"/>
      <c r="DG97" s="203"/>
      <c r="DH97" s="203"/>
      <c r="DI97" s="203"/>
      <c r="DJ97" s="203"/>
      <c r="DK97" s="203"/>
      <c r="DL97" s="203"/>
      <c r="DM97" s="203"/>
      <c r="EA97" s="203"/>
      <c r="EB97" s="203"/>
      <c r="FH97" s="203"/>
      <c r="GP97" s="7"/>
      <c r="GQ97" s="203"/>
      <c r="GR97" s="203"/>
      <c r="GS97" s="203"/>
      <c r="GT97" s="203"/>
      <c r="IW97" s="203"/>
      <c r="MR97" s="203"/>
      <c r="MS97" s="203"/>
      <c r="MT97" s="203"/>
      <c r="MU97" s="203"/>
      <c r="RY97" s="203"/>
      <c r="RZ97" s="203"/>
      <c r="SB97" s="203"/>
      <c r="SP97" s="206"/>
      <c r="ST97" s="203"/>
      <c r="UW97" s="206"/>
    </row>
    <row r="98" spans="2:569 15038:15430" s="1" customFormat="1" hidden="1">
      <c r="B98" s="50"/>
      <c r="C98" s="194" t="s">
        <v>71</v>
      </c>
      <c r="D98" s="49"/>
      <c r="E98" s="50"/>
      <c r="F98" s="64"/>
      <c r="G98" s="64"/>
      <c r="H98" s="64"/>
      <c r="I98" s="64"/>
      <c r="J98" s="352"/>
      <c r="K98" s="352"/>
      <c r="L98" s="64"/>
      <c r="M98" s="64"/>
      <c r="N98" s="64"/>
      <c r="O98" s="64"/>
      <c r="P98" s="64"/>
      <c r="Q98" s="352"/>
      <c r="R98" s="352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97"/>
      <c r="AK98" s="102" t="s">
        <v>71</v>
      </c>
      <c r="AM98" s="98"/>
      <c r="DD98" s="203"/>
      <c r="DE98" s="203"/>
      <c r="DF98" s="203"/>
      <c r="DG98" s="203"/>
      <c r="DH98" s="203"/>
      <c r="DI98" s="203"/>
      <c r="DJ98" s="203"/>
      <c r="DK98" s="203"/>
      <c r="DL98" s="203"/>
      <c r="DM98" s="203"/>
      <c r="EA98" s="203"/>
      <c r="EB98" s="203"/>
      <c r="FH98" s="203"/>
      <c r="GP98" s="7"/>
      <c r="GQ98" s="203"/>
      <c r="GR98" s="203"/>
      <c r="GS98" s="203"/>
      <c r="GT98" s="203"/>
      <c r="IW98" s="203"/>
      <c r="MR98" s="203"/>
      <c r="MS98" s="203"/>
      <c r="MT98" s="203"/>
      <c r="MU98" s="203"/>
      <c r="RY98" s="203"/>
      <c r="RZ98" s="203"/>
      <c r="SB98" s="203"/>
      <c r="SP98" s="206"/>
      <c r="ST98" s="203"/>
      <c r="UW98" s="206"/>
    </row>
    <row r="99" spans="2:569 15038:15430" s="1" customFormat="1" ht="13.8" hidden="1">
      <c r="B99" s="50"/>
      <c r="C99" s="176" t="s">
        <v>68</v>
      </c>
      <c r="D99" s="49">
        <v>0.5</v>
      </c>
      <c r="E99" s="183" t="s">
        <v>12</v>
      </c>
      <c r="F99" s="64" t="e">
        <f t="shared" ref="F99:AI100" si="51">F92/F83*100</f>
        <v>#DIV/0!</v>
      </c>
      <c r="G99" s="64" t="e">
        <f t="shared" si="51"/>
        <v>#DIV/0!</v>
      </c>
      <c r="H99" s="64" t="e">
        <f t="shared" si="51"/>
        <v>#DIV/0!</v>
      </c>
      <c r="I99" s="64">
        <f t="shared" si="51"/>
        <v>0.11406333870101987</v>
      </c>
      <c r="J99" s="352" t="e">
        <f t="shared" si="51"/>
        <v>#DIV/0!</v>
      </c>
      <c r="K99" s="352">
        <f t="shared" si="51"/>
        <v>3.3016376122556791E-2</v>
      </c>
      <c r="L99" s="64">
        <f t="shared" si="51"/>
        <v>9.2445853143159007E-2</v>
      </c>
      <c r="M99" s="64">
        <f t="shared" si="51"/>
        <v>5.9429477020602223E-2</v>
      </c>
      <c r="N99" s="64" t="e">
        <f t="shared" si="51"/>
        <v>#DIV/0!</v>
      </c>
      <c r="O99" s="64" t="e">
        <f t="shared" si="51"/>
        <v>#DIV/0!</v>
      </c>
      <c r="P99" s="64" t="e">
        <f t="shared" si="51"/>
        <v>#DIV/0!</v>
      </c>
      <c r="Q99" s="352" t="e">
        <f t="shared" si="51"/>
        <v>#DIV/0!</v>
      </c>
      <c r="R99" s="352">
        <f t="shared" si="51"/>
        <v>0.14527205493924988</v>
      </c>
      <c r="S99" s="64">
        <f t="shared" si="51"/>
        <v>0</v>
      </c>
      <c r="T99" s="64">
        <f t="shared" si="51"/>
        <v>0</v>
      </c>
      <c r="U99" s="64" t="e">
        <f t="shared" si="51"/>
        <v>#DIV/0!</v>
      </c>
      <c r="V99" s="64" t="e">
        <f t="shared" si="51"/>
        <v>#DIV/0!</v>
      </c>
      <c r="W99" s="64" t="e">
        <f t="shared" si="51"/>
        <v>#DIV/0!</v>
      </c>
      <c r="X99" s="64" t="e">
        <f t="shared" si="51"/>
        <v>#DIV/0!</v>
      </c>
      <c r="Y99" s="64">
        <f t="shared" si="51"/>
        <v>6.6032752245113579E-3</v>
      </c>
      <c r="Z99" s="64" t="e">
        <f t="shared" si="51"/>
        <v>#DIV/0!</v>
      </c>
      <c r="AA99" s="64" t="e">
        <f t="shared" si="51"/>
        <v>#DIV/0!</v>
      </c>
      <c r="AB99" s="64" t="e">
        <f t="shared" si="51"/>
        <v>#DIV/0!</v>
      </c>
      <c r="AC99" s="64" t="e">
        <f t="shared" si="51"/>
        <v>#DIV/0!</v>
      </c>
      <c r="AD99" s="64" t="e">
        <f t="shared" si="51"/>
        <v>#DIV/0!</v>
      </c>
      <c r="AE99" s="64" t="e">
        <f t="shared" si="51"/>
        <v>#DIV/0!</v>
      </c>
      <c r="AF99" s="64" t="e">
        <f t="shared" si="51"/>
        <v>#DIV/0!</v>
      </c>
      <c r="AG99" s="64">
        <f t="shared" si="51"/>
        <v>0</v>
      </c>
      <c r="AH99" s="64">
        <f t="shared" si="51"/>
        <v>1.6508188061278396E-2</v>
      </c>
      <c r="AI99" s="64">
        <f t="shared" si="51"/>
        <v>0</v>
      </c>
      <c r="AJ99" s="97"/>
      <c r="AK99" s="99">
        <f>AK92/AK83*100</f>
        <v>3.8696037903241026E-2</v>
      </c>
      <c r="AM99" s="98"/>
      <c r="DD99" s="203"/>
      <c r="DE99" s="203"/>
      <c r="DF99" s="203"/>
      <c r="DG99" s="203"/>
      <c r="DH99" s="203"/>
      <c r="DI99" s="203"/>
      <c r="DJ99" s="203"/>
      <c r="DK99" s="203"/>
      <c r="DL99" s="203"/>
      <c r="DM99" s="203"/>
      <c r="EA99" s="203"/>
      <c r="EB99" s="203"/>
      <c r="FH99" s="203"/>
      <c r="GP99" s="7"/>
      <c r="GQ99" s="203"/>
      <c r="GR99" s="203"/>
      <c r="GS99" s="203"/>
      <c r="GT99" s="203"/>
      <c r="IW99" s="203"/>
      <c r="MR99" s="203"/>
      <c r="MS99" s="203"/>
      <c r="MT99" s="203"/>
      <c r="MU99" s="203"/>
      <c r="RY99" s="203"/>
      <c r="RZ99" s="203"/>
      <c r="SB99" s="203"/>
      <c r="SP99" s="206"/>
      <c r="ST99" s="203"/>
      <c r="UW99" s="206"/>
    </row>
    <row r="100" spans="2:569 15038:15430" s="1" customFormat="1" ht="13.8" hidden="1">
      <c r="B100" s="50"/>
      <c r="C100" s="176" t="s">
        <v>70</v>
      </c>
      <c r="D100" s="49">
        <v>0.5</v>
      </c>
      <c r="E100" s="183" t="s">
        <v>12</v>
      </c>
      <c r="F100" s="64" t="e">
        <f t="shared" si="51"/>
        <v>#DIV/0!</v>
      </c>
      <c r="G100" s="64" t="e">
        <f t="shared" si="51"/>
        <v>#DIV/0!</v>
      </c>
      <c r="H100" s="64" t="e">
        <f t="shared" si="51"/>
        <v>#DIV/0!</v>
      </c>
      <c r="I100" s="64" t="e">
        <f t="shared" si="51"/>
        <v>#DIV/0!</v>
      </c>
      <c r="J100" s="352" t="e">
        <f t="shared" si="51"/>
        <v>#DIV/0!</v>
      </c>
      <c r="K100" s="352">
        <f t="shared" si="51"/>
        <v>0.11588275391956375</v>
      </c>
      <c r="L100" s="64">
        <f t="shared" si="51"/>
        <v>6.8166325835037501E-3</v>
      </c>
      <c r="M100" s="64" t="e">
        <f t="shared" si="51"/>
        <v>#DIV/0!</v>
      </c>
      <c r="N100" s="64" t="e">
        <f t="shared" si="51"/>
        <v>#DIV/0!</v>
      </c>
      <c r="O100" s="64">
        <f t="shared" si="51"/>
        <v>0</v>
      </c>
      <c r="P100" s="64">
        <f t="shared" si="51"/>
        <v>2.0441537203597711E-2</v>
      </c>
      <c r="Q100" s="352" t="e">
        <f t="shared" si="51"/>
        <v>#DIV/0!</v>
      </c>
      <c r="R100" s="352">
        <f t="shared" si="51"/>
        <v>2.7277686852154936E-2</v>
      </c>
      <c r="S100" s="64">
        <f t="shared" si="51"/>
        <v>2.7266530334015E-2</v>
      </c>
      <c r="T100" s="64">
        <f t="shared" si="51"/>
        <v>1.3577732518669382E-2</v>
      </c>
      <c r="U100" s="64" t="e">
        <f t="shared" si="51"/>
        <v>#DIV/0!</v>
      </c>
      <c r="V100" s="64" t="e">
        <f t="shared" si="51"/>
        <v>#DIV/0!</v>
      </c>
      <c r="W100" s="64" t="e">
        <f t="shared" si="51"/>
        <v>#DIV/0!</v>
      </c>
      <c r="X100" s="64" t="e">
        <f t="shared" si="51"/>
        <v>#DIV/0!</v>
      </c>
      <c r="Y100" s="64">
        <f t="shared" si="51"/>
        <v>6.8194217130387339E-3</v>
      </c>
      <c r="Z100" s="64" t="e">
        <f t="shared" si="51"/>
        <v>#DIV/0!</v>
      </c>
      <c r="AA100" s="64" t="e">
        <f t="shared" si="51"/>
        <v>#DIV/0!</v>
      </c>
      <c r="AB100" s="64" t="e">
        <f t="shared" si="51"/>
        <v>#DIV/0!</v>
      </c>
      <c r="AC100" s="64" t="e">
        <f t="shared" si="51"/>
        <v>#DIV/0!</v>
      </c>
      <c r="AD100" s="64" t="e">
        <f t="shared" si="51"/>
        <v>#DIV/0!</v>
      </c>
      <c r="AE100" s="64" t="e">
        <f t="shared" si="51"/>
        <v>#DIV/0!</v>
      </c>
      <c r="AF100" s="64" t="e">
        <f t="shared" si="51"/>
        <v>#DIV/0!</v>
      </c>
      <c r="AG100" s="64">
        <f t="shared" si="51"/>
        <v>6.8194217130387339E-3</v>
      </c>
      <c r="AH100" s="64">
        <f t="shared" si="51"/>
        <v>1.3636053726051681E-2</v>
      </c>
      <c r="AI100" s="64">
        <f t="shared" si="51"/>
        <v>0</v>
      </c>
      <c r="AJ100" s="97"/>
      <c r="AK100" s="99">
        <f>AK93/AK84*100</f>
        <v>1.9921154168763631E-2</v>
      </c>
      <c r="AM100" s="98"/>
      <c r="DD100" s="203"/>
      <c r="DE100" s="203"/>
      <c r="DF100" s="203"/>
      <c r="DG100" s="203"/>
      <c r="DH100" s="203"/>
      <c r="DI100" s="203"/>
      <c r="DJ100" s="203"/>
      <c r="DK100" s="203"/>
      <c r="DL100" s="203"/>
      <c r="DM100" s="203"/>
      <c r="EA100" s="203"/>
      <c r="EB100" s="203"/>
      <c r="FH100" s="203"/>
      <c r="GP100" s="7"/>
      <c r="GQ100" s="203"/>
      <c r="GR100" s="203"/>
      <c r="GS100" s="203"/>
      <c r="GT100" s="203"/>
      <c r="IW100" s="203"/>
      <c r="MR100" s="203"/>
      <c r="MS100" s="203"/>
      <c r="MT100" s="203"/>
      <c r="MU100" s="203"/>
      <c r="RY100" s="203"/>
      <c r="RZ100" s="203"/>
      <c r="SB100" s="203"/>
      <c r="SP100" s="206"/>
      <c r="ST100" s="203"/>
      <c r="UW100" s="206"/>
    </row>
    <row r="101" spans="2:569 15038:15430" s="1" customFormat="1" hidden="1">
      <c r="B101" s="34">
        <v>6</v>
      </c>
      <c r="C101" s="16" t="s">
        <v>79</v>
      </c>
      <c r="D101" s="35"/>
      <c r="E101" s="35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83"/>
      <c r="AD101" s="36"/>
      <c r="AE101" s="36"/>
      <c r="AF101" s="36"/>
      <c r="AG101" s="36"/>
      <c r="AH101" s="36"/>
      <c r="AI101" s="36"/>
      <c r="AJ101" s="87"/>
      <c r="AK101" s="180" t="s">
        <v>62</v>
      </c>
      <c r="AM101" s="10"/>
      <c r="DD101" s="219"/>
      <c r="DE101" s="219"/>
      <c r="DF101" s="203"/>
      <c r="DG101" s="203"/>
      <c r="DH101" s="219"/>
      <c r="DI101" s="203"/>
      <c r="DJ101" s="219"/>
      <c r="DK101" s="219"/>
      <c r="DL101" s="219"/>
      <c r="DM101" s="219"/>
      <c r="EA101" s="219"/>
      <c r="EB101" s="219"/>
      <c r="FH101" s="219"/>
      <c r="GP101" s="7"/>
      <c r="GQ101" s="219"/>
      <c r="GR101" s="219"/>
      <c r="GS101" s="219"/>
      <c r="GT101" s="219"/>
      <c r="IW101" s="219"/>
      <c r="MR101" s="219"/>
      <c r="MS101" s="219"/>
      <c r="MT101" s="219"/>
      <c r="MU101" s="219"/>
      <c r="RY101" s="219"/>
      <c r="RZ101" s="219"/>
      <c r="SB101" s="219"/>
      <c r="SP101" s="240"/>
      <c r="ST101" s="219"/>
      <c r="UW101" s="240"/>
      <c r="VFJ101"/>
      <c r="VFK101"/>
      <c r="VFL101"/>
      <c r="VFM101"/>
      <c r="VFN101"/>
      <c r="VFO101"/>
      <c r="VFP101"/>
      <c r="VFQ101"/>
      <c r="VFR101"/>
      <c r="VFS101"/>
      <c r="VFT101"/>
      <c r="VFU101"/>
      <c r="VFV101"/>
      <c r="VFW101"/>
      <c r="VFX101"/>
      <c r="VFY101"/>
      <c r="VFZ101"/>
      <c r="VGA101"/>
      <c r="VGB101"/>
      <c r="VGC101"/>
      <c r="VGD101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</row>
    <row r="102" spans="2:569 15038:15430" s="5" customFormat="1" ht="13.8" hidden="1">
      <c r="B102" s="37"/>
      <c r="C102" s="192" t="s">
        <v>64</v>
      </c>
      <c r="D102" s="123"/>
      <c r="E102" s="193" t="s">
        <v>9</v>
      </c>
      <c r="F102" s="282">
        <v>0</v>
      </c>
      <c r="G102" s="284">
        <v>40261.675000000003</v>
      </c>
      <c r="H102" s="304">
        <v>40261.645000000004</v>
      </c>
      <c r="I102" s="304">
        <v>13500.79</v>
      </c>
      <c r="J102" s="361">
        <v>0</v>
      </c>
      <c r="K102" s="361">
        <v>0</v>
      </c>
      <c r="L102" s="282">
        <v>0</v>
      </c>
      <c r="M102" s="282">
        <v>0</v>
      </c>
      <c r="N102" s="284">
        <v>27413.355</v>
      </c>
      <c r="O102" s="282">
        <v>0</v>
      </c>
      <c r="P102" s="282">
        <v>0</v>
      </c>
      <c r="Q102" s="361">
        <v>0</v>
      </c>
      <c r="R102" s="361">
        <v>0</v>
      </c>
      <c r="S102" s="282">
        <v>0</v>
      </c>
      <c r="T102" s="282">
        <v>0</v>
      </c>
      <c r="U102" s="282">
        <v>0</v>
      </c>
      <c r="V102" s="282">
        <v>0</v>
      </c>
      <c r="W102" s="282">
        <v>27000.674999999999</v>
      </c>
      <c r="X102" s="282">
        <v>0</v>
      </c>
      <c r="Y102" s="282">
        <v>0</v>
      </c>
      <c r="Z102" s="282">
        <v>0</v>
      </c>
      <c r="AA102" s="282">
        <v>0</v>
      </c>
      <c r="AB102" s="282">
        <v>0</v>
      </c>
      <c r="AC102" s="282">
        <v>0</v>
      </c>
      <c r="AD102" s="282">
        <v>0</v>
      </c>
      <c r="AE102" s="282">
        <v>0</v>
      </c>
      <c r="AF102" s="282">
        <v>0</v>
      </c>
      <c r="AG102" s="284">
        <v>651.6</v>
      </c>
      <c r="AH102" s="282">
        <v>0</v>
      </c>
      <c r="AI102" s="282">
        <v>0</v>
      </c>
      <c r="AJ102" s="137"/>
      <c r="AK102" s="135">
        <f>SUM(AK103:AK104)</f>
        <v>149089.74000000002</v>
      </c>
      <c r="AM102" s="136"/>
      <c r="DD102" s="238"/>
      <c r="DE102" s="213"/>
      <c r="DF102" s="213"/>
      <c r="DG102" s="213"/>
      <c r="DH102" s="238"/>
      <c r="DI102" s="213"/>
      <c r="DJ102" s="213"/>
      <c r="DK102" s="213"/>
      <c r="DL102" s="213"/>
      <c r="DM102" s="213"/>
      <c r="EA102" s="213"/>
      <c r="EB102" s="213"/>
      <c r="FH102" s="213"/>
      <c r="GP102" s="247"/>
      <c r="GQ102" s="213"/>
      <c r="GR102" s="213"/>
      <c r="GS102" s="213"/>
      <c r="GT102" s="213"/>
      <c r="IW102" s="213"/>
      <c r="MR102" s="213"/>
      <c r="MS102" s="213"/>
      <c r="MT102" s="213"/>
      <c r="MU102" s="213"/>
      <c r="RY102" s="213"/>
      <c r="RZ102" s="213"/>
      <c r="SB102" s="213"/>
      <c r="SP102" s="296"/>
      <c r="ST102" s="213"/>
      <c r="UW102" s="296"/>
    </row>
    <row r="103" spans="2:569 15038:15430" s="1" customFormat="1" hidden="1">
      <c r="B103" s="50"/>
      <c r="C103" s="194" t="s">
        <v>65</v>
      </c>
      <c r="D103" s="54"/>
      <c r="E103" s="183" t="s">
        <v>9</v>
      </c>
      <c r="F103" s="64">
        <f t="shared" ref="F103:AH103" si="52">SUM(F106:F107)*10.86</f>
        <v>0</v>
      </c>
      <c r="G103" s="64">
        <f t="shared" si="52"/>
        <v>40258.019999999997</v>
      </c>
      <c r="H103" s="64">
        <f t="shared" si="52"/>
        <v>40258.019999999997</v>
      </c>
      <c r="I103" s="64">
        <f t="shared" si="52"/>
        <v>13498.98</v>
      </c>
      <c r="J103" s="352">
        <f t="shared" si="52"/>
        <v>0</v>
      </c>
      <c r="K103" s="352">
        <f t="shared" si="52"/>
        <v>0</v>
      </c>
      <c r="L103" s="64">
        <f t="shared" si="52"/>
        <v>0</v>
      </c>
      <c r="M103" s="64">
        <f t="shared" si="52"/>
        <v>0</v>
      </c>
      <c r="N103" s="64">
        <f t="shared" si="52"/>
        <v>27410.639999999999</v>
      </c>
      <c r="O103" s="64">
        <f t="shared" si="52"/>
        <v>0</v>
      </c>
      <c r="P103" s="64">
        <f t="shared" si="52"/>
        <v>0</v>
      </c>
      <c r="Q103" s="352">
        <f>SUM(Q106:Q107)*10.86</f>
        <v>0</v>
      </c>
      <c r="R103" s="361">
        <v>0</v>
      </c>
      <c r="S103" s="282">
        <v>0</v>
      </c>
      <c r="T103" s="64">
        <f t="shared" si="52"/>
        <v>0</v>
      </c>
      <c r="U103" s="64">
        <f t="shared" si="52"/>
        <v>0</v>
      </c>
      <c r="V103" s="64">
        <f t="shared" si="52"/>
        <v>0</v>
      </c>
      <c r="W103" s="64">
        <f t="shared" si="52"/>
        <v>26997.96</v>
      </c>
      <c r="X103" s="64">
        <f t="shared" si="52"/>
        <v>0</v>
      </c>
      <c r="Y103" s="64">
        <f t="shared" si="52"/>
        <v>0</v>
      </c>
      <c r="Z103" s="64">
        <f t="shared" si="52"/>
        <v>0</v>
      </c>
      <c r="AA103" s="64">
        <f t="shared" si="52"/>
        <v>0</v>
      </c>
      <c r="AB103" s="64">
        <f t="shared" si="52"/>
        <v>0</v>
      </c>
      <c r="AC103" s="64">
        <f t="shared" si="52"/>
        <v>0</v>
      </c>
      <c r="AD103" s="64">
        <f t="shared" si="52"/>
        <v>0</v>
      </c>
      <c r="AE103" s="64">
        <f t="shared" ref="AE103:AG103" si="53">SUM(AE106:AE107)*10.86</f>
        <v>0</v>
      </c>
      <c r="AF103" s="64">
        <f t="shared" si="53"/>
        <v>0</v>
      </c>
      <c r="AG103" s="64">
        <f t="shared" si="53"/>
        <v>651.59999999999991</v>
      </c>
      <c r="AH103" s="64">
        <f t="shared" si="52"/>
        <v>0</v>
      </c>
      <c r="AI103" s="64">
        <f t="shared" ref="AI103" si="54">SUM(AI106:AI107)*10.86</f>
        <v>0</v>
      </c>
      <c r="AJ103" s="97"/>
      <c r="AK103" s="99">
        <f>SUM(F103:AI103)</f>
        <v>149075.22</v>
      </c>
      <c r="AM103" s="98"/>
      <c r="AN103" s="291">
        <f>Q103/1000</f>
        <v>0</v>
      </c>
      <c r="DD103" s="234"/>
      <c r="DE103" s="213"/>
      <c r="DF103" s="213"/>
      <c r="DG103" s="213"/>
      <c r="DH103" s="213"/>
      <c r="DI103" s="213"/>
      <c r="DJ103" s="203"/>
      <c r="DK103" s="203"/>
      <c r="DL103" s="203"/>
      <c r="DM103" s="203"/>
      <c r="EA103" s="203"/>
      <c r="EB103" s="203"/>
      <c r="FH103" s="203"/>
      <c r="GP103" s="7"/>
      <c r="GQ103" s="203"/>
      <c r="GR103" s="203"/>
      <c r="GS103" s="203"/>
      <c r="GT103" s="203"/>
      <c r="IW103" s="203"/>
      <c r="MR103" s="203"/>
      <c r="MS103" s="203"/>
      <c r="MT103" s="203"/>
      <c r="MU103" s="203"/>
      <c r="RY103" s="203"/>
      <c r="RZ103" s="203"/>
      <c r="SB103" s="203"/>
      <c r="SP103" s="206"/>
      <c r="ST103" s="203"/>
      <c r="UW103" s="206"/>
    </row>
    <row r="104" spans="2:569 15038:15430" s="1" customFormat="1" hidden="1">
      <c r="B104" s="50"/>
      <c r="C104" s="194" t="s">
        <v>66</v>
      </c>
      <c r="D104" s="54"/>
      <c r="E104" s="183" t="s">
        <v>9</v>
      </c>
      <c r="F104" s="64">
        <f t="shared" ref="F104:AI104" si="55">F102-F103</f>
        <v>0</v>
      </c>
      <c r="G104" s="64">
        <f t="shared" si="55"/>
        <v>3.6550000000061118</v>
      </c>
      <c r="H104" s="64">
        <f t="shared" si="55"/>
        <v>3.625000000007276</v>
      </c>
      <c r="I104" s="64">
        <f t="shared" si="55"/>
        <v>1.8100000000013097</v>
      </c>
      <c r="J104" s="352">
        <f t="shared" si="55"/>
        <v>0</v>
      </c>
      <c r="K104" s="352">
        <f t="shared" si="55"/>
        <v>0</v>
      </c>
      <c r="L104" s="64">
        <f t="shared" si="55"/>
        <v>0</v>
      </c>
      <c r="M104" s="64">
        <f t="shared" si="55"/>
        <v>0</v>
      </c>
      <c r="N104" s="64">
        <f t="shared" si="55"/>
        <v>2.7150000000001455</v>
      </c>
      <c r="O104" s="64">
        <f t="shared" si="55"/>
        <v>0</v>
      </c>
      <c r="P104" s="64">
        <f t="shared" si="55"/>
        <v>0</v>
      </c>
      <c r="Q104" s="352">
        <f t="shared" si="55"/>
        <v>0</v>
      </c>
      <c r="R104" s="352">
        <f t="shared" si="55"/>
        <v>0</v>
      </c>
      <c r="S104" s="64">
        <f t="shared" si="55"/>
        <v>0</v>
      </c>
      <c r="T104" s="64">
        <f t="shared" si="55"/>
        <v>0</v>
      </c>
      <c r="U104" s="64">
        <f t="shared" si="55"/>
        <v>0</v>
      </c>
      <c r="V104" s="64">
        <f t="shared" si="55"/>
        <v>0</v>
      </c>
      <c r="W104" s="64">
        <f t="shared" si="55"/>
        <v>2.7150000000001455</v>
      </c>
      <c r="X104" s="64">
        <f t="shared" si="55"/>
        <v>0</v>
      </c>
      <c r="Y104" s="64">
        <f t="shared" si="55"/>
        <v>0</v>
      </c>
      <c r="Z104" s="64">
        <f t="shared" si="55"/>
        <v>0</v>
      </c>
      <c r="AA104" s="64">
        <f t="shared" si="55"/>
        <v>0</v>
      </c>
      <c r="AB104" s="64">
        <f t="shared" si="55"/>
        <v>0</v>
      </c>
      <c r="AC104" s="64">
        <f t="shared" si="55"/>
        <v>0</v>
      </c>
      <c r="AD104" s="64">
        <f t="shared" si="55"/>
        <v>0</v>
      </c>
      <c r="AE104" s="64">
        <f t="shared" si="55"/>
        <v>0</v>
      </c>
      <c r="AF104" s="64">
        <f t="shared" si="55"/>
        <v>0</v>
      </c>
      <c r="AG104" s="64">
        <f t="shared" si="55"/>
        <v>0</v>
      </c>
      <c r="AH104" s="64">
        <f t="shared" si="55"/>
        <v>0</v>
      </c>
      <c r="AI104" s="64">
        <f t="shared" si="55"/>
        <v>0</v>
      </c>
      <c r="AJ104" s="97"/>
      <c r="AK104" s="99">
        <f>SUM(F104:AI104)</f>
        <v>14.520000000014988</v>
      </c>
      <c r="AM104" s="98"/>
      <c r="DD104" s="203"/>
      <c r="DE104" s="203"/>
      <c r="DF104" s="203"/>
      <c r="DG104" s="203"/>
      <c r="DH104" s="203"/>
      <c r="DI104" s="203"/>
      <c r="DJ104" s="203"/>
      <c r="DK104" s="203"/>
      <c r="DL104" s="203"/>
      <c r="DM104" s="203"/>
      <c r="EA104" s="203"/>
      <c r="EB104" s="203"/>
      <c r="FH104" s="203"/>
      <c r="GP104" s="7"/>
      <c r="GQ104" s="203"/>
      <c r="GR104" s="203"/>
      <c r="GS104" s="203"/>
      <c r="GT104" s="203"/>
      <c r="IW104" s="203"/>
      <c r="MR104" s="203"/>
      <c r="MS104" s="203"/>
      <c r="MT104" s="203"/>
      <c r="MU104" s="203"/>
      <c r="RY104" s="203"/>
      <c r="RZ104" s="203"/>
      <c r="SB104" s="203"/>
      <c r="SP104" s="206"/>
      <c r="ST104" s="203"/>
      <c r="UW104" s="206"/>
    </row>
    <row r="105" spans="2:569 15038:15430" s="1" customFormat="1" hidden="1">
      <c r="B105" s="50"/>
      <c r="C105" s="194" t="s">
        <v>67</v>
      </c>
      <c r="D105" s="54"/>
      <c r="E105" s="50"/>
      <c r="F105" s="40"/>
      <c r="G105" s="40"/>
      <c r="H105" s="40"/>
      <c r="I105" s="40"/>
      <c r="J105" s="349"/>
      <c r="K105" s="349"/>
      <c r="L105" s="40"/>
      <c r="M105" s="40"/>
      <c r="N105" s="40"/>
      <c r="O105" s="40"/>
      <c r="P105" s="40"/>
      <c r="Q105" s="349"/>
      <c r="R105" s="349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97"/>
      <c r="AK105" s="102" t="s">
        <v>67</v>
      </c>
      <c r="AM105" s="98"/>
      <c r="DD105" s="203"/>
      <c r="DE105" s="203"/>
      <c r="DF105" s="203"/>
      <c r="DG105" s="203"/>
      <c r="DH105" s="203"/>
      <c r="DI105" s="203"/>
      <c r="DJ105" s="203"/>
      <c r="DK105" s="203"/>
      <c r="DL105" s="203"/>
      <c r="DM105" s="203"/>
      <c r="EA105" s="203"/>
      <c r="EB105" s="203"/>
      <c r="FH105" s="203"/>
      <c r="GP105" s="7"/>
      <c r="GQ105" s="203"/>
      <c r="GR105" s="203"/>
      <c r="GS105" s="203"/>
      <c r="GT105" s="203"/>
      <c r="IW105" s="203"/>
      <c r="MR105" s="203"/>
      <c r="MS105" s="203"/>
      <c r="MT105" s="203"/>
      <c r="MU105" s="203"/>
      <c r="RY105" s="203"/>
      <c r="RZ105" s="203"/>
      <c r="SB105" s="203"/>
      <c r="SP105" s="206"/>
      <c r="ST105" s="203"/>
      <c r="UW105" s="206"/>
    </row>
    <row r="106" spans="2:569 15038:15430" s="6" customFormat="1" ht="13.8" hidden="1">
      <c r="B106" s="22"/>
      <c r="C106" s="20" t="s">
        <v>80</v>
      </c>
      <c r="D106" s="21"/>
      <c r="E106" s="196" t="s">
        <v>69</v>
      </c>
      <c r="F106" s="125">
        <v>0</v>
      </c>
      <c r="G106" s="125">
        <v>1262</v>
      </c>
      <c r="H106" s="125">
        <v>1262</v>
      </c>
      <c r="I106" s="125">
        <v>1243</v>
      </c>
      <c r="J106" s="359">
        <v>0</v>
      </c>
      <c r="K106" s="359">
        <v>0</v>
      </c>
      <c r="L106" s="125">
        <v>0</v>
      </c>
      <c r="M106" s="125">
        <v>0</v>
      </c>
      <c r="N106" s="125">
        <v>2524</v>
      </c>
      <c r="O106" s="125">
        <v>0</v>
      </c>
      <c r="P106" s="125">
        <v>0</v>
      </c>
      <c r="Q106" s="361">
        <v>0</v>
      </c>
      <c r="R106" s="361">
        <v>0</v>
      </c>
      <c r="S106" s="282">
        <v>0</v>
      </c>
      <c r="T106" s="282">
        <v>0</v>
      </c>
      <c r="U106" s="282">
        <v>0</v>
      </c>
      <c r="V106" s="282">
        <v>0</v>
      </c>
      <c r="W106" s="125">
        <v>2486</v>
      </c>
      <c r="X106" s="282">
        <v>0</v>
      </c>
      <c r="Y106" s="282">
        <v>0</v>
      </c>
      <c r="Z106" s="282">
        <v>0</v>
      </c>
      <c r="AA106" s="282">
        <v>0</v>
      </c>
      <c r="AB106" s="282">
        <v>0</v>
      </c>
      <c r="AC106" s="282">
        <v>0</v>
      </c>
      <c r="AD106" s="282">
        <v>0</v>
      </c>
      <c r="AE106" s="282">
        <v>0</v>
      </c>
      <c r="AF106" s="282">
        <v>0</v>
      </c>
      <c r="AG106" s="125">
        <v>0</v>
      </c>
      <c r="AH106" s="125">
        <v>0</v>
      </c>
      <c r="AI106" s="125">
        <v>0</v>
      </c>
      <c r="AJ106" s="104"/>
      <c r="AK106" s="105">
        <f>SUM(F106:AI106)</f>
        <v>8777</v>
      </c>
      <c r="AM106" s="138"/>
      <c r="AN106" s="205">
        <f>Q106*10.86</f>
        <v>0</v>
      </c>
      <c r="AO106" s="205">
        <f>AN106/1000</f>
        <v>0</v>
      </c>
      <c r="DD106" s="233"/>
      <c r="DE106" s="233"/>
      <c r="DF106" s="233"/>
      <c r="DG106" s="233"/>
      <c r="DH106" s="233"/>
      <c r="DI106" s="233"/>
      <c r="DJ106" s="233"/>
      <c r="DK106" s="233"/>
      <c r="DL106" s="233"/>
      <c r="DM106" s="233"/>
      <c r="EA106" s="233"/>
      <c r="EB106" s="233"/>
      <c r="FH106" s="233"/>
      <c r="GP106" s="245"/>
      <c r="GQ106" s="233"/>
      <c r="GR106" s="233"/>
      <c r="GS106" s="233"/>
      <c r="GT106" s="233"/>
      <c r="IW106" s="233"/>
      <c r="MR106" s="233"/>
      <c r="MS106" s="233"/>
      <c r="MT106" s="233"/>
      <c r="MU106" s="233"/>
      <c r="RY106" s="233"/>
      <c r="RZ106" s="233"/>
      <c r="SB106" s="233"/>
      <c r="SP106" s="297"/>
      <c r="ST106" s="233"/>
      <c r="UW106" s="297"/>
    </row>
    <row r="107" spans="2:569 15038:15430" s="6" customFormat="1" ht="13.8" hidden="1">
      <c r="B107" s="22"/>
      <c r="C107" s="20" t="s">
        <v>81</v>
      </c>
      <c r="D107" s="21"/>
      <c r="E107" s="196" t="s">
        <v>69</v>
      </c>
      <c r="F107" s="125">
        <v>0</v>
      </c>
      <c r="G107" s="125">
        <v>2445</v>
      </c>
      <c r="H107" s="125">
        <v>2445</v>
      </c>
      <c r="I107" s="125">
        <v>0</v>
      </c>
      <c r="J107" s="359">
        <v>0</v>
      </c>
      <c r="K107" s="359">
        <v>0</v>
      </c>
      <c r="L107" s="125">
        <v>0</v>
      </c>
      <c r="M107" s="125">
        <v>0</v>
      </c>
      <c r="N107" s="125">
        <v>0</v>
      </c>
      <c r="O107" s="125">
        <v>0</v>
      </c>
      <c r="P107" s="125">
        <v>0</v>
      </c>
      <c r="Q107" s="361">
        <v>0</v>
      </c>
      <c r="R107" s="361">
        <v>0</v>
      </c>
      <c r="S107" s="282">
        <v>0</v>
      </c>
      <c r="T107" s="282">
        <v>0</v>
      </c>
      <c r="U107" s="282">
        <v>0</v>
      </c>
      <c r="V107" s="282">
        <v>0</v>
      </c>
      <c r="W107" s="125">
        <v>0</v>
      </c>
      <c r="X107" s="282">
        <v>0</v>
      </c>
      <c r="Y107" s="282">
        <v>0</v>
      </c>
      <c r="Z107" s="282">
        <v>0</v>
      </c>
      <c r="AA107" s="282">
        <v>0</v>
      </c>
      <c r="AB107" s="282">
        <v>0</v>
      </c>
      <c r="AC107" s="282">
        <v>0</v>
      </c>
      <c r="AD107" s="282">
        <v>0</v>
      </c>
      <c r="AE107" s="282">
        <v>0</v>
      </c>
      <c r="AF107" s="282">
        <v>0</v>
      </c>
      <c r="AG107" s="125">
        <v>60</v>
      </c>
      <c r="AH107" s="125">
        <v>0</v>
      </c>
      <c r="AI107" s="125">
        <v>0</v>
      </c>
      <c r="AJ107" s="104"/>
      <c r="AK107" s="105">
        <f>SUM(F107:AI107)</f>
        <v>4950</v>
      </c>
      <c r="AM107" s="138"/>
      <c r="AN107" s="205">
        <f>Q107*10.86</f>
        <v>0</v>
      </c>
      <c r="AO107" s="205">
        <f>AN107/1000</f>
        <v>0</v>
      </c>
      <c r="DD107" s="233"/>
      <c r="DE107" s="233"/>
      <c r="DF107" s="233"/>
      <c r="DG107" s="233"/>
      <c r="DH107" s="233"/>
      <c r="DI107" s="233"/>
      <c r="DJ107" s="233"/>
      <c r="DK107" s="233"/>
      <c r="DL107" s="233"/>
      <c r="DM107" s="233"/>
      <c r="EA107" s="233"/>
      <c r="EB107" s="233"/>
      <c r="FH107" s="233"/>
      <c r="GP107" s="245"/>
      <c r="GQ107" s="233"/>
      <c r="GR107" s="233"/>
      <c r="GS107" s="233"/>
      <c r="GT107" s="233"/>
      <c r="IW107" s="233"/>
      <c r="MR107" s="233"/>
      <c r="MS107" s="233"/>
      <c r="MT107" s="233"/>
      <c r="MU107" s="233"/>
      <c r="RY107" s="233"/>
      <c r="RZ107" s="233"/>
      <c r="SB107" s="233"/>
      <c r="SP107" s="297"/>
      <c r="ST107" s="233"/>
      <c r="UW107" s="297"/>
    </row>
    <row r="108" spans="2:569 15038:15430" s="1" customFormat="1" hidden="1">
      <c r="B108" s="50"/>
      <c r="C108" s="194" t="s">
        <v>71</v>
      </c>
      <c r="D108" s="54"/>
      <c r="E108" s="50"/>
      <c r="F108" s="40"/>
      <c r="G108" s="40"/>
      <c r="H108" s="40"/>
      <c r="I108" s="40"/>
      <c r="J108" s="349"/>
      <c r="K108" s="349"/>
      <c r="L108" s="40"/>
      <c r="M108" s="40"/>
      <c r="N108" s="40"/>
      <c r="O108" s="40"/>
      <c r="P108" s="40"/>
      <c r="Q108" s="349"/>
      <c r="R108" s="349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97"/>
      <c r="AK108" s="102" t="s">
        <v>71</v>
      </c>
      <c r="AM108" s="98"/>
      <c r="DD108" s="203"/>
      <c r="DE108" s="203"/>
      <c r="DF108" s="203"/>
      <c r="DG108" s="203"/>
      <c r="DH108" s="203"/>
      <c r="DI108" s="203"/>
      <c r="DJ108" s="203"/>
      <c r="DK108" s="203"/>
      <c r="DL108" s="203"/>
      <c r="DM108" s="203"/>
      <c r="EA108" s="203"/>
      <c r="EB108" s="203"/>
      <c r="FH108" s="203"/>
      <c r="GP108" s="7"/>
      <c r="GQ108" s="203"/>
      <c r="GR108" s="203"/>
      <c r="GS108" s="203"/>
      <c r="GT108" s="203"/>
      <c r="IW108" s="203"/>
      <c r="MR108" s="203"/>
      <c r="MS108" s="203"/>
      <c r="MT108" s="203"/>
      <c r="MU108" s="203"/>
      <c r="RY108" s="203"/>
      <c r="RZ108" s="203"/>
      <c r="SB108" s="203"/>
      <c r="SP108" s="206"/>
      <c r="ST108" s="203"/>
      <c r="UW108" s="206"/>
    </row>
    <row r="109" spans="2:569 15038:15430" s="1" customFormat="1" ht="13.8" hidden="1">
      <c r="B109" s="50"/>
      <c r="C109" s="20" t="s">
        <v>80</v>
      </c>
      <c r="D109" s="54"/>
      <c r="E109" s="183" t="s">
        <v>71</v>
      </c>
      <c r="F109" s="40">
        <f t="shared" ref="F109:AI109" si="56">F106*12</f>
        <v>0</v>
      </c>
      <c r="G109" s="40">
        <f t="shared" si="56"/>
        <v>15144</v>
      </c>
      <c r="H109" s="40">
        <f t="shared" si="56"/>
        <v>15144</v>
      </c>
      <c r="I109" s="40">
        <f t="shared" si="56"/>
        <v>14916</v>
      </c>
      <c r="J109" s="349">
        <f t="shared" si="56"/>
        <v>0</v>
      </c>
      <c r="K109" s="349">
        <f t="shared" si="56"/>
        <v>0</v>
      </c>
      <c r="L109" s="40">
        <f t="shared" si="56"/>
        <v>0</v>
      </c>
      <c r="M109" s="40">
        <f t="shared" si="56"/>
        <v>0</v>
      </c>
      <c r="N109" s="40">
        <f t="shared" si="56"/>
        <v>30288</v>
      </c>
      <c r="O109" s="40">
        <f t="shared" si="56"/>
        <v>0</v>
      </c>
      <c r="P109" s="40">
        <f t="shared" si="56"/>
        <v>0</v>
      </c>
      <c r="Q109" s="349">
        <f t="shared" si="56"/>
        <v>0</v>
      </c>
      <c r="R109" s="349">
        <f t="shared" si="56"/>
        <v>0</v>
      </c>
      <c r="S109" s="40">
        <f t="shared" si="56"/>
        <v>0</v>
      </c>
      <c r="T109" s="40">
        <f t="shared" si="56"/>
        <v>0</v>
      </c>
      <c r="U109" s="40">
        <f t="shared" si="56"/>
        <v>0</v>
      </c>
      <c r="V109" s="40">
        <f t="shared" si="56"/>
        <v>0</v>
      </c>
      <c r="W109" s="40">
        <f t="shared" si="56"/>
        <v>29832</v>
      </c>
      <c r="X109" s="40">
        <f t="shared" si="56"/>
        <v>0</v>
      </c>
      <c r="Y109" s="40">
        <f t="shared" si="56"/>
        <v>0</v>
      </c>
      <c r="Z109" s="40">
        <f t="shared" si="56"/>
        <v>0</v>
      </c>
      <c r="AA109" s="40">
        <f t="shared" si="56"/>
        <v>0</v>
      </c>
      <c r="AB109" s="40">
        <f t="shared" si="56"/>
        <v>0</v>
      </c>
      <c r="AC109" s="40">
        <f t="shared" si="56"/>
        <v>0</v>
      </c>
      <c r="AD109" s="40">
        <f t="shared" si="56"/>
        <v>0</v>
      </c>
      <c r="AE109" s="40">
        <f t="shared" si="56"/>
        <v>0</v>
      </c>
      <c r="AF109" s="40">
        <f t="shared" si="56"/>
        <v>0</v>
      </c>
      <c r="AG109" s="40">
        <f t="shared" si="56"/>
        <v>0</v>
      </c>
      <c r="AH109" s="40">
        <f t="shared" si="56"/>
        <v>0</v>
      </c>
      <c r="AI109" s="40">
        <f t="shared" si="56"/>
        <v>0</v>
      </c>
      <c r="AJ109" s="97"/>
      <c r="AK109" s="96">
        <f>AK106*12</f>
        <v>105324</v>
      </c>
      <c r="AM109" s="98"/>
      <c r="DD109" s="203"/>
      <c r="DE109" s="203"/>
      <c r="DF109" s="203"/>
      <c r="DG109" s="203"/>
      <c r="DH109" s="203"/>
      <c r="DI109" s="203"/>
      <c r="DJ109" s="203"/>
      <c r="DK109" s="203"/>
      <c r="DL109" s="203"/>
      <c r="DM109" s="203"/>
      <c r="EA109" s="203"/>
      <c r="EB109" s="203"/>
      <c r="FH109" s="203"/>
      <c r="GP109" s="7"/>
      <c r="GQ109" s="203"/>
      <c r="GR109" s="203"/>
      <c r="GS109" s="203"/>
      <c r="GT109" s="203"/>
      <c r="IW109" s="203"/>
      <c r="MR109" s="203"/>
      <c r="MS109" s="203"/>
      <c r="MT109" s="203"/>
      <c r="MU109" s="203"/>
      <c r="RY109" s="203"/>
      <c r="RZ109" s="203"/>
      <c r="SB109" s="203"/>
      <c r="SP109" s="206"/>
      <c r="ST109" s="203"/>
      <c r="UW109" s="206"/>
    </row>
    <row r="110" spans="2:569 15038:15430" s="1" customFormat="1" ht="13.8" hidden="1">
      <c r="B110" s="50"/>
      <c r="C110" s="20" t="s">
        <v>81</v>
      </c>
      <c r="D110" s="54"/>
      <c r="E110" s="183" t="s">
        <v>71</v>
      </c>
      <c r="F110" s="40">
        <f t="shared" ref="F110:AI110" si="57">F107*6</f>
        <v>0</v>
      </c>
      <c r="G110" s="40">
        <f t="shared" si="57"/>
        <v>14670</v>
      </c>
      <c r="H110" s="40">
        <f t="shared" si="57"/>
        <v>14670</v>
      </c>
      <c r="I110" s="40">
        <f t="shared" si="57"/>
        <v>0</v>
      </c>
      <c r="J110" s="349">
        <f t="shared" si="57"/>
        <v>0</v>
      </c>
      <c r="K110" s="349">
        <f t="shared" si="57"/>
        <v>0</v>
      </c>
      <c r="L110" s="40">
        <f t="shared" si="57"/>
        <v>0</v>
      </c>
      <c r="M110" s="40">
        <f t="shared" si="57"/>
        <v>0</v>
      </c>
      <c r="N110" s="40">
        <f t="shared" si="57"/>
        <v>0</v>
      </c>
      <c r="O110" s="40">
        <f t="shared" si="57"/>
        <v>0</v>
      </c>
      <c r="P110" s="40">
        <f t="shared" si="57"/>
        <v>0</v>
      </c>
      <c r="Q110" s="349">
        <f t="shared" si="57"/>
        <v>0</v>
      </c>
      <c r="R110" s="349">
        <f t="shared" si="57"/>
        <v>0</v>
      </c>
      <c r="S110" s="40">
        <f t="shared" si="57"/>
        <v>0</v>
      </c>
      <c r="T110" s="40">
        <f t="shared" si="57"/>
        <v>0</v>
      </c>
      <c r="U110" s="40">
        <f t="shared" si="57"/>
        <v>0</v>
      </c>
      <c r="V110" s="40">
        <f t="shared" si="57"/>
        <v>0</v>
      </c>
      <c r="W110" s="40">
        <f t="shared" si="57"/>
        <v>0</v>
      </c>
      <c r="X110" s="40">
        <f t="shared" si="57"/>
        <v>0</v>
      </c>
      <c r="Y110" s="40">
        <f t="shared" si="57"/>
        <v>0</v>
      </c>
      <c r="Z110" s="40">
        <f t="shared" si="57"/>
        <v>0</v>
      </c>
      <c r="AA110" s="40">
        <f t="shared" si="57"/>
        <v>0</v>
      </c>
      <c r="AB110" s="40">
        <f t="shared" si="57"/>
        <v>0</v>
      </c>
      <c r="AC110" s="40">
        <f t="shared" si="57"/>
        <v>0</v>
      </c>
      <c r="AD110" s="40">
        <f t="shared" si="57"/>
        <v>0</v>
      </c>
      <c r="AE110" s="40">
        <f t="shared" si="57"/>
        <v>0</v>
      </c>
      <c r="AF110" s="40">
        <f t="shared" si="57"/>
        <v>0</v>
      </c>
      <c r="AG110" s="40">
        <f t="shared" si="57"/>
        <v>360</v>
      </c>
      <c r="AH110" s="40">
        <f t="shared" si="57"/>
        <v>0</v>
      </c>
      <c r="AI110" s="40">
        <f t="shared" si="57"/>
        <v>0</v>
      </c>
      <c r="AJ110" s="97"/>
      <c r="AK110" s="96">
        <f>AK107*6</f>
        <v>29700</v>
      </c>
      <c r="AM110" s="98"/>
      <c r="DD110" s="203"/>
      <c r="DE110" s="203"/>
      <c r="DF110" s="203"/>
      <c r="DG110" s="203"/>
      <c r="DH110" s="203"/>
      <c r="DI110" s="203"/>
      <c r="DJ110" s="203"/>
      <c r="DK110" s="203"/>
      <c r="DL110" s="203"/>
      <c r="DM110" s="203"/>
      <c r="EA110" s="203"/>
      <c r="EB110" s="203"/>
      <c r="FH110" s="203"/>
      <c r="GP110" s="7"/>
      <c r="GQ110" s="203"/>
      <c r="GR110" s="203"/>
      <c r="GS110" s="203"/>
      <c r="GT110" s="203"/>
      <c r="IW110" s="203"/>
      <c r="MR110" s="203"/>
      <c r="MS110" s="203"/>
      <c r="MT110" s="203"/>
      <c r="MU110" s="203"/>
      <c r="RY110" s="203"/>
      <c r="RZ110" s="203"/>
      <c r="SB110" s="203"/>
      <c r="SP110" s="206"/>
      <c r="ST110" s="203"/>
      <c r="UW110" s="206"/>
    </row>
    <row r="111" spans="2:569 15038:15430" s="1" customFormat="1" hidden="1">
      <c r="B111" s="50"/>
      <c r="C111" s="194" t="s">
        <v>72</v>
      </c>
      <c r="D111" s="54"/>
      <c r="E111" s="183" t="s">
        <v>73</v>
      </c>
      <c r="F111" s="40">
        <v>0</v>
      </c>
      <c r="G111" s="40">
        <f>(G102*45)/1700</f>
        <v>1065.7502205882354</v>
      </c>
      <c r="H111" s="40">
        <f t="shared" ref="H111:Y111" si="58">(H102*45)/1700</f>
        <v>1065.7494264705883</v>
      </c>
      <c r="I111" s="40">
        <f t="shared" si="58"/>
        <v>357.37385294117649</v>
      </c>
      <c r="J111" s="349">
        <f t="shared" si="58"/>
        <v>0</v>
      </c>
      <c r="K111" s="349">
        <f t="shared" si="58"/>
        <v>0</v>
      </c>
      <c r="L111" s="40">
        <f t="shared" si="58"/>
        <v>0</v>
      </c>
      <c r="M111" s="40">
        <f t="shared" si="58"/>
        <v>0</v>
      </c>
      <c r="N111" s="40">
        <f t="shared" si="58"/>
        <v>725.64763235294129</v>
      </c>
      <c r="O111" s="40">
        <f t="shared" si="58"/>
        <v>0</v>
      </c>
      <c r="P111" s="40">
        <f t="shared" si="58"/>
        <v>0</v>
      </c>
      <c r="Q111" s="349">
        <f t="shared" si="58"/>
        <v>0</v>
      </c>
      <c r="R111" s="349">
        <f t="shared" si="58"/>
        <v>0</v>
      </c>
      <c r="S111" s="40">
        <f t="shared" si="58"/>
        <v>0</v>
      </c>
      <c r="T111" s="40">
        <f t="shared" si="58"/>
        <v>0</v>
      </c>
      <c r="U111" s="40">
        <f t="shared" si="58"/>
        <v>0</v>
      </c>
      <c r="V111" s="40">
        <f t="shared" si="58"/>
        <v>0</v>
      </c>
      <c r="W111" s="40">
        <f t="shared" si="58"/>
        <v>714.72375</v>
      </c>
      <c r="X111" s="40">
        <f t="shared" si="58"/>
        <v>0</v>
      </c>
      <c r="Y111" s="40">
        <f t="shared" si="58"/>
        <v>0</v>
      </c>
      <c r="Z111" s="40">
        <f t="shared" ref="Z111:AI111" si="59">Z102*45/1700</f>
        <v>0</v>
      </c>
      <c r="AA111" s="40">
        <f t="shared" si="59"/>
        <v>0</v>
      </c>
      <c r="AB111" s="40">
        <f t="shared" si="59"/>
        <v>0</v>
      </c>
      <c r="AC111" s="40">
        <f t="shared" si="59"/>
        <v>0</v>
      </c>
      <c r="AD111" s="40">
        <f t="shared" si="59"/>
        <v>0</v>
      </c>
      <c r="AE111" s="40">
        <f t="shared" si="59"/>
        <v>0</v>
      </c>
      <c r="AF111" s="40">
        <f t="shared" si="59"/>
        <v>0</v>
      </c>
      <c r="AG111" s="40">
        <f t="shared" si="59"/>
        <v>17.248235294117649</v>
      </c>
      <c r="AH111" s="40">
        <f t="shared" si="59"/>
        <v>0</v>
      </c>
      <c r="AI111" s="40">
        <f t="shared" si="59"/>
        <v>0</v>
      </c>
      <c r="AJ111" s="97"/>
      <c r="AK111" s="96">
        <f>SUM(F111:AI111)</f>
        <v>3946.49311764706</v>
      </c>
      <c r="AM111" s="98"/>
      <c r="DD111" s="203"/>
      <c r="DE111" s="203"/>
      <c r="DF111" s="203"/>
      <c r="DG111" s="203"/>
      <c r="DH111" s="203"/>
      <c r="DI111" s="203"/>
      <c r="DJ111" s="203"/>
      <c r="DK111" s="203"/>
      <c r="DL111" s="203"/>
      <c r="DM111" s="203"/>
      <c r="EA111" s="203"/>
      <c r="EB111" s="203"/>
      <c r="FH111" s="203"/>
      <c r="GP111" s="7"/>
      <c r="GQ111" s="203"/>
      <c r="GR111" s="203"/>
      <c r="GS111" s="203"/>
      <c r="GT111" s="203"/>
      <c r="IW111" s="203"/>
      <c r="MR111" s="203"/>
      <c r="MS111" s="203"/>
      <c r="MT111" s="203"/>
      <c r="MU111" s="203"/>
      <c r="RY111" s="203"/>
      <c r="RZ111" s="203"/>
      <c r="SB111" s="203"/>
      <c r="SP111" s="206"/>
      <c r="ST111" s="203"/>
      <c r="UW111" s="206"/>
    </row>
    <row r="112" spans="2:569 15038:15430" s="1" customFormat="1" hidden="1">
      <c r="B112" s="50"/>
      <c r="C112" s="194" t="s">
        <v>74</v>
      </c>
      <c r="D112" s="54"/>
      <c r="E112" s="183" t="s">
        <v>75</v>
      </c>
      <c r="F112" s="40">
        <f t="shared" ref="F112:AH112" si="60">SUM(F106:F107)/500</f>
        <v>0</v>
      </c>
      <c r="G112" s="40">
        <f t="shared" si="60"/>
        <v>7.4139999999999997</v>
      </c>
      <c r="H112" s="40">
        <f t="shared" si="60"/>
        <v>7.4139999999999997</v>
      </c>
      <c r="I112" s="40">
        <f t="shared" si="60"/>
        <v>2.4860000000000002</v>
      </c>
      <c r="J112" s="349">
        <f t="shared" si="60"/>
        <v>0</v>
      </c>
      <c r="K112" s="349">
        <f t="shared" si="60"/>
        <v>0</v>
      </c>
      <c r="L112" s="40">
        <f t="shared" si="60"/>
        <v>0</v>
      </c>
      <c r="M112" s="40">
        <f t="shared" si="60"/>
        <v>0</v>
      </c>
      <c r="N112" s="40">
        <f t="shared" si="60"/>
        <v>5.048</v>
      </c>
      <c r="O112" s="40">
        <f t="shared" si="60"/>
        <v>0</v>
      </c>
      <c r="P112" s="40">
        <f t="shared" si="60"/>
        <v>0</v>
      </c>
      <c r="Q112" s="349">
        <f t="shared" si="60"/>
        <v>0</v>
      </c>
      <c r="R112" s="349">
        <f t="shared" si="60"/>
        <v>0</v>
      </c>
      <c r="S112" s="40">
        <f t="shared" si="60"/>
        <v>0</v>
      </c>
      <c r="T112" s="40">
        <f t="shared" si="60"/>
        <v>0</v>
      </c>
      <c r="U112" s="40">
        <f t="shared" si="60"/>
        <v>0</v>
      </c>
      <c r="V112" s="40">
        <f t="shared" si="60"/>
        <v>0</v>
      </c>
      <c r="W112" s="40">
        <f t="shared" si="60"/>
        <v>4.9720000000000004</v>
      </c>
      <c r="X112" s="40">
        <f t="shared" si="60"/>
        <v>0</v>
      </c>
      <c r="Y112" s="40">
        <f t="shared" si="60"/>
        <v>0</v>
      </c>
      <c r="Z112" s="40">
        <f t="shared" si="60"/>
        <v>0</v>
      </c>
      <c r="AA112" s="40">
        <f t="shared" si="60"/>
        <v>0</v>
      </c>
      <c r="AB112" s="40">
        <f t="shared" si="60"/>
        <v>0</v>
      </c>
      <c r="AC112" s="40">
        <f t="shared" si="60"/>
        <v>0</v>
      </c>
      <c r="AD112" s="40">
        <f t="shared" si="60"/>
        <v>0</v>
      </c>
      <c r="AE112" s="40">
        <f t="shared" ref="AE112:AG112" si="61">SUM(AE106:AE107)/500</f>
        <v>0</v>
      </c>
      <c r="AF112" s="40">
        <f t="shared" si="61"/>
        <v>0</v>
      </c>
      <c r="AG112" s="40">
        <f t="shared" si="61"/>
        <v>0.12</v>
      </c>
      <c r="AH112" s="40">
        <f t="shared" si="60"/>
        <v>0</v>
      </c>
      <c r="AI112" s="209">
        <f t="shared" ref="AI112" si="62">SUM(AI106:AI107)/500</f>
        <v>0</v>
      </c>
      <c r="AJ112" s="97"/>
      <c r="AK112" s="96">
        <f>SUM(F112:AI112)</f>
        <v>27.454000000000004</v>
      </c>
      <c r="AM112" s="98"/>
      <c r="DD112" s="203"/>
      <c r="DE112" s="203"/>
      <c r="DF112" s="203"/>
      <c r="DG112" s="203"/>
      <c r="DH112" s="203"/>
      <c r="DI112" s="203"/>
      <c r="DJ112" s="203"/>
      <c r="DK112" s="203"/>
      <c r="DL112" s="203"/>
      <c r="DM112" s="203"/>
      <c r="EA112" s="203"/>
      <c r="EB112" s="203"/>
      <c r="FH112" s="203"/>
      <c r="GP112" s="7"/>
      <c r="GQ112" s="203"/>
      <c r="GR112" s="203"/>
      <c r="GS112" s="203"/>
      <c r="GT112" s="203"/>
      <c r="IW112" s="203"/>
      <c r="MR112" s="203"/>
      <c r="MS112" s="203"/>
      <c r="MT112" s="203"/>
      <c r="MU112" s="203"/>
      <c r="RY112" s="203"/>
      <c r="RZ112" s="203"/>
      <c r="SB112" s="203"/>
      <c r="SP112" s="206"/>
      <c r="ST112" s="203"/>
      <c r="UW112" s="206"/>
    </row>
    <row r="113" spans="2:569 15038:15430" s="1" customFormat="1" hidden="1">
      <c r="B113" s="37"/>
      <c r="C113" s="16" t="s">
        <v>76</v>
      </c>
      <c r="D113" s="35"/>
      <c r="E113" s="35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83"/>
      <c r="AD113" s="36"/>
      <c r="AE113" s="36"/>
      <c r="AF113" s="36"/>
      <c r="AG113" s="36"/>
      <c r="AH113" s="36"/>
      <c r="AI113" s="36"/>
      <c r="AJ113" s="87"/>
      <c r="AK113" s="180" t="s">
        <v>77</v>
      </c>
      <c r="AM113" s="10"/>
      <c r="DD113" s="219"/>
      <c r="DE113" s="219"/>
      <c r="DF113" s="219"/>
      <c r="DG113" s="219"/>
      <c r="DH113" s="219"/>
      <c r="DI113" s="219"/>
      <c r="DJ113" s="219"/>
      <c r="DK113" s="219"/>
      <c r="DL113" s="219"/>
      <c r="DM113" s="219"/>
      <c r="EA113" s="219"/>
      <c r="EB113" s="219"/>
      <c r="FH113" s="219"/>
      <c r="GP113" s="7"/>
      <c r="GQ113" s="219"/>
      <c r="GR113" s="219"/>
      <c r="GS113" s="219"/>
      <c r="GT113" s="219"/>
      <c r="IW113" s="219"/>
      <c r="MR113" s="219"/>
      <c r="MS113" s="219"/>
      <c r="MT113" s="219"/>
      <c r="MU113" s="219"/>
      <c r="RY113" s="219"/>
      <c r="RZ113" s="219"/>
      <c r="SB113" s="219"/>
      <c r="SP113" s="240"/>
      <c r="ST113" s="219"/>
      <c r="UW113" s="240"/>
      <c r="VFJ113"/>
      <c r="VFK113"/>
      <c r="VFL113"/>
      <c r="VFM113"/>
      <c r="VFN113"/>
      <c r="VFO113"/>
      <c r="VFP113"/>
      <c r="VFQ113"/>
      <c r="VFR113"/>
      <c r="VFS113"/>
      <c r="VFT113"/>
      <c r="VFU113"/>
      <c r="VFV113"/>
      <c r="VFW113"/>
      <c r="VFX113"/>
      <c r="VFY113"/>
      <c r="VFZ113"/>
      <c r="VGA113"/>
      <c r="VGB113"/>
      <c r="VGC113"/>
      <c r="VGD11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</row>
    <row r="114" spans="2:569 15038:15430" s="1" customFormat="1" hidden="1">
      <c r="B114" s="50"/>
      <c r="C114" s="194" t="s">
        <v>67</v>
      </c>
      <c r="D114" s="54"/>
      <c r="E114" s="50"/>
      <c r="F114" s="40"/>
      <c r="G114" s="40"/>
      <c r="H114" s="40"/>
      <c r="I114" s="40"/>
      <c r="J114" s="349"/>
      <c r="K114" s="349"/>
      <c r="L114" s="40"/>
      <c r="M114" s="40"/>
      <c r="N114" s="40"/>
      <c r="O114" s="40"/>
      <c r="P114" s="40"/>
      <c r="Q114" s="349"/>
      <c r="R114" s="349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97"/>
      <c r="AK114" s="102" t="s">
        <v>67</v>
      </c>
      <c r="AM114" s="98"/>
      <c r="EA114" s="203"/>
      <c r="EB114" s="203"/>
      <c r="FH114" s="203"/>
      <c r="GP114" s="7"/>
      <c r="GQ114" s="203"/>
      <c r="GR114" s="203"/>
      <c r="GS114" s="203"/>
      <c r="GT114" s="203"/>
      <c r="IW114" s="203"/>
      <c r="MR114" s="203"/>
      <c r="MS114" s="203"/>
      <c r="MT114" s="203"/>
      <c r="MU114" s="203"/>
      <c r="RY114" s="203"/>
      <c r="RZ114" s="203"/>
      <c r="SB114" s="203"/>
      <c r="SP114" s="206"/>
      <c r="ST114" s="203"/>
      <c r="UW114" s="206"/>
    </row>
    <row r="115" spans="2:569 15038:15430" s="1" customFormat="1" ht="13.8" hidden="1">
      <c r="B115" s="50"/>
      <c r="C115" s="20" t="s">
        <v>80</v>
      </c>
      <c r="D115" s="54"/>
      <c r="E115" s="183" t="s">
        <v>69</v>
      </c>
      <c r="F115" s="125">
        <v>0</v>
      </c>
      <c r="G115" s="125">
        <v>1</v>
      </c>
      <c r="H115" s="125">
        <v>1</v>
      </c>
      <c r="I115" s="125">
        <v>1</v>
      </c>
      <c r="J115" s="359">
        <v>0</v>
      </c>
      <c r="K115" s="359">
        <v>0</v>
      </c>
      <c r="L115" s="125">
        <v>0</v>
      </c>
      <c r="M115" s="125">
        <v>0</v>
      </c>
      <c r="N115" s="125">
        <v>8</v>
      </c>
      <c r="O115" s="125">
        <v>0</v>
      </c>
      <c r="P115" s="125">
        <v>0</v>
      </c>
      <c r="Q115" s="359">
        <v>0</v>
      </c>
      <c r="R115" s="359">
        <v>0</v>
      </c>
      <c r="S115" s="125">
        <v>0</v>
      </c>
      <c r="T115" s="125">
        <v>0</v>
      </c>
      <c r="U115" s="125">
        <v>0</v>
      </c>
      <c r="V115" s="125">
        <v>0</v>
      </c>
      <c r="W115" s="40">
        <v>9</v>
      </c>
      <c r="X115" s="125">
        <v>0</v>
      </c>
      <c r="Y115" s="125">
        <v>0</v>
      </c>
      <c r="Z115" s="125">
        <v>0</v>
      </c>
      <c r="AA115" s="125">
        <v>0</v>
      </c>
      <c r="AB115" s="125">
        <v>0</v>
      </c>
      <c r="AC115" s="125">
        <v>0</v>
      </c>
      <c r="AD115" s="125">
        <v>0</v>
      </c>
      <c r="AE115" s="125">
        <v>0</v>
      </c>
      <c r="AF115" s="125">
        <v>0</v>
      </c>
      <c r="AG115" s="125">
        <v>0</v>
      </c>
      <c r="AH115" s="125">
        <v>0</v>
      </c>
      <c r="AI115" s="125">
        <v>0</v>
      </c>
      <c r="AJ115" s="97"/>
      <c r="AK115" s="96">
        <f>SUM(F115:AI115)</f>
        <v>20</v>
      </c>
      <c r="AM115" s="98"/>
      <c r="EA115" s="203"/>
      <c r="EB115" s="203"/>
      <c r="FH115" s="203"/>
      <c r="GP115" s="7"/>
      <c r="GQ115" s="203"/>
      <c r="GR115" s="203"/>
      <c r="GS115" s="203"/>
      <c r="GT115" s="203"/>
      <c r="IW115" s="203"/>
      <c r="MR115" s="203"/>
      <c r="MS115" s="203"/>
      <c r="MT115" s="203"/>
      <c r="MU115" s="203"/>
      <c r="RY115" s="203"/>
      <c r="RZ115" s="203"/>
      <c r="SB115" s="203"/>
      <c r="SP115" s="206"/>
      <c r="ST115" s="203"/>
      <c r="UW115" s="206"/>
    </row>
    <row r="116" spans="2:569 15038:15430" s="1" customFormat="1" ht="13.8" hidden="1">
      <c r="B116" s="50"/>
      <c r="C116" s="20" t="s">
        <v>81</v>
      </c>
      <c r="D116" s="54"/>
      <c r="E116" s="183" t="s">
        <v>69</v>
      </c>
      <c r="F116" s="125">
        <v>0</v>
      </c>
      <c r="G116" s="125">
        <v>0</v>
      </c>
      <c r="H116" s="125">
        <v>1</v>
      </c>
      <c r="I116" s="125">
        <v>0</v>
      </c>
      <c r="J116" s="359">
        <v>0</v>
      </c>
      <c r="K116" s="359">
        <v>0</v>
      </c>
      <c r="L116" s="125">
        <v>0</v>
      </c>
      <c r="M116" s="125">
        <v>0</v>
      </c>
      <c r="N116" s="125">
        <v>0</v>
      </c>
      <c r="O116" s="125">
        <v>0</v>
      </c>
      <c r="P116" s="125">
        <v>0</v>
      </c>
      <c r="Q116" s="359">
        <v>0</v>
      </c>
      <c r="R116" s="359">
        <v>0</v>
      </c>
      <c r="S116" s="125">
        <v>0</v>
      </c>
      <c r="T116" s="125">
        <v>0</v>
      </c>
      <c r="U116" s="125">
        <v>0</v>
      </c>
      <c r="V116" s="125">
        <v>0</v>
      </c>
      <c r="W116" s="40">
        <v>0</v>
      </c>
      <c r="X116" s="125">
        <v>0</v>
      </c>
      <c r="Y116" s="125">
        <v>0</v>
      </c>
      <c r="Z116" s="125">
        <v>0</v>
      </c>
      <c r="AA116" s="125">
        <v>0</v>
      </c>
      <c r="AB116" s="125">
        <v>0</v>
      </c>
      <c r="AC116" s="125">
        <v>0</v>
      </c>
      <c r="AD116" s="125">
        <v>0</v>
      </c>
      <c r="AE116" s="125">
        <v>0</v>
      </c>
      <c r="AF116" s="125">
        <v>0</v>
      </c>
      <c r="AG116" s="125">
        <v>0</v>
      </c>
      <c r="AH116" s="125">
        <v>0</v>
      </c>
      <c r="AI116" s="125">
        <v>0</v>
      </c>
      <c r="AJ116" s="97"/>
      <c r="AK116" s="96">
        <f>SUM(F116:AI116)</f>
        <v>1</v>
      </c>
      <c r="AM116" s="98"/>
      <c r="EA116" s="203"/>
      <c r="EB116" s="203"/>
      <c r="FH116" s="203"/>
      <c r="GP116" s="7"/>
      <c r="GQ116" s="203"/>
      <c r="GR116" s="203"/>
      <c r="GS116" s="203"/>
      <c r="GT116" s="203"/>
      <c r="IW116" s="203"/>
      <c r="MR116" s="203"/>
      <c r="MS116" s="203"/>
      <c r="MT116" s="203"/>
      <c r="MU116" s="203"/>
      <c r="RY116" s="203"/>
      <c r="RZ116" s="203"/>
      <c r="SB116" s="203"/>
      <c r="SP116" s="206"/>
      <c r="ST116" s="203"/>
      <c r="UW116" s="206"/>
    </row>
    <row r="117" spans="2:569 15038:15430" s="1" customFormat="1" hidden="1">
      <c r="B117" s="50"/>
      <c r="C117" s="194" t="s">
        <v>71</v>
      </c>
      <c r="D117" s="54"/>
      <c r="E117" s="50"/>
      <c r="F117" s="125"/>
      <c r="G117" s="125"/>
      <c r="H117" s="125"/>
      <c r="I117" s="125"/>
      <c r="J117" s="359"/>
      <c r="K117" s="359"/>
      <c r="L117" s="125"/>
      <c r="M117" s="125"/>
      <c r="N117" s="125"/>
      <c r="O117" s="125"/>
      <c r="P117" s="125"/>
      <c r="Q117" s="359"/>
      <c r="R117" s="359"/>
      <c r="S117" s="125"/>
      <c r="T117" s="125"/>
      <c r="U117" s="125"/>
      <c r="V117" s="125"/>
      <c r="W117" s="40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97"/>
      <c r="AK117" s="102" t="s">
        <v>71</v>
      </c>
      <c r="AM117" s="98"/>
      <c r="EA117" s="203"/>
      <c r="EB117" s="203"/>
      <c r="FH117" s="203"/>
      <c r="GP117" s="7"/>
      <c r="GQ117" s="203"/>
      <c r="GR117" s="203"/>
      <c r="GS117" s="203"/>
      <c r="GT117" s="203"/>
      <c r="IW117" s="203"/>
      <c r="MR117" s="203"/>
      <c r="MS117" s="203"/>
      <c r="MT117" s="203"/>
      <c r="MU117" s="203"/>
      <c r="RY117" s="203"/>
      <c r="RZ117" s="203"/>
      <c r="SB117" s="203"/>
      <c r="SP117" s="206"/>
      <c r="ST117" s="203"/>
      <c r="UW117" s="206"/>
    </row>
    <row r="118" spans="2:569 15038:15430" s="1" customFormat="1" ht="13.8" hidden="1">
      <c r="B118" s="50"/>
      <c r="C118" s="20" t="s">
        <v>80</v>
      </c>
      <c r="D118" s="54"/>
      <c r="E118" s="183" t="s">
        <v>71</v>
      </c>
      <c r="F118" s="125">
        <v>0</v>
      </c>
      <c r="G118" s="125">
        <v>1</v>
      </c>
      <c r="H118" s="125">
        <v>4</v>
      </c>
      <c r="I118" s="125">
        <v>14</v>
      </c>
      <c r="J118" s="359">
        <v>0</v>
      </c>
      <c r="K118" s="359">
        <v>0</v>
      </c>
      <c r="L118" s="125">
        <v>0</v>
      </c>
      <c r="M118" s="125">
        <v>0</v>
      </c>
      <c r="N118" s="125">
        <v>26</v>
      </c>
      <c r="O118" s="125">
        <v>0</v>
      </c>
      <c r="P118" s="125">
        <v>0</v>
      </c>
      <c r="Q118" s="359">
        <v>0</v>
      </c>
      <c r="R118" s="359">
        <v>0</v>
      </c>
      <c r="S118" s="125">
        <v>0</v>
      </c>
      <c r="T118" s="125">
        <v>0</v>
      </c>
      <c r="U118" s="125">
        <v>0</v>
      </c>
      <c r="V118" s="125">
        <v>0</v>
      </c>
      <c r="W118" s="40">
        <v>20</v>
      </c>
      <c r="X118" s="125">
        <v>0</v>
      </c>
      <c r="Y118" s="125">
        <v>0</v>
      </c>
      <c r="Z118" s="125">
        <v>0</v>
      </c>
      <c r="AA118" s="125">
        <v>0</v>
      </c>
      <c r="AB118" s="125">
        <v>0</v>
      </c>
      <c r="AC118" s="125">
        <v>0</v>
      </c>
      <c r="AD118" s="125">
        <v>0</v>
      </c>
      <c r="AE118" s="125">
        <v>0</v>
      </c>
      <c r="AF118" s="125">
        <v>0</v>
      </c>
      <c r="AG118" s="125">
        <v>0</v>
      </c>
      <c r="AH118" s="125">
        <v>0</v>
      </c>
      <c r="AI118" s="125">
        <v>0</v>
      </c>
      <c r="AJ118" s="97"/>
      <c r="AK118" s="96">
        <f>SUM(F118:AI118)</f>
        <v>65</v>
      </c>
      <c r="AM118" s="98"/>
      <c r="EA118" s="203"/>
      <c r="EB118" s="203"/>
      <c r="FH118" s="203"/>
      <c r="GP118" s="7"/>
      <c r="GQ118" s="203"/>
      <c r="GR118" s="203"/>
      <c r="GS118" s="203"/>
      <c r="GT118" s="203"/>
      <c r="IW118" s="203"/>
      <c r="MR118" s="203"/>
      <c r="MS118" s="203"/>
      <c r="MT118" s="203"/>
      <c r="MU118" s="203"/>
      <c r="RY118" s="203"/>
      <c r="RZ118" s="203"/>
      <c r="SB118" s="203"/>
      <c r="SP118" s="206"/>
      <c r="ST118" s="203"/>
      <c r="UW118" s="206"/>
    </row>
    <row r="119" spans="2:569 15038:15430" s="1" customFormat="1" ht="13.8" hidden="1">
      <c r="B119" s="50"/>
      <c r="C119" s="20" t="s">
        <v>81</v>
      </c>
      <c r="D119" s="54"/>
      <c r="E119" s="183" t="s">
        <v>71</v>
      </c>
      <c r="F119" s="125">
        <v>0</v>
      </c>
      <c r="G119" s="125">
        <v>0</v>
      </c>
      <c r="H119" s="125">
        <v>1</v>
      </c>
      <c r="I119" s="125">
        <v>0</v>
      </c>
      <c r="J119" s="359">
        <v>0</v>
      </c>
      <c r="K119" s="359">
        <v>0</v>
      </c>
      <c r="L119" s="125">
        <v>0</v>
      </c>
      <c r="M119" s="125">
        <v>0</v>
      </c>
      <c r="N119" s="125">
        <v>0</v>
      </c>
      <c r="O119" s="125">
        <v>0</v>
      </c>
      <c r="P119" s="125">
        <v>0</v>
      </c>
      <c r="Q119" s="359">
        <v>0</v>
      </c>
      <c r="R119" s="359">
        <v>0</v>
      </c>
      <c r="S119" s="125">
        <v>0</v>
      </c>
      <c r="T119" s="125">
        <v>0</v>
      </c>
      <c r="U119" s="125">
        <v>0</v>
      </c>
      <c r="V119" s="125">
        <v>0</v>
      </c>
      <c r="W119" s="40">
        <v>0</v>
      </c>
      <c r="X119" s="125">
        <v>0</v>
      </c>
      <c r="Y119" s="125">
        <v>0</v>
      </c>
      <c r="Z119" s="125">
        <v>0</v>
      </c>
      <c r="AA119" s="125">
        <v>0</v>
      </c>
      <c r="AB119" s="125">
        <v>0</v>
      </c>
      <c r="AC119" s="125">
        <v>0</v>
      </c>
      <c r="AD119" s="125">
        <v>0</v>
      </c>
      <c r="AE119" s="125">
        <v>0</v>
      </c>
      <c r="AF119" s="125">
        <v>0</v>
      </c>
      <c r="AG119" s="125">
        <v>0</v>
      </c>
      <c r="AH119" s="125">
        <v>0</v>
      </c>
      <c r="AI119" s="125">
        <v>0</v>
      </c>
      <c r="AJ119" s="97"/>
      <c r="AK119" s="96">
        <f>SUM(F119:AI119)</f>
        <v>1</v>
      </c>
      <c r="AM119" s="98"/>
      <c r="EA119" s="203"/>
      <c r="EB119" s="203"/>
      <c r="FH119" s="203"/>
      <c r="GP119" s="7"/>
      <c r="GQ119" s="203"/>
      <c r="GR119" s="203"/>
      <c r="GS119" s="203"/>
      <c r="GT119" s="203"/>
      <c r="IW119" s="203"/>
      <c r="MR119" s="203"/>
      <c r="MS119" s="203"/>
      <c r="MT119" s="203"/>
      <c r="MU119" s="203"/>
      <c r="RY119" s="203"/>
      <c r="RZ119" s="203"/>
      <c r="SB119" s="203"/>
      <c r="SP119" s="206"/>
      <c r="ST119" s="203"/>
      <c r="UW119" s="206"/>
    </row>
    <row r="120" spans="2:569 15038:15430" s="1" customFormat="1" hidden="1">
      <c r="B120" s="37"/>
      <c r="C120" s="16" t="s">
        <v>78</v>
      </c>
      <c r="D120" s="35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83"/>
      <c r="AD120" s="36"/>
      <c r="AE120" s="36"/>
      <c r="AF120" s="36"/>
      <c r="AG120" s="36"/>
      <c r="AH120" s="36"/>
      <c r="AI120" s="36"/>
      <c r="AJ120" s="87"/>
      <c r="AK120" s="180" t="s">
        <v>77</v>
      </c>
      <c r="AM120" s="10"/>
      <c r="EA120" s="219"/>
      <c r="EB120" s="219"/>
      <c r="FH120" s="219"/>
      <c r="GP120" s="7"/>
      <c r="GQ120" s="219"/>
      <c r="GR120" s="219"/>
      <c r="GS120" s="219"/>
      <c r="GT120" s="219"/>
      <c r="IW120" s="219"/>
      <c r="MR120" s="219"/>
      <c r="MS120" s="219"/>
      <c r="MT120" s="219"/>
      <c r="MU120" s="219"/>
      <c r="RY120" s="219"/>
      <c r="RZ120" s="219"/>
      <c r="SB120" s="219"/>
      <c r="SP120" s="240"/>
      <c r="ST120" s="219"/>
      <c r="UW120" s="240"/>
      <c r="VFJ120"/>
      <c r="VFK120"/>
      <c r="VFL120"/>
      <c r="VFM120"/>
      <c r="VFN120"/>
      <c r="VFO120"/>
      <c r="VFP120"/>
      <c r="VFQ120"/>
      <c r="VFR120"/>
      <c r="VFS120"/>
      <c r="VFT120"/>
      <c r="VFU120"/>
      <c r="VFV120"/>
      <c r="VFW120"/>
      <c r="VFX120"/>
      <c r="VFY120"/>
      <c r="VFZ120"/>
      <c r="VGA120"/>
      <c r="VGB120"/>
      <c r="VGC120"/>
      <c r="VGD120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</row>
    <row r="121" spans="2:569 15038:15430" s="1" customFormat="1" hidden="1">
      <c r="B121" s="50"/>
      <c r="C121" s="194" t="s">
        <v>67</v>
      </c>
      <c r="D121" s="54"/>
      <c r="E121" s="50"/>
      <c r="F121" s="40"/>
      <c r="G121" s="40"/>
      <c r="H121" s="40"/>
      <c r="I121" s="40"/>
      <c r="J121" s="349"/>
      <c r="K121" s="349"/>
      <c r="L121" s="40"/>
      <c r="M121" s="40"/>
      <c r="N121" s="40"/>
      <c r="O121" s="40"/>
      <c r="P121" s="40"/>
      <c r="Q121" s="349"/>
      <c r="R121" s="349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97"/>
      <c r="AK121" s="102" t="s">
        <v>67</v>
      </c>
      <c r="AM121" s="98"/>
      <c r="EA121" s="203"/>
      <c r="EB121" s="203"/>
      <c r="FH121" s="203"/>
      <c r="GP121" s="7"/>
      <c r="GQ121" s="203"/>
      <c r="GR121" s="203"/>
      <c r="GS121" s="203"/>
      <c r="GT121" s="203"/>
      <c r="IW121" s="203"/>
      <c r="MR121" s="203"/>
      <c r="MS121" s="203"/>
      <c r="MT121" s="203"/>
      <c r="MU121" s="203"/>
      <c r="RY121" s="203"/>
      <c r="RZ121" s="203"/>
      <c r="SB121" s="203"/>
      <c r="SP121" s="206"/>
      <c r="ST121" s="203"/>
      <c r="UW121" s="206"/>
    </row>
    <row r="122" spans="2:569 15038:15430" s="1" customFormat="1" ht="13.8" hidden="1">
      <c r="B122" s="50"/>
      <c r="C122" s="20" t="s">
        <v>80</v>
      </c>
      <c r="D122" s="49">
        <v>0.3</v>
      </c>
      <c r="E122" s="183" t="s">
        <v>12</v>
      </c>
      <c r="F122" s="64" t="e">
        <f t="shared" ref="F122:AI123" si="63">F115/F106*100</f>
        <v>#DIV/0!</v>
      </c>
      <c r="G122" s="64">
        <f t="shared" si="63"/>
        <v>7.9239302694136288E-2</v>
      </c>
      <c r="H122" s="64">
        <f t="shared" si="63"/>
        <v>7.9239302694136288E-2</v>
      </c>
      <c r="I122" s="64">
        <f t="shared" si="63"/>
        <v>8.0450522928399035E-2</v>
      </c>
      <c r="J122" s="352" t="e">
        <f t="shared" si="63"/>
        <v>#DIV/0!</v>
      </c>
      <c r="K122" s="352" t="e">
        <f t="shared" si="63"/>
        <v>#DIV/0!</v>
      </c>
      <c r="L122" s="64" t="e">
        <f t="shared" si="63"/>
        <v>#DIV/0!</v>
      </c>
      <c r="M122" s="64" t="e">
        <f t="shared" si="63"/>
        <v>#DIV/0!</v>
      </c>
      <c r="N122" s="64">
        <f t="shared" si="63"/>
        <v>0.31695721077654515</v>
      </c>
      <c r="O122" s="64" t="e">
        <f t="shared" si="63"/>
        <v>#DIV/0!</v>
      </c>
      <c r="P122" s="64" t="e">
        <f t="shared" si="63"/>
        <v>#DIV/0!</v>
      </c>
      <c r="Q122" s="352" t="e">
        <f t="shared" si="63"/>
        <v>#DIV/0!</v>
      </c>
      <c r="R122" s="352" t="e">
        <f t="shared" si="63"/>
        <v>#DIV/0!</v>
      </c>
      <c r="S122" s="64" t="e">
        <f t="shared" si="63"/>
        <v>#DIV/0!</v>
      </c>
      <c r="T122" s="64" t="e">
        <f t="shared" si="63"/>
        <v>#DIV/0!</v>
      </c>
      <c r="U122" s="64" t="e">
        <f t="shared" si="63"/>
        <v>#DIV/0!</v>
      </c>
      <c r="V122" s="64" t="e">
        <f t="shared" si="63"/>
        <v>#DIV/0!</v>
      </c>
      <c r="W122" s="64">
        <f t="shared" si="63"/>
        <v>0.36202735317779566</v>
      </c>
      <c r="X122" s="64" t="e">
        <f t="shared" si="63"/>
        <v>#DIV/0!</v>
      </c>
      <c r="Y122" s="64" t="e">
        <f t="shared" si="63"/>
        <v>#DIV/0!</v>
      </c>
      <c r="Z122" s="64" t="e">
        <f t="shared" si="63"/>
        <v>#DIV/0!</v>
      </c>
      <c r="AA122" s="64" t="e">
        <f t="shared" si="63"/>
        <v>#DIV/0!</v>
      </c>
      <c r="AB122" s="64" t="e">
        <f t="shared" si="63"/>
        <v>#DIV/0!</v>
      </c>
      <c r="AC122" s="64" t="e">
        <f t="shared" si="63"/>
        <v>#DIV/0!</v>
      </c>
      <c r="AD122" s="64" t="e">
        <f t="shared" si="63"/>
        <v>#DIV/0!</v>
      </c>
      <c r="AE122" s="64" t="e">
        <f t="shared" si="63"/>
        <v>#DIV/0!</v>
      </c>
      <c r="AF122" s="64" t="e">
        <f t="shared" si="63"/>
        <v>#DIV/0!</v>
      </c>
      <c r="AG122" s="64" t="e">
        <f t="shared" si="63"/>
        <v>#DIV/0!</v>
      </c>
      <c r="AH122" s="64" t="e">
        <f t="shared" si="63"/>
        <v>#DIV/0!</v>
      </c>
      <c r="AI122" s="64" t="e">
        <f t="shared" si="63"/>
        <v>#DIV/0!</v>
      </c>
      <c r="AJ122" s="97"/>
      <c r="AK122" s="99">
        <f>AK115/AK106*100</f>
        <v>0.22786829212715051</v>
      </c>
      <c r="AM122" s="98"/>
      <c r="EA122" s="203"/>
      <c r="EB122" s="203"/>
      <c r="FH122" s="203"/>
      <c r="GP122" s="7"/>
      <c r="GQ122" s="203"/>
      <c r="GR122" s="203"/>
      <c r="GS122" s="203"/>
      <c r="GT122" s="203"/>
      <c r="IW122" s="203"/>
      <c r="MR122" s="203"/>
      <c r="MS122" s="203"/>
      <c r="MT122" s="203"/>
      <c r="MU122" s="203"/>
      <c r="RY122" s="203"/>
      <c r="RZ122" s="203"/>
      <c r="SB122" s="203"/>
      <c r="SP122" s="206"/>
      <c r="ST122" s="203"/>
      <c r="UW122" s="206"/>
    </row>
    <row r="123" spans="2:569 15038:15430" s="1" customFormat="1" ht="13.8" hidden="1">
      <c r="B123" s="50"/>
      <c r="C123" s="20" t="s">
        <v>81</v>
      </c>
      <c r="D123" s="49">
        <v>0.3</v>
      </c>
      <c r="E123" s="183" t="s">
        <v>12</v>
      </c>
      <c r="F123" s="64" t="e">
        <f t="shared" si="63"/>
        <v>#DIV/0!</v>
      </c>
      <c r="G123" s="64">
        <f t="shared" si="63"/>
        <v>0</v>
      </c>
      <c r="H123" s="64">
        <f t="shared" si="63"/>
        <v>4.0899795501022497E-2</v>
      </c>
      <c r="I123" s="64" t="e">
        <f t="shared" si="63"/>
        <v>#DIV/0!</v>
      </c>
      <c r="J123" s="352" t="e">
        <f t="shared" si="63"/>
        <v>#DIV/0!</v>
      </c>
      <c r="K123" s="352" t="e">
        <f t="shared" si="63"/>
        <v>#DIV/0!</v>
      </c>
      <c r="L123" s="64" t="e">
        <f t="shared" si="63"/>
        <v>#DIV/0!</v>
      </c>
      <c r="M123" s="64" t="e">
        <f t="shared" si="63"/>
        <v>#DIV/0!</v>
      </c>
      <c r="N123" s="64" t="e">
        <f t="shared" si="63"/>
        <v>#DIV/0!</v>
      </c>
      <c r="O123" s="64" t="e">
        <f t="shared" si="63"/>
        <v>#DIV/0!</v>
      </c>
      <c r="P123" s="64" t="e">
        <f t="shared" si="63"/>
        <v>#DIV/0!</v>
      </c>
      <c r="Q123" s="352" t="e">
        <f t="shared" si="63"/>
        <v>#DIV/0!</v>
      </c>
      <c r="R123" s="352" t="e">
        <f t="shared" si="63"/>
        <v>#DIV/0!</v>
      </c>
      <c r="S123" s="64" t="e">
        <f t="shared" si="63"/>
        <v>#DIV/0!</v>
      </c>
      <c r="T123" s="64" t="e">
        <f t="shared" si="63"/>
        <v>#DIV/0!</v>
      </c>
      <c r="U123" s="64" t="e">
        <f t="shared" si="63"/>
        <v>#DIV/0!</v>
      </c>
      <c r="V123" s="64" t="e">
        <f t="shared" si="63"/>
        <v>#DIV/0!</v>
      </c>
      <c r="W123" s="64" t="e">
        <f t="shared" si="63"/>
        <v>#DIV/0!</v>
      </c>
      <c r="X123" s="64" t="e">
        <f t="shared" si="63"/>
        <v>#DIV/0!</v>
      </c>
      <c r="Y123" s="64" t="e">
        <f t="shared" si="63"/>
        <v>#DIV/0!</v>
      </c>
      <c r="Z123" s="64" t="e">
        <f t="shared" si="63"/>
        <v>#DIV/0!</v>
      </c>
      <c r="AA123" s="64" t="e">
        <f t="shared" si="63"/>
        <v>#DIV/0!</v>
      </c>
      <c r="AB123" s="64" t="e">
        <f t="shared" si="63"/>
        <v>#DIV/0!</v>
      </c>
      <c r="AC123" s="64" t="e">
        <f t="shared" si="63"/>
        <v>#DIV/0!</v>
      </c>
      <c r="AD123" s="64" t="e">
        <f t="shared" si="63"/>
        <v>#DIV/0!</v>
      </c>
      <c r="AE123" s="64" t="e">
        <f t="shared" si="63"/>
        <v>#DIV/0!</v>
      </c>
      <c r="AF123" s="64" t="e">
        <f t="shared" si="63"/>
        <v>#DIV/0!</v>
      </c>
      <c r="AG123" s="64">
        <f t="shared" si="63"/>
        <v>0</v>
      </c>
      <c r="AH123" s="64" t="e">
        <f t="shared" si="63"/>
        <v>#DIV/0!</v>
      </c>
      <c r="AI123" s="64" t="e">
        <f t="shared" si="63"/>
        <v>#DIV/0!</v>
      </c>
      <c r="AJ123" s="97"/>
      <c r="AK123" s="99">
        <f>AK116/AK107*100</f>
        <v>2.02020202020202E-2</v>
      </c>
      <c r="AM123" s="98"/>
      <c r="EA123" s="203"/>
      <c r="EB123" s="203"/>
      <c r="FH123" s="203"/>
      <c r="GP123" s="7"/>
      <c r="GQ123" s="203"/>
      <c r="GR123" s="203"/>
      <c r="GS123" s="203"/>
      <c r="GT123" s="203"/>
      <c r="IW123" s="203"/>
      <c r="MR123" s="203"/>
      <c r="MS123" s="203"/>
      <c r="MT123" s="203"/>
      <c r="MU123" s="203"/>
      <c r="RY123" s="203"/>
      <c r="RZ123" s="203"/>
      <c r="SB123" s="203"/>
      <c r="SP123" s="206"/>
      <c r="ST123" s="203"/>
      <c r="UW123" s="206"/>
    </row>
    <row r="124" spans="2:569 15038:15430" s="1" customFormat="1" hidden="1">
      <c r="B124" s="50"/>
      <c r="C124" s="194" t="s">
        <v>71</v>
      </c>
      <c r="D124" s="49"/>
      <c r="E124" s="50"/>
      <c r="F124" s="64"/>
      <c r="G124" s="64"/>
      <c r="H124" s="64"/>
      <c r="I124" s="64"/>
      <c r="J124" s="352"/>
      <c r="K124" s="352"/>
      <c r="L124" s="64"/>
      <c r="M124" s="64"/>
      <c r="N124" s="64"/>
      <c r="O124" s="64"/>
      <c r="P124" s="64"/>
      <c r="Q124" s="352"/>
      <c r="R124" s="352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97"/>
      <c r="AK124" s="102" t="s">
        <v>71</v>
      </c>
      <c r="AM124" s="98"/>
      <c r="EA124" s="203"/>
      <c r="EB124" s="203"/>
      <c r="FH124" s="203"/>
      <c r="GP124" s="7"/>
      <c r="GQ124" s="203"/>
      <c r="GR124" s="203"/>
      <c r="GS124" s="203"/>
      <c r="GT124" s="203"/>
      <c r="IW124" s="203"/>
      <c r="MR124" s="203"/>
      <c r="MS124" s="203"/>
      <c r="MT124" s="203"/>
      <c r="MU124" s="203"/>
      <c r="RY124" s="203"/>
      <c r="RZ124" s="203"/>
      <c r="SB124" s="203"/>
      <c r="SP124" s="206"/>
      <c r="ST124" s="203"/>
      <c r="UW124" s="206"/>
    </row>
    <row r="125" spans="2:569 15038:15430" s="1" customFormat="1" ht="13.8" hidden="1">
      <c r="B125" s="50"/>
      <c r="C125" s="20" t="s">
        <v>80</v>
      </c>
      <c r="D125" s="49">
        <v>0.5</v>
      </c>
      <c r="E125" s="183" t="s">
        <v>12</v>
      </c>
      <c r="F125" s="64" t="e">
        <f t="shared" ref="F125:AI126" si="64">F118/F109*100</f>
        <v>#DIV/0!</v>
      </c>
      <c r="G125" s="64">
        <f t="shared" si="64"/>
        <v>6.6032752245113579E-3</v>
      </c>
      <c r="H125" s="64">
        <f t="shared" si="64"/>
        <v>2.6413100898045432E-2</v>
      </c>
      <c r="I125" s="64">
        <f t="shared" si="64"/>
        <v>9.3858943416465543E-2</v>
      </c>
      <c r="J125" s="352" t="e">
        <f t="shared" si="64"/>
        <v>#DIV/0!</v>
      </c>
      <c r="K125" s="352" t="e">
        <f t="shared" si="64"/>
        <v>#DIV/0!</v>
      </c>
      <c r="L125" s="64" t="e">
        <f t="shared" si="64"/>
        <v>#DIV/0!</v>
      </c>
      <c r="M125" s="64" t="e">
        <f t="shared" si="64"/>
        <v>#DIV/0!</v>
      </c>
      <c r="N125" s="64">
        <f t="shared" si="64"/>
        <v>8.5842577918647647E-2</v>
      </c>
      <c r="O125" s="64" t="e">
        <f t="shared" si="64"/>
        <v>#DIV/0!</v>
      </c>
      <c r="P125" s="64" t="e">
        <f t="shared" si="64"/>
        <v>#DIV/0!</v>
      </c>
      <c r="Q125" s="352" t="e">
        <f t="shared" si="64"/>
        <v>#DIV/0!</v>
      </c>
      <c r="R125" s="352" t="e">
        <f t="shared" si="64"/>
        <v>#DIV/0!</v>
      </c>
      <c r="S125" s="64" t="e">
        <f t="shared" si="64"/>
        <v>#DIV/0!</v>
      </c>
      <c r="T125" s="64" t="e">
        <f t="shared" si="64"/>
        <v>#DIV/0!</v>
      </c>
      <c r="U125" s="64" t="e">
        <f t="shared" si="64"/>
        <v>#DIV/0!</v>
      </c>
      <c r="V125" s="64" t="e">
        <f t="shared" si="64"/>
        <v>#DIV/0!</v>
      </c>
      <c r="W125" s="64">
        <f t="shared" si="64"/>
        <v>6.7042102440332527E-2</v>
      </c>
      <c r="X125" s="64" t="e">
        <f t="shared" si="64"/>
        <v>#DIV/0!</v>
      </c>
      <c r="Y125" s="64" t="e">
        <f t="shared" si="64"/>
        <v>#DIV/0!</v>
      </c>
      <c r="Z125" s="64" t="e">
        <f t="shared" si="64"/>
        <v>#DIV/0!</v>
      </c>
      <c r="AA125" s="64" t="e">
        <f t="shared" si="64"/>
        <v>#DIV/0!</v>
      </c>
      <c r="AB125" s="64" t="e">
        <f t="shared" si="64"/>
        <v>#DIV/0!</v>
      </c>
      <c r="AC125" s="64" t="e">
        <f t="shared" si="64"/>
        <v>#DIV/0!</v>
      </c>
      <c r="AD125" s="64" t="e">
        <f t="shared" si="64"/>
        <v>#DIV/0!</v>
      </c>
      <c r="AE125" s="64" t="e">
        <f t="shared" si="64"/>
        <v>#DIV/0!</v>
      </c>
      <c r="AF125" s="64" t="e">
        <f t="shared" si="64"/>
        <v>#DIV/0!</v>
      </c>
      <c r="AG125" s="64" t="e">
        <f t="shared" si="64"/>
        <v>#DIV/0!</v>
      </c>
      <c r="AH125" s="64" t="e">
        <f t="shared" si="64"/>
        <v>#DIV/0!</v>
      </c>
      <c r="AI125" s="64" t="e">
        <f t="shared" si="64"/>
        <v>#DIV/0!</v>
      </c>
      <c r="AJ125" s="97"/>
      <c r="AK125" s="99">
        <f>AK118/AK109*100</f>
        <v>6.1714329117769924E-2</v>
      </c>
      <c r="AM125" s="98"/>
      <c r="EA125" s="203"/>
      <c r="EB125" s="203"/>
      <c r="FH125" s="203"/>
      <c r="GP125" s="7"/>
      <c r="GQ125" s="203"/>
      <c r="GR125" s="203"/>
      <c r="GS125" s="203"/>
      <c r="GT125" s="203"/>
      <c r="IW125" s="203"/>
      <c r="MR125" s="203"/>
      <c r="MS125" s="203"/>
      <c r="MT125" s="203"/>
      <c r="MU125" s="203"/>
      <c r="RY125" s="203"/>
      <c r="RZ125" s="203"/>
      <c r="SB125" s="203"/>
      <c r="SP125" s="206"/>
      <c r="ST125" s="203"/>
      <c r="UW125" s="206"/>
    </row>
    <row r="126" spans="2:569 15038:15430" s="1" customFormat="1" ht="13.8" hidden="1">
      <c r="B126" s="50"/>
      <c r="C126" s="20" t="s">
        <v>81</v>
      </c>
      <c r="D126" s="49">
        <v>0.5</v>
      </c>
      <c r="E126" s="183" t="s">
        <v>12</v>
      </c>
      <c r="F126" s="64" t="e">
        <f t="shared" si="64"/>
        <v>#DIV/0!</v>
      </c>
      <c r="G126" s="64">
        <f t="shared" si="64"/>
        <v>0</v>
      </c>
      <c r="H126" s="64">
        <f t="shared" si="64"/>
        <v>6.8166325835037501E-3</v>
      </c>
      <c r="I126" s="64" t="e">
        <f t="shared" si="64"/>
        <v>#DIV/0!</v>
      </c>
      <c r="J126" s="352" t="e">
        <f t="shared" si="64"/>
        <v>#DIV/0!</v>
      </c>
      <c r="K126" s="352" t="e">
        <f t="shared" si="64"/>
        <v>#DIV/0!</v>
      </c>
      <c r="L126" s="64" t="e">
        <f t="shared" si="64"/>
        <v>#DIV/0!</v>
      </c>
      <c r="M126" s="64" t="e">
        <f t="shared" si="64"/>
        <v>#DIV/0!</v>
      </c>
      <c r="N126" s="64" t="e">
        <f t="shared" si="64"/>
        <v>#DIV/0!</v>
      </c>
      <c r="O126" s="64" t="e">
        <f t="shared" si="64"/>
        <v>#DIV/0!</v>
      </c>
      <c r="P126" s="64" t="e">
        <f t="shared" si="64"/>
        <v>#DIV/0!</v>
      </c>
      <c r="Q126" s="352" t="e">
        <f t="shared" si="64"/>
        <v>#DIV/0!</v>
      </c>
      <c r="R126" s="352" t="e">
        <f t="shared" si="64"/>
        <v>#DIV/0!</v>
      </c>
      <c r="S126" s="64" t="e">
        <f t="shared" si="64"/>
        <v>#DIV/0!</v>
      </c>
      <c r="T126" s="64" t="e">
        <f t="shared" si="64"/>
        <v>#DIV/0!</v>
      </c>
      <c r="U126" s="64" t="e">
        <f t="shared" si="64"/>
        <v>#DIV/0!</v>
      </c>
      <c r="V126" s="64" t="e">
        <f t="shared" si="64"/>
        <v>#DIV/0!</v>
      </c>
      <c r="W126" s="64" t="e">
        <f t="shared" si="64"/>
        <v>#DIV/0!</v>
      </c>
      <c r="X126" s="64" t="e">
        <f t="shared" si="64"/>
        <v>#DIV/0!</v>
      </c>
      <c r="Y126" s="64" t="e">
        <f t="shared" si="64"/>
        <v>#DIV/0!</v>
      </c>
      <c r="Z126" s="64" t="e">
        <f t="shared" si="64"/>
        <v>#DIV/0!</v>
      </c>
      <c r="AA126" s="64" t="e">
        <f t="shared" si="64"/>
        <v>#DIV/0!</v>
      </c>
      <c r="AB126" s="64" t="e">
        <f t="shared" si="64"/>
        <v>#DIV/0!</v>
      </c>
      <c r="AC126" s="64" t="e">
        <f t="shared" si="64"/>
        <v>#DIV/0!</v>
      </c>
      <c r="AD126" s="64" t="e">
        <f t="shared" si="64"/>
        <v>#DIV/0!</v>
      </c>
      <c r="AE126" s="64" t="e">
        <f t="shared" si="64"/>
        <v>#DIV/0!</v>
      </c>
      <c r="AF126" s="64" t="e">
        <f t="shared" si="64"/>
        <v>#DIV/0!</v>
      </c>
      <c r="AG126" s="64">
        <f t="shared" si="64"/>
        <v>0</v>
      </c>
      <c r="AH126" s="64" t="e">
        <f t="shared" si="64"/>
        <v>#DIV/0!</v>
      </c>
      <c r="AI126" s="64" t="e">
        <f t="shared" si="64"/>
        <v>#DIV/0!</v>
      </c>
      <c r="AJ126" s="97"/>
      <c r="AK126" s="99">
        <f>AK119/AK110*100</f>
        <v>3.3670033670033669E-3</v>
      </c>
      <c r="AM126" s="98"/>
      <c r="EA126" s="203"/>
      <c r="EB126" s="203"/>
      <c r="FH126" s="203"/>
      <c r="GP126" s="7"/>
      <c r="GQ126" s="203"/>
      <c r="GR126" s="203"/>
      <c r="GS126" s="203"/>
      <c r="GT126" s="203"/>
      <c r="IW126" s="203"/>
      <c r="MR126" s="203"/>
      <c r="MS126" s="203"/>
      <c r="MT126" s="203"/>
      <c r="MU126" s="203"/>
      <c r="RY126" s="203"/>
      <c r="RZ126" s="203"/>
      <c r="SB126" s="203"/>
      <c r="SP126" s="206"/>
      <c r="ST126" s="203"/>
      <c r="UW126" s="206"/>
    </row>
    <row r="127" spans="2:569 15038:15430" s="1" customFormat="1" hidden="1">
      <c r="B127" s="34">
        <v>7</v>
      </c>
      <c r="C127" s="16" t="s">
        <v>164</v>
      </c>
      <c r="D127" s="35"/>
      <c r="E127" s="35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83"/>
      <c r="AD127" s="36"/>
      <c r="AE127" s="36"/>
      <c r="AF127" s="36"/>
      <c r="AG127" s="36"/>
      <c r="AH127" s="36"/>
      <c r="AI127" s="36"/>
      <c r="AJ127" s="87"/>
      <c r="AK127" s="180" t="s">
        <v>62</v>
      </c>
      <c r="AM127" s="10"/>
      <c r="DD127" s="219"/>
      <c r="DE127" s="219"/>
      <c r="DF127" s="203"/>
      <c r="DG127" s="203"/>
      <c r="DH127" s="219"/>
      <c r="DI127" s="203"/>
      <c r="DJ127" s="219"/>
      <c r="DK127" s="219"/>
      <c r="DL127" s="219"/>
      <c r="DM127" s="219"/>
      <c r="EA127" s="219"/>
      <c r="EB127" s="219"/>
      <c r="FH127" s="219"/>
      <c r="GP127" s="7"/>
      <c r="GQ127" s="219"/>
      <c r="GR127" s="219"/>
      <c r="GS127" s="219"/>
      <c r="GT127" s="219"/>
      <c r="IW127" s="219"/>
      <c r="MR127" s="219"/>
      <c r="MS127" s="219"/>
      <c r="MT127" s="219"/>
      <c r="MU127" s="219"/>
      <c r="RY127" s="219"/>
      <c r="RZ127" s="219"/>
      <c r="SB127" s="219"/>
      <c r="SP127" s="240"/>
      <c r="ST127" s="219"/>
      <c r="UW127" s="240"/>
      <c r="VFJ127"/>
      <c r="VFK127"/>
      <c r="VFL127"/>
      <c r="VFM127"/>
      <c r="VFN127"/>
      <c r="VFO127"/>
      <c r="VFP127"/>
      <c r="VFQ127"/>
      <c r="VFR127"/>
      <c r="VFS127"/>
      <c r="VFT127"/>
      <c r="VFU127"/>
      <c r="VFV127"/>
      <c r="VFW127"/>
      <c r="VFX127"/>
      <c r="VFY127"/>
      <c r="VFZ127"/>
      <c r="VGA127"/>
      <c r="VGB127"/>
      <c r="VGC127"/>
      <c r="VGD127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</row>
    <row r="128" spans="2:569 15038:15430" s="5" customFormat="1" ht="13.8" hidden="1">
      <c r="B128" s="37"/>
      <c r="C128" s="192" t="s">
        <v>115</v>
      </c>
      <c r="D128" s="123"/>
      <c r="E128" s="193" t="s">
        <v>9</v>
      </c>
      <c r="F128" s="282">
        <v>0</v>
      </c>
      <c r="G128" s="282">
        <v>0</v>
      </c>
      <c r="H128" s="282">
        <v>0</v>
      </c>
      <c r="I128" s="282">
        <v>0</v>
      </c>
      <c r="J128" s="361">
        <v>0</v>
      </c>
      <c r="K128" s="361">
        <v>0</v>
      </c>
      <c r="L128" s="282">
        <v>0</v>
      </c>
      <c r="M128" s="282">
        <v>0</v>
      </c>
      <c r="N128" s="282">
        <v>0</v>
      </c>
      <c r="O128" s="282">
        <v>0</v>
      </c>
      <c r="P128" s="282">
        <v>0</v>
      </c>
      <c r="Q128" s="361">
        <v>0</v>
      </c>
      <c r="R128" s="361">
        <v>0</v>
      </c>
      <c r="S128" s="282">
        <v>0</v>
      </c>
      <c r="T128" s="282">
        <v>0</v>
      </c>
      <c r="U128" s="282">
        <v>24560.978739999999</v>
      </c>
      <c r="V128" s="282">
        <v>27897.571799999998</v>
      </c>
      <c r="W128" s="282">
        <v>0</v>
      </c>
      <c r="X128" s="282">
        <v>0</v>
      </c>
      <c r="Y128" s="282">
        <v>0</v>
      </c>
      <c r="Z128" s="282">
        <v>0</v>
      </c>
      <c r="AA128" s="282">
        <v>0</v>
      </c>
      <c r="AB128" s="282">
        <v>0</v>
      </c>
      <c r="AC128" s="282">
        <v>0</v>
      </c>
      <c r="AD128" s="282">
        <v>0</v>
      </c>
      <c r="AE128" s="282">
        <v>0</v>
      </c>
      <c r="AF128" s="282">
        <v>0</v>
      </c>
      <c r="AG128" s="282">
        <v>0</v>
      </c>
      <c r="AH128" s="282">
        <v>0</v>
      </c>
      <c r="AI128" s="282">
        <v>0</v>
      </c>
      <c r="AJ128" s="137"/>
      <c r="AK128" s="135">
        <f>SUM(AK129:AK130)</f>
        <v>52458.550539999997</v>
      </c>
      <c r="AM128" s="136"/>
      <c r="DD128" s="238"/>
      <c r="DE128" s="213"/>
      <c r="DF128" s="213"/>
      <c r="DG128" s="213"/>
      <c r="DH128" s="238"/>
      <c r="DI128" s="213"/>
      <c r="DJ128" s="213"/>
      <c r="DK128" s="213"/>
      <c r="DL128" s="213"/>
      <c r="DM128" s="213"/>
      <c r="EA128" s="213"/>
      <c r="EB128" s="213"/>
      <c r="FH128" s="213"/>
      <c r="GP128" s="247"/>
      <c r="GQ128" s="213"/>
      <c r="GR128" s="213"/>
      <c r="GS128" s="213"/>
      <c r="GT128" s="213"/>
      <c r="IW128" s="213"/>
      <c r="MR128" s="213"/>
      <c r="MS128" s="213"/>
      <c r="MT128" s="213"/>
      <c r="MU128" s="213"/>
      <c r="RY128" s="213"/>
      <c r="RZ128" s="213"/>
      <c r="SB128" s="213"/>
      <c r="SP128" s="296"/>
      <c r="ST128" s="213"/>
      <c r="UW128" s="296"/>
    </row>
    <row r="129" spans="2:569 15038:15430" s="1" customFormat="1" hidden="1">
      <c r="B129" s="50"/>
      <c r="C129" s="194" t="s">
        <v>65</v>
      </c>
      <c r="D129" s="54"/>
      <c r="E129" s="183" t="s">
        <v>9</v>
      </c>
      <c r="F129" s="64">
        <f t="shared" ref="F129:T129" si="65">SUM(F132:F133)*9.75348</f>
        <v>0</v>
      </c>
      <c r="G129" s="64">
        <f t="shared" si="65"/>
        <v>0</v>
      </c>
      <c r="H129" s="64">
        <f t="shared" si="65"/>
        <v>0</v>
      </c>
      <c r="I129" s="64">
        <f t="shared" si="65"/>
        <v>0</v>
      </c>
      <c r="J129" s="352">
        <f t="shared" si="65"/>
        <v>0</v>
      </c>
      <c r="K129" s="352">
        <f t="shared" si="65"/>
        <v>0</v>
      </c>
      <c r="L129" s="64">
        <f t="shared" si="65"/>
        <v>0</v>
      </c>
      <c r="M129" s="64">
        <f t="shared" si="65"/>
        <v>0</v>
      </c>
      <c r="N129" s="64">
        <f t="shared" si="65"/>
        <v>0</v>
      </c>
      <c r="O129" s="64">
        <f t="shared" si="65"/>
        <v>0</v>
      </c>
      <c r="P129" s="64">
        <f t="shared" si="65"/>
        <v>0</v>
      </c>
      <c r="Q129" s="352">
        <f t="shared" si="65"/>
        <v>0</v>
      </c>
      <c r="R129" s="352">
        <f t="shared" si="65"/>
        <v>0</v>
      </c>
      <c r="S129" s="64">
        <f t="shared" si="65"/>
        <v>0</v>
      </c>
      <c r="T129" s="64">
        <f t="shared" si="65"/>
        <v>0</v>
      </c>
      <c r="U129" s="64">
        <f>SUM(U132:U133)*9.75348</f>
        <v>24559.262640000001</v>
      </c>
      <c r="V129" s="64">
        <f t="shared" ref="V129:AI129" si="66">SUM(V132:V133)*9.75348</f>
        <v>27894.952799999999</v>
      </c>
      <c r="W129" s="64">
        <f t="shared" si="66"/>
        <v>0</v>
      </c>
      <c r="X129" s="64">
        <f t="shared" si="66"/>
        <v>0</v>
      </c>
      <c r="Y129" s="64">
        <f t="shared" si="66"/>
        <v>0</v>
      </c>
      <c r="Z129" s="64">
        <f t="shared" si="66"/>
        <v>0</v>
      </c>
      <c r="AA129" s="64">
        <f t="shared" si="66"/>
        <v>0</v>
      </c>
      <c r="AB129" s="64">
        <f t="shared" si="66"/>
        <v>0</v>
      </c>
      <c r="AC129" s="64">
        <f t="shared" si="66"/>
        <v>0</v>
      </c>
      <c r="AD129" s="64">
        <f t="shared" si="66"/>
        <v>0</v>
      </c>
      <c r="AE129" s="64">
        <f t="shared" si="66"/>
        <v>0</v>
      </c>
      <c r="AF129" s="64">
        <f t="shared" si="66"/>
        <v>0</v>
      </c>
      <c r="AG129" s="64">
        <f t="shared" si="66"/>
        <v>0</v>
      </c>
      <c r="AH129" s="64">
        <f t="shared" si="66"/>
        <v>0</v>
      </c>
      <c r="AI129" s="64">
        <f t="shared" si="66"/>
        <v>0</v>
      </c>
      <c r="AJ129" s="97"/>
      <c r="AK129" s="99">
        <f>SUM(F129:AI129)</f>
        <v>52454.21544</v>
      </c>
      <c r="AM129" s="98"/>
      <c r="AN129" s="291">
        <f>Q129/1000</f>
        <v>0</v>
      </c>
      <c r="DD129" s="234"/>
      <c r="DE129" s="213"/>
      <c r="DF129" s="213"/>
      <c r="DG129" s="213"/>
      <c r="DH129" s="213"/>
      <c r="DI129" s="213"/>
      <c r="DJ129" s="203"/>
      <c r="DK129" s="203"/>
      <c r="DL129" s="203"/>
      <c r="DM129" s="203"/>
      <c r="EA129" s="203"/>
      <c r="EB129" s="203"/>
      <c r="FH129" s="203"/>
      <c r="GP129" s="7"/>
      <c r="GQ129" s="203"/>
      <c r="GR129" s="203"/>
      <c r="GS129" s="203"/>
      <c r="GT129" s="203"/>
      <c r="IW129" s="203"/>
      <c r="MR129" s="203"/>
      <c r="MS129" s="203"/>
      <c r="MT129" s="203"/>
      <c r="MU129" s="203"/>
      <c r="RY129" s="203"/>
      <c r="RZ129" s="203"/>
      <c r="SB129" s="203"/>
      <c r="SP129" s="206"/>
      <c r="ST129" s="203"/>
      <c r="UW129" s="206"/>
    </row>
    <row r="130" spans="2:569 15038:15430" s="1" customFormat="1" hidden="1">
      <c r="B130" s="50"/>
      <c r="C130" s="194" t="s">
        <v>66</v>
      </c>
      <c r="D130" s="54"/>
      <c r="E130" s="183" t="s">
        <v>9</v>
      </c>
      <c r="F130" s="64">
        <f t="shared" ref="F130:AI130" si="67">F128-F129</f>
        <v>0</v>
      </c>
      <c r="G130" s="64">
        <f t="shared" si="67"/>
        <v>0</v>
      </c>
      <c r="H130" s="64">
        <f t="shared" si="67"/>
        <v>0</v>
      </c>
      <c r="I130" s="64">
        <f t="shared" si="67"/>
        <v>0</v>
      </c>
      <c r="J130" s="352">
        <f t="shared" si="67"/>
        <v>0</v>
      </c>
      <c r="K130" s="352">
        <f t="shared" si="67"/>
        <v>0</v>
      </c>
      <c r="L130" s="64">
        <f t="shared" si="67"/>
        <v>0</v>
      </c>
      <c r="M130" s="64">
        <f t="shared" si="67"/>
        <v>0</v>
      </c>
      <c r="N130" s="64">
        <f t="shared" si="67"/>
        <v>0</v>
      </c>
      <c r="O130" s="64">
        <f t="shared" si="67"/>
        <v>0</v>
      </c>
      <c r="P130" s="64">
        <f t="shared" si="67"/>
        <v>0</v>
      </c>
      <c r="Q130" s="352">
        <f t="shared" si="67"/>
        <v>0</v>
      </c>
      <c r="R130" s="352">
        <f t="shared" si="67"/>
        <v>0</v>
      </c>
      <c r="S130" s="64">
        <f t="shared" si="67"/>
        <v>0</v>
      </c>
      <c r="T130" s="64">
        <f t="shared" si="67"/>
        <v>0</v>
      </c>
      <c r="U130" s="64">
        <f t="shared" si="67"/>
        <v>1.716099999997823</v>
      </c>
      <c r="V130" s="64">
        <f t="shared" si="67"/>
        <v>2.6189999999987776</v>
      </c>
      <c r="W130" s="64">
        <f t="shared" si="67"/>
        <v>0</v>
      </c>
      <c r="X130" s="64">
        <f t="shared" si="67"/>
        <v>0</v>
      </c>
      <c r="Y130" s="64">
        <f t="shared" si="67"/>
        <v>0</v>
      </c>
      <c r="Z130" s="64">
        <f t="shared" si="67"/>
        <v>0</v>
      </c>
      <c r="AA130" s="64">
        <f t="shared" si="67"/>
        <v>0</v>
      </c>
      <c r="AB130" s="64">
        <f t="shared" si="67"/>
        <v>0</v>
      </c>
      <c r="AC130" s="64">
        <f t="shared" si="67"/>
        <v>0</v>
      </c>
      <c r="AD130" s="64">
        <f t="shared" si="67"/>
        <v>0</v>
      </c>
      <c r="AE130" s="64">
        <f t="shared" si="67"/>
        <v>0</v>
      </c>
      <c r="AF130" s="64">
        <f t="shared" si="67"/>
        <v>0</v>
      </c>
      <c r="AG130" s="64">
        <f t="shared" si="67"/>
        <v>0</v>
      </c>
      <c r="AH130" s="64">
        <f t="shared" si="67"/>
        <v>0</v>
      </c>
      <c r="AI130" s="64">
        <f t="shared" si="67"/>
        <v>0</v>
      </c>
      <c r="AJ130" s="97"/>
      <c r="AK130" s="99">
        <f>SUM(F130:AI130)</f>
        <v>4.3350999999966007</v>
      </c>
      <c r="AM130" s="98"/>
      <c r="DD130" s="203"/>
      <c r="DE130" s="203"/>
      <c r="DF130" s="203"/>
      <c r="DG130" s="203"/>
      <c r="DH130" s="203"/>
      <c r="DI130" s="203"/>
      <c r="DJ130" s="203"/>
      <c r="DK130" s="203"/>
      <c r="DL130" s="203"/>
      <c r="DM130" s="203"/>
      <c r="EA130" s="203"/>
      <c r="EB130" s="203"/>
      <c r="FH130" s="203"/>
      <c r="GP130" s="7"/>
      <c r="GQ130" s="203"/>
      <c r="GR130" s="203"/>
      <c r="GS130" s="203"/>
      <c r="GT130" s="203"/>
      <c r="IW130" s="203"/>
      <c r="IX130" s="1">
        <f>0.9*12</f>
        <v>10.8</v>
      </c>
      <c r="MR130" s="203"/>
      <c r="MS130" s="203"/>
      <c r="MT130" s="203"/>
      <c r="MU130" s="203"/>
      <c r="RY130" s="203"/>
      <c r="RZ130" s="203"/>
      <c r="SB130" s="203"/>
      <c r="SP130" s="206"/>
      <c r="ST130" s="203"/>
      <c r="UW130" s="206"/>
    </row>
    <row r="131" spans="2:569 15038:15430" s="1" customFormat="1" hidden="1">
      <c r="B131" s="50"/>
      <c r="C131" s="194" t="s">
        <v>67</v>
      </c>
      <c r="D131" s="54"/>
      <c r="E131" s="50"/>
      <c r="F131" s="40"/>
      <c r="G131" s="40"/>
      <c r="H131" s="40"/>
      <c r="I131" s="40"/>
      <c r="J131" s="349"/>
      <c r="K131" s="349"/>
      <c r="L131" s="40"/>
      <c r="M131" s="40"/>
      <c r="N131" s="40"/>
      <c r="O131" s="40"/>
      <c r="P131" s="40"/>
      <c r="Q131" s="349"/>
      <c r="R131" s="349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97"/>
      <c r="AK131" s="102" t="s">
        <v>67</v>
      </c>
      <c r="AM131" s="98"/>
      <c r="DD131" s="203"/>
      <c r="DE131" s="203"/>
      <c r="DF131" s="203"/>
      <c r="DG131" s="203"/>
      <c r="DH131" s="203"/>
      <c r="DI131" s="203"/>
      <c r="DJ131" s="203"/>
      <c r="DK131" s="203"/>
      <c r="DL131" s="203"/>
      <c r="DM131" s="203"/>
      <c r="EA131" s="203"/>
      <c r="EB131" s="203"/>
      <c r="FH131" s="203"/>
      <c r="GP131" s="7"/>
      <c r="GQ131" s="203"/>
      <c r="GR131" s="203"/>
      <c r="GS131" s="203"/>
      <c r="GT131" s="203"/>
      <c r="IW131" s="203"/>
      <c r="MR131" s="203"/>
      <c r="MS131" s="203"/>
      <c r="MT131" s="203"/>
      <c r="MU131" s="203"/>
      <c r="RY131" s="203"/>
      <c r="RZ131" s="203"/>
      <c r="SB131" s="203"/>
      <c r="SP131" s="206"/>
      <c r="ST131" s="203"/>
      <c r="UW131" s="206"/>
    </row>
    <row r="132" spans="2:569 15038:15430" s="6" customFormat="1" ht="13.8" hidden="1">
      <c r="B132" s="22"/>
      <c r="C132" s="20" t="s">
        <v>166</v>
      </c>
      <c r="D132" s="21"/>
      <c r="E132" s="196" t="s">
        <v>69</v>
      </c>
      <c r="F132" s="125">
        <v>0</v>
      </c>
      <c r="G132" s="125">
        <v>0</v>
      </c>
      <c r="H132" s="125">
        <v>0</v>
      </c>
      <c r="I132" s="125">
        <v>0</v>
      </c>
      <c r="J132" s="359">
        <v>0</v>
      </c>
      <c r="K132" s="359">
        <v>0</v>
      </c>
      <c r="L132" s="125">
        <v>0</v>
      </c>
      <c r="M132" s="125">
        <v>0</v>
      </c>
      <c r="N132" s="125">
        <v>0</v>
      </c>
      <c r="O132" s="125">
        <v>0</v>
      </c>
      <c r="P132" s="125">
        <v>0</v>
      </c>
      <c r="Q132" s="359">
        <v>0</v>
      </c>
      <c r="R132" s="359">
        <v>0</v>
      </c>
      <c r="S132" s="125">
        <v>0</v>
      </c>
      <c r="T132" s="125">
        <v>0</v>
      </c>
      <c r="U132" s="125">
        <v>2518</v>
      </c>
      <c r="V132" s="125">
        <v>2860</v>
      </c>
      <c r="W132" s="125">
        <v>0</v>
      </c>
      <c r="X132" s="125">
        <v>0</v>
      </c>
      <c r="Y132" s="125">
        <v>0</v>
      </c>
      <c r="Z132" s="125">
        <v>0</v>
      </c>
      <c r="AA132" s="125">
        <v>0</v>
      </c>
      <c r="AB132" s="125">
        <v>0</v>
      </c>
      <c r="AC132" s="125">
        <v>0</v>
      </c>
      <c r="AD132" s="125">
        <v>0</v>
      </c>
      <c r="AE132" s="125">
        <v>0</v>
      </c>
      <c r="AF132" s="125">
        <v>0</v>
      </c>
      <c r="AG132" s="125">
        <v>0</v>
      </c>
      <c r="AH132" s="125">
        <v>0</v>
      </c>
      <c r="AI132" s="125">
        <v>0</v>
      </c>
      <c r="AJ132" s="104"/>
      <c r="AK132" s="105">
        <f>SUM(F132:AI132)</f>
        <v>5378</v>
      </c>
      <c r="AM132" s="138"/>
      <c r="AN132" s="205">
        <f>Q132*10.86</f>
        <v>0</v>
      </c>
      <c r="AO132" s="205">
        <f>AN132/1000</f>
        <v>0</v>
      </c>
      <c r="DD132" s="233"/>
      <c r="DE132" s="233"/>
      <c r="DF132" s="233"/>
      <c r="DG132" s="233"/>
      <c r="DH132" s="233"/>
      <c r="DI132" s="233"/>
      <c r="DJ132" s="233"/>
      <c r="DK132" s="233"/>
      <c r="DL132" s="233"/>
      <c r="DM132" s="233"/>
      <c r="EA132" s="233"/>
      <c r="EB132" s="233"/>
      <c r="FH132" s="233"/>
      <c r="GP132" s="245"/>
      <c r="GQ132" s="233"/>
      <c r="GR132" s="233"/>
      <c r="GS132" s="233"/>
      <c r="GT132" s="233"/>
      <c r="IW132" s="233"/>
      <c r="MR132" s="233"/>
      <c r="MS132" s="233"/>
      <c r="MT132" s="233"/>
      <c r="MU132" s="233"/>
      <c r="RY132" s="233"/>
      <c r="RZ132" s="233"/>
      <c r="SB132" s="233"/>
      <c r="SP132" s="297"/>
      <c r="ST132" s="233"/>
      <c r="UW132" s="297"/>
    </row>
    <row r="133" spans="2:569 15038:15430" s="6" customFormat="1" ht="13.8" hidden="1">
      <c r="B133" s="22"/>
      <c r="C133" s="20" t="s">
        <v>165</v>
      </c>
      <c r="D133" s="21"/>
      <c r="E133" s="196" t="s">
        <v>69</v>
      </c>
      <c r="F133" s="125">
        <v>0</v>
      </c>
      <c r="G133" s="125">
        <v>0</v>
      </c>
      <c r="H133" s="125">
        <v>0</v>
      </c>
      <c r="I133" s="125">
        <v>0</v>
      </c>
      <c r="J133" s="359">
        <v>0</v>
      </c>
      <c r="K133" s="359">
        <v>0</v>
      </c>
      <c r="L133" s="125">
        <v>0</v>
      </c>
      <c r="M133" s="125">
        <v>0</v>
      </c>
      <c r="N133" s="125">
        <v>0</v>
      </c>
      <c r="O133" s="125">
        <v>0</v>
      </c>
      <c r="P133" s="125">
        <v>0</v>
      </c>
      <c r="Q133" s="361">
        <v>0</v>
      </c>
      <c r="R133" s="361">
        <v>0</v>
      </c>
      <c r="S133" s="282">
        <v>0</v>
      </c>
      <c r="T133" s="282">
        <v>0</v>
      </c>
      <c r="U133" s="282">
        <v>0</v>
      </c>
      <c r="V133" s="282">
        <v>0</v>
      </c>
      <c r="W133" s="282">
        <v>0</v>
      </c>
      <c r="X133" s="282">
        <v>0</v>
      </c>
      <c r="Y133" s="282">
        <v>0</v>
      </c>
      <c r="Z133" s="282">
        <v>0</v>
      </c>
      <c r="AA133" s="282">
        <v>0</v>
      </c>
      <c r="AB133" s="282">
        <v>0</v>
      </c>
      <c r="AC133" s="282">
        <v>0</v>
      </c>
      <c r="AD133" s="282">
        <v>0</v>
      </c>
      <c r="AE133" s="282">
        <v>0</v>
      </c>
      <c r="AF133" s="282">
        <v>0</v>
      </c>
      <c r="AG133" s="282">
        <v>0</v>
      </c>
      <c r="AH133" s="282">
        <v>0</v>
      </c>
      <c r="AI133" s="282">
        <v>0</v>
      </c>
      <c r="AJ133" s="104"/>
      <c r="AK133" s="105">
        <f>SUM(F133:AI133)</f>
        <v>0</v>
      </c>
      <c r="AM133" s="138"/>
      <c r="AN133" s="205">
        <f>Q133*10.86</f>
        <v>0</v>
      </c>
      <c r="AO133" s="205">
        <f>AN133/1000</f>
        <v>0</v>
      </c>
      <c r="DD133" s="233"/>
      <c r="DE133" s="233"/>
      <c r="DF133" s="233"/>
      <c r="DG133" s="233"/>
      <c r="DH133" s="233"/>
      <c r="DI133" s="233"/>
      <c r="DJ133" s="233"/>
      <c r="DK133" s="233"/>
      <c r="DL133" s="233"/>
      <c r="DM133" s="233"/>
      <c r="EA133" s="233"/>
      <c r="EB133" s="233"/>
      <c r="FH133" s="233"/>
      <c r="GP133" s="245"/>
      <c r="GQ133" s="233"/>
      <c r="GR133" s="233"/>
      <c r="GS133" s="233"/>
      <c r="GT133" s="233"/>
      <c r="IW133" s="233"/>
      <c r="MR133" s="233"/>
      <c r="MS133" s="233"/>
      <c r="MT133" s="233"/>
      <c r="MU133" s="233"/>
      <c r="RY133" s="233"/>
      <c r="RZ133" s="233"/>
      <c r="SB133" s="233"/>
      <c r="SP133" s="297"/>
      <c r="ST133" s="233"/>
      <c r="UW133" s="297"/>
    </row>
    <row r="134" spans="2:569 15038:15430" s="1" customFormat="1" hidden="1">
      <c r="B134" s="50"/>
      <c r="C134" s="194" t="s">
        <v>71</v>
      </c>
      <c r="D134" s="54"/>
      <c r="E134" s="50"/>
      <c r="F134" s="40"/>
      <c r="G134" s="40"/>
      <c r="H134" s="40"/>
      <c r="I134" s="40"/>
      <c r="J134" s="349"/>
      <c r="K134" s="349"/>
      <c r="L134" s="40"/>
      <c r="M134" s="40"/>
      <c r="N134" s="40"/>
      <c r="O134" s="40"/>
      <c r="P134" s="40"/>
      <c r="Q134" s="349"/>
      <c r="R134" s="349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97"/>
      <c r="AK134" s="102" t="s">
        <v>71</v>
      </c>
      <c r="AM134" s="98"/>
      <c r="DD134" s="203"/>
      <c r="DE134" s="203"/>
      <c r="DF134" s="203"/>
      <c r="DG134" s="203"/>
      <c r="DH134" s="203"/>
      <c r="DI134" s="203"/>
      <c r="DJ134" s="203"/>
      <c r="DK134" s="203"/>
      <c r="DL134" s="203"/>
      <c r="DM134" s="203"/>
      <c r="EA134" s="203"/>
      <c r="EB134" s="203"/>
      <c r="FH134" s="203"/>
      <c r="GP134" s="7"/>
      <c r="GQ134" s="203"/>
      <c r="GR134" s="203"/>
      <c r="GS134" s="203"/>
      <c r="GT134" s="203"/>
      <c r="IW134" s="203"/>
      <c r="MR134" s="203"/>
      <c r="MS134" s="203"/>
      <c r="MT134" s="203"/>
      <c r="MU134" s="203"/>
      <c r="RY134" s="203"/>
      <c r="RZ134" s="203"/>
      <c r="SB134" s="203"/>
      <c r="SP134" s="206"/>
      <c r="ST134" s="203"/>
      <c r="UW134" s="206"/>
    </row>
    <row r="135" spans="2:569 15038:15430" s="1" customFormat="1" ht="13.8" hidden="1">
      <c r="B135" s="50"/>
      <c r="C135" s="20" t="s">
        <v>166</v>
      </c>
      <c r="D135" s="54"/>
      <c r="E135" s="183" t="s">
        <v>71</v>
      </c>
      <c r="F135" s="40">
        <f t="shared" ref="F135:AI135" si="68">F132*12</f>
        <v>0</v>
      </c>
      <c r="G135" s="40">
        <f t="shared" si="68"/>
        <v>0</v>
      </c>
      <c r="H135" s="40">
        <f t="shared" si="68"/>
        <v>0</v>
      </c>
      <c r="I135" s="40">
        <f t="shared" si="68"/>
        <v>0</v>
      </c>
      <c r="J135" s="349">
        <f t="shared" si="68"/>
        <v>0</v>
      </c>
      <c r="K135" s="349">
        <f t="shared" si="68"/>
        <v>0</v>
      </c>
      <c r="L135" s="40">
        <f t="shared" si="68"/>
        <v>0</v>
      </c>
      <c r="M135" s="40">
        <f t="shared" si="68"/>
        <v>0</v>
      </c>
      <c r="N135" s="40">
        <f t="shared" si="68"/>
        <v>0</v>
      </c>
      <c r="O135" s="40">
        <f t="shared" si="68"/>
        <v>0</v>
      </c>
      <c r="P135" s="40">
        <f t="shared" si="68"/>
        <v>0</v>
      </c>
      <c r="Q135" s="349">
        <f t="shared" si="68"/>
        <v>0</v>
      </c>
      <c r="R135" s="349">
        <f t="shared" si="68"/>
        <v>0</v>
      </c>
      <c r="S135" s="40">
        <f t="shared" si="68"/>
        <v>0</v>
      </c>
      <c r="T135" s="40">
        <f t="shared" si="68"/>
        <v>0</v>
      </c>
      <c r="U135" s="40">
        <f t="shared" si="68"/>
        <v>30216</v>
      </c>
      <c r="V135" s="40">
        <f t="shared" si="68"/>
        <v>34320</v>
      </c>
      <c r="W135" s="40">
        <f t="shared" si="68"/>
        <v>0</v>
      </c>
      <c r="X135" s="40">
        <f t="shared" si="68"/>
        <v>0</v>
      </c>
      <c r="Y135" s="40">
        <f t="shared" si="68"/>
        <v>0</v>
      </c>
      <c r="Z135" s="40">
        <f t="shared" si="68"/>
        <v>0</v>
      </c>
      <c r="AA135" s="40">
        <f t="shared" si="68"/>
        <v>0</v>
      </c>
      <c r="AB135" s="40">
        <f t="shared" si="68"/>
        <v>0</v>
      </c>
      <c r="AC135" s="40">
        <f t="shared" si="68"/>
        <v>0</v>
      </c>
      <c r="AD135" s="40">
        <f t="shared" si="68"/>
        <v>0</v>
      </c>
      <c r="AE135" s="40">
        <f t="shared" si="68"/>
        <v>0</v>
      </c>
      <c r="AF135" s="40">
        <f t="shared" si="68"/>
        <v>0</v>
      </c>
      <c r="AG135" s="40">
        <f t="shared" si="68"/>
        <v>0</v>
      </c>
      <c r="AH135" s="40">
        <f t="shared" si="68"/>
        <v>0</v>
      </c>
      <c r="AI135" s="40">
        <f t="shared" si="68"/>
        <v>0</v>
      </c>
      <c r="AJ135" s="97"/>
      <c r="AK135" s="96">
        <f>AK132*12</f>
        <v>64536</v>
      </c>
      <c r="AM135" s="98"/>
      <c r="DD135" s="203"/>
      <c r="DE135" s="203"/>
      <c r="DF135" s="203"/>
      <c r="DG135" s="203"/>
      <c r="DH135" s="203"/>
      <c r="DI135" s="203"/>
      <c r="DJ135" s="203"/>
      <c r="DK135" s="203"/>
      <c r="DL135" s="203"/>
      <c r="DM135" s="203"/>
      <c r="EA135" s="203"/>
      <c r="EB135" s="203"/>
      <c r="FH135" s="203"/>
      <c r="GP135" s="7"/>
      <c r="GQ135" s="203"/>
      <c r="GR135" s="203"/>
      <c r="GS135" s="203"/>
      <c r="GT135" s="203"/>
      <c r="IW135" s="203"/>
      <c r="MR135" s="203"/>
      <c r="MS135" s="203"/>
      <c r="MT135" s="203"/>
      <c r="MU135" s="203"/>
      <c r="RY135" s="203"/>
      <c r="RZ135" s="203"/>
      <c r="SB135" s="203"/>
      <c r="SP135" s="206"/>
      <c r="ST135" s="203"/>
      <c r="UW135" s="206"/>
    </row>
    <row r="136" spans="2:569 15038:15430" s="1" customFormat="1" ht="13.8" hidden="1">
      <c r="B136" s="50"/>
      <c r="C136" s="20" t="s">
        <v>165</v>
      </c>
      <c r="D136" s="54"/>
      <c r="E136" s="183" t="s">
        <v>71</v>
      </c>
      <c r="F136" s="40">
        <f t="shared" ref="F136:AI136" si="69">F133*6</f>
        <v>0</v>
      </c>
      <c r="G136" s="40">
        <f t="shared" si="69"/>
        <v>0</v>
      </c>
      <c r="H136" s="40">
        <f t="shared" si="69"/>
        <v>0</v>
      </c>
      <c r="I136" s="40">
        <f t="shared" si="69"/>
        <v>0</v>
      </c>
      <c r="J136" s="349">
        <f t="shared" si="69"/>
        <v>0</v>
      </c>
      <c r="K136" s="349">
        <f t="shared" si="69"/>
        <v>0</v>
      </c>
      <c r="L136" s="40">
        <f t="shared" si="69"/>
        <v>0</v>
      </c>
      <c r="M136" s="40">
        <f t="shared" si="69"/>
        <v>0</v>
      </c>
      <c r="N136" s="40">
        <f t="shared" si="69"/>
        <v>0</v>
      </c>
      <c r="O136" s="40">
        <f t="shared" si="69"/>
        <v>0</v>
      </c>
      <c r="P136" s="40">
        <f t="shared" si="69"/>
        <v>0</v>
      </c>
      <c r="Q136" s="349">
        <f t="shared" si="69"/>
        <v>0</v>
      </c>
      <c r="R136" s="349">
        <f t="shared" si="69"/>
        <v>0</v>
      </c>
      <c r="S136" s="40">
        <f t="shared" si="69"/>
        <v>0</v>
      </c>
      <c r="T136" s="40">
        <f t="shared" si="69"/>
        <v>0</v>
      </c>
      <c r="U136" s="40">
        <f t="shared" si="69"/>
        <v>0</v>
      </c>
      <c r="V136" s="40">
        <f t="shared" si="69"/>
        <v>0</v>
      </c>
      <c r="W136" s="40">
        <f t="shared" si="69"/>
        <v>0</v>
      </c>
      <c r="X136" s="40">
        <f t="shared" si="69"/>
        <v>0</v>
      </c>
      <c r="Y136" s="40">
        <f t="shared" si="69"/>
        <v>0</v>
      </c>
      <c r="Z136" s="40">
        <f t="shared" si="69"/>
        <v>0</v>
      </c>
      <c r="AA136" s="40">
        <f t="shared" si="69"/>
        <v>0</v>
      </c>
      <c r="AB136" s="40">
        <f t="shared" si="69"/>
        <v>0</v>
      </c>
      <c r="AC136" s="40">
        <f t="shared" si="69"/>
        <v>0</v>
      </c>
      <c r="AD136" s="40">
        <f t="shared" si="69"/>
        <v>0</v>
      </c>
      <c r="AE136" s="40">
        <f t="shared" si="69"/>
        <v>0</v>
      </c>
      <c r="AF136" s="40">
        <f t="shared" si="69"/>
        <v>0</v>
      </c>
      <c r="AG136" s="40">
        <f t="shared" si="69"/>
        <v>0</v>
      </c>
      <c r="AH136" s="40">
        <f t="shared" si="69"/>
        <v>0</v>
      </c>
      <c r="AI136" s="40">
        <f t="shared" si="69"/>
        <v>0</v>
      </c>
      <c r="AJ136" s="97"/>
      <c r="AK136" s="96">
        <f>AK133*6</f>
        <v>0</v>
      </c>
      <c r="AM136" s="98"/>
      <c r="DD136" s="203"/>
      <c r="DE136" s="203"/>
      <c r="DF136" s="203"/>
      <c r="DG136" s="203"/>
      <c r="DH136" s="203"/>
      <c r="DI136" s="203"/>
      <c r="DJ136" s="203"/>
      <c r="DK136" s="203"/>
      <c r="DL136" s="203"/>
      <c r="DM136" s="203"/>
      <c r="EA136" s="203"/>
      <c r="EB136" s="203"/>
      <c r="FH136" s="203"/>
      <c r="GP136" s="7"/>
      <c r="GQ136" s="203"/>
      <c r="GR136" s="203"/>
      <c r="GS136" s="203"/>
      <c r="GT136" s="203"/>
      <c r="IW136" s="203"/>
      <c r="MR136" s="203"/>
      <c r="MS136" s="203"/>
      <c r="MT136" s="203"/>
      <c r="MU136" s="203"/>
      <c r="RY136" s="203"/>
      <c r="RZ136" s="203"/>
      <c r="SB136" s="203"/>
      <c r="SP136" s="206"/>
      <c r="ST136" s="203"/>
      <c r="UW136" s="206"/>
    </row>
    <row r="137" spans="2:569 15038:15430" s="1" customFormat="1" hidden="1">
      <c r="B137" s="50"/>
      <c r="C137" s="194" t="s">
        <v>72</v>
      </c>
      <c r="D137" s="54"/>
      <c r="E137" s="183" t="s">
        <v>73</v>
      </c>
      <c r="F137" s="40">
        <v>0</v>
      </c>
      <c r="G137" s="40">
        <f>(G128*45)/1700</f>
        <v>0</v>
      </c>
      <c r="H137" s="40">
        <f t="shared" ref="H137:Y137" si="70">(H128*45)/1700</f>
        <v>0</v>
      </c>
      <c r="I137" s="40">
        <f t="shared" si="70"/>
        <v>0</v>
      </c>
      <c r="J137" s="349">
        <f t="shared" si="70"/>
        <v>0</v>
      </c>
      <c r="K137" s="349">
        <f t="shared" si="70"/>
        <v>0</v>
      </c>
      <c r="L137" s="40">
        <f t="shared" si="70"/>
        <v>0</v>
      </c>
      <c r="M137" s="40">
        <f t="shared" si="70"/>
        <v>0</v>
      </c>
      <c r="N137" s="40">
        <f t="shared" si="70"/>
        <v>0</v>
      </c>
      <c r="O137" s="40">
        <f t="shared" si="70"/>
        <v>0</v>
      </c>
      <c r="P137" s="40">
        <f t="shared" si="70"/>
        <v>0</v>
      </c>
      <c r="Q137" s="349">
        <f t="shared" si="70"/>
        <v>0</v>
      </c>
      <c r="R137" s="349">
        <f t="shared" si="70"/>
        <v>0</v>
      </c>
      <c r="S137" s="40">
        <f t="shared" si="70"/>
        <v>0</v>
      </c>
      <c r="T137" s="40">
        <f t="shared" si="70"/>
        <v>0</v>
      </c>
      <c r="U137" s="40">
        <f>(U128*45)/1700</f>
        <v>650.14355488235299</v>
      </c>
      <c r="V137" s="40">
        <f t="shared" si="70"/>
        <v>738.46513588235291</v>
      </c>
      <c r="W137" s="40">
        <f t="shared" si="70"/>
        <v>0</v>
      </c>
      <c r="X137" s="40">
        <f t="shared" si="70"/>
        <v>0</v>
      </c>
      <c r="Y137" s="40">
        <f t="shared" si="70"/>
        <v>0</v>
      </c>
      <c r="Z137" s="40">
        <f t="shared" ref="Z137:AI137" si="71">Z128*45/1700</f>
        <v>0</v>
      </c>
      <c r="AA137" s="40">
        <f t="shared" si="71"/>
        <v>0</v>
      </c>
      <c r="AB137" s="40">
        <f t="shared" si="71"/>
        <v>0</v>
      </c>
      <c r="AC137" s="40">
        <f t="shared" si="71"/>
        <v>0</v>
      </c>
      <c r="AD137" s="40">
        <f t="shared" si="71"/>
        <v>0</v>
      </c>
      <c r="AE137" s="40">
        <f t="shared" si="71"/>
        <v>0</v>
      </c>
      <c r="AF137" s="40">
        <f t="shared" si="71"/>
        <v>0</v>
      </c>
      <c r="AG137" s="40">
        <f t="shared" si="71"/>
        <v>0</v>
      </c>
      <c r="AH137" s="40">
        <f t="shared" si="71"/>
        <v>0</v>
      </c>
      <c r="AI137" s="40">
        <f t="shared" si="71"/>
        <v>0</v>
      </c>
      <c r="AJ137" s="97"/>
      <c r="AK137" s="96">
        <f>SUM(F137:AI137)</f>
        <v>1388.6086907647059</v>
      </c>
      <c r="AM137" s="98"/>
      <c r="DD137" s="203"/>
      <c r="DE137" s="203"/>
      <c r="DF137" s="203"/>
      <c r="DG137" s="203"/>
      <c r="DH137" s="203"/>
      <c r="DI137" s="203"/>
      <c r="DJ137" s="203"/>
      <c r="DK137" s="203"/>
      <c r="DL137" s="203"/>
      <c r="DM137" s="203"/>
      <c r="EA137" s="203"/>
      <c r="EB137" s="203"/>
      <c r="FH137" s="203"/>
      <c r="GP137" s="7"/>
      <c r="GQ137" s="203"/>
      <c r="GR137" s="203"/>
      <c r="GS137" s="203"/>
      <c r="GT137" s="203"/>
      <c r="IW137" s="203"/>
      <c r="MR137" s="203"/>
      <c r="MS137" s="203"/>
      <c r="MT137" s="203"/>
      <c r="MU137" s="203"/>
      <c r="RY137" s="203"/>
      <c r="RZ137" s="203"/>
      <c r="SB137" s="203"/>
      <c r="SP137" s="206"/>
      <c r="ST137" s="203"/>
      <c r="UW137" s="206"/>
    </row>
    <row r="138" spans="2:569 15038:15430" s="1" customFormat="1" hidden="1">
      <c r="B138" s="50"/>
      <c r="C138" s="194" t="s">
        <v>74</v>
      </c>
      <c r="D138" s="54"/>
      <c r="E138" s="183" t="s">
        <v>75</v>
      </c>
      <c r="F138" s="40">
        <f t="shared" ref="F138:AD138" si="72">SUM(F132:F133)/500</f>
        <v>0</v>
      </c>
      <c r="G138" s="40">
        <f t="shared" si="72"/>
        <v>0</v>
      </c>
      <c r="H138" s="40">
        <f t="shared" si="72"/>
        <v>0</v>
      </c>
      <c r="I138" s="40">
        <f t="shared" si="72"/>
        <v>0</v>
      </c>
      <c r="J138" s="349">
        <f t="shared" si="72"/>
        <v>0</v>
      </c>
      <c r="K138" s="349">
        <f t="shared" si="72"/>
        <v>0</v>
      </c>
      <c r="L138" s="40">
        <f t="shared" si="72"/>
        <v>0</v>
      </c>
      <c r="M138" s="40">
        <f t="shared" si="72"/>
        <v>0</v>
      </c>
      <c r="N138" s="40">
        <f t="shared" si="72"/>
        <v>0</v>
      </c>
      <c r="O138" s="40">
        <f t="shared" si="72"/>
        <v>0</v>
      </c>
      <c r="P138" s="40">
        <f t="shared" si="72"/>
        <v>0</v>
      </c>
      <c r="Q138" s="349">
        <f t="shared" si="72"/>
        <v>0</v>
      </c>
      <c r="R138" s="349">
        <f t="shared" si="72"/>
        <v>0</v>
      </c>
      <c r="S138" s="40">
        <f t="shared" si="72"/>
        <v>0</v>
      </c>
      <c r="T138" s="40">
        <f t="shared" si="72"/>
        <v>0</v>
      </c>
      <c r="U138" s="40">
        <f t="shared" si="72"/>
        <v>5.0359999999999996</v>
      </c>
      <c r="V138" s="40">
        <f t="shared" si="72"/>
        <v>5.72</v>
      </c>
      <c r="W138" s="40">
        <f t="shared" si="72"/>
        <v>0</v>
      </c>
      <c r="X138" s="40">
        <f t="shared" si="72"/>
        <v>0</v>
      </c>
      <c r="Y138" s="40">
        <f t="shared" si="72"/>
        <v>0</v>
      </c>
      <c r="Z138" s="40">
        <f t="shared" si="72"/>
        <v>0</v>
      </c>
      <c r="AA138" s="40">
        <f t="shared" si="72"/>
        <v>0</v>
      </c>
      <c r="AB138" s="40">
        <f t="shared" si="72"/>
        <v>0</v>
      </c>
      <c r="AC138" s="40">
        <f t="shared" si="72"/>
        <v>0</v>
      </c>
      <c r="AD138" s="40">
        <f t="shared" si="72"/>
        <v>0</v>
      </c>
      <c r="AE138" s="40">
        <f t="shared" ref="AE138:AG138" si="73">SUM(AE132:AE133)/500</f>
        <v>0</v>
      </c>
      <c r="AF138" s="40">
        <f t="shared" si="73"/>
        <v>0</v>
      </c>
      <c r="AG138" s="40">
        <f t="shared" si="73"/>
        <v>0</v>
      </c>
      <c r="AH138" s="40">
        <f t="shared" ref="AH138:AI138" si="74">SUM(AH132:AH133)/500</f>
        <v>0</v>
      </c>
      <c r="AI138" s="209">
        <f t="shared" si="74"/>
        <v>0</v>
      </c>
      <c r="AJ138" s="97"/>
      <c r="AK138" s="96">
        <f>SUM(F138:AI138)</f>
        <v>10.756</v>
      </c>
      <c r="AM138" s="98"/>
      <c r="DD138" s="203"/>
      <c r="DE138" s="203"/>
      <c r="DF138" s="203"/>
      <c r="DG138" s="203"/>
      <c r="DH138" s="203"/>
      <c r="DI138" s="203"/>
      <c r="DJ138" s="203"/>
      <c r="DK138" s="203"/>
      <c r="DL138" s="203"/>
      <c r="DM138" s="203"/>
      <c r="EA138" s="203"/>
      <c r="EB138" s="203"/>
      <c r="FH138" s="203"/>
      <c r="GP138" s="7"/>
      <c r="GQ138" s="203"/>
      <c r="GR138" s="203"/>
      <c r="GS138" s="203"/>
      <c r="GT138" s="203"/>
      <c r="IW138" s="203"/>
      <c r="MR138" s="203"/>
      <c r="MS138" s="203"/>
      <c r="MT138" s="203"/>
      <c r="MU138" s="203"/>
      <c r="RY138" s="203"/>
      <c r="RZ138" s="203"/>
      <c r="SB138" s="203"/>
      <c r="SP138" s="206"/>
      <c r="ST138" s="203"/>
      <c r="UW138" s="206"/>
    </row>
    <row r="139" spans="2:569 15038:15430" s="1" customFormat="1" hidden="1">
      <c r="B139" s="37"/>
      <c r="C139" s="16" t="s">
        <v>76</v>
      </c>
      <c r="D139" s="35"/>
      <c r="E139" s="35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83"/>
      <c r="AD139" s="36"/>
      <c r="AE139" s="36"/>
      <c r="AF139" s="36"/>
      <c r="AG139" s="36"/>
      <c r="AH139" s="36"/>
      <c r="AI139" s="36"/>
      <c r="AJ139" s="87"/>
      <c r="AK139" s="180" t="s">
        <v>77</v>
      </c>
      <c r="AM139" s="10"/>
      <c r="DD139" s="219"/>
      <c r="DE139" s="219"/>
      <c r="DF139" s="219"/>
      <c r="DG139" s="219"/>
      <c r="DH139" s="219"/>
      <c r="DI139" s="219"/>
      <c r="DJ139" s="219"/>
      <c r="DK139" s="219"/>
      <c r="DL139" s="219"/>
      <c r="DM139" s="219"/>
      <c r="EA139" s="219"/>
      <c r="EB139" s="219"/>
      <c r="FH139" s="219"/>
      <c r="GP139" s="7"/>
      <c r="GQ139" s="219"/>
      <c r="GR139" s="219"/>
      <c r="GS139" s="219"/>
      <c r="GT139" s="219"/>
      <c r="IW139" s="219"/>
      <c r="MR139" s="219"/>
      <c r="MS139" s="219"/>
      <c r="MT139" s="219"/>
      <c r="MU139" s="219"/>
      <c r="RY139" s="219"/>
      <c r="RZ139" s="219"/>
      <c r="SB139" s="219"/>
      <c r="SP139" s="240"/>
      <c r="ST139" s="219"/>
      <c r="UW139" s="240"/>
      <c r="VFJ139"/>
      <c r="VFK139"/>
      <c r="VFL139"/>
      <c r="VFM139"/>
      <c r="VFN139"/>
      <c r="VFO139"/>
      <c r="VFP139"/>
      <c r="VFQ139"/>
      <c r="VFR139"/>
      <c r="VFS139"/>
      <c r="VFT139"/>
      <c r="VFU139"/>
      <c r="VFV139"/>
      <c r="VFW139"/>
      <c r="VFX139"/>
      <c r="VFY139"/>
      <c r="VFZ139"/>
      <c r="VGA139"/>
      <c r="VGB139"/>
      <c r="VGC139"/>
      <c r="VGD139"/>
      <c r="VGE139"/>
      <c r="VGF139"/>
      <c r="VGG139"/>
      <c r="VGH139"/>
      <c r="VGI139"/>
      <c r="VGJ139"/>
      <c r="VGK139"/>
      <c r="VGL139"/>
      <c r="VGM139"/>
      <c r="VGN139"/>
      <c r="VGO139"/>
      <c r="VGP139"/>
      <c r="VGQ139"/>
      <c r="VGR139"/>
      <c r="VGS139"/>
      <c r="VGT139"/>
      <c r="VGU139"/>
      <c r="VGV139"/>
      <c r="VGW139"/>
      <c r="VGX139"/>
      <c r="VGY139"/>
      <c r="VGZ139"/>
      <c r="VHA139"/>
      <c r="VHB139"/>
      <c r="VHC139"/>
      <c r="VHD139"/>
      <c r="VHE139"/>
      <c r="VHF139"/>
      <c r="VHG139"/>
      <c r="VHH139"/>
      <c r="VHI139"/>
      <c r="VHJ139"/>
      <c r="VHK139"/>
      <c r="VHL139"/>
      <c r="VHM139"/>
      <c r="VHN139"/>
      <c r="VHO139"/>
      <c r="VHP139"/>
      <c r="VHQ139"/>
      <c r="VHR139"/>
      <c r="VHS139"/>
      <c r="VHT139"/>
      <c r="VHU139"/>
      <c r="VHV139"/>
      <c r="VHW139"/>
      <c r="VHX139"/>
      <c r="VHY139"/>
      <c r="VHZ139"/>
      <c r="VIA139"/>
      <c r="VIB139"/>
      <c r="VIC139"/>
      <c r="VID139"/>
      <c r="VIE139"/>
      <c r="VIF139"/>
      <c r="VIG139"/>
      <c r="VIH139"/>
      <c r="VII139"/>
      <c r="VIJ139"/>
      <c r="VIK139"/>
      <c r="VIL139"/>
      <c r="VIM139"/>
      <c r="VIN139"/>
      <c r="VIO139"/>
      <c r="VIP139"/>
      <c r="VIQ139"/>
      <c r="VIR139"/>
      <c r="VIS139"/>
      <c r="VIT139"/>
      <c r="VIU139"/>
      <c r="VIV139"/>
      <c r="VIW139"/>
      <c r="VIX139"/>
      <c r="VIY139"/>
      <c r="VIZ139"/>
      <c r="VJA139"/>
      <c r="VJB139"/>
      <c r="VJC139"/>
      <c r="VJD139"/>
      <c r="VJE139"/>
      <c r="VJF139"/>
      <c r="VJG139"/>
      <c r="VJH139"/>
      <c r="VJI139"/>
      <c r="VJJ139"/>
      <c r="VJK139"/>
      <c r="VJL139"/>
      <c r="VJM139"/>
      <c r="VJN139"/>
      <c r="VJO139"/>
      <c r="VJP139"/>
      <c r="VJQ139"/>
      <c r="VJR139"/>
      <c r="VJS139"/>
      <c r="VJT139"/>
      <c r="VJU139"/>
      <c r="VJV139"/>
      <c r="VJW139"/>
      <c r="VJX139"/>
      <c r="VJY139"/>
      <c r="VJZ139"/>
      <c r="VKA139"/>
      <c r="VKB139"/>
      <c r="VKC139"/>
      <c r="VKD139"/>
      <c r="VKE139"/>
      <c r="VKF139"/>
      <c r="VKG139"/>
      <c r="VKH139"/>
      <c r="VKI139"/>
      <c r="VKJ139"/>
      <c r="VKK139"/>
      <c r="VKL139"/>
      <c r="VKM139"/>
      <c r="VKN139"/>
      <c r="VKO139"/>
      <c r="VKP139"/>
      <c r="VKQ139"/>
      <c r="VKR139"/>
      <c r="VKS139"/>
      <c r="VKT139"/>
      <c r="VKU139"/>
      <c r="VKV139"/>
      <c r="VKW139"/>
      <c r="VKX139"/>
      <c r="VKY139"/>
      <c r="VKZ139"/>
      <c r="VLA139"/>
      <c r="VLB139"/>
      <c r="VLC139"/>
      <c r="VLD139"/>
      <c r="VLE139"/>
      <c r="VLF139"/>
      <c r="VLG139"/>
      <c r="VLH139"/>
      <c r="VLI139"/>
      <c r="VLJ139"/>
      <c r="VLK139"/>
      <c r="VLL139"/>
      <c r="VLM139"/>
      <c r="VLN139"/>
      <c r="VLO139"/>
      <c r="VLP139"/>
      <c r="VLQ139"/>
      <c r="VLR139"/>
      <c r="VLS139"/>
      <c r="VLT139"/>
      <c r="VLU139"/>
      <c r="VLV139"/>
      <c r="VLW139"/>
      <c r="VLX139"/>
      <c r="VLY139"/>
      <c r="VLZ139"/>
      <c r="VMA139"/>
      <c r="VMB139"/>
      <c r="VMC139"/>
      <c r="VMD139"/>
      <c r="VME139"/>
      <c r="VMF139"/>
      <c r="VMG139"/>
      <c r="VMH139"/>
      <c r="VMI139"/>
      <c r="VMJ139"/>
      <c r="VMK139"/>
      <c r="VML139"/>
      <c r="VMM139"/>
      <c r="VMN139"/>
      <c r="VMO139"/>
      <c r="VMP139"/>
      <c r="VMQ139"/>
      <c r="VMR139"/>
      <c r="VMS139"/>
      <c r="VMT139"/>
      <c r="VMU139"/>
      <c r="VMV139"/>
      <c r="VMW139"/>
      <c r="VMX139"/>
      <c r="VMY139"/>
      <c r="VMZ139"/>
      <c r="VNA139"/>
      <c r="VNB139"/>
      <c r="VNC139"/>
      <c r="VND139"/>
      <c r="VNE139"/>
      <c r="VNF139"/>
      <c r="VNG139"/>
      <c r="VNH139"/>
      <c r="VNI139"/>
      <c r="VNJ139"/>
      <c r="VNK139"/>
      <c r="VNL139"/>
      <c r="VNM139"/>
      <c r="VNN139"/>
      <c r="VNO139"/>
      <c r="VNP139"/>
      <c r="VNQ139"/>
      <c r="VNR139"/>
      <c r="VNS139"/>
      <c r="VNT139"/>
      <c r="VNU139"/>
      <c r="VNV139"/>
      <c r="VNW139"/>
      <c r="VNX139"/>
      <c r="VNY139"/>
      <c r="VNZ139"/>
      <c r="VOA139"/>
      <c r="VOB139"/>
      <c r="VOC139"/>
      <c r="VOD139"/>
      <c r="VOE139"/>
      <c r="VOF139"/>
      <c r="VOG139"/>
      <c r="VOH139"/>
      <c r="VOI139"/>
      <c r="VOJ139"/>
      <c r="VOK139"/>
      <c r="VOL139"/>
      <c r="VOM139"/>
      <c r="VON139"/>
      <c r="VOO139"/>
      <c r="VOP139"/>
      <c r="VOQ139"/>
      <c r="VOR139"/>
      <c r="VOS139"/>
      <c r="VOT139"/>
      <c r="VOU139"/>
      <c r="VOV139"/>
      <c r="VOW139"/>
      <c r="VOX139"/>
      <c r="VOY139"/>
      <c r="VOZ139"/>
      <c r="VPA139"/>
      <c r="VPB139"/>
      <c r="VPC139"/>
      <c r="VPD139"/>
      <c r="VPE139"/>
      <c r="VPF139"/>
      <c r="VPG139"/>
      <c r="VPH139"/>
      <c r="VPI139"/>
      <c r="VPJ139"/>
      <c r="VPK139"/>
      <c r="VPL139"/>
      <c r="VPM139"/>
      <c r="VPN139"/>
      <c r="VPO139"/>
      <c r="VPP139"/>
      <c r="VPQ139"/>
      <c r="VPR139"/>
      <c r="VPS139"/>
      <c r="VPT139"/>
      <c r="VPU139"/>
      <c r="VPV139"/>
      <c r="VPW139"/>
      <c r="VPX139"/>
      <c r="VPY139"/>
      <c r="VPZ139"/>
      <c r="VQA139"/>
      <c r="VQB139"/>
      <c r="VQC139"/>
      <c r="VQD139"/>
      <c r="VQE139"/>
      <c r="VQF139"/>
      <c r="VQG139"/>
      <c r="VQH139"/>
      <c r="VQI139"/>
      <c r="VQJ139"/>
      <c r="VQK139"/>
      <c r="VQL139"/>
      <c r="VQM139"/>
      <c r="VQN139"/>
      <c r="VQO139"/>
      <c r="VQP139"/>
      <c r="VQQ139"/>
      <c r="VQR139"/>
      <c r="VQS139"/>
      <c r="VQT139"/>
      <c r="VQU139"/>
      <c r="VQV139"/>
      <c r="VQW139"/>
      <c r="VQX139"/>
      <c r="VQY139"/>
      <c r="VQZ139"/>
      <c r="VRA139"/>
      <c r="VRB139"/>
      <c r="VRC139"/>
      <c r="VRD139"/>
      <c r="VRE139"/>
      <c r="VRF139"/>
      <c r="VRG139"/>
      <c r="VRH139"/>
      <c r="VRI139"/>
      <c r="VRJ139"/>
      <c r="VRK139"/>
      <c r="VRL139"/>
      <c r="VRM139"/>
      <c r="VRN139"/>
      <c r="VRO139"/>
      <c r="VRP139"/>
      <c r="VRQ139"/>
      <c r="VRR139"/>
      <c r="VRS139"/>
      <c r="VRT139"/>
      <c r="VRU139"/>
      <c r="VRV139"/>
      <c r="VRW139"/>
      <c r="VRX139"/>
      <c r="VRY139"/>
      <c r="VRZ139"/>
      <c r="VSA139"/>
      <c r="VSB139"/>
      <c r="VSC139"/>
      <c r="VSD139"/>
      <c r="VSE139"/>
      <c r="VSF139"/>
      <c r="VSG139"/>
      <c r="VSH139"/>
      <c r="VSI139"/>
      <c r="VSJ139"/>
      <c r="VSK139"/>
      <c r="VSL139"/>
      <c r="VSM139"/>
      <c r="VSN139"/>
      <c r="VSO139"/>
      <c r="VSP139"/>
      <c r="VSQ139"/>
      <c r="VSR139"/>
      <c r="VSS139"/>
      <c r="VST139"/>
      <c r="VSU139"/>
      <c r="VSV139"/>
      <c r="VSW139"/>
      <c r="VSX139"/>
      <c r="VSY139"/>
      <c r="VSZ139"/>
      <c r="VTA139"/>
      <c r="VTB139"/>
      <c r="VTC139"/>
      <c r="VTD139"/>
      <c r="VTE139"/>
      <c r="VTF139"/>
      <c r="VTG139"/>
      <c r="VTH139"/>
      <c r="VTI139"/>
      <c r="VTJ139"/>
      <c r="VTK139"/>
      <c r="VTL139"/>
      <c r="VTM139"/>
      <c r="VTN139"/>
      <c r="VTO139"/>
      <c r="VTP139"/>
      <c r="VTQ139"/>
      <c r="VTR139"/>
      <c r="VTS139"/>
      <c r="VTT139"/>
      <c r="VTU139"/>
      <c r="VTV139"/>
      <c r="VTW139"/>
      <c r="VTX139"/>
      <c r="VTY139"/>
      <c r="VTZ139"/>
      <c r="VUA139"/>
      <c r="VUB139"/>
      <c r="VUC139"/>
      <c r="VUD139"/>
      <c r="VUE139"/>
      <c r="VUF139"/>
      <c r="VUG139"/>
      <c r="VUH139"/>
      <c r="VUI139"/>
      <c r="VUJ139"/>
      <c r="VUK139"/>
      <c r="VUL139"/>
    </row>
    <row r="140" spans="2:569 15038:15430" s="1" customFormat="1" hidden="1">
      <c r="B140" s="50"/>
      <c r="C140" s="194" t="s">
        <v>67</v>
      </c>
      <c r="D140" s="54"/>
      <c r="E140" s="50"/>
      <c r="F140" s="40"/>
      <c r="G140" s="40"/>
      <c r="H140" s="40"/>
      <c r="I140" s="40"/>
      <c r="J140" s="349"/>
      <c r="K140" s="349"/>
      <c r="L140" s="40"/>
      <c r="M140" s="40"/>
      <c r="N140" s="40"/>
      <c r="O140" s="40"/>
      <c r="P140" s="40"/>
      <c r="Q140" s="349"/>
      <c r="R140" s="349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97"/>
      <c r="AK140" s="102" t="s">
        <v>67</v>
      </c>
      <c r="AM140" s="98"/>
      <c r="EA140" s="203"/>
      <c r="EB140" s="203"/>
      <c r="FH140" s="203"/>
      <c r="GP140" s="7"/>
      <c r="GQ140" s="203"/>
      <c r="GR140" s="203"/>
      <c r="GS140" s="203"/>
      <c r="GT140" s="203"/>
      <c r="IW140" s="203"/>
      <c r="MR140" s="203"/>
      <c r="MS140" s="203"/>
      <c r="MT140" s="203"/>
      <c r="MU140" s="203"/>
      <c r="RY140" s="203"/>
      <c r="RZ140" s="203"/>
      <c r="SB140" s="203"/>
      <c r="SP140" s="206"/>
      <c r="ST140" s="203"/>
      <c r="UW140" s="206"/>
    </row>
    <row r="141" spans="2:569 15038:15430" s="1" customFormat="1" ht="13.8" hidden="1">
      <c r="B141" s="50"/>
      <c r="C141" s="20" t="s">
        <v>166</v>
      </c>
      <c r="D141" s="54"/>
      <c r="E141" s="183" t="s">
        <v>69</v>
      </c>
      <c r="F141" s="125">
        <v>0</v>
      </c>
      <c r="G141" s="125">
        <v>0</v>
      </c>
      <c r="H141" s="125">
        <v>0</v>
      </c>
      <c r="I141" s="125">
        <v>0</v>
      </c>
      <c r="J141" s="359">
        <v>0</v>
      </c>
      <c r="K141" s="359">
        <v>0</v>
      </c>
      <c r="L141" s="125">
        <v>0</v>
      </c>
      <c r="M141" s="125">
        <v>0</v>
      </c>
      <c r="N141" s="125">
        <v>0</v>
      </c>
      <c r="O141" s="125">
        <v>0</v>
      </c>
      <c r="P141" s="125">
        <v>0</v>
      </c>
      <c r="Q141" s="359">
        <v>0</v>
      </c>
      <c r="R141" s="359">
        <v>0</v>
      </c>
      <c r="S141" s="125">
        <v>0</v>
      </c>
      <c r="T141" s="125">
        <v>0</v>
      </c>
      <c r="U141" s="125">
        <v>1</v>
      </c>
      <c r="V141" s="125">
        <v>5</v>
      </c>
      <c r="W141" s="125">
        <v>0</v>
      </c>
      <c r="X141" s="125">
        <v>0</v>
      </c>
      <c r="Y141" s="125">
        <v>0</v>
      </c>
      <c r="Z141" s="125">
        <v>0</v>
      </c>
      <c r="AA141" s="125">
        <v>0</v>
      </c>
      <c r="AB141" s="125">
        <v>0</v>
      </c>
      <c r="AC141" s="125">
        <v>0</v>
      </c>
      <c r="AD141" s="125">
        <v>0</v>
      </c>
      <c r="AE141" s="125">
        <v>0</v>
      </c>
      <c r="AF141" s="125">
        <v>0</v>
      </c>
      <c r="AG141" s="125">
        <v>0</v>
      </c>
      <c r="AH141" s="125">
        <v>0</v>
      </c>
      <c r="AI141" s="125">
        <v>0</v>
      </c>
      <c r="AJ141" s="97"/>
      <c r="AK141" s="96">
        <f>SUM(F141:AI141)</f>
        <v>6</v>
      </c>
      <c r="AM141" s="98"/>
      <c r="EA141" s="203"/>
      <c r="EB141" s="203"/>
      <c r="FH141" s="203"/>
      <c r="GP141" s="7"/>
      <c r="GQ141" s="203"/>
      <c r="GR141" s="203"/>
      <c r="GS141" s="203"/>
      <c r="GT141" s="203"/>
      <c r="IW141" s="203"/>
      <c r="MR141" s="203"/>
      <c r="MS141" s="203"/>
      <c r="MT141" s="203"/>
      <c r="MU141" s="203"/>
      <c r="RY141" s="203"/>
      <c r="RZ141" s="203"/>
      <c r="SB141" s="203"/>
      <c r="SP141" s="206"/>
      <c r="ST141" s="203"/>
      <c r="UW141" s="206"/>
    </row>
    <row r="142" spans="2:569 15038:15430" s="1" customFormat="1" ht="13.8" hidden="1">
      <c r="B142" s="50"/>
      <c r="C142" s="20" t="s">
        <v>165</v>
      </c>
      <c r="D142" s="54"/>
      <c r="E142" s="183" t="s">
        <v>69</v>
      </c>
      <c r="F142" s="125">
        <v>0</v>
      </c>
      <c r="G142" s="125">
        <v>0</v>
      </c>
      <c r="H142" s="125">
        <v>0</v>
      </c>
      <c r="I142" s="125">
        <v>0</v>
      </c>
      <c r="J142" s="359">
        <v>0</v>
      </c>
      <c r="K142" s="359">
        <v>0</v>
      </c>
      <c r="L142" s="125">
        <v>0</v>
      </c>
      <c r="M142" s="125">
        <v>0</v>
      </c>
      <c r="N142" s="125">
        <v>0</v>
      </c>
      <c r="O142" s="125">
        <v>0</v>
      </c>
      <c r="P142" s="125">
        <v>0</v>
      </c>
      <c r="Q142" s="359">
        <v>0</v>
      </c>
      <c r="R142" s="359">
        <v>0</v>
      </c>
      <c r="S142" s="125">
        <v>0</v>
      </c>
      <c r="T142" s="125">
        <v>0</v>
      </c>
      <c r="U142" s="125">
        <v>0</v>
      </c>
      <c r="V142" s="125">
        <v>0</v>
      </c>
      <c r="W142" s="125">
        <v>0</v>
      </c>
      <c r="X142" s="125">
        <v>0</v>
      </c>
      <c r="Y142" s="125">
        <v>0</v>
      </c>
      <c r="Z142" s="125">
        <v>0</v>
      </c>
      <c r="AA142" s="125">
        <v>0</v>
      </c>
      <c r="AB142" s="125">
        <v>0</v>
      </c>
      <c r="AC142" s="125">
        <v>0</v>
      </c>
      <c r="AD142" s="125">
        <v>0</v>
      </c>
      <c r="AE142" s="125">
        <v>0</v>
      </c>
      <c r="AF142" s="125">
        <v>0</v>
      </c>
      <c r="AG142" s="125">
        <v>0</v>
      </c>
      <c r="AH142" s="125">
        <v>0</v>
      </c>
      <c r="AI142" s="125">
        <v>0</v>
      </c>
      <c r="AJ142" s="97"/>
      <c r="AK142" s="96">
        <f>SUM(F142:AI142)</f>
        <v>0</v>
      </c>
      <c r="AM142" s="98"/>
      <c r="EA142" s="203"/>
      <c r="EB142" s="203"/>
      <c r="FH142" s="203"/>
      <c r="GP142" s="7"/>
      <c r="GQ142" s="203"/>
      <c r="GR142" s="203"/>
      <c r="GS142" s="203"/>
      <c r="GT142" s="203"/>
      <c r="IW142" s="203"/>
      <c r="MR142" s="203"/>
      <c r="MS142" s="203"/>
      <c r="MT142" s="203"/>
      <c r="MU142" s="203"/>
      <c r="RY142" s="203"/>
      <c r="RZ142" s="203"/>
      <c r="SB142" s="203"/>
      <c r="SP142" s="206"/>
      <c r="ST142" s="203"/>
      <c r="UW142" s="206"/>
    </row>
    <row r="143" spans="2:569 15038:15430" s="1" customFormat="1" hidden="1">
      <c r="B143" s="50"/>
      <c r="C143" s="194" t="s">
        <v>71</v>
      </c>
      <c r="D143" s="54"/>
      <c r="E143" s="50"/>
      <c r="F143" s="125"/>
      <c r="G143" s="125"/>
      <c r="H143" s="125"/>
      <c r="I143" s="125"/>
      <c r="J143" s="359"/>
      <c r="K143" s="359"/>
      <c r="L143" s="125"/>
      <c r="M143" s="125"/>
      <c r="N143" s="125"/>
      <c r="O143" s="125"/>
      <c r="P143" s="125"/>
      <c r="Q143" s="359"/>
      <c r="R143" s="359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97"/>
      <c r="AK143" s="102" t="s">
        <v>71</v>
      </c>
      <c r="AM143" s="98"/>
      <c r="EA143" s="203"/>
      <c r="EB143" s="203"/>
      <c r="FH143" s="203"/>
      <c r="GP143" s="7"/>
      <c r="GQ143" s="203"/>
      <c r="GR143" s="203"/>
      <c r="GS143" s="203"/>
      <c r="GT143" s="203"/>
      <c r="IW143" s="203"/>
      <c r="MR143" s="203"/>
      <c r="MS143" s="203"/>
      <c r="MT143" s="203"/>
      <c r="MU143" s="203"/>
      <c r="RY143" s="203"/>
      <c r="RZ143" s="203"/>
      <c r="SB143" s="203"/>
      <c r="SP143" s="206"/>
      <c r="ST143" s="203"/>
      <c r="UW143" s="206"/>
    </row>
    <row r="144" spans="2:569 15038:15430" s="1" customFormat="1" ht="13.8" hidden="1">
      <c r="B144" s="50"/>
      <c r="C144" s="20" t="str">
        <f>C141</f>
        <v xml:space="preserve">INL SP 900 mL  </v>
      </c>
      <c r="D144" s="54"/>
      <c r="E144" s="183" t="s">
        <v>71</v>
      </c>
      <c r="F144" s="125">
        <v>0</v>
      </c>
      <c r="G144" s="125">
        <v>0</v>
      </c>
      <c r="H144" s="125">
        <v>0</v>
      </c>
      <c r="I144" s="125">
        <v>0</v>
      </c>
      <c r="J144" s="359">
        <v>0</v>
      </c>
      <c r="K144" s="359">
        <v>0</v>
      </c>
      <c r="L144" s="125">
        <v>0</v>
      </c>
      <c r="M144" s="125">
        <v>0</v>
      </c>
      <c r="N144" s="125">
        <v>0</v>
      </c>
      <c r="O144" s="125">
        <v>0</v>
      </c>
      <c r="P144" s="125">
        <v>0</v>
      </c>
      <c r="Q144" s="359">
        <v>0</v>
      </c>
      <c r="R144" s="359">
        <v>0</v>
      </c>
      <c r="S144" s="125">
        <v>0</v>
      </c>
      <c r="T144" s="125">
        <v>0</v>
      </c>
      <c r="U144" s="125">
        <v>30</v>
      </c>
      <c r="V144" s="125">
        <v>26</v>
      </c>
      <c r="W144" s="125">
        <v>0</v>
      </c>
      <c r="X144" s="125">
        <v>0</v>
      </c>
      <c r="Y144" s="125">
        <v>0</v>
      </c>
      <c r="Z144" s="125">
        <v>0</v>
      </c>
      <c r="AA144" s="125">
        <v>0</v>
      </c>
      <c r="AB144" s="125">
        <v>0</v>
      </c>
      <c r="AC144" s="125">
        <v>0</v>
      </c>
      <c r="AD144" s="125">
        <v>0</v>
      </c>
      <c r="AE144" s="125">
        <v>0</v>
      </c>
      <c r="AF144" s="125">
        <v>0</v>
      </c>
      <c r="AG144" s="125">
        <v>0</v>
      </c>
      <c r="AH144" s="125">
        <v>0</v>
      </c>
      <c r="AI144" s="125">
        <v>0</v>
      </c>
      <c r="AJ144" s="97"/>
      <c r="AK144" s="96">
        <f>SUM(F144:AI144)</f>
        <v>56</v>
      </c>
      <c r="AM144" s="98"/>
      <c r="EA144" s="203"/>
      <c r="EB144" s="203"/>
      <c r="FH144" s="203"/>
      <c r="GP144" s="7"/>
      <c r="GQ144" s="203"/>
      <c r="GR144" s="203"/>
      <c r="GS144" s="203"/>
      <c r="GT144" s="203"/>
      <c r="IW144" s="203"/>
      <c r="MR144" s="203"/>
      <c r="MS144" s="203"/>
      <c r="MT144" s="203"/>
      <c r="MU144" s="203"/>
      <c r="RY144" s="203"/>
      <c r="RZ144" s="203"/>
      <c r="SB144" s="203"/>
      <c r="SP144" s="206"/>
      <c r="ST144" s="203"/>
      <c r="UW144" s="206"/>
    </row>
    <row r="145" spans="2:569 15038:15430" s="1" customFormat="1" ht="13.8" hidden="1">
      <c r="B145" s="50"/>
      <c r="C145" s="20" t="str">
        <f>C142</f>
        <v>INL SP 1,8 L</v>
      </c>
      <c r="D145" s="54"/>
      <c r="E145" s="183" t="s">
        <v>71</v>
      </c>
      <c r="F145" s="125">
        <v>0</v>
      </c>
      <c r="G145" s="125">
        <v>0</v>
      </c>
      <c r="H145" s="125">
        <v>0</v>
      </c>
      <c r="I145" s="125">
        <v>0</v>
      </c>
      <c r="J145" s="359">
        <v>0</v>
      </c>
      <c r="K145" s="359">
        <v>0</v>
      </c>
      <c r="L145" s="125">
        <v>0</v>
      </c>
      <c r="M145" s="125">
        <v>0</v>
      </c>
      <c r="N145" s="125">
        <v>0</v>
      </c>
      <c r="O145" s="125">
        <v>0</v>
      </c>
      <c r="P145" s="125">
        <v>0</v>
      </c>
      <c r="Q145" s="359">
        <v>0</v>
      </c>
      <c r="R145" s="359">
        <v>0</v>
      </c>
      <c r="S145" s="125">
        <v>0</v>
      </c>
      <c r="T145" s="125">
        <v>0</v>
      </c>
      <c r="U145" s="125">
        <v>0</v>
      </c>
      <c r="V145" s="125">
        <v>0</v>
      </c>
      <c r="W145" s="125">
        <v>0</v>
      </c>
      <c r="X145" s="125">
        <v>0</v>
      </c>
      <c r="Y145" s="125">
        <v>0</v>
      </c>
      <c r="Z145" s="125">
        <v>0</v>
      </c>
      <c r="AA145" s="125">
        <v>0</v>
      </c>
      <c r="AB145" s="125">
        <v>0</v>
      </c>
      <c r="AC145" s="125">
        <v>0</v>
      </c>
      <c r="AD145" s="125">
        <v>0</v>
      </c>
      <c r="AE145" s="125">
        <v>0</v>
      </c>
      <c r="AF145" s="125">
        <v>0</v>
      </c>
      <c r="AG145" s="125">
        <v>0</v>
      </c>
      <c r="AH145" s="125">
        <v>0</v>
      </c>
      <c r="AI145" s="125">
        <v>0</v>
      </c>
      <c r="AJ145" s="97"/>
      <c r="AK145" s="96">
        <f>SUM(F145:AI145)</f>
        <v>0</v>
      </c>
      <c r="AM145" s="98"/>
      <c r="EA145" s="203"/>
      <c r="EB145" s="203"/>
      <c r="FH145" s="203"/>
      <c r="GP145" s="7"/>
      <c r="GQ145" s="203"/>
      <c r="GR145" s="203"/>
      <c r="GS145" s="203"/>
      <c r="GT145" s="203"/>
      <c r="IW145" s="203"/>
      <c r="MR145" s="203"/>
      <c r="MS145" s="203"/>
      <c r="MT145" s="203"/>
      <c r="MU145" s="203"/>
      <c r="RY145" s="203"/>
      <c r="RZ145" s="203"/>
      <c r="SB145" s="203"/>
      <c r="SP145" s="206"/>
      <c r="ST145" s="203"/>
      <c r="UW145" s="206"/>
    </row>
    <row r="146" spans="2:569 15038:15430" s="1" customFormat="1" hidden="1">
      <c r="B146" s="34">
        <v>8</v>
      </c>
      <c r="C146" s="16" t="s">
        <v>114</v>
      </c>
      <c r="D146" s="35"/>
      <c r="E146" s="35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83"/>
      <c r="AD146" s="36"/>
      <c r="AE146" s="36"/>
      <c r="AF146" s="36"/>
      <c r="AG146" s="36"/>
      <c r="AH146" s="36"/>
      <c r="AI146" s="36"/>
      <c r="AJ146" s="87"/>
      <c r="AK146" s="180" t="s">
        <v>62</v>
      </c>
      <c r="AM146" s="10"/>
      <c r="EA146" s="219"/>
      <c r="EB146" s="219"/>
      <c r="FH146" s="219"/>
      <c r="GP146" s="7"/>
      <c r="GQ146" s="219"/>
      <c r="GR146" s="219"/>
      <c r="GS146" s="219"/>
      <c r="GT146" s="219"/>
      <c r="IW146" s="219"/>
      <c r="MR146" s="219"/>
      <c r="MS146" s="219"/>
      <c r="MT146" s="219"/>
      <c r="MU146" s="219"/>
      <c r="RY146" s="219"/>
      <c r="RZ146" s="219"/>
      <c r="SB146" s="219"/>
      <c r="SP146" s="240"/>
      <c r="ST146" s="219"/>
      <c r="UW146" s="240"/>
      <c r="VFJ146"/>
      <c r="VFK146"/>
      <c r="VFL146"/>
      <c r="VFM146"/>
      <c r="VFN146"/>
      <c r="VFO146"/>
      <c r="VFP146"/>
      <c r="VFQ146"/>
      <c r="VFR146"/>
      <c r="VFS146"/>
      <c r="VFT146"/>
      <c r="VFU146"/>
      <c r="VFV146"/>
      <c r="VFW146"/>
      <c r="VFX146"/>
      <c r="VFY146"/>
      <c r="VFZ146"/>
      <c r="VGA146"/>
      <c r="VGB146"/>
      <c r="VGC146"/>
      <c r="VGD146"/>
      <c r="VGE146"/>
      <c r="VGF146"/>
      <c r="VGG146"/>
      <c r="VGH146"/>
      <c r="VGI146"/>
      <c r="VGJ146"/>
      <c r="VGK146"/>
      <c r="VGL146"/>
      <c r="VGM146"/>
      <c r="VGN146"/>
      <c r="VGO146"/>
      <c r="VGP146"/>
      <c r="VGQ146"/>
      <c r="VGR146"/>
      <c r="VGS146"/>
      <c r="VGT146"/>
      <c r="VGU146"/>
      <c r="VGV146"/>
      <c r="VGW146"/>
      <c r="VGX146"/>
      <c r="VGY146"/>
      <c r="VGZ146"/>
      <c r="VHA146"/>
      <c r="VHB146"/>
      <c r="VHC146"/>
      <c r="VHD146"/>
      <c r="VHE146"/>
      <c r="VHF146"/>
      <c r="VHG146"/>
      <c r="VHH146"/>
      <c r="VHI146"/>
      <c r="VHJ146"/>
      <c r="VHK146"/>
      <c r="VHL146"/>
      <c r="VHM146"/>
      <c r="VHN146"/>
      <c r="VHO146"/>
      <c r="VHP146"/>
      <c r="VHQ146"/>
      <c r="VHR146"/>
      <c r="VHS146"/>
      <c r="VHT146"/>
      <c r="VHU146"/>
      <c r="VHV146"/>
      <c r="VHW146"/>
      <c r="VHX146"/>
      <c r="VHY146"/>
      <c r="VHZ146"/>
      <c r="VIA146"/>
      <c r="VIB146"/>
      <c r="VIC146"/>
      <c r="VID146"/>
      <c r="VIE146"/>
      <c r="VIF146"/>
      <c r="VIG146"/>
      <c r="VIH146"/>
      <c r="VII146"/>
      <c r="VIJ146"/>
      <c r="VIK146"/>
      <c r="VIL146"/>
      <c r="VIM146"/>
      <c r="VIN146"/>
      <c r="VIO146"/>
      <c r="VIP146"/>
      <c r="VIQ146"/>
      <c r="VIR146"/>
      <c r="VIS146"/>
      <c r="VIT146"/>
      <c r="VIU146"/>
      <c r="VIV146"/>
      <c r="VIW146"/>
      <c r="VIX146"/>
      <c r="VIY146"/>
      <c r="VIZ146"/>
      <c r="VJA146"/>
      <c r="VJB146"/>
      <c r="VJC146"/>
      <c r="VJD146"/>
      <c r="VJE146"/>
      <c r="VJF146"/>
      <c r="VJG146"/>
      <c r="VJH146"/>
      <c r="VJI146"/>
      <c r="VJJ146"/>
      <c r="VJK146"/>
      <c r="VJL146"/>
      <c r="VJM146"/>
      <c r="VJN146"/>
      <c r="VJO146"/>
      <c r="VJP146"/>
      <c r="VJQ146"/>
      <c r="VJR146"/>
      <c r="VJS146"/>
      <c r="VJT146"/>
      <c r="VJU146"/>
      <c r="VJV146"/>
      <c r="VJW146"/>
      <c r="VJX146"/>
      <c r="VJY146"/>
      <c r="VJZ146"/>
      <c r="VKA146"/>
      <c r="VKB146"/>
      <c r="VKC146"/>
      <c r="VKD146"/>
      <c r="VKE146"/>
      <c r="VKF146"/>
      <c r="VKG146"/>
      <c r="VKH146"/>
      <c r="VKI146"/>
      <c r="VKJ146"/>
      <c r="VKK146"/>
      <c r="VKL146"/>
      <c r="VKM146"/>
      <c r="VKN146"/>
      <c r="VKO146"/>
      <c r="VKP146"/>
      <c r="VKQ146"/>
      <c r="VKR146"/>
      <c r="VKS146"/>
      <c r="VKT146"/>
      <c r="VKU146"/>
      <c r="VKV146"/>
      <c r="VKW146"/>
      <c r="VKX146"/>
      <c r="VKY146"/>
      <c r="VKZ146"/>
      <c r="VLA146"/>
      <c r="VLB146"/>
      <c r="VLC146"/>
      <c r="VLD146"/>
      <c r="VLE146"/>
      <c r="VLF146"/>
      <c r="VLG146"/>
      <c r="VLH146"/>
      <c r="VLI146"/>
      <c r="VLJ146"/>
      <c r="VLK146"/>
      <c r="VLL146"/>
      <c r="VLM146"/>
      <c r="VLN146"/>
      <c r="VLO146"/>
      <c r="VLP146"/>
      <c r="VLQ146"/>
      <c r="VLR146"/>
      <c r="VLS146"/>
      <c r="VLT146"/>
      <c r="VLU146"/>
      <c r="VLV146"/>
      <c r="VLW146"/>
      <c r="VLX146"/>
      <c r="VLY146"/>
      <c r="VLZ146"/>
      <c r="VMA146"/>
      <c r="VMB146"/>
      <c r="VMC146"/>
      <c r="VMD146"/>
      <c r="VME146"/>
      <c r="VMF146"/>
      <c r="VMG146"/>
      <c r="VMH146"/>
      <c r="VMI146"/>
      <c r="VMJ146"/>
      <c r="VMK146"/>
      <c r="VML146"/>
      <c r="VMM146"/>
      <c r="VMN146"/>
      <c r="VMO146"/>
      <c r="VMP146"/>
      <c r="VMQ146"/>
      <c r="VMR146"/>
      <c r="VMS146"/>
      <c r="VMT146"/>
      <c r="VMU146"/>
      <c r="VMV146"/>
      <c r="VMW146"/>
      <c r="VMX146"/>
      <c r="VMY146"/>
      <c r="VMZ146"/>
      <c r="VNA146"/>
      <c r="VNB146"/>
      <c r="VNC146"/>
      <c r="VND146"/>
      <c r="VNE146"/>
      <c r="VNF146"/>
      <c r="VNG146"/>
      <c r="VNH146"/>
      <c r="VNI146"/>
      <c r="VNJ146"/>
      <c r="VNK146"/>
      <c r="VNL146"/>
      <c r="VNM146"/>
      <c r="VNN146"/>
      <c r="VNO146"/>
      <c r="VNP146"/>
      <c r="VNQ146"/>
      <c r="VNR146"/>
      <c r="VNS146"/>
      <c r="VNT146"/>
      <c r="VNU146"/>
      <c r="VNV146"/>
      <c r="VNW146"/>
      <c r="VNX146"/>
      <c r="VNY146"/>
      <c r="VNZ146"/>
      <c r="VOA146"/>
      <c r="VOB146"/>
      <c r="VOC146"/>
      <c r="VOD146"/>
      <c r="VOE146"/>
      <c r="VOF146"/>
      <c r="VOG146"/>
      <c r="VOH146"/>
      <c r="VOI146"/>
      <c r="VOJ146"/>
      <c r="VOK146"/>
      <c r="VOL146"/>
      <c r="VOM146"/>
      <c r="VON146"/>
      <c r="VOO146"/>
      <c r="VOP146"/>
      <c r="VOQ146"/>
      <c r="VOR146"/>
      <c r="VOS146"/>
      <c r="VOT146"/>
      <c r="VOU146"/>
      <c r="VOV146"/>
      <c r="VOW146"/>
      <c r="VOX146"/>
      <c r="VOY146"/>
      <c r="VOZ146"/>
      <c r="VPA146"/>
      <c r="VPB146"/>
      <c r="VPC146"/>
      <c r="VPD146"/>
      <c r="VPE146"/>
      <c r="VPF146"/>
      <c r="VPG146"/>
      <c r="VPH146"/>
      <c r="VPI146"/>
      <c r="VPJ146"/>
      <c r="VPK146"/>
      <c r="VPL146"/>
      <c r="VPM146"/>
      <c r="VPN146"/>
      <c r="VPO146"/>
      <c r="VPP146"/>
      <c r="VPQ146"/>
      <c r="VPR146"/>
      <c r="VPS146"/>
      <c r="VPT146"/>
      <c r="VPU146"/>
      <c r="VPV146"/>
      <c r="VPW146"/>
      <c r="VPX146"/>
      <c r="VPY146"/>
      <c r="VPZ146"/>
      <c r="VQA146"/>
      <c r="VQB146"/>
      <c r="VQC146"/>
      <c r="VQD146"/>
      <c r="VQE146"/>
      <c r="VQF146"/>
      <c r="VQG146"/>
      <c r="VQH146"/>
      <c r="VQI146"/>
      <c r="VQJ146"/>
      <c r="VQK146"/>
      <c r="VQL146"/>
      <c r="VQM146"/>
      <c r="VQN146"/>
      <c r="VQO146"/>
      <c r="VQP146"/>
      <c r="VQQ146"/>
      <c r="VQR146"/>
      <c r="VQS146"/>
      <c r="VQT146"/>
      <c r="VQU146"/>
      <c r="VQV146"/>
      <c r="VQW146"/>
      <c r="VQX146"/>
      <c r="VQY146"/>
      <c r="VQZ146"/>
      <c r="VRA146"/>
      <c r="VRB146"/>
      <c r="VRC146"/>
      <c r="VRD146"/>
      <c r="VRE146"/>
      <c r="VRF146"/>
      <c r="VRG146"/>
      <c r="VRH146"/>
      <c r="VRI146"/>
      <c r="VRJ146"/>
      <c r="VRK146"/>
      <c r="VRL146"/>
      <c r="VRM146"/>
      <c r="VRN146"/>
      <c r="VRO146"/>
      <c r="VRP146"/>
      <c r="VRQ146"/>
      <c r="VRR146"/>
      <c r="VRS146"/>
      <c r="VRT146"/>
      <c r="VRU146"/>
      <c r="VRV146"/>
      <c r="VRW146"/>
      <c r="VRX146"/>
      <c r="VRY146"/>
      <c r="VRZ146"/>
      <c r="VSA146"/>
      <c r="VSB146"/>
      <c r="VSC146"/>
      <c r="VSD146"/>
      <c r="VSE146"/>
      <c r="VSF146"/>
      <c r="VSG146"/>
      <c r="VSH146"/>
      <c r="VSI146"/>
      <c r="VSJ146"/>
      <c r="VSK146"/>
      <c r="VSL146"/>
      <c r="VSM146"/>
      <c r="VSN146"/>
      <c r="VSO146"/>
      <c r="VSP146"/>
      <c r="VSQ146"/>
      <c r="VSR146"/>
      <c r="VSS146"/>
      <c r="VST146"/>
      <c r="VSU146"/>
      <c r="VSV146"/>
      <c r="VSW146"/>
      <c r="VSX146"/>
      <c r="VSY146"/>
      <c r="VSZ146"/>
      <c r="VTA146"/>
      <c r="VTB146"/>
      <c r="VTC146"/>
      <c r="VTD146"/>
      <c r="VTE146"/>
      <c r="VTF146"/>
      <c r="VTG146"/>
      <c r="VTH146"/>
      <c r="VTI146"/>
      <c r="VTJ146"/>
      <c r="VTK146"/>
      <c r="VTL146"/>
      <c r="VTM146"/>
      <c r="VTN146"/>
      <c r="VTO146"/>
      <c r="VTP146"/>
      <c r="VTQ146"/>
      <c r="VTR146"/>
      <c r="VTS146"/>
      <c r="VTT146"/>
      <c r="VTU146"/>
      <c r="VTV146"/>
      <c r="VTW146"/>
      <c r="VTX146"/>
      <c r="VTY146"/>
      <c r="VTZ146"/>
      <c r="VUA146"/>
      <c r="VUB146"/>
      <c r="VUC146"/>
      <c r="VUD146"/>
      <c r="VUE146"/>
      <c r="VUF146"/>
      <c r="VUG146"/>
      <c r="VUH146"/>
      <c r="VUI146"/>
      <c r="VUJ146"/>
      <c r="VUK146"/>
      <c r="VUL146"/>
    </row>
    <row r="147" spans="2:569 15038:15430" s="1" customFormat="1" ht="13.8" hidden="1">
      <c r="B147" s="50"/>
      <c r="C147" s="192" t="s">
        <v>118</v>
      </c>
      <c r="D147" s="123"/>
      <c r="E147" s="193" t="s">
        <v>9</v>
      </c>
      <c r="F147" s="124">
        <v>0</v>
      </c>
      <c r="G147" s="124">
        <v>0</v>
      </c>
      <c r="H147" s="124">
        <v>0</v>
      </c>
      <c r="I147" s="124">
        <v>0</v>
      </c>
      <c r="J147" s="362">
        <v>0</v>
      </c>
      <c r="K147" s="362">
        <v>0</v>
      </c>
      <c r="L147" s="124">
        <v>0</v>
      </c>
      <c r="M147" s="124">
        <v>0</v>
      </c>
      <c r="N147" s="124">
        <v>0</v>
      </c>
      <c r="O147" s="124">
        <v>0</v>
      </c>
      <c r="P147" s="124">
        <v>0</v>
      </c>
      <c r="Q147" s="362">
        <v>0</v>
      </c>
      <c r="R147" s="362">
        <v>0</v>
      </c>
      <c r="S147" s="124">
        <v>0</v>
      </c>
      <c r="T147" s="124">
        <v>0</v>
      </c>
      <c r="U147" s="124">
        <v>0</v>
      </c>
      <c r="V147" s="124">
        <v>0</v>
      </c>
      <c r="W147" s="124">
        <v>0</v>
      </c>
      <c r="X147" s="124">
        <v>0</v>
      </c>
      <c r="Y147" s="124">
        <v>0</v>
      </c>
      <c r="Z147" s="124">
        <v>0</v>
      </c>
      <c r="AA147" s="124">
        <v>0</v>
      </c>
      <c r="AB147" s="124">
        <v>0</v>
      </c>
      <c r="AC147" s="124">
        <v>0</v>
      </c>
      <c r="AD147" s="124">
        <v>0</v>
      </c>
      <c r="AE147" s="124">
        <v>0</v>
      </c>
      <c r="AF147" s="124">
        <v>0</v>
      </c>
      <c r="AG147" s="124">
        <v>0</v>
      </c>
      <c r="AH147" s="124">
        <v>0</v>
      </c>
      <c r="AI147" s="124">
        <v>0</v>
      </c>
      <c r="AJ147" s="137"/>
      <c r="AK147" s="135">
        <f>SUM(F147:AI147)</f>
        <v>0</v>
      </c>
      <c r="AM147" s="98"/>
      <c r="BG147" s="214"/>
      <c r="EA147" s="203"/>
      <c r="EB147" s="203"/>
      <c r="FH147" s="203"/>
      <c r="GP147" s="7"/>
      <c r="GQ147" s="203"/>
      <c r="GR147" s="203"/>
      <c r="GS147" s="203"/>
      <c r="GT147" s="203"/>
      <c r="IW147" s="203"/>
      <c r="MR147" s="203"/>
      <c r="MS147" s="203"/>
      <c r="MT147" s="203"/>
      <c r="MU147" s="203"/>
      <c r="RY147" s="203"/>
      <c r="RZ147" s="203"/>
      <c r="SB147" s="203"/>
      <c r="SP147" s="206"/>
      <c r="ST147" s="203"/>
      <c r="UW147" s="206"/>
    </row>
    <row r="148" spans="2:569 15038:15430" s="1" customFormat="1" ht="13.8" hidden="1">
      <c r="B148" s="50"/>
      <c r="C148" s="192" t="s">
        <v>115</v>
      </c>
      <c r="D148" s="123"/>
      <c r="E148" s="193" t="s">
        <v>9</v>
      </c>
      <c r="F148" s="124">
        <v>0</v>
      </c>
      <c r="G148" s="124">
        <v>0</v>
      </c>
      <c r="H148" s="124">
        <v>0</v>
      </c>
      <c r="I148" s="124">
        <v>0</v>
      </c>
      <c r="J148" s="362">
        <v>0</v>
      </c>
      <c r="K148" s="362">
        <v>0</v>
      </c>
      <c r="L148" s="124">
        <v>0</v>
      </c>
      <c r="M148" s="124">
        <v>0</v>
      </c>
      <c r="N148" s="124">
        <v>0</v>
      </c>
      <c r="O148" s="124">
        <v>0</v>
      </c>
      <c r="P148" s="124">
        <v>0</v>
      </c>
      <c r="Q148" s="362">
        <v>0</v>
      </c>
      <c r="R148" s="362">
        <v>0</v>
      </c>
      <c r="S148" s="124">
        <v>0</v>
      </c>
      <c r="T148" s="124">
        <v>0</v>
      </c>
      <c r="U148" s="124">
        <v>0</v>
      </c>
      <c r="V148" s="124">
        <v>0</v>
      </c>
      <c r="W148" s="124">
        <v>0</v>
      </c>
      <c r="X148" s="124">
        <v>0</v>
      </c>
      <c r="Y148" s="124">
        <v>0</v>
      </c>
      <c r="Z148" s="124">
        <v>0</v>
      </c>
      <c r="AA148" s="124">
        <v>0</v>
      </c>
      <c r="AB148" s="124">
        <v>0</v>
      </c>
      <c r="AC148" s="124">
        <v>0</v>
      </c>
      <c r="AD148" s="124">
        <v>0</v>
      </c>
      <c r="AE148" s="124">
        <v>0</v>
      </c>
      <c r="AF148" s="124">
        <v>0</v>
      </c>
      <c r="AG148" s="124">
        <v>0</v>
      </c>
      <c r="AH148" s="124">
        <v>0</v>
      </c>
      <c r="AI148" s="124">
        <v>0</v>
      </c>
      <c r="AJ148" s="137"/>
      <c r="AK148" s="135">
        <f>SUM(AK149:AK150)</f>
        <v>0</v>
      </c>
      <c r="AM148" s="206">
        <f>Q149/1000</f>
        <v>0</v>
      </c>
      <c r="EA148" s="203"/>
      <c r="EB148" s="203"/>
      <c r="FH148" s="203"/>
      <c r="GP148" s="7"/>
      <c r="GQ148" s="203"/>
      <c r="GR148" s="203"/>
      <c r="GS148" s="203"/>
      <c r="GT148" s="203"/>
      <c r="IW148" s="203"/>
      <c r="MR148" s="203"/>
      <c r="MS148" s="203"/>
      <c r="MT148" s="203"/>
      <c r="MU148" s="203"/>
      <c r="RY148" s="203"/>
      <c r="RZ148" s="203"/>
      <c r="SB148" s="203"/>
      <c r="SP148" s="206"/>
      <c r="ST148" s="203"/>
      <c r="UW148" s="206"/>
    </row>
    <row r="149" spans="2:569 15038:15430" s="1" customFormat="1" hidden="1">
      <c r="B149" s="50"/>
      <c r="C149" s="194" t="s">
        <v>65</v>
      </c>
      <c r="D149" s="54"/>
      <c r="E149" s="183" t="s">
        <v>9</v>
      </c>
      <c r="F149" s="64">
        <f>SUM(F152:F154)*9.75348</f>
        <v>0</v>
      </c>
      <c r="G149" s="64">
        <f t="shared" ref="G149:T149" si="75">SUM(G152:G154)*9.75348</f>
        <v>0</v>
      </c>
      <c r="H149" s="64">
        <f t="shared" si="75"/>
        <v>0</v>
      </c>
      <c r="I149" s="64">
        <f t="shared" si="75"/>
        <v>0</v>
      </c>
      <c r="J149" s="352">
        <f t="shared" si="75"/>
        <v>0</v>
      </c>
      <c r="K149" s="352">
        <f t="shared" si="75"/>
        <v>0</v>
      </c>
      <c r="L149" s="64">
        <f t="shared" si="75"/>
        <v>0</v>
      </c>
      <c r="M149" s="64">
        <f t="shared" si="75"/>
        <v>0</v>
      </c>
      <c r="N149" s="64">
        <f t="shared" si="75"/>
        <v>0</v>
      </c>
      <c r="O149" s="64">
        <f t="shared" si="75"/>
        <v>0</v>
      </c>
      <c r="P149" s="64">
        <f t="shared" si="75"/>
        <v>0</v>
      </c>
      <c r="Q149" s="352">
        <f t="shared" si="75"/>
        <v>0</v>
      </c>
      <c r="R149" s="352">
        <f t="shared" si="75"/>
        <v>0</v>
      </c>
      <c r="S149" s="64">
        <f t="shared" si="75"/>
        <v>0</v>
      </c>
      <c r="T149" s="64">
        <f t="shared" si="75"/>
        <v>0</v>
      </c>
      <c r="U149" s="64">
        <f t="shared" ref="U149:AI149" si="76">SUM(U152:U154)*9.75348</f>
        <v>0</v>
      </c>
      <c r="V149" s="64">
        <f t="shared" si="76"/>
        <v>0</v>
      </c>
      <c r="W149" s="64">
        <f t="shared" si="76"/>
        <v>0</v>
      </c>
      <c r="X149" s="64">
        <f t="shared" si="76"/>
        <v>0</v>
      </c>
      <c r="Y149" s="64">
        <f t="shared" si="76"/>
        <v>0</v>
      </c>
      <c r="Z149" s="64">
        <f t="shared" si="76"/>
        <v>0</v>
      </c>
      <c r="AA149" s="64">
        <f t="shared" si="76"/>
        <v>0</v>
      </c>
      <c r="AB149" s="64">
        <f t="shared" si="76"/>
        <v>0</v>
      </c>
      <c r="AC149" s="64">
        <f t="shared" si="76"/>
        <v>0</v>
      </c>
      <c r="AD149" s="64">
        <f t="shared" si="76"/>
        <v>0</v>
      </c>
      <c r="AE149" s="64">
        <f t="shared" si="76"/>
        <v>0</v>
      </c>
      <c r="AF149" s="64">
        <f t="shared" si="76"/>
        <v>0</v>
      </c>
      <c r="AG149" s="64">
        <f t="shared" si="76"/>
        <v>0</v>
      </c>
      <c r="AH149" s="64">
        <f t="shared" si="76"/>
        <v>0</v>
      </c>
      <c r="AI149" s="64">
        <f t="shared" si="76"/>
        <v>0</v>
      </c>
      <c r="AJ149" s="97"/>
      <c r="AK149" s="99">
        <f>SUM(F149:AI149)</f>
        <v>0</v>
      </c>
      <c r="AM149" s="206"/>
      <c r="AO149" s="214"/>
      <c r="EA149" s="203"/>
      <c r="EB149" s="203"/>
      <c r="FH149" s="203"/>
      <c r="GP149" s="7"/>
      <c r="GQ149" s="203"/>
      <c r="GR149" s="203"/>
      <c r="GS149" s="203"/>
      <c r="GT149" s="203"/>
      <c r="IW149" s="203"/>
      <c r="MR149" s="203"/>
      <c r="MS149" s="203"/>
      <c r="MT149" s="203"/>
      <c r="MU149" s="203"/>
      <c r="RY149" s="203"/>
      <c r="RZ149" s="203"/>
      <c r="SB149" s="203"/>
      <c r="SP149" s="206"/>
      <c r="ST149" s="203"/>
      <c r="UW149" s="206"/>
    </row>
    <row r="150" spans="2:569 15038:15430" s="1" customFormat="1" hidden="1">
      <c r="B150" s="50"/>
      <c r="C150" s="194" t="s">
        <v>66</v>
      </c>
      <c r="D150" s="54"/>
      <c r="E150" s="183" t="s">
        <v>9</v>
      </c>
      <c r="F150" s="64">
        <f t="shared" ref="F150:AI150" si="77">F148-F149</f>
        <v>0</v>
      </c>
      <c r="G150" s="64">
        <f t="shared" si="77"/>
        <v>0</v>
      </c>
      <c r="H150" s="64">
        <f t="shared" si="77"/>
        <v>0</v>
      </c>
      <c r="I150" s="64">
        <f t="shared" si="77"/>
        <v>0</v>
      </c>
      <c r="J150" s="352">
        <f t="shared" si="77"/>
        <v>0</v>
      </c>
      <c r="K150" s="352">
        <f t="shared" si="77"/>
        <v>0</v>
      </c>
      <c r="L150" s="64">
        <f t="shared" si="77"/>
        <v>0</v>
      </c>
      <c r="M150" s="64">
        <f t="shared" si="77"/>
        <v>0</v>
      </c>
      <c r="N150" s="64">
        <f t="shared" si="77"/>
        <v>0</v>
      </c>
      <c r="O150" s="64">
        <f t="shared" si="77"/>
        <v>0</v>
      </c>
      <c r="P150" s="64">
        <f t="shared" si="77"/>
        <v>0</v>
      </c>
      <c r="Q150" s="352">
        <f t="shared" si="77"/>
        <v>0</v>
      </c>
      <c r="R150" s="352">
        <f t="shared" si="77"/>
        <v>0</v>
      </c>
      <c r="S150" s="64">
        <f t="shared" si="77"/>
        <v>0</v>
      </c>
      <c r="T150" s="64">
        <f t="shared" si="77"/>
        <v>0</v>
      </c>
      <c r="U150" s="64">
        <f t="shared" si="77"/>
        <v>0</v>
      </c>
      <c r="V150" s="64">
        <f t="shared" si="77"/>
        <v>0</v>
      </c>
      <c r="W150" s="64">
        <f t="shared" si="77"/>
        <v>0</v>
      </c>
      <c r="X150" s="64">
        <f t="shared" si="77"/>
        <v>0</v>
      </c>
      <c r="Y150" s="64">
        <f t="shared" si="77"/>
        <v>0</v>
      </c>
      <c r="Z150" s="64">
        <f t="shared" si="77"/>
        <v>0</v>
      </c>
      <c r="AA150" s="64">
        <f t="shared" si="77"/>
        <v>0</v>
      </c>
      <c r="AB150" s="64">
        <f t="shared" si="77"/>
        <v>0</v>
      </c>
      <c r="AC150" s="64">
        <f t="shared" si="77"/>
        <v>0</v>
      </c>
      <c r="AD150" s="64">
        <f t="shared" si="77"/>
        <v>0</v>
      </c>
      <c r="AE150" s="64">
        <f t="shared" si="77"/>
        <v>0</v>
      </c>
      <c r="AF150" s="64">
        <f t="shared" si="77"/>
        <v>0</v>
      </c>
      <c r="AG150" s="64">
        <f t="shared" si="77"/>
        <v>0</v>
      </c>
      <c r="AH150" s="64">
        <f t="shared" si="77"/>
        <v>0</v>
      </c>
      <c r="AI150" s="64">
        <f t="shared" si="77"/>
        <v>0</v>
      </c>
      <c r="AJ150" s="97"/>
      <c r="AK150" s="99">
        <f>SUM(F150:AI150)</f>
        <v>0</v>
      </c>
      <c r="AM150" s="215"/>
      <c r="AO150" s="214"/>
      <c r="EA150" s="203"/>
      <c r="EB150" s="203"/>
      <c r="FH150" s="203"/>
      <c r="GP150" s="7"/>
      <c r="GQ150" s="203"/>
      <c r="GR150" s="203"/>
      <c r="GS150" s="203"/>
      <c r="GT150" s="203"/>
      <c r="IW150" s="203"/>
      <c r="MR150" s="203"/>
      <c r="MS150" s="203"/>
      <c r="MT150" s="203"/>
      <c r="MU150" s="203"/>
      <c r="RY150" s="203"/>
      <c r="RZ150" s="203"/>
      <c r="SB150" s="203"/>
      <c r="SP150" s="206"/>
      <c r="ST150" s="203"/>
      <c r="UW150" s="206"/>
    </row>
    <row r="151" spans="2:569 15038:15430" s="1" customFormat="1" hidden="1">
      <c r="B151" s="50"/>
      <c r="C151" s="194" t="s">
        <v>67</v>
      </c>
      <c r="D151" s="54"/>
      <c r="E151" s="50"/>
      <c r="F151" s="40"/>
      <c r="G151" s="40"/>
      <c r="H151" s="40"/>
      <c r="I151" s="40"/>
      <c r="J151" s="349"/>
      <c r="K151" s="349"/>
      <c r="L151" s="40"/>
      <c r="M151" s="40"/>
      <c r="N151" s="40"/>
      <c r="O151" s="40"/>
      <c r="P151" s="40"/>
      <c r="Q151" s="349"/>
      <c r="R151" s="349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97"/>
      <c r="AK151" s="102" t="s">
        <v>67</v>
      </c>
      <c r="AM151" s="98"/>
      <c r="EA151" s="203"/>
      <c r="EB151" s="203"/>
      <c r="FH151" s="203"/>
      <c r="GP151" s="7"/>
      <c r="GQ151" s="203"/>
      <c r="GR151" s="203"/>
      <c r="GS151" s="203"/>
      <c r="GT151" s="203"/>
      <c r="IW151" s="203"/>
      <c r="MR151" s="203"/>
      <c r="MS151" s="203"/>
      <c r="MT151" s="203"/>
      <c r="MU151" s="203"/>
      <c r="RY151" s="203"/>
      <c r="RZ151" s="203"/>
      <c r="SB151" s="203"/>
      <c r="SP151" s="206"/>
      <c r="ST151" s="203"/>
      <c r="UW151" s="206"/>
    </row>
    <row r="152" spans="2:569 15038:15430" s="6" customFormat="1" ht="13.8" hidden="1">
      <c r="B152" s="22"/>
      <c r="C152" s="20" t="s">
        <v>116</v>
      </c>
      <c r="D152" s="21"/>
      <c r="E152" s="196" t="s">
        <v>69</v>
      </c>
      <c r="F152" s="125">
        <v>0</v>
      </c>
      <c r="G152" s="125">
        <v>0</v>
      </c>
      <c r="H152" s="125">
        <v>0</v>
      </c>
      <c r="I152" s="125">
        <v>0</v>
      </c>
      <c r="J152" s="359">
        <v>0</v>
      </c>
      <c r="K152" s="359">
        <v>0</v>
      </c>
      <c r="L152" s="125">
        <v>0</v>
      </c>
      <c r="M152" s="125">
        <v>0</v>
      </c>
      <c r="N152" s="125">
        <v>0</v>
      </c>
      <c r="O152" s="125">
        <v>0</v>
      </c>
      <c r="P152" s="125">
        <v>0</v>
      </c>
      <c r="Q152" s="359">
        <v>0</v>
      </c>
      <c r="R152" s="359">
        <v>0</v>
      </c>
      <c r="S152" s="125">
        <v>0</v>
      </c>
      <c r="T152" s="125">
        <v>0</v>
      </c>
      <c r="U152" s="125">
        <v>0</v>
      </c>
      <c r="V152" s="125">
        <v>0</v>
      </c>
      <c r="W152" s="125">
        <v>0</v>
      </c>
      <c r="X152" s="125">
        <v>0</v>
      </c>
      <c r="Y152" s="125">
        <v>0</v>
      </c>
      <c r="Z152" s="125">
        <v>0</v>
      </c>
      <c r="AA152" s="125">
        <v>0</v>
      </c>
      <c r="AB152" s="125">
        <v>0</v>
      </c>
      <c r="AC152" s="125">
        <v>0</v>
      </c>
      <c r="AD152" s="125">
        <v>0</v>
      </c>
      <c r="AE152" s="125">
        <v>0</v>
      </c>
      <c r="AF152" s="125">
        <v>0</v>
      </c>
      <c r="AG152" s="125">
        <v>0</v>
      </c>
      <c r="AH152" s="125">
        <v>0</v>
      </c>
      <c r="AI152" s="125">
        <v>0</v>
      </c>
      <c r="AJ152" s="104"/>
      <c r="AK152" s="105">
        <f>SUM(F152:AI152)</f>
        <v>0</v>
      </c>
      <c r="AM152" s="138"/>
      <c r="EA152" s="233"/>
      <c r="EB152" s="233"/>
      <c r="FH152" s="233"/>
      <c r="GP152" s="245"/>
      <c r="GQ152" s="233"/>
      <c r="GR152" s="233"/>
      <c r="GS152" s="233"/>
      <c r="GT152" s="233"/>
      <c r="IW152" s="233"/>
      <c r="MR152" s="233"/>
      <c r="MS152" s="233"/>
      <c r="MT152" s="233"/>
      <c r="MU152" s="233"/>
      <c r="RY152" s="233"/>
      <c r="RZ152" s="233"/>
      <c r="SB152" s="233"/>
      <c r="SP152" s="297"/>
      <c r="ST152" s="233"/>
      <c r="UW152" s="297"/>
    </row>
    <row r="153" spans="2:569 15038:15430" s="6" customFormat="1" ht="13.8" hidden="1">
      <c r="B153" s="22"/>
      <c r="C153" s="20" t="s">
        <v>117</v>
      </c>
      <c r="D153" s="21"/>
      <c r="E153" s="196" t="s">
        <v>69</v>
      </c>
      <c r="F153" s="125">
        <v>0</v>
      </c>
      <c r="G153" s="125">
        <v>0</v>
      </c>
      <c r="H153" s="125">
        <v>0</v>
      </c>
      <c r="I153" s="125">
        <v>0</v>
      </c>
      <c r="J153" s="359">
        <v>0</v>
      </c>
      <c r="K153" s="359">
        <v>0</v>
      </c>
      <c r="L153" s="125">
        <v>0</v>
      </c>
      <c r="M153" s="125">
        <v>0</v>
      </c>
      <c r="N153" s="125">
        <v>0</v>
      </c>
      <c r="O153" s="125">
        <v>0</v>
      </c>
      <c r="P153" s="125">
        <v>0</v>
      </c>
      <c r="Q153" s="359">
        <v>0</v>
      </c>
      <c r="R153" s="359">
        <v>0</v>
      </c>
      <c r="S153" s="125">
        <v>0</v>
      </c>
      <c r="T153" s="125">
        <v>0</v>
      </c>
      <c r="U153" s="125">
        <v>0</v>
      </c>
      <c r="V153" s="125">
        <v>0</v>
      </c>
      <c r="W153" s="125">
        <v>0</v>
      </c>
      <c r="X153" s="125">
        <v>0</v>
      </c>
      <c r="Y153" s="125">
        <v>0</v>
      </c>
      <c r="Z153" s="125">
        <v>0</v>
      </c>
      <c r="AA153" s="125">
        <v>0</v>
      </c>
      <c r="AB153" s="125">
        <v>0</v>
      </c>
      <c r="AC153" s="125">
        <v>0</v>
      </c>
      <c r="AD153" s="125">
        <v>0</v>
      </c>
      <c r="AE153" s="125">
        <v>0</v>
      </c>
      <c r="AF153" s="125">
        <v>0</v>
      </c>
      <c r="AG153" s="125">
        <v>0</v>
      </c>
      <c r="AH153" s="125">
        <v>0</v>
      </c>
      <c r="AI153" s="125">
        <v>0</v>
      </c>
      <c r="AJ153" s="104"/>
      <c r="AK153" s="105">
        <f>SUM(F153:AI153)</f>
        <v>0</v>
      </c>
      <c r="AM153" s="138"/>
      <c r="EA153" s="233"/>
      <c r="EB153" s="233"/>
      <c r="FH153" s="233"/>
      <c r="GP153" s="245"/>
      <c r="GQ153" s="233"/>
      <c r="GR153" s="233"/>
      <c r="GS153" s="233"/>
      <c r="GT153" s="233"/>
      <c r="IW153" s="233"/>
      <c r="MR153" s="233"/>
      <c r="MS153" s="233"/>
      <c r="MT153" s="233"/>
      <c r="MU153" s="233"/>
      <c r="RY153" s="233"/>
      <c r="RZ153" s="233"/>
      <c r="SB153" s="233"/>
      <c r="SP153" s="297"/>
      <c r="ST153" s="233"/>
      <c r="UW153" s="297"/>
    </row>
    <row r="154" spans="2:569 15038:15430" s="6" customFormat="1" ht="13.8" hidden="1">
      <c r="B154" s="22"/>
      <c r="C154" s="20" t="s">
        <v>121</v>
      </c>
      <c r="D154" s="21"/>
      <c r="E154" s="196" t="s">
        <v>69</v>
      </c>
      <c r="F154" s="125">
        <v>0</v>
      </c>
      <c r="G154" s="125">
        <v>0</v>
      </c>
      <c r="H154" s="125">
        <v>0</v>
      </c>
      <c r="I154" s="125">
        <v>0</v>
      </c>
      <c r="J154" s="359">
        <v>0</v>
      </c>
      <c r="K154" s="359">
        <v>0</v>
      </c>
      <c r="L154" s="125">
        <v>0</v>
      </c>
      <c r="M154" s="125">
        <v>0</v>
      </c>
      <c r="N154" s="125">
        <v>0</v>
      </c>
      <c r="O154" s="125">
        <v>0</v>
      </c>
      <c r="P154" s="125">
        <v>0</v>
      </c>
      <c r="Q154" s="359">
        <v>0</v>
      </c>
      <c r="R154" s="359">
        <v>0</v>
      </c>
      <c r="S154" s="125">
        <v>0</v>
      </c>
      <c r="T154" s="125">
        <v>0</v>
      </c>
      <c r="U154" s="125">
        <v>0</v>
      </c>
      <c r="V154" s="125">
        <v>0</v>
      </c>
      <c r="W154" s="125">
        <v>0</v>
      </c>
      <c r="X154" s="125">
        <v>0</v>
      </c>
      <c r="Y154" s="125">
        <v>0</v>
      </c>
      <c r="Z154" s="125">
        <v>0</v>
      </c>
      <c r="AA154" s="125">
        <v>0</v>
      </c>
      <c r="AB154" s="125">
        <v>0</v>
      </c>
      <c r="AC154" s="125">
        <v>0</v>
      </c>
      <c r="AD154" s="125">
        <v>0</v>
      </c>
      <c r="AE154" s="125">
        <v>0</v>
      </c>
      <c r="AF154" s="125">
        <v>0</v>
      </c>
      <c r="AG154" s="125">
        <v>0</v>
      </c>
      <c r="AH154" s="125">
        <v>0</v>
      </c>
      <c r="AI154" s="125">
        <v>0</v>
      </c>
      <c r="AJ154" s="104"/>
      <c r="AK154" s="105">
        <f>SUM(F154:AI154)</f>
        <v>0</v>
      </c>
      <c r="AM154" s="138"/>
      <c r="EA154" s="233"/>
      <c r="EB154" s="233"/>
      <c r="FH154" s="233"/>
      <c r="GP154" s="245"/>
      <c r="GQ154" s="233"/>
      <c r="GR154" s="233"/>
      <c r="GS154" s="233"/>
      <c r="GT154" s="233"/>
      <c r="IW154" s="233"/>
      <c r="MR154" s="233"/>
      <c r="MS154" s="233"/>
      <c r="MT154" s="233"/>
      <c r="MU154" s="233"/>
      <c r="RY154" s="233"/>
      <c r="RZ154" s="233"/>
      <c r="SB154" s="233"/>
      <c r="SP154" s="297"/>
      <c r="ST154" s="233"/>
      <c r="UW154" s="297"/>
    </row>
    <row r="155" spans="2:569 15038:15430" s="1" customFormat="1" hidden="1">
      <c r="B155" s="50"/>
      <c r="C155" s="194" t="s">
        <v>71</v>
      </c>
      <c r="D155" s="54"/>
      <c r="E155" s="50"/>
      <c r="F155" s="40"/>
      <c r="G155" s="40"/>
      <c r="H155" s="40"/>
      <c r="I155" s="40"/>
      <c r="J155" s="349"/>
      <c r="K155" s="349"/>
      <c r="L155" s="40"/>
      <c r="M155" s="40"/>
      <c r="N155" s="40"/>
      <c r="O155" s="40"/>
      <c r="P155" s="40"/>
      <c r="Q155" s="349"/>
      <c r="R155" s="349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97"/>
      <c r="AK155" s="102" t="s">
        <v>71</v>
      </c>
      <c r="AM155" s="98"/>
      <c r="EA155" s="203"/>
      <c r="EB155" s="203"/>
      <c r="FH155" s="203"/>
      <c r="GP155" s="7"/>
      <c r="GQ155" s="203"/>
      <c r="GR155" s="203"/>
      <c r="GS155" s="203"/>
      <c r="GT155" s="203"/>
      <c r="IW155" s="203"/>
      <c r="MR155" s="203"/>
      <c r="MS155" s="203"/>
      <c r="MT155" s="203"/>
      <c r="MU155" s="203"/>
      <c r="RY155" s="203"/>
      <c r="RZ155" s="203"/>
      <c r="SB155" s="203"/>
      <c r="SP155" s="206"/>
      <c r="ST155" s="203"/>
      <c r="UW155" s="206"/>
    </row>
    <row r="156" spans="2:569 15038:15430" s="1" customFormat="1" ht="13.8" hidden="1">
      <c r="B156" s="50"/>
      <c r="C156" s="20" t="s">
        <v>116</v>
      </c>
      <c r="D156" s="54"/>
      <c r="E156" s="183" t="s">
        <v>71</v>
      </c>
      <c r="F156" s="40">
        <f>F152*24</f>
        <v>0</v>
      </c>
      <c r="G156" s="40">
        <f t="shared" ref="G156:AI156" si="78">G152*24</f>
        <v>0</v>
      </c>
      <c r="H156" s="40">
        <f t="shared" si="78"/>
        <v>0</v>
      </c>
      <c r="I156" s="40">
        <f t="shared" si="78"/>
        <v>0</v>
      </c>
      <c r="J156" s="349">
        <f t="shared" si="78"/>
        <v>0</v>
      </c>
      <c r="K156" s="349">
        <f t="shared" si="78"/>
        <v>0</v>
      </c>
      <c r="L156" s="40">
        <f t="shared" si="78"/>
        <v>0</v>
      </c>
      <c r="M156" s="40">
        <f t="shared" si="78"/>
        <v>0</v>
      </c>
      <c r="N156" s="40">
        <f t="shared" si="78"/>
        <v>0</v>
      </c>
      <c r="O156" s="40">
        <f t="shared" si="78"/>
        <v>0</v>
      </c>
      <c r="P156" s="40">
        <f t="shared" si="78"/>
        <v>0</v>
      </c>
      <c r="Q156" s="349">
        <f t="shared" si="78"/>
        <v>0</v>
      </c>
      <c r="R156" s="349">
        <f t="shared" si="78"/>
        <v>0</v>
      </c>
      <c r="S156" s="40">
        <f t="shared" si="78"/>
        <v>0</v>
      </c>
      <c r="T156" s="40">
        <f t="shared" si="78"/>
        <v>0</v>
      </c>
      <c r="U156" s="40">
        <f t="shared" si="78"/>
        <v>0</v>
      </c>
      <c r="V156" s="40">
        <f t="shared" si="78"/>
        <v>0</v>
      </c>
      <c r="W156" s="40">
        <f t="shared" si="78"/>
        <v>0</v>
      </c>
      <c r="X156" s="40">
        <f t="shared" si="78"/>
        <v>0</v>
      </c>
      <c r="Y156" s="40">
        <f t="shared" si="78"/>
        <v>0</v>
      </c>
      <c r="Z156" s="40">
        <f t="shared" si="78"/>
        <v>0</v>
      </c>
      <c r="AA156" s="40">
        <f t="shared" si="78"/>
        <v>0</v>
      </c>
      <c r="AB156" s="40">
        <f t="shared" si="78"/>
        <v>0</v>
      </c>
      <c r="AC156" s="40">
        <f t="shared" si="78"/>
        <v>0</v>
      </c>
      <c r="AD156" s="40">
        <f t="shared" si="78"/>
        <v>0</v>
      </c>
      <c r="AE156" s="40">
        <f t="shared" si="78"/>
        <v>0</v>
      </c>
      <c r="AF156" s="40">
        <f t="shared" si="78"/>
        <v>0</v>
      </c>
      <c r="AG156" s="40">
        <f t="shared" si="78"/>
        <v>0</v>
      </c>
      <c r="AH156" s="40">
        <f t="shared" si="78"/>
        <v>0</v>
      </c>
      <c r="AI156" s="40">
        <f t="shared" si="78"/>
        <v>0</v>
      </c>
      <c r="AJ156" s="97"/>
      <c r="AK156" s="96">
        <f>AK152*24</f>
        <v>0</v>
      </c>
      <c r="AM156" s="215"/>
      <c r="EA156" s="203"/>
      <c r="EB156" s="203"/>
      <c r="FH156" s="203"/>
      <c r="GP156" s="7"/>
      <c r="GQ156" s="203"/>
      <c r="GR156" s="203"/>
      <c r="GS156" s="203"/>
      <c r="GT156" s="203"/>
      <c r="IW156" s="203"/>
      <c r="MR156" s="203"/>
      <c r="MS156" s="203"/>
      <c r="MT156" s="203"/>
      <c r="MU156" s="203"/>
      <c r="RY156" s="203"/>
      <c r="RZ156" s="203"/>
      <c r="SB156" s="203"/>
      <c r="SP156" s="206"/>
      <c r="ST156" s="203"/>
      <c r="UW156" s="206"/>
    </row>
    <row r="157" spans="2:569 15038:15430" s="1" customFormat="1" ht="13.8" hidden="1">
      <c r="B157" s="50"/>
      <c r="C157" s="20" t="s">
        <v>117</v>
      </c>
      <c r="D157" s="54"/>
      <c r="E157" s="183" t="s">
        <v>71</v>
      </c>
      <c r="F157" s="40">
        <f>F153*12</f>
        <v>0</v>
      </c>
      <c r="G157" s="40">
        <f t="shared" ref="G157:AI158" si="79">G153*12</f>
        <v>0</v>
      </c>
      <c r="H157" s="40">
        <f t="shared" si="79"/>
        <v>0</v>
      </c>
      <c r="I157" s="40">
        <f t="shared" si="79"/>
        <v>0</v>
      </c>
      <c r="J157" s="349">
        <f t="shared" si="79"/>
        <v>0</v>
      </c>
      <c r="K157" s="349">
        <f t="shared" si="79"/>
        <v>0</v>
      </c>
      <c r="L157" s="40">
        <f t="shared" si="79"/>
        <v>0</v>
      </c>
      <c r="M157" s="40">
        <f t="shared" si="79"/>
        <v>0</v>
      </c>
      <c r="N157" s="40">
        <f t="shared" si="79"/>
        <v>0</v>
      </c>
      <c r="O157" s="40">
        <f t="shared" si="79"/>
        <v>0</v>
      </c>
      <c r="P157" s="40">
        <f t="shared" si="79"/>
        <v>0</v>
      </c>
      <c r="Q157" s="349">
        <f t="shared" si="79"/>
        <v>0</v>
      </c>
      <c r="R157" s="349">
        <f t="shared" si="79"/>
        <v>0</v>
      </c>
      <c r="S157" s="40">
        <f t="shared" si="79"/>
        <v>0</v>
      </c>
      <c r="T157" s="40">
        <f t="shared" si="79"/>
        <v>0</v>
      </c>
      <c r="U157" s="40">
        <f t="shared" si="79"/>
        <v>0</v>
      </c>
      <c r="V157" s="40">
        <f t="shared" si="79"/>
        <v>0</v>
      </c>
      <c r="W157" s="40">
        <f t="shared" si="79"/>
        <v>0</v>
      </c>
      <c r="X157" s="40">
        <f t="shared" si="79"/>
        <v>0</v>
      </c>
      <c r="Y157" s="40">
        <f t="shared" si="79"/>
        <v>0</v>
      </c>
      <c r="Z157" s="40">
        <f t="shared" si="79"/>
        <v>0</v>
      </c>
      <c r="AA157" s="40">
        <f t="shared" si="79"/>
        <v>0</v>
      </c>
      <c r="AB157" s="40">
        <f t="shared" si="79"/>
        <v>0</v>
      </c>
      <c r="AC157" s="40">
        <f t="shared" si="79"/>
        <v>0</v>
      </c>
      <c r="AD157" s="40">
        <f t="shared" si="79"/>
        <v>0</v>
      </c>
      <c r="AE157" s="40">
        <f t="shared" si="79"/>
        <v>0</v>
      </c>
      <c r="AF157" s="40">
        <f t="shared" si="79"/>
        <v>0</v>
      </c>
      <c r="AG157" s="40">
        <f t="shared" si="79"/>
        <v>0</v>
      </c>
      <c r="AH157" s="40">
        <f t="shared" si="79"/>
        <v>0</v>
      </c>
      <c r="AI157" s="40">
        <f t="shared" si="79"/>
        <v>0</v>
      </c>
      <c r="AJ157" s="97"/>
      <c r="AK157" s="96">
        <f>AK153*12</f>
        <v>0</v>
      </c>
      <c r="AM157" s="98"/>
      <c r="EA157" s="203"/>
      <c r="EB157" s="203"/>
      <c r="FH157" s="203"/>
      <c r="GP157" s="7"/>
      <c r="GQ157" s="203"/>
      <c r="GR157" s="203"/>
      <c r="GS157" s="203"/>
      <c r="GT157" s="203"/>
      <c r="IW157" s="203"/>
      <c r="MR157" s="203"/>
      <c r="MS157" s="203"/>
      <c r="MT157" s="203"/>
      <c r="MU157" s="203"/>
      <c r="RY157" s="203"/>
      <c r="RZ157" s="203"/>
      <c r="SB157" s="203"/>
      <c r="SP157" s="206"/>
      <c r="ST157" s="203"/>
      <c r="UW157" s="206"/>
    </row>
    <row r="158" spans="2:569 15038:15430" s="1" customFormat="1" ht="13.8" hidden="1">
      <c r="B158" s="50"/>
      <c r="C158" s="20" t="s">
        <v>121</v>
      </c>
      <c r="D158" s="54"/>
      <c r="E158" s="183" t="s">
        <v>71</v>
      </c>
      <c r="F158" s="40">
        <f>F154*6</f>
        <v>0</v>
      </c>
      <c r="G158" s="40">
        <f t="shared" ref="G158:AC158" si="80">G154*6</f>
        <v>0</v>
      </c>
      <c r="H158" s="40">
        <f t="shared" si="80"/>
        <v>0</v>
      </c>
      <c r="I158" s="40">
        <f t="shared" si="80"/>
        <v>0</v>
      </c>
      <c r="J158" s="349">
        <f t="shared" si="80"/>
        <v>0</v>
      </c>
      <c r="K158" s="349">
        <f t="shared" si="80"/>
        <v>0</v>
      </c>
      <c r="L158" s="40">
        <f t="shared" si="80"/>
        <v>0</v>
      </c>
      <c r="M158" s="40">
        <f t="shared" si="80"/>
        <v>0</v>
      </c>
      <c r="N158" s="40">
        <f t="shared" si="80"/>
        <v>0</v>
      </c>
      <c r="O158" s="40">
        <f t="shared" si="80"/>
        <v>0</v>
      </c>
      <c r="P158" s="40">
        <f t="shared" si="80"/>
        <v>0</v>
      </c>
      <c r="Q158" s="349">
        <f t="shared" si="80"/>
        <v>0</v>
      </c>
      <c r="R158" s="349">
        <f t="shared" si="80"/>
        <v>0</v>
      </c>
      <c r="S158" s="40">
        <f t="shared" si="80"/>
        <v>0</v>
      </c>
      <c r="T158" s="40">
        <f t="shared" si="80"/>
        <v>0</v>
      </c>
      <c r="U158" s="40">
        <f t="shared" si="80"/>
        <v>0</v>
      </c>
      <c r="V158" s="40">
        <f t="shared" si="80"/>
        <v>0</v>
      </c>
      <c r="W158" s="40">
        <f t="shared" si="80"/>
        <v>0</v>
      </c>
      <c r="X158" s="40">
        <f t="shared" si="80"/>
        <v>0</v>
      </c>
      <c r="Y158" s="40">
        <f t="shared" si="80"/>
        <v>0</v>
      </c>
      <c r="Z158" s="40">
        <f t="shared" si="80"/>
        <v>0</v>
      </c>
      <c r="AA158" s="40">
        <f t="shared" si="80"/>
        <v>0</v>
      </c>
      <c r="AB158" s="40">
        <f t="shared" si="80"/>
        <v>0</v>
      </c>
      <c r="AC158" s="40">
        <f t="shared" si="80"/>
        <v>0</v>
      </c>
      <c r="AD158" s="40">
        <f t="shared" si="79"/>
        <v>0</v>
      </c>
      <c r="AE158" s="40">
        <f t="shared" si="79"/>
        <v>0</v>
      </c>
      <c r="AF158" s="40">
        <f t="shared" si="79"/>
        <v>0</v>
      </c>
      <c r="AG158" s="40">
        <f t="shared" si="79"/>
        <v>0</v>
      </c>
      <c r="AH158" s="40">
        <f t="shared" si="79"/>
        <v>0</v>
      </c>
      <c r="AI158" s="40">
        <f t="shared" si="79"/>
        <v>0</v>
      </c>
      <c r="AJ158" s="97"/>
      <c r="AK158" s="96">
        <f>AK154*6</f>
        <v>0</v>
      </c>
      <c r="AM158" s="98"/>
      <c r="EA158" s="203"/>
      <c r="EB158" s="203"/>
      <c r="FH158" s="203"/>
      <c r="GP158" s="7"/>
      <c r="GQ158" s="203"/>
      <c r="GR158" s="203"/>
      <c r="GS158" s="203"/>
      <c r="GT158" s="203"/>
      <c r="IW158" s="203"/>
      <c r="MR158" s="203"/>
      <c r="MS158" s="203"/>
      <c r="MT158" s="203"/>
      <c r="MU158" s="203"/>
      <c r="RY158" s="203"/>
      <c r="RZ158" s="203"/>
      <c r="SB158" s="203"/>
      <c r="SP158" s="206"/>
      <c r="ST158" s="203"/>
      <c r="UW158" s="206"/>
    </row>
    <row r="159" spans="2:569 15038:15430" s="1" customFormat="1" hidden="1">
      <c r="B159" s="50"/>
      <c r="C159" s="194" t="s">
        <v>72</v>
      </c>
      <c r="D159" s="54"/>
      <c r="E159" s="183" t="s">
        <v>73</v>
      </c>
      <c r="F159" s="40">
        <f>F148*45/1700</f>
        <v>0</v>
      </c>
      <c r="G159" s="40">
        <f t="shared" ref="G159:AI159" si="81">G148*45/1700</f>
        <v>0</v>
      </c>
      <c r="H159" s="40">
        <f t="shared" si="81"/>
        <v>0</v>
      </c>
      <c r="I159" s="40">
        <f t="shared" si="81"/>
        <v>0</v>
      </c>
      <c r="J159" s="349">
        <f t="shared" si="81"/>
        <v>0</v>
      </c>
      <c r="K159" s="349">
        <f t="shared" si="81"/>
        <v>0</v>
      </c>
      <c r="L159" s="40">
        <f t="shared" si="81"/>
        <v>0</v>
      </c>
      <c r="M159" s="40">
        <f t="shared" si="81"/>
        <v>0</v>
      </c>
      <c r="N159" s="40">
        <f t="shared" si="81"/>
        <v>0</v>
      </c>
      <c r="O159" s="40">
        <f t="shared" si="81"/>
        <v>0</v>
      </c>
      <c r="P159" s="40">
        <f t="shared" si="81"/>
        <v>0</v>
      </c>
      <c r="Q159" s="349">
        <f t="shared" si="81"/>
        <v>0</v>
      </c>
      <c r="R159" s="349">
        <f t="shared" si="81"/>
        <v>0</v>
      </c>
      <c r="S159" s="40">
        <f>S148*45/1700</f>
        <v>0</v>
      </c>
      <c r="T159" s="40">
        <f t="shared" si="81"/>
        <v>0</v>
      </c>
      <c r="U159" s="40">
        <f t="shared" si="81"/>
        <v>0</v>
      </c>
      <c r="V159" s="40">
        <f t="shared" si="81"/>
        <v>0</v>
      </c>
      <c r="W159" s="40">
        <f t="shared" si="81"/>
        <v>0</v>
      </c>
      <c r="X159" s="40">
        <f>X148*45/1700</f>
        <v>0</v>
      </c>
      <c r="Y159" s="40">
        <f>Y148*45/1700</f>
        <v>0</v>
      </c>
      <c r="Z159" s="40">
        <f t="shared" si="81"/>
        <v>0</v>
      </c>
      <c r="AA159" s="40">
        <f t="shared" si="81"/>
        <v>0</v>
      </c>
      <c r="AB159" s="40">
        <f t="shared" si="81"/>
        <v>0</v>
      </c>
      <c r="AC159" s="40">
        <f t="shared" si="81"/>
        <v>0</v>
      </c>
      <c r="AD159" s="40">
        <f t="shared" si="81"/>
        <v>0</v>
      </c>
      <c r="AE159" s="40">
        <f t="shared" si="81"/>
        <v>0</v>
      </c>
      <c r="AF159" s="40">
        <f t="shared" si="81"/>
        <v>0</v>
      </c>
      <c r="AG159" s="40">
        <f t="shared" si="81"/>
        <v>0</v>
      </c>
      <c r="AH159" s="40">
        <f t="shared" si="81"/>
        <v>0</v>
      </c>
      <c r="AI159" s="40">
        <f t="shared" si="81"/>
        <v>0</v>
      </c>
      <c r="AJ159" s="97"/>
      <c r="AK159" s="96">
        <f>SUM(F159:AI159)</f>
        <v>0</v>
      </c>
      <c r="AM159" s="98"/>
      <c r="EA159" s="203"/>
      <c r="EB159" s="203"/>
      <c r="FH159" s="203"/>
      <c r="GP159" s="7"/>
      <c r="GQ159" s="203"/>
      <c r="GR159" s="203"/>
      <c r="GS159" s="203"/>
      <c r="GT159" s="203"/>
      <c r="IW159" s="203"/>
      <c r="MR159" s="203"/>
      <c r="MS159" s="203"/>
      <c r="MT159" s="203"/>
      <c r="MU159" s="203"/>
      <c r="RY159" s="203"/>
      <c r="RZ159" s="203"/>
      <c r="SB159" s="203"/>
      <c r="SP159" s="206"/>
      <c r="ST159" s="203"/>
      <c r="UW159" s="206"/>
    </row>
    <row r="160" spans="2:569 15038:15430" s="1" customFormat="1" hidden="1">
      <c r="B160" s="50"/>
      <c r="C160" s="194" t="s">
        <v>74</v>
      </c>
      <c r="D160" s="54"/>
      <c r="E160" s="183" t="s">
        <v>75</v>
      </c>
      <c r="F160" s="40">
        <f t="shared" ref="F160:AH160" si="82">SUM(F152:F154)/500</f>
        <v>0</v>
      </c>
      <c r="G160" s="40">
        <f t="shared" si="82"/>
        <v>0</v>
      </c>
      <c r="H160" s="40">
        <f t="shared" si="82"/>
        <v>0</v>
      </c>
      <c r="I160" s="40">
        <f t="shared" si="82"/>
        <v>0</v>
      </c>
      <c r="J160" s="349">
        <f t="shared" si="82"/>
        <v>0</v>
      </c>
      <c r="K160" s="349">
        <f t="shared" si="82"/>
        <v>0</v>
      </c>
      <c r="L160" s="40">
        <f t="shared" si="82"/>
        <v>0</v>
      </c>
      <c r="M160" s="40">
        <f t="shared" si="82"/>
        <v>0</v>
      </c>
      <c r="N160" s="40">
        <f t="shared" si="82"/>
        <v>0</v>
      </c>
      <c r="O160" s="40">
        <f t="shared" si="82"/>
        <v>0</v>
      </c>
      <c r="P160" s="40">
        <f>SUM(P152:P154)/500</f>
        <v>0</v>
      </c>
      <c r="Q160" s="349">
        <f t="shared" si="82"/>
        <v>0</v>
      </c>
      <c r="R160" s="349">
        <f t="shared" si="82"/>
        <v>0</v>
      </c>
      <c r="S160" s="40">
        <f t="shared" si="82"/>
        <v>0</v>
      </c>
      <c r="T160" s="40">
        <f t="shared" si="82"/>
        <v>0</v>
      </c>
      <c r="U160" s="40">
        <f t="shared" si="82"/>
        <v>0</v>
      </c>
      <c r="V160" s="40">
        <f>SUM(V152:V154)/500</f>
        <v>0</v>
      </c>
      <c r="W160" s="40">
        <f t="shared" si="82"/>
        <v>0</v>
      </c>
      <c r="X160" s="40">
        <f>SUM(X152:X154)/500</f>
        <v>0</v>
      </c>
      <c r="Y160" s="40">
        <f t="shared" si="82"/>
        <v>0</v>
      </c>
      <c r="Z160" s="40">
        <f t="shared" si="82"/>
        <v>0</v>
      </c>
      <c r="AA160" s="40">
        <f t="shared" si="82"/>
        <v>0</v>
      </c>
      <c r="AB160" s="40">
        <f t="shared" si="82"/>
        <v>0</v>
      </c>
      <c r="AC160" s="40">
        <f t="shared" si="82"/>
        <v>0</v>
      </c>
      <c r="AD160" s="40">
        <f t="shared" si="82"/>
        <v>0</v>
      </c>
      <c r="AE160" s="40">
        <f t="shared" ref="AE160:AG160" si="83">SUM(AE152:AE154)/500</f>
        <v>0</v>
      </c>
      <c r="AF160" s="40">
        <f t="shared" si="83"/>
        <v>0</v>
      </c>
      <c r="AG160" s="40">
        <f t="shared" si="83"/>
        <v>0</v>
      </c>
      <c r="AH160" s="40">
        <f t="shared" si="82"/>
        <v>0</v>
      </c>
      <c r="AI160" s="40">
        <f t="shared" ref="AI160" si="84">SUM(AI152:AI154)/500</f>
        <v>0</v>
      </c>
      <c r="AJ160" s="97"/>
      <c r="AK160" s="96">
        <f>SUM(F160:AI160)</f>
        <v>0</v>
      </c>
      <c r="AM160" s="98"/>
      <c r="EA160" s="203"/>
      <c r="EB160" s="203"/>
      <c r="FH160" s="203"/>
      <c r="GP160" s="7"/>
      <c r="GQ160" s="203"/>
      <c r="GR160" s="203"/>
      <c r="GS160" s="203"/>
      <c r="GT160" s="203"/>
      <c r="IW160" s="203"/>
      <c r="MR160" s="203"/>
      <c r="MS160" s="203"/>
      <c r="MT160" s="203"/>
      <c r="MU160" s="203"/>
      <c r="RY160" s="203"/>
      <c r="RZ160" s="203"/>
      <c r="SB160" s="203"/>
      <c r="SP160" s="206"/>
      <c r="ST160" s="203"/>
      <c r="UW160" s="206"/>
    </row>
    <row r="161" spans="2:943 15038:15430" s="1" customFormat="1" hidden="1">
      <c r="B161" s="37"/>
      <c r="C161" s="16" t="s">
        <v>76</v>
      </c>
      <c r="D161" s="35"/>
      <c r="E161" s="35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83"/>
      <c r="AD161" s="36"/>
      <c r="AE161" s="36"/>
      <c r="AF161" s="36"/>
      <c r="AG161" s="36"/>
      <c r="AH161" s="36"/>
      <c r="AI161" s="36"/>
      <c r="AJ161" s="87"/>
      <c r="AK161" s="180" t="s">
        <v>77</v>
      </c>
      <c r="AM161" s="10"/>
      <c r="EA161" s="219"/>
      <c r="EB161" s="219"/>
      <c r="FH161" s="219"/>
      <c r="GP161" s="7"/>
      <c r="GQ161" s="219"/>
      <c r="GR161" s="219"/>
      <c r="GS161" s="219"/>
      <c r="GT161" s="219"/>
      <c r="IW161" s="219"/>
      <c r="MR161" s="219"/>
      <c r="MS161" s="219"/>
      <c r="MT161" s="219"/>
      <c r="MU161" s="219"/>
      <c r="RY161" s="219"/>
      <c r="RZ161" s="219"/>
      <c r="SB161" s="219"/>
      <c r="SP161" s="240"/>
      <c r="ST161" s="219"/>
      <c r="UW161" s="240"/>
      <c r="VFJ161"/>
      <c r="VFK161"/>
      <c r="VFL161"/>
      <c r="VFM161"/>
      <c r="VFN161"/>
      <c r="VFO161"/>
      <c r="VFP161"/>
      <c r="VFQ161"/>
      <c r="VFR161"/>
      <c r="VFS161"/>
      <c r="VFT161"/>
      <c r="VFU161"/>
      <c r="VFV161"/>
      <c r="VFW161"/>
      <c r="VFX161"/>
      <c r="VFY161"/>
      <c r="VFZ161"/>
      <c r="VGA161"/>
      <c r="VGB161"/>
      <c r="VGC161"/>
      <c r="VGD161"/>
      <c r="VGE161"/>
      <c r="VGF161"/>
      <c r="VGG161"/>
      <c r="VGH161"/>
      <c r="VGI161"/>
      <c r="VGJ161"/>
      <c r="VGK161"/>
      <c r="VGL161"/>
      <c r="VGM161"/>
      <c r="VGN161"/>
      <c r="VGO161"/>
      <c r="VGP161"/>
      <c r="VGQ161"/>
      <c r="VGR161"/>
      <c r="VGS161"/>
      <c r="VGT161"/>
      <c r="VGU161"/>
      <c r="VGV161"/>
      <c r="VGW161"/>
      <c r="VGX161"/>
      <c r="VGY161"/>
      <c r="VGZ161"/>
      <c r="VHA161"/>
      <c r="VHB161"/>
      <c r="VHC161"/>
      <c r="VHD161"/>
      <c r="VHE161"/>
      <c r="VHF161"/>
      <c r="VHG161"/>
      <c r="VHH161"/>
      <c r="VHI161"/>
      <c r="VHJ161"/>
      <c r="VHK161"/>
      <c r="VHL161"/>
      <c r="VHM161"/>
      <c r="VHN161"/>
      <c r="VHO161"/>
      <c r="VHP161"/>
      <c r="VHQ161"/>
      <c r="VHR161"/>
      <c r="VHS161"/>
      <c r="VHT161"/>
      <c r="VHU161"/>
      <c r="VHV161"/>
      <c r="VHW161"/>
      <c r="VHX161"/>
      <c r="VHY161"/>
      <c r="VHZ161"/>
      <c r="VIA161"/>
      <c r="VIB161"/>
      <c r="VIC161"/>
      <c r="VID161"/>
      <c r="VIE161"/>
      <c r="VIF161"/>
      <c r="VIG161"/>
      <c r="VIH161"/>
      <c r="VII161"/>
      <c r="VIJ161"/>
      <c r="VIK161"/>
      <c r="VIL161"/>
      <c r="VIM161"/>
      <c r="VIN161"/>
      <c r="VIO161"/>
      <c r="VIP161"/>
      <c r="VIQ161"/>
      <c r="VIR161"/>
      <c r="VIS161"/>
      <c r="VIT161"/>
      <c r="VIU161"/>
      <c r="VIV161"/>
      <c r="VIW161"/>
      <c r="VIX161"/>
      <c r="VIY161"/>
      <c r="VIZ161"/>
      <c r="VJA161"/>
      <c r="VJB161"/>
      <c r="VJC161"/>
      <c r="VJD161"/>
      <c r="VJE161"/>
      <c r="VJF161"/>
      <c r="VJG161"/>
      <c r="VJH161"/>
      <c r="VJI161"/>
      <c r="VJJ161"/>
      <c r="VJK161"/>
      <c r="VJL161"/>
      <c r="VJM161"/>
      <c r="VJN161"/>
      <c r="VJO161"/>
      <c r="VJP161"/>
      <c r="VJQ161"/>
      <c r="VJR161"/>
      <c r="VJS161"/>
      <c r="VJT161"/>
      <c r="VJU161"/>
      <c r="VJV161"/>
      <c r="VJW161"/>
      <c r="VJX161"/>
      <c r="VJY161"/>
      <c r="VJZ161"/>
      <c r="VKA161"/>
      <c r="VKB161"/>
      <c r="VKC161"/>
      <c r="VKD161"/>
      <c r="VKE161"/>
      <c r="VKF161"/>
      <c r="VKG161"/>
      <c r="VKH161"/>
      <c r="VKI161"/>
      <c r="VKJ161"/>
      <c r="VKK161"/>
      <c r="VKL161"/>
      <c r="VKM161"/>
      <c r="VKN161"/>
      <c r="VKO161"/>
      <c r="VKP161"/>
      <c r="VKQ161"/>
      <c r="VKR161"/>
      <c r="VKS161"/>
      <c r="VKT161"/>
      <c r="VKU161"/>
      <c r="VKV161"/>
      <c r="VKW161"/>
      <c r="VKX161"/>
      <c r="VKY161"/>
      <c r="VKZ161"/>
      <c r="VLA161"/>
      <c r="VLB161"/>
      <c r="VLC161"/>
      <c r="VLD161"/>
      <c r="VLE161"/>
      <c r="VLF161"/>
      <c r="VLG161"/>
      <c r="VLH161"/>
      <c r="VLI161"/>
      <c r="VLJ161"/>
      <c r="VLK161"/>
      <c r="VLL161"/>
      <c r="VLM161"/>
      <c r="VLN161"/>
      <c r="VLO161"/>
      <c r="VLP161"/>
      <c r="VLQ161"/>
      <c r="VLR161"/>
      <c r="VLS161"/>
      <c r="VLT161"/>
      <c r="VLU161"/>
      <c r="VLV161"/>
      <c r="VLW161"/>
      <c r="VLX161"/>
      <c r="VLY161"/>
      <c r="VLZ161"/>
      <c r="VMA161"/>
      <c r="VMB161"/>
      <c r="VMC161"/>
      <c r="VMD161"/>
      <c r="VME161"/>
      <c r="VMF161"/>
      <c r="VMG161"/>
      <c r="VMH161"/>
      <c r="VMI161"/>
      <c r="VMJ161"/>
      <c r="VMK161"/>
      <c r="VML161"/>
      <c r="VMM161"/>
      <c r="VMN161"/>
      <c r="VMO161"/>
      <c r="VMP161"/>
      <c r="VMQ161"/>
      <c r="VMR161"/>
      <c r="VMS161"/>
      <c r="VMT161"/>
      <c r="VMU161"/>
      <c r="VMV161"/>
      <c r="VMW161"/>
      <c r="VMX161"/>
      <c r="VMY161"/>
      <c r="VMZ161"/>
      <c r="VNA161"/>
      <c r="VNB161"/>
      <c r="VNC161"/>
      <c r="VND161"/>
      <c r="VNE161"/>
      <c r="VNF161"/>
      <c r="VNG161"/>
      <c r="VNH161"/>
      <c r="VNI161"/>
      <c r="VNJ161"/>
      <c r="VNK161"/>
      <c r="VNL161"/>
      <c r="VNM161"/>
      <c r="VNN161"/>
      <c r="VNO161"/>
      <c r="VNP161"/>
      <c r="VNQ161"/>
      <c r="VNR161"/>
      <c r="VNS161"/>
      <c r="VNT161"/>
      <c r="VNU161"/>
      <c r="VNV161"/>
      <c r="VNW161"/>
      <c r="VNX161"/>
      <c r="VNY161"/>
      <c r="VNZ161"/>
      <c r="VOA161"/>
      <c r="VOB161"/>
      <c r="VOC161"/>
      <c r="VOD161"/>
      <c r="VOE161"/>
      <c r="VOF161"/>
      <c r="VOG161"/>
      <c r="VOH161"/>
      <c r="VOI161"/>
      <c r="VOJ161"/>
      <c r="VOK161"/>
      <c r="VOL161"/>
      <c r="VOM161"/>
      <c r="VON161"/>
      <c r="VOO161"/>
      <c r="VOP161"/>
      <c r="VOQ161"/>
      <c r="VOR161"/>
      <c r="VOS161"/>
      <c r="VOT161"/>
      <c r="VOU161"/>
      <c r="VOV161"/>
      <c r="VOW161"/>
      <c r="VOX161"/>
      <c r="VOY161"/>
      <c r="VOZ161"/>
      <c r="VPA161"/>
      <c r="VPB161"/>
      <c r="VPC161"/>
      <c r="VPD161"/>
      <c r="VPE161"/>
      <c r="VPF161"/>
      <c r="VPG161"/>
      <c r="VPH161"/>
      <c r="VPI161"/>
      <c r="VPJ161"/>
      <c r="VPK161"/>
      <c r="VPL161"/>
      <c r="VPM161"/>
      <c r="VPN161"/>
      <c r="VPO161"/>
      <c r="VPP161"/>
      <c r="VPQ161"/>
      <c r="VPR161"/>
      <c r="VPS161"/>
      <c r="VPT161"/>
      <c r="VPU161"/>
      <c r="VPV161"/>
      <c r="VPW161"/>
      <c r="VPX161"/>
      <c r="VPY161"/>
      <c r="VPZ161"/>
      <c r="VQA161"/>
      <c r="VQB161"/>
      <c r="VQC161"/>
      <c r="VQD161"/>
      <c r="VQE161"/>
      <c r="VQF161"/>
      <c r="VQG161"/>
      <c r="VQH161"/>
      <c r="VQI161"/>
      <c r="VQJ161"/>
      <c r="VQK161"/>
      <c r="VQL161"/>
      <c r="VQM161"/>
      <c r="VQN161"/>
      <c r="VQO161"/>
      <c r="VQP161"/>
      <c r="VQQ161"/>
      <c r="VQR161"/>
      <c r="VQS161"/>
      <c r="VQT161"/>
      <c r="VQU161"/>
      <c r="VQV161"/>
      <c r="VQW161"/>
      <c r="VQX161"/>
      <c r="VQY161"/>
      <c r="VQZ161"/>
      <c r="VRA161"/>
      <c r="VRB161"/>
      <c r="VRC161"/>
      <c r="VRD161"/>
      <c r="VRE161"/>
      <c r="VRF161"/>
      <c r="VRG161"/>
      <c r="VRH161"/>
      <c r="VRI161"/>
      <c r="VRJ161"/>
      <c r="VRK161"/>
      <c r="VRL161"/>
      <c r="VRM161"/>
      <c r="VRN161"/>
      <c r="VRO161"/>
      <c r="VRP161"/>
      <c r="VRQ161"/>
      <c r="VRR161"/>
      <c r="VRS161"/>
      <c r="VRT161"/>
      <c r="VRU161"/>
      <c r="VRV161"/>
      <c r="VRW161"/>
      <c r="VRX161"/>
      <c r="VRY161"/>
      <c r="VRZ161"/>
      <c r="VSA161"/>
      <c r="VSB161"/>
      <c r="VSC161"/>
      <c r="VSD161"/>
      <c r="VSE161"/>
      <c r="VSF161"/>
      <c r="VSG161"/>
      <c r="VSH161"/>
      <c r="VSI161"/>
      <c r="VSJ161"/>
      <c r="VSK161"/>
      <c r="VSL161"/>
      <c r="VSM161"/>
      <c r="VSN161"/>
      <c r="VSO161"/>
      <c r="VSP161"/>
      <c r="VSQ161"/>
      <c r="VSR161"/>
      <c r="VSS161"/>
      <c r="VST161"/>
      <c r="VSU161"/>
      <c r="VSV161"/>
      <c r="VSW161"/>
      <c r="VSX161"/>
      <c r="VSY161"/>
      <c r="VSZ161"/>
      <c r="VTA161"/>
      <c r="VTB161"/>
      <c r="VTC161"/>
      <c r="VTD161"/>
      <c r="VTE161"/>
      <c r="VTF161"/>
      <c r="VTG161"/>
      <c r="VTH161"/>
      <c r="VTI161"/>
      <c r="VTJ161"/>
      <c r="VTK161"/>
      <c r="VTL161"/>
      <c r="VTM161"/>
      <c r="VTN161"/>
      <c r="VTO161"/>
      <c r="VTP161"/>
      <c r="VTQ161"/>
      <c r="VTR161"/>
      <c r="VTS161"/>
      <c r="VTT161"/>
      <c r="VTU161"/>
      <c r="VTV161"/>
      <c r="VTW161"/>
      <c r="VTX161"/>
      <c r="VTY161"/>
      <c r="VTZ161"/>
      <c r="VUA161"/>
      <c r="VUB161"/>
      <c r="VUC161"/>
      <c r="VUD161"/>
      <c r="VUE161"/>
      <c r="VUF161"/>
      <c r="VUG161"/>
      <c r="VUH161"/>
      <c r="VUI161"/>
      <c r="VUJ161"/>
      <c r="VUK161"/>
      <c r="VUL161"/>
    </row>
    <row r="162" spans="2:943 15038:15430" s="1" customFormat="1" hidden="1">
      <c r="B162" s="50"/>
      <c r="C162" s="194" t="s">
        <v>67</v>
      </c>
      <c r="D162" s="54"/>
      <c r="E162" s="50"/>
      <c r="F162" s="40"/>
      <c r="G162" s="40"/>
      <c r="H162" s="40"/>
      <c r="I162" s="40"/>
      <c r="J162" s="349"/>
      <c r="K162" s="349"/>
      <c r="L162" s="40"/>
      <c r="M162" s="40"/>
      <c r="N162" s="40"/>
      <c r="O162" s="40"/>
      <c r="P162" s="40"/>
      <c r="Q162" s="349"/>
      <c r="R162" s="349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97"/>
      <c r="AK162" s="102" t="s">
        <v>67</v>
      </c>
      <c r="AM162" s="98"/>
      <c r="EA162" s="203"/>
      <c r="EB162" s="203"/>
      <c r="FH162" s="203"/>
      <c r="GP162" s="7"/>
      <c r="GQ162" s="203"/>
      <c r="GR162" s="203"/>
      <c r="GS162" s="203"/>
      <c r="GT162" s="203"/>
      <c r="IW162" s="203"/>
      <c r="MR162" s="203"/>
      <c r="MS162" s="203"/>
      <c r="MT162" s="203"/>
      <c r="MU162" s="203"/>
      <c r="RY162" s="203"/>
      <c r="RZ162" s="203"/>
      <c r="SB162" s="203"/>
      <c r="SP162" s="206"/>
      <c r="ST162" s="203"/>
      <c r="UW162" s="206"/>
    </row>
    <row r="163" spans="2:943 15038:15430" s="1" customFormat="1" ht="13.8" hidden="1">
      <c r="B163" s="50"/>
      <c r="C163" s="20" t="s">
        <v>116</v>
      </c>
      <c r="D163" s="54"/>
      <c r="E163" s="183" t="s">
        <v>69</v>
      </c>
      <c r="F163" s="40">
        <v>0</v>
      </c>
      <c r="G163" s="40"/>
      <c r="H163" s="40"/>
      <c r="I163" s="40"/>
      <c r="J163" s="349"/>
      <c r="K163" s="349"/>
      <c r="L163" s="40"/>
      <c r="M163" s="40"/>
      <c r="N163" s="40"/>
      <c r="O163" s="40"/>
      <c r="P163" s="40"/>
      <c r="Q163" s="349"/>
      <c r="R163" s="349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97"/>
      <c r="AK163" s="96">
        <f>SUM(F163:AI163)</f>
        <v>0</v>
      </c>
      <c r="AM163" s="98"/>
      <c r="EA163" s="203"/>
      <c r="EB163" s="203"/>
      <c r="FH163" s="203"/>
      <c r="GP163" s="7"/>
      <c r="GQ163" s="203"/>
      <c r="GR163" s="203"/>
      <c r="GS163" s="203"/>
      <c r="GT163" s="203"/>
      <c r="IW163" s="203"/>
      <c r="MR163" s="203"/>
      <c r="MS163" s="203"/>
      <c r="MT163" s="203"/>
      <c r="MU163" s="203"/>
      <c r="RY163" s="203"/>
      <c r="RZ163" s="203"/>
      <c r="SB163" s="203"/>
      <c r="SP163" s="206"/>
      <c r="ST163" s="203"/>
      <c r="UW163" s="206"/>
    </row>
    <row r="164" spans="2:943 15038:15430" s="1" customFormat="1" ht="13.8" hidden="1">
      <c r="B164" s="50"/>
      <c r="C164" s="20" t="s">
        <v>117</v>
      </c>
      <c r="D164" s="54"/>
      <c r="E164" s="183" t="s">
        <v>69</v>
      </c>
      <c r="F164" s="40">
        <v>0</v>
      </c>
      <c r="G164" s="40"/>
      <c r="H164" s="40"/>
      <c r="I164" s="40"/>
      <c r="J164" s="349"/>
      <c r="K164" s="349"/>
      <c r="L164" s="40"/>
      <c r="M164" s="40"/>
      <c r="N164" s="40"/>
      <c r="O164" s="40"/>
      <c r="P164" s="40"/>
      <c r="Q164" s="349"/>
      <c r="R164" s="349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97"/>
      <c r="AK164" s="96">
        <f>SUM(F164:AI164)</f>
        <v>0</v>
      </c>
      <c r="AM164" s="98"/>
      <c r="EA164" s="203"/>
      <c r="EB164" s="203"/>
      <c r="FH164" s="203"/>
      <c r="GP164" s="7"/>
      <c r="GQ164" s="203"/>
      <c r="GR164" s="203"/>
      <c r="GS164" s="203"/>
      <c r="GT164" s="203"/>
      <c r="IW164" s="203"/>
      <c r="MR164" s="203"/>
      <c r="MS164" s="203"/>
      <c r="MT164" s="203"/>
      <c r="MU164" s="203"/>
      <c r="RY164" s="203"/>
      <c r="RZ164" s="203"/>
      <c r="SB164" s="203"/>
      <c r="SP164" s="206"/>
      <c r="ST164" s="203"/>
      <c r="UW164" s="206"/>
    </row>
    <row r="165" spans="2:943 15038:15430" s="1" customFormat="1" hidden="1">
      <c r="B165" s="50"/>
      <c r="C165" s="194" t="s">
        <v>71</v>
      </c>
      <c r="D165" s="54"/>
      <c r="E165" s="50"/>
      <c r="F165" s="40"/>
      <c r="G165" s="40"/>
      <c r="H165" s="40"/>
      <c r="I165" s="40"/>
      <c r="J165" s="349"/>
      <c r="K165" s="349"/>
      <c r="L165" s="40"/>
      <c r="M165" s="40"/>
      <c r="N165" s="40"/>
      <c r="O165" s="40"/>
      <c r="P165" s="40"/>
      <c r="Q165" s="349"/>
      <c r="R165" s="349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97"/>
      <c r="AK165" s="102" t="s">
        <v>71</v>
      </c>
      <c r="AM165" s="98"/>
      <c r="EA165" s="203"/>
      <c r="EB165" s="203"/>
      <c r="FH165" s="203"/>
      <c r="GP165" s="7"/>
      <c r="GQ165" s="203"/>
      <c r="GR165" s="203"/>
      <c r="GS165" s="203"/>
      <c r="GT165" s="203"/>
      <c r="IW165" s="203"/>
      <c r="MR165" s="203"/>
      <c r="MS165" s="203"/>
      <c r="MT165" s="203"/>
      <c r="MU165" s="203"/>
      <c r="RY165" s="203"/>
      <c r="RZ165" s="203"/>
      <c r="SB165" s="203"/>
      <c r="SP165" s="206"/>
      <c r="ST165" s="203"/>
      <c r="UW165" s="206"/>
    </row>
    <row r="166" spans="2:943 15038:15430" s="1" customFormat="1" ht="13.8" hidden="1">
      <c r="B166" s="50"/>
      <c r="C166" s="20" t="s">
        <v>116</v>
      </c>
      <c r="D166" s="54"/>
      <c r="E166" s="183" t="s">
        <v>71</v>
      </c>
      <c r="F166" s="40">
        <v>0</v>
      </c>
      <c r="G166" s="40"/>
      <c r="H166" s="40"/>
      <c r="I166" s="40"/>
      <c r="J166" s="349"/>
      <c r="K166" s="349"/>
      <c r="L166" s="40"/>
      <c r="M166" s="40"/>
      <c r="N166" s="40"/>
      <c r="O166" s="40"/>
      <c r="P166" s="40"/>
      <c r="Q166" s="349"/>
      <c r="R166" s="349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97"/>
      <c r="AK166" s="96">
        <f>SUM(F166:AI166)</f>
        <v>0</v>
      </c>
      <c r="AM166" s="98"/>
      <c r="EA166" s="203"/>
      <c r="EB166" s="203"/>
      <c r="FH166" s="203"/>
      <c r="GP166" s="7"/>
      <c r="GQ166" s="203"/>
      <c r="GR166" s="203"/>
      <c r="GS166" s="203"/>
      <c r="GT166" s="203"/>
      <c r="IW166" s="203"/>
      <c r="MR166" s="203"/>
      <c r="MS166" s="203"/>
      <c r="MT166" s="203"/>
      <c r="MU166" s="203"/>
      <c r="RY166" s="203"/>
      <c r="RZ166" s="203"/>
      <c r="SB166" s="203"/>
      <c r="SP166" s="206"/>
      <c r="ST166" s="203"/>
      <c r="UW166" s="206"/>
    </row>
    <row r="167" spans="2:943 15038:15430" s="1" customFormat="1" ht="13.8" hidden="1">
      <c r="B167" s="50"/>
      <c r="C167" s="20" t="s">
        <v>117</v>
      </c>
      <c r="D167" s="54"/>
      <c r="E167" s="183" t="s">
        <v>71</v>
      </c>
      <c r="F167" s="40">
        <v>0</v>
      </c>
      <c r="G167" s="40"/>
      <c r="H167" s="40"/>
      <c r="I167" s="40"/>
      <c r="J167" s="349"/>
      <c r="K167" s="349"/>
      <c r="L167" s="40"/>
      <c r="M167" s="40"/>
      <c r="N167" s="40"/>
      <c r="O167" s="40"/>
      <c r="P167" s="40"/>
      <c r="Q167" s="349"/>
      <c r="R167" s="349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97"/>
      <c r="AK167" s="96">
        <f>SUM(F167:AI167)</f>
        <v>0</v>
      </c>
      <c r="AM167" s="98"/>
      <c r="EA167" s="203"/>
      <c r="EB167" s="203"/>
      <c r="FH167" s="203"/>
      <c r="GP167" s="7"/>
      <c r="GQ167" s="203"/>
      <c r="GR167" s="203"/>
      <c r="GS167" s="203"/>
      <c r="GT167" s="203"/>
      <c r="IW167" s="203"/>
      <c r="MR167" s="203"/>
      <c r="MS167" s="203"/>
      <c r="MT167" s="203"/>
      <c r="MU167" s="203"/>
      <c r="RY167" s="203"/>
      <c r="RZ167" s="203"/>
      <c r="SB167" s="203"/>
      <c r="SP167" s="206"/>
      <c r="ST167" s="203"/>
      <c r="UW167" s="206"/>
    </row>
    <row r="168" spans="2:943 15038:15430" s="1" customFormat="1" hidden="1">
      <c r="B168" s="37"/>
      <c r="C168" s="16" t="s">
        <v>78</v>
      </c>
      <c r="D168" s="35"/>
      <c r="E168" s="35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83"/>
      <c r="AD168" s="36"/>
      <c r="AE168" s="36"/>
      <c r="AF168" s="36"/>
      <c r="AG168" s="36"/>
      <c r="AH168" s="36"/>
      <c r="AI168" s="36"/>
      <c r="AJ168" s="87"/>
      <c r="AK168" s="180" t="s">
        <v>77</v>
      </c>
      <c r="AM168" s="10"/>
      <c r="EA168" s="219"/>
      <c r="EB168" s="219"/>
      <c r="FH168" s="219"/>
      <c r="GP168" s="7"/>
      <c r="GQ168" s="219"/>
      <c r="GR168" s="219"/>
      <c r="GS168" s="219"/>
      <c r="GT168" s="219"/>
      <c r="IW168" s="219"/>
      <c r="MR168" s="219"/>
      <c r="MS168" s="219"/>
      <c r="MT168" s="219"/>
      <c r="MU168" s="219"/>
      <c r="RY168" s="219"/>
      <c r="RZ168" s="219"/>
      <c r="SB168" s="219"/>
      <c r="SP168" s="240"/>
      <c r="ST168" s="219"/>
      <c r="UW168" s="240"/>
      <c r="VFJ168"/>
      <c r="VFK168"/>
      <c r="VFL168"/>
      <c r="VFM168"/>
      <c r="VFN168"/>
      <c r="VFO168"/>
      <c r="VFP168"/>
      <c r="VFQ168"/>
      <c r="VFR168"/>
      <c r="VFS168"/>
      <c r="VFT168"/>
      <c r="VFU168"/>
      <c r="VFV168"/>
      <c r="VFW168"/>
      <c r="VFX168"/>
      <c r="VFY168"/>
      <c r="VFZ168"/>
      <c r="VGA168"/>
      <c r="VGB168"/>
      <c r="VGC168"/>
      <c r="VGD168"/>
      <c r="VGE168"/>
      <c r="VGF168"/>
      <c r="VGG168"/>
      <c r="VGH168"/>
      <c r="VGI168"/>
      <c r="VGJ168"/>
      <c r="VGK168"/>
      <c r="VGL168"/>
      <c r="VGM168"/>
      <c r="VGN168"/>
      <c r="VGO168"/>
      <c r="VGP168"/>
      <c r="VGQ168"/>
      <c r="VGR168"/>
      <c r="VGS168"/>
      <c r="VGT168"/>
      <c r="VGU168"/>
      <c r="VGV168"/>
      <c r="VGW168"/>
      <c r="VGX168"/>
      <c r="VGY168"/>
      <c r="VGZ168"/>
      <c r="VHA168"/>
      <c r="VHB168"/>
      <c r="VHC168"/>
      <c r="VHD168"/>
      <c r="VHE168"/>
      <c r="VHF168"/>
      <c r="VHG168"/>
      <c r="VHH168"/>
      <c r="VHI168"/>
      <c r="VHJ168"/>
      <c r="VHK168"/>
      <c r="VHL168"/>
      <c r="VHM168"/>
      <c r="VHN168"/>
      <c r="VHO168"/>
      <c r="VHP168"/>
      <c r="VHQ168"/>
      <c r="VHR168"/>
      <c r="VHS168"/>
      <c r="VHT168"/>
      <c r="VHU168"/>
      <c r="VHV168"/>
      <c r="VHW168"/>
      <c r="VHX168"/>
      <c r="VHY168"/>
      <c r="VHZ168"/>
      <c r="VIA168"/>
      <c r="VIB168"/>
      <c r="VIC168"/>
      <c r="VID168"/>
      <c r="VIE168"/>
      <c r="VIF168"/>
      <c r="VIG168"/>
      <c r="VIH168"/>
      <c r="VII168"/>
      <c r="VIJ168"/>
      <c r="VIK168"/>
      <c r="VIL168"/>
      <c r="VIM168"/>
      <c r="VIN168"/>
      <c r="VIO168"/>
      <c r="VIP168"/>
      <c r="VIQ168"/>
      <c r="VIR168"/>
      <c r="VIS168"/>
      <c r="VIT168"/>
      <c r="VIU168"/>
      <c r="VIV168"/>
      <c r="VIW168"/>
      <c r="VIX168"/>
      <c r="VIY168"/>
      <c r="VIZ168"/>
      <c r="VJA168"/>
      <c r="VJB168"/>
      <c r="VJC168"/>
      <c r="VJD168"/>
      <c r="VJE168"/>
      <c r="VJF168"/>
      <c r="VJG168"/>
      <c r="VJH168"/>
      <c r="VJI168"/>
      <c r="VJJ168"/>
      <c r="VJK168"/>
      <c r="VJL168"/>
      <c r="VJM168"/>
      <c r="VJN168"/>
      <c r="VJO168"/>
      <c r="VJP168"/>
      <c r="VJQ168"/>
      <c r="VJR168"/>
      <c r="VJS168"/>
      <c r="VJT168"/>
      <c r="VJU168"/>
      <c r="VJV168"/>
      <c r="VJW168"/>
      <c r="VJX168"/>
      <c r="VJY168"/>
      <c r="VJZ168"/>
      <c r="VKA168"/>
      <c r="VKB168"/>
      <c r="VKC168"/>
      <c r="VKD168"/>
      <c r="VKE168"/>
      <c r="VKF168"/>
      <c r="VKG168"/>
      <c r="VKH168"/>
      <c r="VKI168"/>
      <c r="VKJ168"/>
      <c r="VKK168"/>
      <c r="VKL168"/>
      <c r="VKM168"/>
      <c r="VKN168"/>
      <c r="VKO168"/>
      <c r="VKP168"/>
      <c r="VKQ168"/>
      <c r="VKR168"/>
      <c r="VKS168"/>
      <c r="VKT168"/>
      <c r="VKU168"/>
      <c r="VKV168"/>
      <c r="VKW168"/>
      <c r="VKX168"/>
      <c r="VKY168"/>
      <c r="VKZ168"/>
      <c r="VLA168"/>
      <c r="VLB168"/>
      <c r="VLC168"/>
      <c r="VLD168"/>
      <c r="VLE168"/>
      <c r="VLF168"/>
      <c r="VLG168"/>
      <c r="VLH168"/>
      <c r="VLI168"/>
      <c r="VLJ168"/>
      <c r="VLK168"/>
      <c r="VLL168"/>
      <c r="VLM168"/>
      <c r="VLN168"/>
      <c r="VLO168"/>
      <c r="VLP168"/>
      <c r="VLQ168"/>
      <c r="VLR168"/>
      <c r="VLS168"/>
      <c r="VLT168"/>
      <c r="VLU168"/>
      <c r="VLV168"/>
      <c r="VLW168"/>
      <c r="VLX168"/>
      <c r="VLY168"/>
      <c r="VLZ168"/>
      <c r="VMA168"/>
      <c r="VMB168"/>
      <c r="VMC168"/>
      <c r="VMD168"/>
      <c r="VME168"/>
      <c r="VMF168"/>
      <c r="VMG168"/>
      <c r="VMH168"/>
      <c r="VMI168"/>
      <c r="VMJ168"/>
      <c r="VMK168"/>
      <c r="VML168"/>
      <c r="VMM168"/>
      <c r="VMN168"/>
      <c r="VMO168"/>
      <c r="VMP168"/>
      <c r="VMQ168"/>
      <c r="VMR168"/>
      <c r="VMS168"/>
      <c r="VMT168"/>
      <c r="VMU168"/>
      <c r="VMV168"/>
      <c r="VMW168"/>
      <c r="VMX168"/>
      <c r="VMY168"/>
      <c r="VMZ168"/>
      <c r="VNA168"/>
      <c r="VNB168"/>
      <c r="VNC168"/>
      <c r="VND168"/>
      <c r="VNE168"/>
      <c r="VNF168"/>
      <c r="VNG168"/>
      <c r="VNH168"/>
      <c r="VNI168"/>
      <c r="VNJ168"/>
      <c r="VNK168"/>
      <c r="VNL168"/>
      <c r="VNM168"/>
      <c r="VNN168"/>
      <c r="VNO168"/>
      <c r="VNP168"/>
      <c r="VNQ168"/>
      <c r="VNR168"/>
      <c r="VNS168"/>
      <c r="VNT168"/>
      <c r="VNU168"/>
      <c r="VNV168"/>
      <c r="VNW168"/>
      <c r="VNX168"/>
      <c r="VNY168"/>
      <c r="VNZ168"/>
      <c r="VOA168"/>
      <c r="VOB168"/>
      <c r="VOC168"/>
      <c r="VOD168"/>
      <c r="VOE168"/>
      <c r="VOF168"/>
      <c r="VOG168"/>
      <c r="VOH168"/>
      <c r="VOI168"/>
      <c r="VOJ168"/>
      <c r="VOK168"/>
      <c r="VOL168"/>
      <c r="VOM168"/>
      <c r="VON168"/>
      <c r="VOO168"/>
      <c r="VOP168"/>
      <c r="VOQ168"/>
      <c r="VOR168"/>
      <c r="VOS168"/>
      <c r="VOT168"/>
      <c r="VOU168"/>
      <c r="VOV168"/>
      <c r="VOW168"/>
      <c r="VOX168"/>
      <c r="VOY168"/>
      <c r="VOZ168"/>
      <c r="VPA168"/>
      <c r="VPB168"/>
      <c r="VPC168"/>
      <c r="VPD168"/>
      <c r="VPE168"/>
      <c r="VPF168"/>
      <c r="VPG168"/>
      <c r="VPH168"/>
      <c r="VPI168"/>
      <c r="VPJ168"/>
      <c r="VPK168"/>
      <c r="VPL168"/>
      <c r="VPM168"/>
      <c r="VPN168"/>
      <c r="VPO168"/>
      <c r="VPP168"/>
      <c r="VPQ168"/>
      <c r="VPR168"/>
      <c r="VPS168"/>
      <c r="VPT168"/>
      <c r="VPU168"/>
      <c r="VPV168"/>
      <c r="VPW168"/>
      <c r="VPX168"/>
      <c r="VPY168"/>
      <c r="VPZ168"/>
      <c r="VQA168"/>
      <c r="VQB168"/>
      <c r="VQC168"/>
      <c r="VQD168"/>
      <c r="VQE168"/>
      <c r="VQF168"/>
      <c r="VQG168"/>
      <c r="VQH168"/>
      <c r="VQI168"/>
      <c r="VQJ168"/>
      <c r="VQK168"/>
      <c r="VQL168"/>
      <c r="VQM168"/>
      <c r="VQN168"/>
      <c r="VQO168"/>
      <c r="VQP168"/>
      <c r="VQQ168"/>
      <c r="VQR168"/>
      <c r="VQS168"/>
      <c r="VQT168"/>
      <c r="VQU168"/>
      <c r="VQV168"/>
      <c r="VQW168"/>
      <c r="VQX168"/>
      <c r="VQY168"/>
      <c r="VQZ168"/>
      <c r="VRA168"/>
      <c r="VRB168"/>
      <c r="VRC168"/>
      <c r="VRD168"/>
      <c r="VRE168"/>
      <c r="VRF168"/>
      <c r="VRG168"/>
      <c r="VRH168"/>
      <c r="VRI168"/>
      <c r="VRJ168"/>
      <c r="VRK168"/>
      <c r="VRL168"/>
      <c r="VRM168"/>
      <c r="VRN168"/>
      <c r="VRO168"/>
      <c r="VRP168"/>
      <c r="VRQ168"/>
      <c r="VRR168"/>
      <c r="VRS168"/>
      <c r="VRT168"/>
      <c r="VRU168"/>
      <c r="VRV168"/>
      <c r="VRW168"/>
      <c r="VRX168"/>
      <c r="VRY168"/>
      <c r="VRZ168"/>
      <c r="VSA168"/>
      <c r="VSB168"/>
      <c r="VSC168"/>
      <c r="VSD168"/>
      <c r="VSE168"/>
      <c r="VSF168"/>
      <c r="VSG168"/>
      <c r="VSH168"/>
      <c r="VSI168"/>
      <c r="VSJ168"/>
      <c r="VSK168"/>
      <c r="VSL168"/>
      <c r="VSM168"/>
      <c r="VSN168"/>
      <c r="VSO168"/>
      <c r="VSP168"/>
      <c r="VSQ168"/>
      <c r="VSR168"/>
      <c r="VSS168"/>
      <c r="VST168"/>
      <c r="VSU168"/>
      <c r="VSV168"/>
      <c r="VSW168"/>
      <c r="VSX168"/>
      <c r="VSY168"/>
      <c r="VSZ168"/>
      <c r="VTA168"/>
      <c r="VTB168"/>
      <c r="VTC168"/>
      <c r="VTD168"/>
      <c r="VTE168"/>
      <c r="VTF168"/>
      <c r="VTG168"/>
      <c r="VTH168"/>
      <c r="VTI168"/>
      <c r="VTJ168"/>
      <c r="VTK168"/>
      <c r="VTL168"/>
      <c r="VTM168"/>
      <c r="VTN168"/>
      <c r="VTO168"/>
      <c r="VTP168"/>
      <c r="VTQ168"/>
      <c r="VTR168"/>
      <c r="VTS168"/>
      <c r="VTT168"/>
      <c r="VTU168"/>
      <c r="VTV168"/>
      <c r="VTW168"/>
      <c r="VTX168"/>
      <c r="VTY168"/>
      <c r="VTZ168"/>
      <c r="VUA168"/>
      <c r="VUB168"/>
      <c r="VUC168"/>
      <c r="VUD168"/>
      <c r="VUE168"/>
      <c r="VUF168"/>
      <c r="VUG168"/>
      <c r="VUH168"/>
      <c r="VUI168"/>
      <c r="VUJ168"/>
      <c r="VUK168"/>
      <c r="VUL168"/>
    </row>
    <row r="169" spans="2:943 15038:15430" s="1" customFormat="1" hidden="1">
      <c r="B169" s="50"/>
      <c r="C169" s="194" t="s">
        <v>67</v>
      </c>
      <c r="D169" s="54"/>
      <c r="E169" s="50"/>
      <c r="F169" s="40"/>
      <c r="G169" s="40"/>
      <c r="H169" s="40"/>
      <c r="I169" s="40"/>
      <c r="J169" s="349"/>
      <c r="K169" s="349"/>
      <c r="L169" s="40"/>
      <c r="M169" s="40"/>
      <c r="N169" s="40"/>
      <c r="O169" s="40"/>
      <c r="P169" s="40"/>
      <c r="Q169" s="349"/>
      <c r="R169" s="349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97"/>
      <c r="AK169" s="102" t="s">
        <v>67</v>
      </c>
      <c r="AM169" s="98"/>
      <c r="EA169" s="203"/>
      <c r="EB169" s="203"/>
      <c r="FH169" s="203"/>
      <c r="GP169" s="7"/>
      <c r="GQ169" s="203"/>
      <c r="GR169" s="203"/>
      <c r="GS169" s="203"/>
      <c r="GT169" s="203"/>
      <c r="IW169" s="203"/>
      <c r="MR169" s="203"/>
      <c r="MS169" s="203"/>
      <c r="MT169" s="203"/>
      <c r="MU169" s="203"/>
      <c r="RY169" s="203"/>
      <c r="RZ169" s="203"/>
      <c r="SB169" s="203"/>
      <c r="SP169" s="206"/>
      <c r="ST169" s="203"/>
      <c r="UW169" s="206"/>
    </row>
    <row r="170" spans="2:943 15038:15430" s="1" customFormat="1" ht="13.8" hidden="1">
      <c r="B170" s="50"/>
      <c r="C170" s="20" t="s">
        <v>116</v>
      </c>
      <c r="D170" s="49">
        <v>0.3</v>
      </c>
      <c r="E170" s="183" t="s">
        <v>12</v>
      </c>
      <c r="F170" s="64" t="e">
        <f t="shared" ref="F170:AI170" si="85">F163/F152*100</f>
        <v>#DIV/0!</v>
      </c>
      <c r="G170" s="64" t="e">
        <f t="shared" si="85"/>
        <v>#DIV/0!</v>
      </c>
      <c r="H170" s="64" t="e">
        <f t="shared" si="85"/>
        <v>#DIV/0!</v>
      </c>
      <c r="I170" s="64" t="e">
        <f t="shared" si="85"/>
        <v>#DIV/0!</v>
      </c>
      <c r="J170" s="352" t="e">
        <f t="shared" si="85"/>
        <v>#DIV/0!</v>
      </c>
      <c r="K170" s="352" t="e">
        <f t="shared" si="85"/>
        <v>#DIV/0!</v>
      </c>
      <c r="L170" s="64" t="e">
        <f t="shared" si="85"/>
        <v>#DIV/0!</v>
      </c>
      <c r="M170" s="64" t="e">
        <f t="shared" si="85"/>
        <v>#DIV/0!</v>
      </c>
      <c r="N170" s="64" t="e">
        <f t="shared" si="85"/>
        <v>#DIV/0!</v>
      </c>
      <c r="O170" s="64" t="e">
        <f t="shared" si="85"/>
        <v>#DIV/0!</v>
      </c>
      <c r="P170" s="64" t="e">
        <f t="shared" si="85"/>
        <v>#DIV/0!</v>
      </c>
      <c r="Q170" s="352" t="e">
        <f t="shared" si="85"/>
        <v>#DIV/0!</v>
      </c>
      <c r="R170" s="352" t="e">
        <f t="shared" si="85"/>
        <v>#DIV/0!</v>
      </c>
      <c r="S170" s="64" t="e">
        <f t="shared" si="85"/>
        <v>#DIV/0!</v>
      </c>
      <c r="T170" s="64" t="e">
        <f t="shared" si="85"/>
        <v>#DIV/0!</v>
      </c>
      <c r="U170" s="64" t="e">
        <f t="shared" si="85"/>
        <v>#DIV/0!</v>
      </c>
      <c r="V170" s="64" t="e">
        <f t="shared" si="85"/>
        <v>#DIV/0!</v>
      </c>
      <c r="W170" s="64" t="e">
        <f t="shared" si="85"/>
        <v>#DIV/0!</v>
      </c>
      <c r="X170" s="64" t="e">
        <f t="shared" si="85"/>
        <v>#DIV/0!</v>
      </c>
      <c r="Y170" s="64" t="e">
        <f t="shared" si="85"/>
        <v>#DIV/0!</v>
      </c>
      <c r="Z170" s="64" t="e">
        <f t="shared" si="85"/>
        <v>#DIV/0!</v>
      </c>
      <c r="AA170" s="64" t="e">
        <f t="shared" si="85"/>
        <v>#DIV/0!</v>
      </c>
      <c r="AB170" s="64" t="e">
        <f t="shared" si="85"/>
        <v>#DIV/0!</v>
      </c>
      <c r="AC170" s="64" t="e">
        <f t="shared" si="85"/>
        <v>#DIV/0!</v>
      </c>
      <c r="AD170" s="64" t="e">
        <f t="shared" si="85"/>
        <v>#DIV/0!</v>
      </c>
      <c r="AE170" s="64" t="e">
        <f t="shared" si="85"/>
        <v>#DIV/0!</v>
      </c>
      <c r="AF170" s="64" t="e">
        <f t="shared" si="85"/>
        <v>#DIV/0!</v>
      </c>
      <c r="AG170" s="64" t="e">
        <f t="shared" si="85"/>
        <v>#DIV/0!</v>
      </c>
      <c r="AH170" s="64" t="e">
        <f t="shared" si="85"/>
        <v>#DIV/0!</v>
      </c>
      <c r="AI170" s="64" t="e">
        <f t="shared" si="85"/>
        <v>#DIV/0!</v>
      </c>
      <c r="AJ170" s="97"/>
      <c r="AK170" s="99" t="e">
        <f>AK163/AK152*100</f>
        <v>#DIV/0!</v>
      </c>
      <c r="AM170" s="98"/>
      <c r="EA170" s="203"/>
      <c r="EB170" s="203"/>
      <c r="FH170" s="203"/>
      <c r="GP170" s="7"/>
      <c r="GQ170" s="203"/>
      <c r="GR170" s="203"/>
      <c r="GS170" s="203"/>
      <c r="GT170" s="203"/>
      <c r="IW170" s="203"/>
      <c r="MR170" s="203"/>
      <c r="MS170" s="203"/>
      <c r="MT170" s="203"/>
      <c r="MU170" s="203"/>
      <c r="RY170" s="203"/>
      <c r="RZ170" s="203"/>
      <c r="SB170" s="203"/>
      <c r="SP170" s="206"/>
      <c r="ST170" s="203"/>
      <c r="UW170" s="206"/>
    </row>
    <row r="171" spans="2:943 15038:15430" s="1" customFormat="1" ht="13.8" hidden="1">
      <c r="B171" s="50"/>
      <c r="C171" s="20" t="s">
        <v>117</v>
      </c>
      <c r="D171" s="49">
        <v>0.3</v>
      </c>
      <c r="E171" s="183" t="s">
        <v>12</v>
      </c>
      <c r="F171" s="64" t="e">
        <f t="shared" ref="F171:AI171" si="86">F164/F154*100</f>
        <v>#DIV/0!</v>
      </c>
      <c r="G171" s="64" t="e">
        <f t="shared" si="86"/>
        <v>#DIV/0!</v>
      </c>
      <c r="H171" s="64" t="e">
        <f t="shared" si="86"/>
        <v>#DIV/0!</v>
      </c>
      <c r="I171" s="64" t="e">
        <f t="shared" si="86"/>
        <v>#DIV/0!</v>
      </c>
      <c r="J171" s="352" t="e">
        <f t="shared" si="86"/>
        <v>#DIV/0!</v>
      </c>
      <c r="K171" s="352" t="e">
        <f t="shared" si="86"/>
        <v>#DIV/0!</v>
      </c>
      <c r="L171" s="64" t="e">
        <f t="shared" si="86"/>
        <v>#DIV/0!</v>
      </c>
      <c r="M171" s="64" t="e">
        <f t="shared" si="86"/>
        <v>#DIV/0!</v>
      </c>
      <c r="N171" s="64" t="e">
        <f t="shared" si="86"/>
        <v>#DIV/0!</v>
      </c>
      <c r="O171" s="64" t="e">
        <f t="shared" si="86"/>
        <v>#DIV/0!</v>
      </c>
      <c r="P171" s="64" t="e">
        <f t="shared" si="86"/>
        <v>#DIV/0!</v>
      </c>
      <c r="Q171" s="352" t="e">
        <f t="shared" si="86"/>
        <v>#DIV/0!</v>
      </c>
      <c r="R171" s="352" t="e">
        <f t="shared" si="86"/>
        <v>#DIV/0!</v>
      </c>
      <c r="S171" s="64" t="e">
        <f t="shared" si="86"/>
        <v>#DIV/0!</v>
      </c>
      <c r="T171" s="64" t="e">
        <f t="shared" si="86"/>
        <v>#DIV/0!</v>
      </c>
      <c r="U171" s="64" t="e">
        <f t="shared" si="86"/>
        <v>#DIV/0!</v>
      </c>
      <c r="V171" s="64" t="e">
        <f t="shared" si="86"/>
        <v>#DIV/0!</v>
      </c>
      <c r="W171" s="64" t="e">
        <f t="shared" si="86"/>
        <v>#DIV/0!</v>
      </c>
      <c r="X171" s="64" t="e">
        <f t="shared" si="86"/>
        <v>#DIV/0!</v>
      </c>
      <c r="Y171" s="64" t="e">
        <f t="shared" si="86"/>
        <v>#DIV/0!</v>
      </c>
      <c r="Z171" s="64" t="e">
        <f t="shared" si="86"/>
        <v>#DIV/0!</v>
      </c>
      <c r="AA171" s="64" t="e">
        <f t="shared" si="86"/>
        <v>#DIV/0!</v>
      </c>
      <c r="AB171" s="64" t="e">
        <f t="shared" si="86"/>
        <v>#DIV/0!</v>
      </c>
      <c r="AC171" s="64" t="e">
        <f t="shared" si="86"/>
        <v>#DIV/0!</v>
      </c>
      <c r="AD171" s="64" t="e">
        <f t="shared" si="86"/>
        <v>#DIV/0!</v>
      </c>
      <c r="AE171" s="64" t="e">
        <f t="shared" si="86"/>
        <v>#DIV/0!</v>
      </c>
      <c r="AF171" s="64" t="e">
        <f t="shared" si="86"/>
        <v>#DIV/0!</v>
      </c>
      <c r="AG171" s="64" t="e">
        <f t="shared" si="86"/>
        <v>#DIV/0!</v>
      </c>
      <c r="AH171" s="64" t="e">
        <f t="shared" si="86"/>
        <v>#DIV/0!</v>
      </c>
      <c r="AI171" s="64" t="e">
        <f t="shared" si="86"/>
        <v>#DIV/0!</v>
      </c>
      <c r="AJ171" s="97"/>
      <c r="AK171" s="99" t="e">
        <f>AK164/AK154*100</f>
        <v>#DIV/0!</v>
      </c>
      <c r="AM171" s="98"/>
      <c r="EA171" s="203"/>
      <c r="EB171" s="203"/>
      <c r="FH171" s="203"/>
      <c r="GP171" s="7"/>
      <c r="GQ171" s="203"/>
      <c r="GR171" s="203"/>
      <c r="GS171" s="203"/>
      <c r="GT171" s="203"/>
      <c r="IW171" s="203"/>
      <c r="MR171" s="203"/>
      <c r="MS171" s="203"/>
      <c r="MT171" s="203"/>
      <c r="MU171" s="203"/>
      <c r="RY171" s="203"/>
      <c r="RZ171" s="203"/>
      <c r="SB171" s="203"/>
      <c r="SP171" s="206"/>
      <c r="ST171" s="203"/>
      <c r="UW171" s="206"/>
    </row>
    <row r="172" spans="2:943 15038:15430" s="1" customFormat="1" hidden="1">
      <c r="B172" s="50"/>
      <c r="C172" s="194" t="s">
        <v>71</v>
      </c>
      <c r="D172" s="49"/>
      <c r="E172" s="50"/>
      <c r="F172" s="64"/>
      <c r="G172" s="64"/>
      <c r="H172" s="64"/>
      <c r="I172" s="64"/>
      <c r="J172" s="352"/>
      <c r="K172" s="352"/>
      <c r="L172" s="64"/>
      <c r="M172" s="64"/>
      <c r="N172" s="64"/>
      <c r="O172" s="64"/>
      <c r="P172" s="64"/>
      <c r="Q172" s="352"/>
      <c r="R172" s="352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97"/>
      <c r="AK172" s="102" t="s">
        <v>71</v>
      </c>
      <c r="AM172" s="98"/>
      <c r="EA172" s="203"/>
      <c r="EB172" s="203"/>
      <c r="FH172" s="203"/>
      <c r="GP172" s="7"/>
      <c r="GQ172" s="203"/>
      <c r="GR172" s="203"/>
      <c r="GS172" s="203"/>
      <c r="GT172" s="203"/>
      <c r="IW172" s="203"/>
      <c r="MR172" s="203"/>
      <c r="MS172" s="203"/>
      <c r="MT172" s="203"/>
      <c r="MU172" s="203"/>
      <c r="RY172" s="203"/>
      <c r="RZ172" s="203"/>
      <c r="SB172" s="203"/>
      <c r="SP172" s="206"/>
      <c r="ST172" s="203"/>
      <c r="UW172" s="206"/>
    </row>
    <row r="173" spans="2:943 15038:15430" s="1" customFormat="1" ht="13.8" hidden="1">
      <c r="B173" s="50"/>
      <c r="C173" s="20" t="s">
        <v>116</v>
      </c>
      <c r="D173" s="49">
        <v>0.5</v>
      </c>
      <c r="E173" s="183" t="s">
        <v>12</v>
      </c>
      <c r="F173" s="64" t="e">
        <f t="shared" ref="F173:AI173" si="87">F166/F156*100</f>
        <v>#DIV/0!</v>
      </c>
      <c r="G173" s="64" t="e">
        <f t="shared" si="87"/>
        <v>#DIV/0!</v>
      </c>
      <c r="H173" s="64" t="e">
        <f t="shared" si="87"/>
        <v>#DIV/0!</v>
      </c>
      <c r="I173" s="64" t="e">
        <f t="shared" si="87"/>
        <v>#DIV/0!</v>
      </c>
      <c r="J173" s="352" t="e">
        <f t="shared" si="87"/>
        <v>#DIV/0!</v>
      </c>
      <c r="K173" s="352" t="e">
        <f t="shared" si="87"/>
        <v>#DIV/0!</v>
      </c>
      <c r="L173" s="64" t="e">
        <f t="shared" si="87"/>
        <v>#DIV/0!</v>
      </c>
      <c r="M173" s="64" t="e">
        <f t="shared" si="87"/>
        <v>#DIV/0!</v>
      </c>
      <c r="N173" s="64" t="e">
        <f t="shared" si="87"/>
        <v>#DIV/0!</v>
      </c>
      <c r="O173" s="64" t="e">
        <f t="shared" si="87"/>
        <v>#DIV/0!</v>
      </c>
      <c r="P173" s="64" t="e">
        <f t="shared" si="87"/>
        <v>#DIV/0!</v>
      </c>
      <c r="Q173" s="352" t="e">
        <f t="shared" si="87"/>
        <v>#DIV/0!</v>
      </c>
      <c r="R173" s="352" t="e">
        <f t="shared" si="87"/>
        <v>#DIV/0!</v>
      </c>
      <c r="S173" s="64" t="e">
        <f t="shared" si="87"/>
        <v>#DIV/0!</v>
      </c>
      <c r="T173" s="64" t="e">
        <f t="shared" si="87"/>
        <v>#DIV/0!</v>
      </c>
      <c r="U173" s="64" t="e">
        <f t="shared" si="87"/>
        <v>#DIV/0!</v>
      </c>
      <c r="V173" s="64" t="e">
        <f t="shared" si="87"/>
        <v>#DIV/0!</v>
      </c>
      <c r="W173" s="64" t="e">
        <f t="shared" si="87"/>
        <v>#DIV/0!</v>
      </c>
      <c r="X173" s="64" t="e">
        <f t="shared" si="87"/>
        <v>#DIV/0!</v>
      </c>
      <c r="Y173" s="64" t="e">
        <f t="shared" si="87"/>
        <v>#DIV/0!</v>
      </c>
      <c r="Z173" s="64" t="e">
        <f t="shared" si="87"/>
        <v>#DIV/0!</v>
      </c>
      <c r="AA173" s="64" t="e">
        <f t="shared" si="87"/>
        <v>#DIV/0!</v>
      </c>
      <c r="AB173" s="64" t="e">
        <f t="shared" si="87"/>
        <v>#DIV/0!</v>
      </c>
      <c r="AC173" s="64" t="e">
        <f t="shared" si="87"/>
        <v>#DIV/0!</v>
      </c>
      <c r="AD173" s="64" t="e">
        <f t="shared" si="87"/>
        <v>#DIV/0!</v>
      </c>
      <c r="AE173" s="64" t="e">
        <f t="shared" si="87"/>
        <v>#DIV/0!</v>
      </c>
      <c r="AF173" s="64" t="e">
        <f t="shared" si="87"/>
        <v>#DIV/0!</v>
      </c>
      <c r="AG173" s="64" t="e">
        <f t="shared" si="87"/>
        <v>#DIV/0!</v>
      </c>
      <c r="AH173" s="64" t="e">
        <f t="shared" si="87"/>
        <v>#DIV/0!</v>
      </c>
      <c r="AI173" s="64" t="e">
        <f t="shared" si="87"/>
        <v>#DIV/0!</v>
      </c>
      <c r="AJ173" s="97"/>
      <c r="AK173" s="99" t="e">
        <f>AK166/AK156*100</f>
        <v>#DIV/0!</v>
      </c>
      <c r="AM173" s="98"/>
      <c r="EA173" s="203"/>
      <c r="EB173" s="203"/>
      <c r="FH173" s="203"/>
      <c r="GP173" s="7"/>
      <c r="GQ173" s="203"/>
      <c r="GR173" s="203"/>
      <c r="GS173" s="203"/>
      <c r="GT173" s="203"/>
      <c r="IW173" s="203"/>
      <c r="MR173" s="203"/>
      <c r="MS173" s="203"/>
      <c r="MT173" s="203"/>
      <c r="MU173" s="203"/>
      <c r="RY173" s="203"/>
      <c r="RZ173" s="203"/>
      <c r="SB173" s="203"/>
      <c r="SP173" s="206"/>
      <c r="ST173" s="203"/>
      <c r="UW173" s="206"/>
    </row>
    <row r="174" spans="2:943 15038:15430" s="1" customFormat="1" ht="13.8" hidden="1">
      <c r="B174" s="50"/>
      <c r="C174" s="20" t="s">
        <v>117</v>
      </c>
      <c r="D174" s="49">
        <v>0.5</v>
      </c>
      <c r="E174" s="183" t="s">
        <v>12</v>
      </c>
      <c r="F174" s="64" t="e">
        <f t="shared" ref="F174:AI174" si="88">F167/F158*100</f>
        <v>#DIV/0!</v>
      </c>
      <c r="G174" s="64" t="e">
        <f t="shared" si="88"/>
        <v>#DIV/0!</v>
      </c>
      <c r="H174" s="64" t="e">
        <f t="shared" si="88"/>
        <v>#DIV/0!</v>
      </c>
      <c r="I174" s="64" t="e">
        <f t="shared" si="88"/>
        <v>#DIV/0!</v>
      </c>
      <c r="J174" s="352" t="e">
        <f t="shared" si="88"/>
        <v>#DIV/0!</v>
      </c>
      <c r="K174" s="352" t="e">
        <f t="shared" si="88"/>
        <v>#DIV/0!</v>
      </c>
      <c r="L174" s="64" t="e">
        <f t="shared" si="88"/>
        <v>#DIV/0!</v>
      </c>
      <c r="M174" s="64" t="e">
        <f t="shared" si="88"/>
        <v>#DIV/0!</v>
      </c>
      <c r="N174" s="64" t="e">
        <f t="shared" si="88"/>
        <v>#DIV/0!</v>
      </c>
      <c r="O174" s="64" t="e">
        <f t="shared" si="88"/>
        <v>#DIV/0!</v>
      </c>
      <c r="P174" s="64" t="e">
        <f t="shared" si="88"/>
        <v>#DIV/0!</v>
      </c>
      <c r="Q174" s="352" t="e">
        <f t="shared" si="88"/>
        <v>#DIV/0!</v>
      </c>
      <c r="R174" s="352" t="e">
        <f t="shared" si="88"/>
        <v>#DIV/0!</v>
      </c>
      <c r="S174" s="64" t="e">
        <f t="shared" si="88"/>
        <v>#DIV/0!</v>
      </c>
      <c r="T174" s="64" t="e">
        <f t="shared" si="88"/>
        <v>#DIV/0!</v>
      </c>
      <c r="U174" s="64" t="e">
        <f t="shared" si="88"/>
        <v>#DIV/0!</v>
      </c>
      <c r="V174" s="64" t="e">
        <f t="shared" si="88"/>
        <v>#DIV/0!</v>
      </c>
      <c r="W174" s="64" t="e">
        <f t="shared" si="88"/>
        <v>#DIV/0!</v>
      </c>
      <c r="X174" s="64" t="e">
        <f t="shared" si="88"/>
        <v>#DIV/0!</v>
      </c>
      <c r="Y174" s="64" t="e">
        <f t="shared" si="88"/>
        <v>#DIV/0!</v>
      </c>
      <c r="Z174" s="64" t="e">
        <f t="shared" si="88"/>
        <v>#DIV/0!</v>
      </c>
      <c r="AA174" s="64" t="e">
        <f t="shared" si="88"/>
        <v>#DIV/0!</v>
      </c>
      <c r="AB174" s="64" t="e">
        <f t="shared" si="88"/>
        <v>#DIV/0!</v>
      </c>
      <c r="AC174" s="64" t="e">
        <f t="shared" si="88"/>
        <v>#DIV/0!</v>
      </c>
      <c r="AD174" s="64" t="e">
        <f t="shared" si="88"/>
        <v>#DIV/0!</v>
      </c>
      <c r="AE174" s="64" t="e">
        <f t="shared" si="88"/>
        <v>#DIV/0!</v>
      </c>
      <c r="AF174" s="64" t="e">
        <f t="shared" si="88"/>
        <v>#DIV/0!</v>
      </c>
      <c r="AG174" s="64" t="e">
        <f t="shared" si="88"/>
        <v>#DIV/0!</v>
      </c>
      <c r="AH174" s="64" t="e">
        <f t="shared" si="88"/>
        <v>#DIV/0!</v>
      </c>
      <c r="AI174" s="64" t="e">
        <f t="shared" si="88"/>
        <v>#DIV/0!</v>
      </c>
      <c r="AJ174" s="97"/>
      <c r="AK174" s="99" t="e">
        <f>AK167/AK158*100</f>
        <v>#DIV/0!</v>
      </c>
      <c r="AM174" s="98"/>
      <c r="EA174" s="203"/>
      <c r="EB174" s="203"/>
      <c r="FH174" s="203"/>
      <c r="GP174" s="7"/>
      <c r="GQ174" s="203"/>
      <c r="GR174" s="203"/>
      <c r="GS174" s="203"/>
      <c r="GT174" s="203"/>
      <c r="IW174" s="203"/>
      <c r="MR174" s="203"/>
      <c r="MS174" s="203"/>
      <c r="MT174" s="203"/>
      <c r="MU174" s="203"/>
      <c r="RY174" s="203"/>
      <c r="RZ174" s="203"/>
      <c r="SB174" s="203"/>
      <c r="SP174" s="206"/>
      <c r="ST174" s="203"/>
      <c r="UW174" s="206"/>
    </row>
    <row r="175" spans="2:943 15038:15430">
      <c r="B175" s="34">
        <v>9</v>
      </c>
      <c r="C175" s="179" t="s">
        <v>82</v>
      </c>
      <c r="D175" s="35"/>
      <c r="E175" s="62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97"/>
      <c r="AK175" s="108" t="s">
        <v>83</v>
      </c>
    </row>
    <row r="176" spans="2:943 15038:15430" s="1" customFormat="1" ht="13.8">
      <c r="B176" s="37"/>
      <c r="C176" s="176" t="s">
        <v>84</v>
      </c>
      <c r="D176" s="54"/>
      <c r="E176" s="183" t="s">
        <v>85</v>
      </c>
      <c r="F176" s="131">
        <v>1486.7937999999999</v>
      </c>
      <c r="G176" s="131">
        <v>1393.5084999999999</v>
      </c>
      <c r="H176" s="131">
        <v>1457.0001999999999</v>
      </c>
      <c r="I176" s="131">
        <v>1314.5603000000001</v>
      </c>
      <c r="J176" s="363">
        <v>1507.9403</v>
      </c>
      <c r="K176" s="363">
        <v>1429.8118999999999</v>
      </c>
      <c r="L176" s="131">
        <v>1376.7791999999999</v>
      </c>
      <c r="M176" s="131">
        <v>1335.9126000000001</v>
      </c>
      <c r="N176" s="131">
        <v>1398.3449000000001</v>
      </c>
      <c r="O176" s="131">
        <v>1403.9749999999999</v>
      </c>
      <c r="P176" s="131">
        <v>1417.9566</v>
      </c>
      <c r="Q176" s="363">
        <v>1292.5192</v>
      </c>
      <c r="R176" s="363">
        <v>1328.0814</v>
      </c>
      <c r="S176" s="131">
        <v>1417.9078999999999</v>
      </c>
      <c r="T176" s="311">
        <v>1211.6505999999999</v>
      </c>
      <c r="U176" s="311">
        <v>507.90370000000001</v>
      </c>
      <c r="V176" s="311">
        <v>273.3202</v>
      </c>
      <c r="W176" s="311">
        <v>322.17520000000002</v>
      </c>
      <c r="X176" s="311">
        <v>0</v>
      </c>
      <c r="Y176" s="311">
        <v>256.52359999999999</v>
      </c>
      <c r="Z176" s="311">
        <v>0</v>
      </c>
      <c r="AA176" s="133">
        <v>260.19209999999998</v>
      </c>
      <c r="AB176" s="133">
        <v>372.73349999999999</v>
      </c>
      <c r="AC176" s="133">
        <v>0</v>
      </c>
      <c r="AD176" s="133">
        <v>0</v>
      </c>
      <c r="AE176" s="133">
        <v>0</v>
      </c>
      <c r="AF176" s="133">
        <v>0</v>
      </c>
      <c r="AG176" s="133">
        <f>0.2462105*1000</f>
        <v>246.2105</v>
      </c>
      <c r="AH176" s="133">
        <v>276.64429999999999</v>
      </c>
      <c r="AI176" s="133">
        <v>577.45230000000004</v>
      </c>
      <c r="AJ176" s="97"/>
      <c r="AK176" s="139">
        <f>SUM(F176:AI176)</f>
        <v>23865.897799999995</v>
      </c>
      <c r="AM176" s="98"/>
      <c r="EA176" s="203"/>
      <c r="EB176" s="203"/>
      <c r="FH176" s="203"/>
      <c r="GP176" s="7"/>
      <c r="GQ176" s="203"/>
      <c r="GR176" s="203"/>
      <c r="GS176" s="203"/>
      <c r="GT176" s="203"/>
      <c r="IW176" s="203"/>
      <c r="MR176" s="203"/>
      <c r="MS176" s="203"/>
      <c r="MT176" s="203"/>
      <c r="MU176" s="203"/>
      <c r="RY176" s="203"/>
      <c r="RZ176" s="203"/>
      <c r="SB176" s="203"/>
      <c r="SP176" s="206"/>
      <c r="ST176" s="203"/>
      <c r="UW176" s="206"/>
      <c r="AJG176" s="211"/>
    </row>
    <row r="177" spans="2:928" s="4" customFormat="1" ht="13.8">
      <c r="B177" s="55"/>
      <c r="C177" s="181" t="s">
        <v>86</v>
      </c>
      <c r="D177" s="128">
        <v>1269.566</v>
      </c>
      <c r="E177" s="182" t="s">
        <v>85</v>
      </c>
      <c r="F177" s="131">
        <v>1336.5744</v>
      </c>
      <c r="G177" s="131">
        <v>1388.5962</v>
      </c>
      <c r="H177" s="305">
        <v>1248.5388</v>
      </c>
      <c r="I177" s="305">
        <v>1449.5060000000001</v>
      </c>
      <c r="J177" s="378">
        <v>1366.0636</v>
      </c>
      <c r="K177" s="373">
        <v>1316.3083999999999</v>
      </c>
      <c r="L177" s="306">
        <v>1271.6360999999999</v>
      </c>
      <c r="M177" s="131">
        <v>1335.2184</v>
      </c>
      <c r="N177" s="131">
        <v>1337.9507000000001</v>
      </c>
      <c r="O177" s="131">
        <v>1365.8521000000001</v>
      </c>
      <c r="P177" s="133">
        <v>1243.3715999999999</v>
      </c>
      <c r="Q177" s="364">
        <v>1266.732</v>
      </c>
      <c r="R177" s="363">
        <v>1365.3148000000001</v>
      </c>
      <c r="S177" s="133">
        <v>1181.8631</v>
      </c>
      <c r="T177" s="311">
        <v>388.47160000000002</v>
      </c>
      <c r="U177" s="311">
        <v>53.9392</v>
      </c>
      <c r="V177" s="311">
        <v>113.41930000000001</v>
      </c>
      <c r="W177" s="311">
        <v>113.8503</v>
      </c>
      <c r="X177" s="311">
        <v>0</v>
      </c>
      <c r="Y177" s="311">
        <v>124.3981</v>
      </c>
      <c r="Z177" s="311">
        <v>0</v>
      </c>
      <c r="AA177" s="133">
        <v>165.93459999999999</v>
      </c>
      <c r="AB177" s="133">
        <v>153.6994</v>
      </c>
      <c r="AC177" s="311">
        <v>0</v>
      </c>
      <c r="AD177" s="311">
        <v>0</v>
      </c>
      <c r="AE177" s="311">
        <v>0</v>
      </c>
      <c r="AF177" s="311">
        <v>0</v>
      </c>
      <c r="AG177" s="312">
        <v>38.392499999999998</v>
      </c>
      <c r="AH177" s="133">
        <v>383.84809999999999</v>
      </c>
      <c r="AI177" s="133">
        <v>359.65839999999997</v>
      </c>
      <c r="AK177" s="140">
        <f>SUM(F177:AI177)</f>
        <v>20369.137699999999</v>
      </c>
      <c r="AM177" s="222">
        <f>AK177/AK30</f>
        <v>1566.8567461538462</v>
      </c>
      <c r="EA177" s="237"/>
      <c r="EB177" s="237"/>
      <c r="FH177" s="237"/>
      <c r="GP177" s="246"/>
      <c r="GQ177" s="237"/>
      <c r="GR177" s="237"/>
      <c r="GS177" s="237"/>
      <c r="GT177" s="237"/>
      <c r="IW177" s="237"/>
      <c r="MR177" s="237"/>
      <c r="MS177" s="237"/>
      <c r="MT177" s="237"/>
      <c r="MU177" s="237"/>
      <c r="RY177" s="237"/>
      <c r="RZ177" s="237"/>
      <c r="SB177" s="237"/>
      <c r="SP177" s="222"/>
      <c r="ST177" s="237"/>
      <c r="UW177" s="222"/>
    </row>
    <row r="178" spans="2:928">
      <c r="B178" s="50"/>
      <c r="C178" s="192" t="s">
        <v>87</v>
      </c>
      <c r="D178" s="54"/>
      <c r="E178" s="50"/>
      <c r="F178" s="133"/>
      <c r="G178" s="129"/>
      <c r="H178" s="129"/>
      <c r="I178" s="40"/>
      <c r="J178" s="379"/>
      <c r="K178" s="374"/>
      <c r="L178" s="132"/>
      <c r="M178" s="40"/>
      <c r="N178" s="40"/>
      <c r="O178" s="40"/>
      <c r="P178" s="40"/>
      <c r="Q178" s="365"/>
      <c r="R178" s="365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64"/>
      <c r="AD178" s="64"/>
      <c r="AE178" s="64"/>
      <c r="AF178" s="64"/>
      <c r="AG178" s="64"/>
      <c r="AH178" s="64"/>
      <c r="AI178" s="64"/>
      <c r="AJ178" s="97"/>
      <c r="AK178" s="160" t="s">
        <v>87</v>
      </c>
    </row>
    <row r="179" spans="2:928">
      <c r="B179" s="50"/>
      <c r="C179" s="176" t="s">
        <v>88</v>
      </c>
      <c r="D179" s="49">
        <v>253.91319999999999</v>
      </c>
      <c r="E179" s="183" t="s">
        <v>85</v>
      </c>
      <c r="F179" s="133">
        <v>323.67089726818824</v>
      </c>
      <c r="G179" s="133">
        <v>319.63359201369298</v>
      </c>
      <c r="H179" s="133">
        <v>269.31788895728687</v>
      </c>
      <c r="I179" s="133">
        <v>327.88884582503601</v>
      </c>
      <c r="J179" s="364">
        <v>250.77415536273918</v>
      </c>
      <c r="K179" s="364">
        <v>236.27471570648714</v>
      </c>
      <c r="L179" s="133">
        <v>238.98359439279147</v>
      </c>
      <c r="M179" s="133">
        <v>240.27588113682305</v>
      </c>
      <c r="N179" s="133">
        <v>237.85650736908238</v>
      </c>
      <c r="O179" s="133">
        <v>220.08165015660256</v>
      </c>
      <c r="P179" s="133">
        <v>206.69594675747558</v>
      </c>
      <c r="Q179" s="364">
        <v>195.99552521778477</v>
      </c>
      <c r="R179" s="364">
        <v>215.89393912638695</v>
      </c>
      <c r="S179" s="133">
        <v>181.90058850502481</v>
      </c>
      <c r="T179" s="133">
        <v>0</v>
      </c>
      <c r="U179" s="40">
        <v>0</v>
      </c>
      <c r="V179" s="40">
        <v>0</v>
      </c>
      <c r="W179" s="40">
        <v>0</v>
      </c>
      <c r="X179" s="40">
        <v>0</v>
      </c>
      <c r="Y179" s="40">
        <v>0</v>
      </c>
      <c r="Z179" s="40">
        <v>0</v>
      </c>
      <c r="AA179" s="40">
        <v>0</v>
      </c>
      <c r="AB179" s="40">
        <v>0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0</v>
      </c>
      <c r="AI179" s="40">
        <v>0</v>
      </c>
      <c r="AJ179" s="97"/>
      <c r="AK179" s="161">
        <f>SUM(F179:AI179)</f>
        <v>3465.2437277954018</v>
      </c>
      <c r="AM179" s="240"/>
      <c r="BG179" s="211"/>
      <c r="AAA179" s="211"/>
      <c r="AIR179" s="211"/>
    </row>
    <row r="180" spans="2:928">
      <c r="B180" s="50"/>
      <c r="C180" s="176" t="s">
        <v>89</v>
      </c>
      <c r="D180" s="49">
        <v>1015.6528</v>
      </c>
      <c r="E180" s="183" t="s">
        <v>85</v>
      </c>
      <c r="F180" s="133">
        <f>F177-F179</f>
        <v>1012.9035027318117</v>
      </c>
      <c r="G180" s="133">
        <f t="shared" ref="G180:AI180" si="89">G177-G179</f>
        <v>1068.9626079863069</v>
      </c>
      <c r="H180" s="133">
        <f t="shared" si="89"/>
        <v>979.22091104271317</v>
      </c>
      <c r="I180" s="133">
        <f t="shared" si="89"/>
        <v>1121.6171541749641</v>
      </c>
      <c r="J180" s="364">
        <f t="shared" si="89"/>
        <v>1115.2894446372607</v>
      </c>
      <c r="K180" s="364">
        <f t="shared" si="89"/>
        <v>1080.0336842935128</v>
      </c>
      <c r="L180" s="133">
        <f t="shared" si="89"/>
        <v>1032.6525056072085</v>
      </c>
      <c r="M180" s="133">
        <f t="shared" si="89"/>
        <v>1094.9425188631769</v>
      </c>
      <c r="N180" s="133">
        <f t="shared" si="89"/>
        <v>1100.0941926309176</v>
      </c>
      <c r="O180" s="133">
        <f t="shared" si="89"/>
        <v>1145.7704498433975</v>
      </c>
      <c r="P180" s="133">
        <f t="shared" si="89"/>
        <v>1036.6756532425243</v>
      </c>
      <c r="Q180" s="364">
        <f t="shared" si="89"/>
        <v>1070.7364747822153</v>
      </c>
      <c r="R180" s="364">
        <f t="shared" si="89"/>
        <v>1149.420860873613</v>
      </c>
      <c r="S180" s="133">
        <f t="shared" si="89"/>
        <v>999.96251149497516</v>
      </c>
      <c r="T180" s="133">
        <f t="shared" si="89"/>
        <v>388.47160000000002</v>
      </c>
      <c r="U180" s="133">
        <f t="shared" si="89"/>
        <v>53.9392</v>
      </c>
      <c r="V180" s="133">
        <f t="shared" si="89"/>
        <v>113.41930000000001</v>
      </c>
      <c r="W180" s="133">
        <f t="shared" si="89"/>
        <v>113.8503</v>
      </c>
      <c r="X180" s="133">
        <f t="shared" si="89"/>
        <v>0</v>
      </c>
      <c r="Y180" s="133">
        <f t="shared" si="89"/>
        <v>124.3981</v>
      </c>
      <c r="Z180" s="133">
        <f t="shared" si="89"/>
        <v>0</v>
      </c>
      <c r="AA180" s="133">
        <f t="shared" si="89"/>
        <v>165.93459999999999</v>
      </c>
      <c r="AB180" s="133">
        <f t="shared" si="89"/>
        <v>153.6994</v>
      </c>
      <c r="AC180" s="133">
        <f t="shared" si="89"/>
        <v>0</v>
      </c>
      <c r="AD180" s="133">
        <f t="shared" si="89"/>
        <v>0</v>
      </c>
      <c r="AE180" s="133">
        <f t="shared" si="89"/>
        <v>0</v>
      </c>
      <c r="AF180" s="133">
        <f t="shared" si="89"/>
        <v>0</v>
      </c>
      <c r="AG180" s="133">
        <f t="shared" si="89"/>
        <v>38.392499999999998</v>
      </c>
      <c r="AH180" s="133">
        <f t="shared" si="89"/>
        <v>383.84809999999999</v>
      </c>
      <c r="AI180" s="133">
        <f t="shared" si="89"/>
        <v>359.65839999999997</v>
      </c>
      <c r="AJ180" s="97"/>
      <c r="AK180" s="161">
        <f>SUM(F180:AI180)</f>
        <v>16903.893972204602</v>
      </c>
      <c r="ZZ180" s="211"/>
    </row>
    <row r="181" spans="2:928" s="5" customFormat="1" ht="13.8">
      <c r="B181" s="141"/>
      <c r="C181" s="197" t="s">
        <v>90</v>
      </c>
      <c r="D181" s="142">
        <f>SUM(D179:D180)</f>
        <v>1269.566</v>
      </c>
      <c r="E181" s="198" t="s">
        <v>85</v>
      </c>
      <c r="F181" s="157">
        <f t="shared" ref="F181:AI181" si="90">F177</f>
        <v>1336.5744</v>
      </c>
      <c r="G181" s="157">
        <f t="shared" si="90"/>
        <v>1388.5962</v>
      </c>
      <c r="H181" s="157">
        <f t="shared" si="90"/>
        <v>1248.5388</v>
      </c>
      <c r="I181" s="157">
        <f t="shared" si="90"/>
        <v>1449.5060000000001</v>
      </c>
      <c r="J181" s="366">
        <f t="shared" si="90"/>
        <v>1366.0636</v>
      </c>
      <c r="K181" s="366">
        <f t="shared" si="90"/>
        <v>1316.3083999999999</v>
      </c>
      <c r="L181" s="157">
        <f t="shared" si="90"/>
        <v>1271.6360999999999</v>
      </c>
      <c r="M181" s="157">
        <f t="shared" si="90"/>
        <v>1335.2184</v>
      </c>
      <c r="N181" s="157">
        <f t="shared" si="90"/>
        <v>1337.9507000000001</v>
      </c>
      <c r="O181" s="157">
        <f t="shared" si="90"/>
        <v>1365.8521000000001</v>
      </c>
      <c r="P181" s="157">
        <f t="shared" si="90"/>
        <v>1243.3715999999999</v>
      </c>
      <c r="Q181" s="366">
        <f t="shared" si="90"/>
        <v>1266.732</v>
      </c>
      <c r="R181" s="366">
        <f t="shared" si="90"/>
        <v>1365.3148000000001</v>
      </c>
      <c r="S181" s="157">
        <f t="shared" si="90"/>
        <v>1181.8631</v>
      </c>
      <c r="T181" s="157">
        <f t="shared" si="90"/>
        <v>388.47160000000002</v>
      </c>
      <c r="U181" s="157">
        <f t="shared" si="90"/>
        <v>53.9392</v>
      </c>
      <c r="V181" s="157">
        <f t="shared" si="90"/>
        <v>113.41930000000001</v>
      </c>
      <c r="W181" s="157">
        <f t="shared" si="90"/>
        <v>113.8503</v>
      </c>
      <c r="X181" s="157">
        <f t="shared" si="90"/>
        <v>0</v>
      </c>
      <c r="Y181" s="157">
        <f t="shared" si="90"/>
        <v>124.3981</v>
      </c>
      <c r="Z181" s="157">
        <f t="shared" si="90"/>
        <v>0</v>
      </c>
      <c r="AA181" s="157">
        <f t="shared" si="90"/>
        <v>165.93459999999999</v>
      </c>
      <c r="AB181" s="157">
        <f t="shared" si="90"/>
        <v>153.6994</v>
      </c>
      <c r="AC181" s="157">
        <f t="shared" si="90"/>
        <v>0</v>
      </c>
      <c r="AD181" s="157">
        <f t="shared" si="90"/>
        <v>0</v>
      </c>
      <c r="AE181" s="157">
        <f t="shared" si="90"/>
        <v>0</v>
      </c>
      <c r="AF181" s="157">
        <f t="shared" si="90"/>
        <v>0</v>
      </c>
      <c r="AG181" s="157">
        <f t="shared" si="90"/>
        <v>38.392499999999998</v>
      </c>
      <c r="AH181" s="157">
        <f t="shared" si="90"/>
        <v>383.84809999999999</v>
      </c>
      <c r="AI181" s="157">
        <f t="shared" si="90"/>
        <v>359.65839999999997</v>
      </c>
      <c r="AJ181" s="137"/>
      <c r="AK181" s="162">
        <f>SUM(AK179:AK180)</f>
        <v>20369.137700000003</v>
      </c>
      <c r="AM181" s="163"/>
      <c r="BG181" s="212"/>
      <c r="EA181" s="238"/>
      <c r="EB181" s="238"/>
      <c r="FH181" s="238"/>
      <c r="GP181" s="247"/>
      <c r="GQ181" s="238"/>
      <c r="GR181" s="238"/>
      <c r="GS181" s="238"/>
      <c r="GT181" s="238"/>
      <c r="IW181" s="238"/>
      <c r="MR181" s="238"/>
      <c r="MS181" s="238"/>
      <c r="MT181" s="238"/>
      <c r="MU181" s="238"/>
      <c r="RY181" s="238"/>
      <c r="RZ181" s="238"/>
      <c r="SB181" s="238"/>
      <c r="SP181" s="298"/>
      <c r="ST181" s="238"/>
      <c r="UW181" s="298"/>
    </row>
    <row r="182" spans="2:928" s="5" customFormat="1" ht="13.8">
      <c r="B182" s="37">
        <v>10</v>
      </c>
      <c r="C182" s="199" t="s">
        <v>91</v>
      </c>
      <c r="D182" s="143"/>
      <c r="E182" s="143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37"/>
      <c r="AK182" s="164" t="s">
        <v>92</v>
      </c>
      <c r="AM182" s="163"/>
      <c r="EA182" s="238"/>
      <c r="EB182" s="238"/>
      <c r="FH182" s="238"/>
      <c r="GP182" s="247"/>
      <c r="GQ182" s="238"/>
      <c r="GR182" s="238"/>
      <c r="GS182" s="238"/>
      <c r="GT182" s="238"/>
      <c r="IW182" s="238"/>
      <c r="MR182" s="238"/>
      <c r="MS182" s="238"/>
      <c r="MT182" s="238"/>
      <c r="MU182" s="238"/>
      <c r="RY182" s="238"/>
      <c r="RZ182" s="238"/>
      <c r="SB182" s="238"/>
      <c r="SP182" s="298"/>
      <c r="ST182" s="238"/>
      <c r="UW182" s="298"/>
    </row>
    <row r="183" spans="2:928" s="5" customFormat="1" ht="13.8">
      <c r="B183" s="37"/>
      <c r="C183" s="176" t="s">
        <v>93</v>
      </c>
      <c r="D183" s="42">
        <f>17000*24</f>
        <v>408000</v>
      </c>
      <c r="E183" s="183" t="s">
        <v>9</v>
      </c>
      <c r="F183" s="125">
        <v>302179</v>
      </c>
      <c r="G183" s="125">
        <v>302400</v>
      </c>
      <c r="H183" s="125">
        <v>236987</v>
      </c>
      <c r="I183" s="125">
        <v>313764</v>
      </c>
      <c r="J183" s="359">
        <v>309233</v>
      </c>
      <c r="K183" s="359">
        <v>211928</v>
      </c>
      <c r="L183" s="125">
        <v>280833</v>
      </c>
      <c r="M183" s="125">
        <v>297909</v>
      </c>
      <c r="N183" s="40">
        <v>294823</v>
      </c>
      <c r="O183" s="40">
        <v>322504</v>
      </c>
      <c r="P183" s="40">
        <v>266819</v>
      </c>
      <c r="Q183" s="349">
        <v>309870</v>
      </c>
      <c r="R183" s="357">
        <v>304863</v>
      </c>
      <c r="S183" s="122">
        <v>250394</v>
      </c>
      <c r="T183" s="122">
        <v>73332</v>
      </c>
      <c r="U183" s="122">
        <v>33</v>
      </c>
      <c r="V183" s="122">
        <v>41</v>
      </c>
      <c r="W183" s="122">
        <v>29</v>
      </c>
      <c r="X183" s="122">
        <v>0</v>
      </c>
      <c r="Y183" s="122">
        <f>0.045*1000</f>
        <v>45</v>
      </c>
      <c r="Z183" s="122">
        <v>0</v>
      </c>
      <c r="AA183" s="122">
        <v>23354</v>
      </c>
      <c r="AB183" s="122">
        <v>2200</v>
      </c>
      <c r="AC183" s="122">
        <v>0</v>
      </c>
      <c r="AD183" s="122">
        <v>0</v>
      </c>
      <c r="AE183" s="122">
        <v>0</v>
      </c>
      <c r="AF183" s="122">
        <v>0</v>
      </c>
      <c r="AG183" s="122">
        <v>0</v>
      </c>
      <c r="AH183" s="122">
        <v>96506</v>
      </c>
      <c r="AI183" s="122">
        <v>71666</v>
      </c>
      <c r="AJ183" s="137"/>
      <c r="AK183" s="165">
        <f>SUM(F183:AI183)</f>
        <v>4271712</v>
      </c>
      <c r="AL183" s="134"/>
      <c r="AM183" s="163">
        <f>AK183/AK30</f>
        <v>328593.23076923075</v>
      </c>
      <c r="AN183" s="1"/>
      <c r="EA183" s="238"/>
      <c r="EB183" s="238"/>
      <c r="FH183" s="238"/>
      <c r="GP183" s="247"/>
      <c r="GQ183" s="238"/>
      <c r="GR183" s="238"/>
      <c r="GS183" s="238"/>
      <c r="GT183" s="238"/>
      <c r="IW183" s="238"/>
      <c r="MR183" s="238"/>
      <c r="MS183" s="238"/>
      <c r="MT183" s="238"/>
      <c r="MU183" s="238"/>
      <c r="RY183" s="238"/>
      <c r="RZ183" s="238"/>
      <c r="SB183" s="238"/>
      <c r="SP183" s="298"/>
      <c r="ST183" s="238"/>
      <c r="UW183" s="298"/>
    </row>
    <row r="184" spans="2:928" s="5" customFormat="1">
      <c r="B184" s="37"/>
      <c r="C184" s="194" t="s">
        <v>94</v>
      </c>
      <c r="D184" s="123"/>
      <c r="E184" s="37"/>
      <c r="F184" s="122"/>
      <c r="G184" s="122"/>
      <c r="H184" s="122"/>
      <c r="I184" s="122"/>
      <c r="J184" s="357"/>
      <c r="K184" s="357"/>
      <c r="L184" s="122"/>
      <c r="M184" s="122"/>
      <c r="N184" s="122"/>
      <c r="O184" s="122"/>
      <c r="P184" s="122"/>
      <c r="Q184" s="357">
        <f>Q185/Q31*1000</f>
        <v>126.53273087756084</v>
      </c>
      <c r="R184" s="357">
        <f>R185/R31*1000</f>
        <v>88.267380739859263</v>
      </c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37"/>
      <c r="AK184" s="166" t="s">
        <v>94</v>
      </c>
      <c r="AL184" s="134"/>
      <c r="AM184" s="163">
        <f>AM183/24</f>
        <v>13691.384615384615</v>
      </c>
      <c r="EA184" s="238"/>
      <c r="EB184" s="238"/>
      <c r="FH184" s="238"/>
      <c r="GP184" s="247"/>
      <c r="GQ184" s="238"/>
      <c r="GR184" s="238"/>
      <c r="GS184" s="238"/>
      <c r="GT184" s="238"/>
      <c r="IW184" s="238"/>
      <c r="MR184" s="238"/>
      <c r="MS184" s="238"/>
      <c r="MT184" s="238"/>
      <c r="MU184" s="238"/>
      <c r="RY184" s="238"/>
      <c r="RZ184" s="238"/>
      <c r="SB184" s="238"/>
      <c r="SP184" s="298"/>
      <c r="ST184" s="238"/>
      <c r="UW184" s="298"/>
    </row>
    <row r="185" spans="2:928">
      <c r="B185" s="50"/>
      <c r="C185" s="176" t="s">
        <v>21</v>
      </c>
      <c r="D185" s="42">
        <v>180000</v>
      </c>
      <c r="E185" s="183" t="s">
        <v>9</v>
      </c>
      <c r="F185" s="125">
        <v>155899.99999999782</v>
      </c>
      <c r="G185" s="125">
        <v>150100.00000000218</v>
      </c>
      <c r="H185" s="303">
        <v>140500</v>
      </c>
      <c r="I185" s="303">
        <v>153399.99999999782</v>
      </c>
      <c r="J185" s="359">
        <v>149799.99999999927</v>
      </c>
      <c r="K185" s="359">
        <v>147200.00000000073</v>
      </c>
      <c r="L185" s="125">
        <v>146500</v>
      </c>
      <c r="M185" s="125">
        <v>144799.99999999927</v>
      </c>
      <c r="N185" s="40">
        <v>145800.00000000291</v>
      </c>
      <c r="O185" s="40">
        <v>150399.99999999782</v>
      </c>
      <c r="P185" s="40">
        <v>151200.00000000073</v>
      </c>
      <c r="Q185" s="349">
        <v>148700.00000000073</v>
      </c>
      <c r="R185" s="349">
        <v>151299.99999999927</v>
      </c>
      <c r="S185" s="40">
        <v>127200.00000000073</v>
      </c>
      <c r="T185" s="40"/>
      <c r="U185" s="40">
        <v>0</v>
      </c>
      <c r="V185" s="40">
        <v>0</v>
      </c>
      <c r="W185" s="40">
        <v>0</v>
      </c>
      <c r="X185" s="40">
        <v>0</v>
      </c>
      <c r="Y185" s="40">
        <v>0</v>
      </c>
      <c r="Z185" s="40">
        <v>0</v>
      </c>
      <c r="AA185" s="40">
        <v>0</v>
      </c>
      <c r="AB185" s="40">
        <v>0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0</v>
      </c>
      <c r="AI185" s="40">
        <v>0</v>
      </c>
      <c r="AJ185" s="97"/>
      <c r="AK185" s="96">
        <f>SUM(F185:AI185)</f>
        <v>2062799.9999999993</v>
      </c>
      <c r="AL185" s="240"/>
      <c r="AM185" s="240">
        <f>AM184/1000</f>
        <v>13.691384615384615</v>
      </c>
    </row>
    <row r="186" spans="2:928">
      <c r="B186" s="50"/>
      <c r="C186" s="176"/>
      <c r="D186" s="42"/>
      <c r="E186" s="183"/>
      <c r="F186" s="125"/>
      <c r="G186" s="125"/>
      <c r="H186" s="303">
        <f>H187/H40*1000</f>
        <v>48.506798076352119</v>
      </c>
      <c r="I186" s="370">
        <f>I187/I40*1000</f>
        <v>59.704968944099811</v>
      </c>
      <c r="J186" s="359">
        <f>J187/J40*1000</f>
        <v>70.880694945013317</v>
      </c>
      <c r="K186" s="359">
        <f>K187/K40*1000</f>
        <v>63.725051463349281</v>
      </c>
      <c r="L186" s="125"/>
      <c r="M186" s="125"/>
      <c r="N186" s="40"/>
      <c r="O186" s="40"/>
      <c r="P186" s="40"/>
      <c r="Q186" s="349">
        <f>Q185/Q31*1000</f>
        <v>126.53273087756084</v>
      </c>
      <c r="R186" s="349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97"/>
      <c r="AK186" s="96"/>
      <c r="AL186" s="240"/>
      <c r="AM186" s="240"/>
    </row>
    <row r="187" spans="2:928">
      <c r="B187" s="50"/>
      <c r="C187" s="176" t="s">
        <v>95</v>
      </c>
      <c r="D187" s="42">
        <v>122000</v>
      </c>
      <c r="E187" s="183" t="s">
        <v>9</v>
      </c>
      <c r="F187" s="125">
        <v>82699.999999999825</v>
      </c>
      <c r="G187" s="125">
        <v>98500</v>
      </c>
      <c r="H187" s="303">
        <v>81699.999999999825</v>
      </c>
      <c r="I187" s="303">
        <v>76900.000000000553</v>
      </c>
      <c r="J187" s="359">
        <v>76699.999999999825</v>
      </c>
      <c r="K187" s="359">
        <v>71199.999999999825</v>
      </c>
      <c r="L187" s="125">
        <v>82699.999999999825</v>
      </c>
      <c r="M187" s="125">
        <v>60500</v>
      </c>
      <c r="N187" s="40">
        <v>64400.000000000546</v>
      </c>
      <c r="O187" s="40">
        <v>73599.999999999447</v>
      </c>
      <c r="P187" s="40">
        <v>44100.000000000364</v>
      </c>
      <c r="Q187" s="349">
        <v>58199.999999999818</v>
      </c>
      <c r="R187" s="349">
        <v>81799.999999999272</v>
      </c>
      <c r="S187" s="40">
        <v>10300.000000001091</v>
      </c>
      <c r="T187" s="40"/>
      <c r="U187" s="40">
        <v>0</v>
      </c>
      <c r="V187" s="40">
        <v>0</v>
      </c>
      <c r="W187" s="40">
        <v>0</v>
      </c>
      <c r="X187" s="40">
        <v>0</v>
      </c>
      <c r="Y187" s="40">
        <v>0</v>
      </c>
      <c r="Z187" s="40">
        <v>0</v>
      </c>
      <c r="AA187" s="40">
        <v>0</v>
      </c>
      <c r="AB187" s="40">
        <v>0</v>
      </c>
      <c r="AC187" s="40">
        <v>0</v>
      </c>
      <c r="AD187" s="40">
        <v>0</v>
      </c>
      <c r="AE187" s="40">
        <v>0</v>
      </c>
      <c r="AF187" s="40">
        <v>0</v>
      </c>
      <c r="AG187" s="40">
        <v>0</v>
      </c>
      <c r="AH187" s="40">
        <v>0</v>
      </c>
      <c r="AI187" s="40">
        <v>0</v>
      </c>
      <c r="AJ187" s="97"/>
      <c r="AK187" s="96">
        <f>SUM(F187:AI187)</f>
        <v>963300.00000000023</v>
      </c>
    </row>
    <row r="188" spans="2:928">
      <c r="B188" s="50"/>
      <c r="C188" s="176" t="s">
        <v>96</v>
      </c>
      <c r="D188" s="42">
        <f>D183-D185-D187</f>
        <v>106000</v>
      </c>
      <c r="E188" s="183" t="s">
        <v>9</v>
      </c>
      <c r="F188" s="40">
        <f t="shared" ref="F188:AI188" si="91">F183-F185-F187</f>
        <v>63579.000000002357</v>
      </c>
      <c r="G188" s="40">
        <f t="shared" si="91"/>
        <v>53799.999999997817</v>
      </c>
      <c r="H188" s="40">
        <f t="shared" si="91"/>
        <v>14787.000000000175</v>
      </c>
      <c r="I188" s="40">
        <f t="shared" si="91"/>
        <v>83464.00000000163</v>
      </c>
      <c r="J188" s="349">
        <f t="shared" si="91"/>
        <v>82733.000000000902</v>
      </c>
      <c r="K188" s="349">
        <f t="shared" si="91"/>
        <v>-6472.000000000553</v>
      </c>
      <c r="L188" s="40">
        <f t="shared" si="91"/>
        <v>51633.000000000175</v>
      </c>
      <c r="M188" s="40">
        <f t="shared" si="91"/>
        <v>92609.000000000728</v>
      </c>
      <c r="N188" s="40">
        <f t="shared" si="91"/>
        <v>84622.999999996537</v>
      </c>
      <c r="O188" s="40">
        <f t="shared" si="91"/>
        <v>98504.000000002736</v>
      </c>
      <c r="P188" s="40">
        <f t="shared" si="91"/>
        <v>71518.999999998909</v>
      </c>
      <c r="Q188" s="349">
        <f t="shared" si="91"/>
        <v>102969.99999999945</v>
      </c>
      <c r="R188" s="349">
        <f t="shared" si="91"/>
        <v>71763.000000001455</v>
      </c>
      <c r="S188" s="40">
        <f t="shared" si="91"/>
        <v>112893.99999999818</v>
      </c>
      <c r="T188" s="40">
        <f t="shared" si="91"/>
        <v>73332</v>
      </c>
      <c r="U188" s="40">
        <f t="shared" si="91"/>
        <v>33</v>
      </c>
      <c r="V188" s="40">
        <f t="shared" si="91"/>
        <v>41</v>
      </c>
      <c r="W188" s="40">
        <f t="shared" si="91"/>
        <v>29</v>
      </c>
      <c r="X188" s="40">
        <f t="shared" si="91"/>
        <v>0</v>
      </c>
      <c r="Y188" s="40">
        <f t="shared" si="91"/>
        <v>45</v>
      </c>
      <c r="Z188" s="40">
        <f t="shared" si="91"/>
        <v>0</v>
      </c>
      <c r="AA188" s="40">
        <f t="shared" si="91"/>
        <v>23354</v>
      </c>
      <c r="AB188" s="40">
        <f t="shared" si="91"/>
        <v>2200</v>
      </c>
      <c r="AC188" s="40">
        <f t="shared" si="91"/>
        <v>0</v>
      </c>
      <c r="AD188" s="40">
        <f t="shared" si="91"/>
        <v>0</v>
      </c>
      <c r="AE188" s="40">
        <f t="shared" si="91"/>
        <v>0</v>
      </c>
      <c r="AF188" s="40">
        <f t="shared" si="91"/>
        <v>0</v>
      </c>
      <c r="AG188" s="40">
        <f t="shared" si="91"/>
        <v>0</v>
      </c>
      <c r="AH188" s="40">
        <f t="shared" si="91"/>
        <v>96506</v>
      </c>
      <c r="AI188" s="40">
        <f t="shared" si="91"/>
        <v>71666</v>
      </c>
      <c r="AJ188" s="97"/>
      <c r="AK188" s="96">
        <f>SUM(F188:AI188)</f>
        <v>1245612.0000000005</v>
      </c>
    </row>
    <row r="189" spans="2:928" s="5" customFormat="1" ht="13.8">
      <c r="B189" s="37"/>
      <c r="C189" s="192" t="s">
        <v>90</v>
      </c>
      <c r="D189" s="145">
        <f>SUM(D185:D188)</f>
        <v>408000</v>
      </c>
      <c r="E189" s="183" t="s">
        <v>9</v>
      </c>
      <c r="F189" s="122">
        <f t="shared" ref="F189:AI189" si="92">SUM(F185:F188)</f>
        <v>302179</v>
      </c>
      <c r="G189" s="122">
        <f t="shared" si="92"/>
        <v>302400</v>
      </c>
      <c r="H189" s="122">
        <f t="shared" si="92"/>
        <v>237035.50679807636</v>
      </c>
      <c r="I189" s="122">
        <f t="shared" si="92"/>
        <v>313823.70496894408</v>
      </c>
      <c r="J189" s="357">
        <f t="shared" si="92"/>
        <v>309303.88069494499</v>
      </c>
      <c r="K189" s="357">
        <f t="shared" si="92"/>
        <v>211991.72505146335</v>
      </c>
      <c r="L189" s="122">
        <f t="shared" si="92"/>
        <v>280833</v>
      </c>
      <c r="M189" s="122">
        <f t="shared" si="92"/>
        <v>297909</v>
      </c>
      <c r="N189" s="122">
        <f t="shared" si="92"/>
        <v>294823</v>
      </c>
      <c r="O189" s="122">
        <f t="shared" si="92"/>
        <v>322504</v>
      </c>
      <c r="P189" s="122">
        <f t="shared" si="92"/>
        <v>266819</v>
      </c>
      <c r="Q189" s="357">
        <f t="shared" si="92"/>
        <v>309996.53273087757</v>
      </c>
      <c r="R189" s="357">
        <f t="shared" si="92"/>
        <v>304863</v>
      </c>
      <c r="S189" s="122">
        <f t="shared" si="92"/>
        <v>250394</v>
      </c>
      <c r="T189" s="122">
        <f t="shared" si="92"/>
        <v>73332</v>
      </c>
      <c r="U189" s="122">
        <f t="shared" si="92"/>
        <v>33</v>
      </c>
      <c r="V189" s="122">
        <f t="shared" si="92"/>
        <v>41</v>
      </c>
      <c r="W189" s="122">
        <f t="shared" si="92"/>
        <v>29</v>
      </c>
      <c r="X189" s="122">
        <f t="shared" si="92"/>
        <v>0</v>
      </c>
      <c r="Y189" s="122">
        <f t="shared" si="92"/>
        <v>45</v>
      </c>
      <c r="Z189" s="122">
        <f t="shared" si="92"/>
        <v>0</v>
      </c>
      <c r="AA189" s="122">
        <f t="shared" si="92"/>
        <v>23354</v>
      </c>
      <c r="AB189" s="122">
        <f t="shared" si="92"/>
        <v>2200</v>
      </c>
      <c r="AC189" s="122">
        <f t="shared" si="92"/>
        <v>0</v>
      </c>
      <c r="AD189" s="122">
        <f t="shared" si="92"/>
        <v>0</v>
      </c>
      <c r="AE189" s="122">
        <f t="shared" si="92"/>
        <v>0</v>
      </c>
      <c r="AF189" s="122">
        <f t="shared" si="92"/>
        <v>0</v>
      </c>
      <c r="AG189" s="122">
        <f t="shared" si="92"/>
        <v>0</v>
      </c>
      <c r="AH189" s="122">
        <f t="shared" si="92"/>
        <v>96506</v>
      </c>
      <c r="AI189" s="122">
        <f t="shared" si="92"/>
        <v>71666</v>
      </c>
      <c r="AJ189" s="137"/>
      <c r="AK189" s="165">
        <f>SUM(AK185:AK188)</f>
        <v>4271712</v>
      </c>
      <c r="AM189" s="163"/>
      <c r="EA189" s="238"/>
      <c r="EB189" s="238"/>
      <c r="FH189" s="238"/>
      <c r="GP189" s="247"/>
      <c r="GQ189" s="238"/>
      <c r="GR189" s="238"/>
      <c r="GS189" s="238"/>
      <c r="GT189" s="238"/>
      <c r="IW189" s="238"/>
      <c r="MR189" s="238"/>
      <c r="MS189" s="238"/>
      <c r="MT189" s="238"/>
      <c r="MU189" s="238"/>
      <c r="RY189" s="238"/>
      <c r="RZ189" s="238"/>
      <c r="SB189" s="238"/>
      <c r="SP189" s="298"/>
      <c r="ST189" s="238"/>
      <c r="UW189" s="298"/>
    </row>
    <row r="190" spans="2:928">
      <c r="B190" s="34">
        <v>11</v>
      </c>
      <c r="C190" s="179" t="s">
        <v>97</v>
      </c>
      <c r="D190" s="62"/>
      <c r="E190" s="62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159"/>
      <c r="AD190" s="159"/>
      <c r="AE190" s="159"/>
      <c r="AF190" s="159"/>
      <c r="AG190" s="159"/>
      <c r="AH190" s="159"/>
      <c r="AI190" s="159"/>
      <c r="AJ190" s="97"/>
      <c r="AK190" s="164" t="s">
        <v>98</v>
      </c>
    </row>
    <row r="191" spans="2:928" s="6" customFormat="1" ht="16.2">
      <c r="B191" s="22"/>
      <c r="C191" s="195" t="s">
        <v>99</v>
      </c>
      <c r="D191" s="146">
        <v>670</v>
      </c>
      <c r="E191" s="196" t="s">
        <v>120</v>
      </c>
      <c r="F191" s="147">
        <v>645</v>
      </c>
      <c r="G191" s="147">
        <v>797</v>
      </c>
      <c r="H191" s="147">
        <v>603</v>
      </c>
      <c r="I191" s="147">
        <v>843</v>
      </c>
      <c r="J191" s="368">
        <v>717</v>
      </c>
      <c r="K191" s="368">
        <v>729</v>
      </c>
      <c r="L191" s="147">
        <v>890</v>
      </c>
      <c r="M191" s="147">
        <v>686</v>
      </c>
      <c r="N191" s="147">
        <v>671</v>
      </c>
      <c r="O191" s="239">
        <v>722</v>
      </c>
      <c r="P191" s="239">
        <v>668</v>
      </c>
      <c r="Q191" s="367">
        <v>793</v>
      </c>
      <c r="R191" s="368">
        <v>601</v>
      </c>
      <c r="S191" s="147">
        <v>636</v>
      </c>
      <c r="T191" s="310">
        <v>202</v>
      </c>
      <c r="U191" s="310">
        <v>0</v>
      </c>
      <c r="V191" s="310">
        <v>158</v>
      </c>
      <c r="W191" s="310">
        <v>0</v>
      </c>
      <c r="X191" s="310">
        <v>0</v>
      </c>
      <c r="Y191" s="310">
        <v>0</v>
      </c>
      <c r="Z191" s="310">
        <v>296</v>
      </c>
      <c r="AA191" s="147">
        <v>244</v>
      </c>
      <c r="AB191" s="147">
        <v>199</v>
      </c>
      <c r="AC191" s="147">
        <v>220</v>
      </c>
      <c r="AD191" s="310">
        <v>0</v>
      </c>
      <c r="AE191" s="310">
        <v>0</v>
      </c>
      <c r="AF191" s="147">
        <v>174</v>
      </c>
      <c r="AG191" s="310">
        <v>0</v>
      </c>
      <c r="AH191" s="147">
        <v>236</v>
      </c>
      <c r="AI191" s="147">
        <v>237</v>
      </c>
      <c r="AK191" s="167">
        <f>SUM(F191:AI191)</f>
        <v>11967</v>
      </c>
      <c r="AM191" s="106">
        <f>AK191/AK30</f>
        <v>920.53846153846155</v>
      </c>
      <c r="EA191" s="210"/>
      <c r="EB191" s="210"/>
      <c r="FH191" s="210"/>
      <c r="GP191" s="245"/>
      <c r="GQ191" s="210"/>
      <c r="GR191" s="210"/>
      <c r="GS191" s="210"/>
      <c r="GT191" s="210"/>
      <c r="IW191" s="210"/>
      <c r="MR191" s="210"/>
      <c r="MS191" s="210"/>
      <c r="MT191" s="210"/>
      <c r="MU191" s="210"/>
      <c r="RY191" s="210"/>
      <c r="RZ191" s="210"/>
      <c r="SB191" s="210"/>
      <c r="SP191" s="292"/>
      <c r="ST191" s="210"/>
      <c r="UW191" s="292"/>
    </row>
    <row r="192" spans="2:928" s="6" customFormat="1">
      <c r="B192" s="22"/>
      <c r="C192" s="200" t="s">
        <v>87</v>
      </c>
      <c r="D192" s="21"/>
      <c r="E192" s="22"/>
      <c r="F192" s="147"/>
      <c r="G192" s="147"/>
      <c r="H192" s="147"/>
      <c r="I192" s="147"/>
      <c r="J192" s="368"/>
      <c r="K192" s="368"/>
      <c r="L192" s="147"/>
      <c r="M192" s="147"/>
      <c r="N192" s="147"/>
      <c r="O192" s="147"/>
      <c r="P192" s="147"/>
      <c r="Q192" s="368"/>
      <c r="R192" s="368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K192" s="168" t="s">
        <v>87</v>
      </c>
      <c r="AM192" s="106"/>
      <c r="EA192" s="210"/>
      <c r="EB192" s="210"/>
      <c r="FH192" s="210"/>
      <c r="GP192" s="245"/>
      <c r="GQ192" s="210"/>
      <c r="GR192" s="210"/>
      <c r="GS192" s="210"/>
      <c r="GT192" s="210"/>
      <c r="IW192" s="210"/>
      <c r="MR192" s="210"/>
      <c r="MS192" s="210"/>
      <c r="MT192" s="210"/>
      <c r="MU192" s="210"/>
      <c r="RY192" s="210"/>
      <c r="RZ192" s="210"/>
      <c r="SB192" s="210"/>
      <c r="SP192" s="292"/>
      <c r="ST192" s="210"/>
      <c r="UW192" s="292"/>
    </row>
    <row r="193" spans="2:928" s="6" customFormat="1" ht="16.2">
      <c r="B193" s="22"/>
      <c r="C193" s="195" t="s">
        <v>100</v>
      </c>
      <c r="D193" s="148">
        <v>78.959999999999994</v>
      </c>
      <c r="E193" s="196" t="s">
        <v>120</v>
      </c>
      <c r="F193" s="147">
        <v>97</v>
      </c>
      <c r="G193" s="147">
        <v>62</v>
      </c>
      <c r="H193" s="147">
        <v>39</v>
      </c>
      <c r="I193" s="147">
        <v>86</v>
      </c>
      <c r="J193" s="368">
        <v>75</v>
      </c>
      <c r="K193" s="368">
        <v>76</v>
      </c>
      <c r="L193" s="147">
        <v>77</v>
      </c>
      <c r="M193" s="147">
        <v>56</v>
      </c>
      <c r="N193" s="147">
        <v>61</v>
      </c>
      <c r="O193" s="147">
        <v>45</v>
      </c>
      <c r="P193" s="147">
        <v>54</v>
      </c>
      <c r="Q193" s="368">
        <v>55</v>
      </c>
      <c r="R193" s="368">
        <v>65</v>
      </c>
      <c r="S193" s="147">
        <v>90</v>
      </c>
      <c r="T193" s="147">
        <v>7</v>
      </c>
      <c r="U193" s="147">
        <v>0</v>
      </c>
      <c r="V193" s="147">
        <v>0</v>
      </c>
      <c r="W193" s="147">
        <v>0</v>
      </c>
      <c r="X193" s="147">
        <v>0</v>
      </c>
      <c r="Y193" s="147">
        <v>0</v>
      </c>
      <c r="Z193" s="147">
        <v>0</v>
      </c>
      <c r="AA193" s="147">
        <v>0</v>
      </c>
      <c r="AB193" s="147">
        <v>0</v>
      </c>
      <c r="AC193" s="147">
        <v>0</v>
      </c>
      <c r="AD193" s="147">
        <v>0</v>
      </c>
      <c r="AE193" s="147">
        <v>0</v>
      </c>
      <c r="AF193" s="147">
        <v>0</v>
      </c>
      <c r="AG193" s="147">
        <v>0</v>
      </c>
      <c r="AH193" s="147">
        <v>0</v>
      </c>
      <c r="AI193" s="147">
        <v>0</v>
      </c>
      <c r="AK193" s="169">
        <f>SUM(F193:AI193)</f>
        <v>945</v>
      </c>
      <c r="AM193" s="106">
        <v>945</v>
      </c>
      <c r="BF193" s="210"/>
      <c r="EA193" s="210"/>
      <c r="EB193" s="210"/>
      <c r="FH193" s="210"/>
      <c r="GP193" s="245"/>
      <c r="GQ193" s="210"/>
      <c r="GR193" s="210"/>
      <c r="GS193" s="210"/>
      <c r="GT193" s="210"/>
      <c r="IW193" s="210"/>
      <c r="MR193" s="210"/>
      <c r="MS193" s="210"/>
      <c r="MT193" s="210"/>
      <c r="MU193" s="210"/>
      <c r="RY193" s="210"/>
      <c r="RZ193" s="210"/>
      <c r="SB193" s="210"/>
      <c r="SP193" s="292"/>
      <c r="ST193" s="210"/>
      <c r="UW193" s="292"/>
      <c r="AIR193" s="227">
        <f>AM193-AK193</f>
        <v>0</v>
      </c>
    </row>
    <row r="194" spans="2:928" s="6" customFormat="1" ht="16.2">
      <c r="B194" s="22"/>
      <c r="C194" s="195" t="s">
        <v>101</v>
      </c>
      <c r="D194" s="148">
        <v>118.4</v>
      </c>
      <c r="E194" s="196" t="s">
        <v>120</v>
      </c>
      <c r="F194" s="147">
        <v>109</v>
      </c>
      <c r="G194" s="147">
        <v>129</v>
      </c>
      <c r="H194" s="147">
        <v>112</v>
      </c>
      <c r="I194" s="147">
        <v>91</v>
      </c>
      <c r="J194" s="368">
        <v>92</v>
      </c>
      <c r="K194" s="368">
        <v>76</v>
      </c>
      <c r="L194" s="147">
        <v>104</v>
      </c>
      <c r="M194" s="147">
        <v>75</v>
      </c>
      <c r="N194" s="147">
        <v>67</v>
      </c>
      <c r="O194" s="147">
        <v>70</v>
      </c>
      <c r="P194" s="147">
        <v>55</v>
      </c>
      <c r="Q194" s="368">
        <v>64</v>
      </c>
      <c r="R194" s="368">
        <v>96</v>
      </c>
      <c r="S194" s="147">
        <v>55</v>
      </c>
      <c r="T194" s="147">
        <v>0</v>
      </c>
      <c r="U194" s="147">
        <v>0</v>
      </c>
      <c r="V194" s="147">
        <v>0</v>
      </c>
      <c r="W194" s="147">
        <v>0</v>
      </c>
      <c r="X194" s="147">
        <v>0</v>
      </c>
      <c r="Y194" s="147">
        <v>0</v>
      </c>
      <c r="Z194" s="147">
        <v>108</v>
      </c>
      <c r="AA194" s="147">
        <v>0</v>
      </c>
      <c r="AB194" s="147">
        <v>0</v>
      </c>
      <c r="AC194" s="147">
        <v>0</v>
      </c>
      <c r="AD194" s="147">
        <v>0</v>
      </c>
      <c r="AE194" s="147">
        <v>0</v>
      </c>
      <c r="AF194" s="147">
        <v>0</v>
      </c>
      <c r="AG194" s="147">
        <v>0</v>
      </c>
      <c r="AH194" s="147">
        <v>0</v>
      </c>
      <c r="AI194" s="147">
        <v>0</v>
      </c>
      <c r="AK194" s="169">
        <f>SUM(F194:AI194)</f>
        <v>1303</v>
      </c>
      <c r="AM194" s="106">
        <v>1303</v>
      </c>
      <c r="BF194" s="210"/>
      <c r="EA194" s="210"/>
      <c r="EB194" s="210"/>
      <c r="FH194" s="210"/>
      <c r="GP194" s="245"/>
      <c r="GQ194" s="210"/>
      <c r="GR194" s="210"/>
      <c r="GS194" s="210"/>
      <c r="GT194" s="210"/>
      <c r="IW194" s="210"/>
      <c r="MR194" s="210"/>
      <c r="MS194" s="210"/>
      <c r="MT194" s="210"/>
      <c r="MU194" s="210"/>
      <c r="RY194" s="210"/>
      <c r="RZ194" s="210"/>
      <c r="SB194" s="210"/>
      <c r="SP194" s="292"/>
      <c r="ST194" s="210"/>
      <c r="UW194" s="292"/>
      <c r="AIR194" s="227">
        <f>AM194-AK194</f>
        <v>0</v>
      </c>
    </row>
    <row r="195" spans="2:928" s="6" customFormat="1" ht="16.2">
      <c r="B195" s="22"/>
      <c r="C195" s="195" t="s">
        <v>102</v>
      </c>
      <c r="D195" s="146">
        <f>44.69%*D191</f>
        <v>299.423</v>
      </c>
      <c r="E195" s="196" t="s">
        <v>120</v>
      </c>
      <c r="F195" s="147">
        <v>311.5</v>
      </c>
      <c r="G195" s="147">
        <v>350.4</v>
      </c>
      <c r="H195" s="147">
        <v>294.60000000000002</v>
      </c>
      <c r="I195" s="147">
        <v>335</v>
      </c>
      <c r="J195" s="368">
        <v>382.2</v>
      </c>
      <c r="K195" s="368">
        <v>345</v>
      </c>
      <c r="L195" s="147">
        <v>332.2</v>
      </c>
      <c r="M195" s="147">
        <v>349.7</v>
      </c>
      <c r="N195" s="147">
        <v>385</v>
      </c>
      <c r="O195" s="147">
        <v>355</v>
      </c>
      <c r="P195" s="147">
        <v>334.9</v>
      </c>
      <c r="Q195" s="368">
        <v>371.8</v>
      </c>
      <c r="R195" s="368">
        <v>340.9</v>
      </c>
      <c r="S195" s="147">
        <v>306</v>
      </c>
      <c r="T195" s="147">
        <v>88.9</v>
      </c>
      <c r="U195" s="147">
        <v>0</v>
      </c>
      <c r="V195" s="147">
        <v>50.3</v>
      </c>
      <c r="W195" s="147">
        <v>45.4</v>
      </c>
      <c r="X195" s="147">
        <v>0</v>
      </c>
      <c r="Y195" s="147">
        <v>19.600000000000001</v>
      </c>
      <c r="Z195" s="147">
        <v>63.5</v>
      </c>
      <c r="AA195" s="147">
        <v>81.400000000000006</v>
      </c>
      <c r="AB195" s="147">
        <v>59.9</v>
      </c>
      <c r="AC195" s="147">
        <v>47.3</v>
      </c>
      <c r="AD195" s="147">
        <v>0</v>
      </c>
      <c r="AE195" s="147">
        <v>0</v>
      </c>
      <c r="AF195" s="147">
        <v>0</v>
      </c>
      <c r="AG195" s="147">
        <v>0</v>
      </c>
      <c r="AH195" s="147">
        <v>136.9</v>
      </c>
      <c r="AI195" s="147">
        <v>136.6</v>
      </c>
      <c r="AK195" s="169">
        <f>SUM(F195:AI195)</f>
        <v>5523.9999999999991</v>
      </c>
      <c r="AL195" s="227"/>
      <c r="AM195" s="106"/>
      <c r="EA195" s="210"/>
      <c r="EB195" s="210"/>
      <c r="FH195" s="210"/>
      <c r="GP195" s="245"/>
      <c r="GQ195" s="210"/>
      <c r="GR195" s="210"/>
      <c r="GS195" s="210"/>
      <c r="GT195" s="210"/>
      <c r="IW195" s="210"/>
      <c r="MR195" s="210"/>
      <c r="MS195" s="210"/>
      <c r="MT195" s="210"/>
      <c r="MU195" s="210"/>
      <c r="RY195" s="210"/>
      <c r="RZ195" s="210"/>
      <c r="SB195" s="210"/>
      <c r="SP195" s="292"/>
      <c r="ST195" s="210"/>
      <c r="UW195" s="292"/>
    </row>
    <row r="196" spans="2:928" s="6" customFormat="1" ht="16.2">
      <c r="B196" s="22"/>
      <c r="C196" s="195" t="s">
        <v>96</v>
      </c>
      <c r="D196" s="146">
        <f>D191-SUM(D193:D195)</f>
        <v>173.21699999999998</v>
      </c>
      <c r="E196" s="196" t="s">
        <v>120</v>
      </c>
      <c r="F196" s="147">
        <f>F191-(SUM(F193:F195))</f>
        <v>127.5</v>
      </c>
      <c r="G196" s="147">
        <f t="shared" ref="G196:K196" si="93">G191-(SUM(G193:G195))</f>
        <v>255.60000000000002</v>
      </c>
      <c r="H196" s="147">
        <f t="shared" si="93"/>
        <v>157.39999999999998</v>
      </c>
      <c r="I196" s="147">
        <f t="shared" si="93"/>
        <v>331</v>
      </c>
      <c r="J196" s="368">
        <f t="shared" si="93"/>
        <v>167.79999999999995</v>
      </c>
      <c r="K196" s="368">
        <f t="shared" si="93"/>
        <v>232</v>
      </c>
      <c r="L196" s="147">
        <f t="shared" ref="L196:AI196" si="94">L191-(SUM(L193:L195))</f>
        <v>376.79999999999995</v>
      </c>
      <c r="M196" s="147">
        <f t="shared" si="94"/>
        <v>205.3</v>
      </c>
      <c r="N196" s="147">
        <f t="shared" si="94"/>
        <v>158</v>
      </c>
      <c r="O196" s="147">
        <f t="shared" si="94"/>
        <v>252</v>
      </c>
      <c r="P196" s="147">
        <f t="shared" si="94"/>
        <v>224.10000000000002</v>
      </c>
      <c r="Q196" s="368">
        <f t="shared" si="94"/>
        <v>302.2</v>
      </c>
      <c r="R196" s="368">
        <f t="shared" si="94"/>
        <v>99.100000000000023</v>
      </c>
      <c r="S196" s="147">
        <f t="shared" si="94"/>
        <v>185</v>
      </c>
      <c r="T196" s="147">
        <f t="shared" si="94"/>
        <v>106.1</v>
      </c>
      <c r="U196" s="147">
        <f t="shared" si="94"/>
        <v>0</v>
      </c>
      <c r="V196" s="147">
        <f t="shared" si="94"/>
        <v>107.7</v>
      </c>
      <c r="W196" s="147">
        <f t="shared" si="94"/>
        <v>-45.4</v>
      </c>
      <c r="X196" s="147">
        <f t="shared" si="94"/>
        <v>0</v>
      </c>
      <c r="Y196" s="147">
        <f t="shared" si="94"/>
        <v>-19.600000000000001</v>
      </c>
      <c r="Z196" s="147">
        <f t="shared" si="94"/>
        <v>124.5</v>
      </c>
      <c r="AA196" s="147">
        <f t="shared" si="94"/>
        <v>162.6</v>
      </c>
      <c r="AB196" s="147">
        <f t="shared" si="94"/>
        <v>139.1</v>
      </c>
      <c r="AC196" s="147">
        <f t="shared" si="94"/>
        <v>172.7</v>
      </c>
      <c r="AD196" s="147">
        <f t="shared" si="94"/>
        <v>0</v>
      </c>
      <c r="AE196" s="147">
        <f t="shared" si="94"/>
        <v>0</v>
      </c>
      <c r="AF196" s="147">
        <f t="shared" si="94"/>
        <v>174</v>
      </c>
      <c r="AG196" s="147">
        <f t="shared" si="94"/>
        <v>0</v>
      </c>
      <c r="AH196" s="147">
        <f t="shared" si="94"/>
        <v>99.1</v>
      </c>
      <c r="AI196" s="147">
        <f t="shared" si="94"/>
        <v>100.4</v>
      </c>
      <c r="AK196" s="169">
        <f>SUM(F196:AI196)</f>
        <v>4194.9999999999982</v>
      </c>
      <c r="AL196" s="118"/>
      <c r="AM196" s="106"/>
      <c r="EA196" s="210"/>
      <c r="EB196" s="210"/>
      <c r="FH196" s="210"/>
      <c r="GP196" s="245"/>
      <c r="GQ196" s="210"/>
      <c r="GR196" s="210"/>
      <c r="GS196" s="210"/>
      <c r="GT196" s="210"/>
      <c r="IW196" s="210"/>
      <c r="MR196" s="210"/>
      <c r="MS196" s="210"/>
      <c r="MT196" s="210"/>
      <c r="MU196" s="210"/>
      <c r="RY196" s="210"/>
      <c r="RZ196" s="210"/>
      <c r="SB196" s="210"/>
      <c r="SP196" s="292"/>
      <c r="ST196" s="210"/>
      <c r="UW196" s="292"/>
    </row>
    <row r="197" spans="2:928" s="6" customFormat="1" ht="16.2">
      <c r="B197" s="22"/>
      <c r="C197" s="195" t="s">
        <v>103</v>
      </c>
      <c r="D197" s="146">
        <v>287.83999999999997</v>
      </c>
      <c r="E197" s="196" t="s">
        <v>120</v>
      </c>
      <c r="F197" s="147">
        <v>118</v>
      </c>
      <c r="G197" s="147">
        <v>133</v>
      </c>
      <c r="H197" s="147">
        <v>141</v>
      </c>
      <c r="I197" s="147">
        <v>159</v>
      </c>
      <c r="J197" s="368">
        <v>197</v>
      </c>
      <c r="K197" s="368">
        <v>207</v>
      </c>
      <c r="L197" s="147">
        <v>181</v>
      </c>
      <c r="M197" s="147">
        <v>180</v>
      </c>
      <c r="N197" s="147">
        <v>181</v>
      </c>
      <c r="O197" s="147">
        <v>195</v>
      </c>
      <c r="P197" s="147">
        <v>200</v>
      </c>
      <c r="Q197" s="368">
        <v>182</v>
      </c>
      <c r="R197" s="368">
        <v>218</v>
      </c>
      <c r="S197" s="147">
        <v>140</v>
      </c>
      <c r="T197" s="147">
        <v>60</v>
      </c>
      <c r="U197" s="147">
        <v>0</v>
      </c>
      <c r="V197" s="147">
        <v>0</v>
      </c>
      <c r="W197" s="147">
        <v>0</v>
      </c>
      <c r="X197" s="147">
        <v>0</v>
      </c>
      <c r="Y197" s="147">
        <v>178</v>
      </c>
      <c r="Z197" s="147">
        <v>231</v>
      </c>
      <c r="AA197" s="147">
        <v>48</v>
      </c>
      <c r="AB197" s="147">
        <v>24</v>
      </c>
      <c r="AC197" s="147">
        <v>36</v>
      </c>
      <c r="AD197" s="147">
        <v>0</v>
      </c>
      <c r="AE197" s="147">
        <v>0</v>
      </c>
      <c r="AF197" s="147">
        <v>0</v>
      </c>
      <c r="AG197" s="147">
        <v>0</v>
      </c>
      <c r="AH197" s="147">
        <v>36</v>
      </c>
      <c r="AI197" s="147">
        <v>123</v>
      </c>
      <c r="AK197" s="169">
        <f>SUM(F197:AI197)</f>
        <v>3168</v>
      </c>
      <c r="AM197" s="106"/>
      <c r="EA197" s="210"/>
      <c r="EB197" s="210"/>
      <c r="FH197" s="210"/>
      <c r="GP197" s="245"/>
      <c r="GQ197" s="210"/>
      <c r="GR197" s="210"/>
      <c r="GS197" s="210"/>
      <c r="GT197" s="210"/>
      <c r="IW197" s="210"/>
      <c r="MR197" s="210"/>
      <c r="MS197" s="210"/>
      <c r="MT197" s="210"/>
      <c r="MU197" s="210"/>
      <c r="RY197" s="210"/>
      <c r="RZ197" s="210"/>
      <c r="SB197" s="210"/>
      <c r="SP197" s="292"/>
      <c r="ST197" s="210"/>
      <c r="UW197" s="292"/>
    </row>
    <row r="198" spans="2:928">
      <c r="B198" s="74">
        <v>12</v>
      </c>
      <c r="C198" s="179" t="s">
        <v>104</v>
      </c>
      <c r="D198" s="62"/>
      <c r="E198" s="62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97"/>
      <c r="AK198" s="170" t="s">
        <v>105</v>
      </c>
    </row>
    <row r="199" spans="2:928">
      <c r="B199" s="127"/>
      <c r="C199" s="201" t="s">
        <v>93</v>
      </c>
      <c r="D199" s="149"/>
      <c r="E199" s="150"/>
      <c r="F199" s="40"/>
      <c r="G199" s="40"/>
      <c r="H199" s="40"/>
      <c r="I199" s="40"/>
      <c r="J199" s="349"/>
      <c r="K199" s="349"/>
      <c r="L199" s="40"/>
      <c r="M199" s="40"/>
      <c r="N199" s="40"/>
      <c r="O199" s="40"/>
      <c r="P199" s="40"/>
      <c r="Q199" s="349"/>
      <c r="R199" s="349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97"/>
      <c r="AK199" s="160" t="s">
        <v>93</v>
      </c>
    </row>
    <row r="200" spans="2:928">
      <c r="B200" s="127"/>
      <c r="C200" s="181" t="s">
        <v>106</v>
      </c>
      <c r="D200" s="42">
        <v>28700</v>
      </c>
      <c r="E200" s="55" t="s">
        <v>107</v>
      </c>
      <c r="F200" s="40">
        <v>26500</v>
      </c>
      <c r="G200" s="40">
        <v>27900</v>
      </c>
      <c r="H200" s="202">
        <v>25800</v>
      </c>
      <c r="I200" s="158">
        <v>25700</v>
      </c>
      <c r="J200" s="349">
        <v>24800</v>
      </c>
      <c r="K200" s="375">
        <v>24400</v>
      </c>
      <c r="L200" s="40">
        <v>26000</v>
      </c>
      <c r="M200" s="158">
        <v>23500</v>
      </c>
      <c r="N200" s="40">
        <v>24600</v>
      </c>
      <c r="O200" s="40">
        <v>23600</v>
      </c>
      <c r="P200" s="40">
        <v>22400</v>
      </c>
      <c r="Q200" s="349">
        <v>22400</v>
      </c>
      <c r="R200" s="349">
        <v>15600</v>
      </c>
      <c r="S200" s="40">
        <v>17600</v>
      </c>
      <c r="T200" s="40">
        <v>9900</v>
      </c>
      <c r="U200" s="158">
        <v>5000</v>
      </c>
      <c r="V200" s="40">
        <v>5000</v>
      </c>
      <c r="W200" s="40">
        <v>5500</v>
      </c>
      <c r="X200" s="40">
        <v>2200</v>
      </c>
      <c r="Y200" s="158">
        <v>4800</v>
      </c>
      <c r="Z200" s="40">
        <v>4600</v>
      </c>
      <c r="AA200" s="40">
        <v>4800</v>
      </c>
      <c r="AB200" s="40">
        <v>4800</v>
      </c>
      <c r="AC200" s="40">
        <v>4300</v>
      </c>
      <c r="AD200" s="40">
        <v>3500</v>
      </c>
      <c r="AE200" s="40">
        <v>2400</v>
      </c>
      <c r="AF200" s="40">
        <v>4100</v>
      </c>
      <c r="AG200" s="40">
        <v>4700</v>
      </c>
      <c r="AH200" s="40">
        <v>5400</v>
      </c>
      <c r="AI200" s="40">
        <v>4900</v>
      </c>
      <c r="AJ200" s="97"/>
      <c r="AK200" s="89">
        <f>SUM(F200:AI200)</f>
        <v>406700</v>
      </c>
      <c r="AM200" s="10">
        <f>AK200/AK30</f>
        <v>31284.615384615383</v>
      </c>
    </row>
    <row r="201" spans="2:928" ht="15" thickBot="1">
      <c r="B201" s="155"/>
      <c r="C201" s="287" t="s">
        <v>90</v>
      </c>
      <c r="D201" s="154"/>
      <c r="E201" s="288" t="s">
        <v>108</v>
      </c>
      <c r="F201" s="289">
        <f t="shared" ref="F201:AI201" si="95">SUM(F200:F200)</f>
        <v>26500</v>
      </c>
      <c r="G201" s="289">
        <f t="shared" si="95"/>
        <v>27900</v>
      </c>
      <c r="H201" s="289">
        <f t="shared" si="95"/>
        <v>25800</v>
      </c>
      <c r="I201" s="289">
        <f t="shared" si="95"/>
        <v>25700</v>
      </c>
      <c r="J201" s="369">
        <f t="shared" si="95"/>
        <v>24800</v>
      </c>
      <c r="K201" s="369">
        <f t="shared" si="95"/>
        <v>24400</v>
      </c>
      <c r="L201" s="289">
        <f t="shared" si="95"/>
        <v>26000</v>
      </c>
      <c r="M201" s="289">
        <f t="shared" si="95"/>
        <v>23500</v>
      </c>
      <c r="N201" s="289">
        <f t="shared" si="95"/>
        <v>24600</v>
      </c>
      <c r="O201" s="289">
        <f t="shared" si="95"/>
        <v>23600</v>
      </c>
      <c r="P201" s="289">
        <f t="shared" si="95"/>
        <v>22400</v>
      </c>
      <c r="Q201" s="369">
        <f t="shared" si="95"/>
        <v>22400</v>
      </c>
      <c r="R201" s="369">
        <f t="shared" si="95"/>
        <v>15600</v>
      </c>
      <c r="S201" s="289">
        <f t="shared" si="95"/>
        <v>17600</v>
      </c>
      <c r="T201" s="289">
        <f t="shared" si="95"/>
        <v>9900</v>
      </c>
      <c r="U201" s="289">
        <f t="shared" si="95"/>
        <v>5000</v>
      </c>
      <c r="V201" s="289">
        <f t="shared" si="95"/>
        <v>5000</v>
      </c>
      <c r="W201" s="289">
        <f t="shared" si="95"/>
        <v>5500</v>
      </c>
      <c r="X201" s="289">
        <f t="shared" si="95"/>
        <v>2200</v>
      </c>
      <c r="Y201" s="289">
        <f t="shared" si="95"/>
        <v>4800</v>
      </c>
      <c r="Z201" s="289">
        <f t="shared" si="95"/>
        <v>4600</v>
      </c>
      <c r="AA201" s="289">
        <f t="shared" si="95"/>
        <v>4800</v>
      </c>
      <c r="AB201" s="289">
        <f t="shared" si="95"/>
        <v>4800</v>
      </c>
      <c r="AC201" s="289">
        <f t="shared" si="95"/>
        <v>4300</v>
      </c>
      <c r="AD201" s="289">
        <f t="shared" si="95"/>
        <v>3500</v>
      </c>
      <c r="AE201" s="289">
        <f t="shared" si="95"/>
        <v>2400</v>
      </c>
      <c r="AF201" s="289">
        <f t="shared" si="95"/>
        <v>4100</v>
      </c>
      <c r="AG201" s="289">
        <f t="shared" si="95"/>
        <v>4700</v>
      </c>
      <c r="AH201" s="289">
        <f t="shared" si="95"/>
        <v>5400</v>
      </c>
      <c r="AI201" s="289">
        <f t="shared" si="95"/>
        <v>4900</v>
      </c>
      <c r="AJ201" s="101"/>
      <c r="AK201" s="173">
        <f>SUM(F201:AI201)</f>
        <v>406700</v>
      </c>
    </row>
    <row r="202" spans="2:928" hidden="1">
      <c r="B202" s="34">
        <v>12</v>
      </c>
      <c r="C202" s="61" t="s">
        <v>109</v>
      </c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K202" s="172" t="s">
        <v>110</v>
      </c>
    </row>
    <row r="203" spans="2:928" hidden="1">
      <c r="B203" s="50"/>
      <c r="C203" s="63" t="s">
        <v>111</v>
      </c>
      <c r="D203" s="54"/>
      <c r="E203" s="55" t="s">
        <v>9</v>
      </c>
      <c r="F203" s="130">
        <v>44580</v>
      </c>
      <c r="G203" s="130">
        <v>0</v>
      </c>
      <c r="H203" s="130">
        <v>0</v>
      </c>
      <c r="I203" s="130">
        <v>145270</v>
      </c>
      <c r="J203" s="349">
        <v>144580</v>
      </c>
      <c r="K203" s="349">
        <v>146030</v>
      </c>
      <c r="L203" s="130">
        <v>0</v>
      </c>
      <c r="M203" s="130">
        <v>0</v>
      </c>
      <c r="N203" s="130">
        <v>0</v>
      </c>
      <c r="O203" s="130">
        <v>0</v>
      </c>
      <c r="P203" s="130">
        <v>117340</v>
      </c>
      <c r="Q203" s="349">
        <v>116400</v>
      </c>
      <c r="R203" s="349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K203" s="89">
        <f>SUM(F203:AI203)</f>
        <v>714200</v>
      </c>
    </row>
    <row r="204" spans="2:928" hidden="1">
      <c r="B204" s="50"/>
      <c r="C204" s="63" t="s">
        <v>32</v>
      </c>
      <c r="D204" s="54"/>
      <c r="E204" s="55" t="s">
        <v>9</v>
      </c>
      <c r="F204" s="130">
        <v>0</v>
      </c>
      <c r="G204" s="130">
        <v>0</v>
      </c>
      <c r="H204" s="130">
        <v>0</v>
      </c>
      <c r="I204" s="130">
        <v>0</v>
      </c>
      <c r="J204" s="349">
        <v>0</v>
      </c>
      <c r="K204" s="349">
        <v>0</v>
      </c>
      <c r="L204" s="130">
        <v>0</v>
      </c>
      <c r="M204" s="130">
        <v>0</v>
      </c>
      <c r="N204" s="130">
        <v>0</v>
      </c>
      <c r="O204" s="130">
        <v>0</v>
      </c>
      <c r="P204" s="130"/>
      <c r="Q204" s="349"/>
      <c r="R204" s="349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K204" s="89">
        <f>SUM(F204:AI204)</f>
        <v>0</v>
      </c>
    </row>
    <row r="205" spans="2:928" hidden="1">
      <c r="B205" s="50"/>
      <c r="C205" s="63" t="s">
        <v>34</v>
      </c>
      <c r="D205" s="54"/>
      <c r="E205" s="55" t="s">
        <v>9</v>
      </c>
      <c r="F205" s="130">
        <v>464980</v>
      </c>
      <c r="G205" s="130">
        <v>630070</v>
      </c>
      <c r="H205" s="130">
        <v>0</v>
      </c>
      <c r="I205" s="130">
        <v>409010</v>
      </c>
      <c r="J205" s="349">
        <v>789380</v>
      </c>
      <c r="K205" s="349">
        <v>669020</v>
      </c>
      <c r="L205" s="130">
        <v>596730</v>
      </c>
      <c r="M205" s="130">
        <v>359600</v>
      </c>
      <c r="N205" s="130">
        <v>476850</v>
      </c>
      <c r="O205" s="130">
        <v>0</v>
      </c>
      <c r="P205" s="130">
        <v>146070</v>
      </c>
      <c r="Q205" s="349">
        <v>346220</v>
      </c>
      <c r="R205" s="349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130"/>
      <c r="AK205" s="89">
        <f>SUM(F205:AI205)</f>
        <v>4887930</v>
      </c>
    </row>
    <row r="206" spans="2:928" hidden="1">
      <c r="B206" s="50"/>
      <c r="C206" s="63" t="s">
        <v>39</v>
      </c>
      <c r="D206" s="54"/>
      <c r="E206" s="55" t="s">
        <v>9</v>
      </c>
      <c r="F206" s="130"/>
      <c r="G206" s="130"/>
      <c r="H206" s="130">
        <v>0</v>
      </c>
      <c r="I206" s="130"/>
      <c r="J206" s="349"/>
      <c r="K206" s="349"/>
      <c r="L206" s="130"/>
      <c r="M206" s="130"/>
      <c r="N206" s="130"/>
      <c r="O206" s="130">
        <v>0</v>
      </c>
      <c r="P206" s="130"/>
      <c r="Q206" s="349"/>
      <c r="R206" s="349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40"/>
      <c r="AK206" s="89">
        <f>SUM(F206:AI206)</f>
        <v>0</v>
      </c>
    </row>
    <row r="207" spans="2:928" hidden="1">
      <c r="B207" s="50"/>
      <c r="C207" s="63" t="s">
        <v>50</v>
      </c>
      <c r="D207" s="54"/>
      <c r="E207" s="55" t="s">
        <v>9</v>
      </c>
      <c r="F207" s="130">
        <v>0</v>
      </c>
      <c r="G207" s="130">
        <v>0</v>
      </c>
      <c r="H207" s="130">
        <v>0</v>
      </c>
      <c r="I207" s="130">
        <v>0</v>
      </c>
      <c r="J207" s="349">
        <v>0</v>
      </c>
      <c r="K207" s="349">
        <v>0</v>
      </c>
      <c r="L207" s="130">
        <v>230010</v>
      </c>
      <c r="M207" s="130">
        <v>229580</v>
      </c>
      <c r="N207" s="130">
        <v>142710</v>
      </c>
      <c r="O207" s="130">
        <v>0</v>
      </c>
      <c r="P207" s="130">
        <v>42630</v>
      </c>
      <c r="Q207" s="349">
        <v>61960</v>
      </c>
      <c r="R207" s="349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K207" s="89">
        <f>SUM(F207:AI207)</f>
        <v>706890</v>
      </c>
      <c r="AL207" s="163"/>
    </row>
    <row r="208" spans="2:928" s="5" customFormat="1" ht="13.8" hidden="1">
      <c r="B208" s="141"/>
      <c r="C208" s="153" t="s">
        <v>90</v>
      </c>
      <c r="D208" s="154"/>
      <c r="E208" s="155" t="s">
        <v>9</v>
      </c>
      <c r="F208" s="156">
        <f t="shared" ref="F208:AI208" si="96">SUM(F203:F207)</f>
        <v>509560</v>
      </c>
      <c r="G208" s="156">
        <f t="shared" si="96"/>
        <v>630070</v>
      </c>
      <c r="H208" s="156">
        <f t="shared" si="96"/>
        <v>0</v>
      </c>
      <c r="I208" s="156">
        <f t="shared" si="96"/>
        <v>554280</v>
      </c>
      <c r="J208" s="369">
        <f t="shared" si="96"/>
        <v>933960</v>
      </c>
      <c r="K208" s="369">
        <f t="shared" si="96"/>
        <v>815050</v>
      </c>
      <c r="L208" s="156">
        <f t="shared" si="96"/>
        <v>826740</v>
      </c>
      <c r="M208" s="156">
        <f t="shared" si="96"/>
        <v>589180</v>
      </c>
      <c r="N208" s="156">
        <f t="shared" si="96"/>
        <v>619560</v>
      </c>
      <c r="O208" s="156">
        <f t="shared" si="96"/>
        <v>0</v>
      </c>
      <c r="P208" s="156">
        <f t="shared" si="96"/>
        <v>306040</v>
      </c>
      <c r="Q208" s="369">
        <f t="shared" si="96"/>
        <v>524580</v>
      </c>
      <c r="R208" s="369">
        <f t="shared" si="96"/>
        <v>0</v>
      </c>
      <c r="S208" s="156">
        <f t="shared" si="96"/>
        <v>0</v>
      </c>
      <c r="T208" s="156">
        <f t="shared" si="96"/>
        <v>0</v>
      </c>
      <c r="U208" s="156">
        <f t="shared" si="96"/>
        <v>0</v>
      </c>
      <c r="V208" s="156">
        <f t="shared" si="96"/>
        <v>0</v>
      </c>
      <c r="W208" s="156">
        <f t="shared" si="96"/>
        <v>0</v>
      </c>
      <c r="X208" s="156">
        <f t="shared" si="96"/>
        <v>0</v>
      </c>
      <c r="Y208" s="156">
        <f t="shared" si="96"/>
        <v>0</v>
      </c>
      <c r="Z208" s="156">
        <f t="shared" si="96"/>
        <v>0</v>
      </c>
      <c r="AA208" s="156">
        <f t="shared" si="96"/>
        <v>0</v>
      </c>
      <c r="AB208" s="156">
        <f t="shared" si="96"/>
        <v>0</v>
      </c>
      <c r="AC208" s="156">
        <f t="shared" si="96"/>
        <v>0</v>
      </c>
      <c r="AD208" s="156">
        <f>SUM(AD203:AD207)</f>
        <v>0</v>
      </c>
      <c r="AE208" s="156">
        <f t="shared" ref="AE208:AG208" si="97">SUM(AE203:AE207)</f>
        <v>0</v>
      </c>
      <c r="AF208" s="156">
        <f t="shared" si="97"/>
        <v>0</v>
      </c>
      <c r="AG208" s="156">
        <f t="shared" si="97"/>
        <v>0</v>
      </c>
      <c r="AH208" s="156">
        <f t="shared" si="96"/>
        <v>0</v>
      </c>
      <c r="AI208" s="156">
        <f t="shared" si="96"/>
        <v>0</v>
      </c>
      <c r="AK208" s="171">
        <f>SUM(AK203:AK207)</f>
        <v>6309020</v>
      </c>
      <c r="AL208" s="163"/>
      <c r="AM208" s="134"/>
      <c r="EA208" s="238"/>
      <c r="EB208" s="238"/>
      <c r="FH208" s="238"/>
      <c r="GP208" s="247"/>
      <c r="GQ208" s="238"/>
      <c r="GR208" s="238"/>
      <c r="GS208" s="238"/>
      <c r="GT208" s="238"/>
      <c r="IW208" s="238"/>
      <c r="MR208" s="238"/>
      <c r="MS208" s="238"/>
      <c r="MT208" s="238"/>
      <c r="MU208" s="238"/>
      <c r="RY208" s="238"/>
      <c r="RZ208" s="238"/>
      <c r="SB208" s="238"/>
      <c r="SP208" s="298"/>
      <c r="ST208" s="238"/>
      <c r="UW208" s="298"/>
    </row>
    <row r="209" spans="2:569" hidden="1">
      <c r="B209" s="34">
        <v>13</v>
      </c>
      <c r="C209" s="61" t="s">
        <v>112</v>
      </c>
      <c r="D209" s="152"/>
      <c r="E209" s="152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K209" s="172" t="s">
        <v>113</v>
      </c>
    </row>
    <row r="210" spans="2:569" hidden="1">
      <c r="B210" s="50"/>
      <c r="C210" s="63" t="s">
        <v>111</v>
      </c>
      <c r="D210" s="54"/>
      <c r="E210" s="55" t="s">
        <v>9</v>
      </c>
      <c r="F210" s="130">
        <v>0</v>
      </c>
      <c r="G210" s="130">
        <v>0</v>
      </c>
      <c r="H210" s="130">
        <v>0</v>
      </c>
      <c r="I210" s="130">
        <v>0</v>
      </c>
      <c r="J210" s="349">
        <v>0</v>
      </c>
      <c r="K210" s="349">
        <v>0</v>
      </c>
      <c r="L210" s="130">
        <v>0</v>
      </c>
      <c r="M210" s="130">
        <v>0</v>
      </c>
      <c r="N210" s="130">
        <v>0</v>
      </c>
      <c r="O210" s="130">
        <v>0</v>
      </c>
      <c r="P210" s="130">
        <v>0</v>
      </c>
      <c r="Q210" s="349">
        <v>0</v>
      </c>
      <c r="R210" s="349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K210" s="89">
        <f>SUM(F210:AI210)</f>
        <v>0</v>
      </c>
    </row>
    <row r="211" spans="2:569" hidden="1">
      <c r="B211" s="50"/>
      <c r="C211" s="63" t="s">
        <v>32</v>
      </c>
      <c r="D211" s="54"/>
      <c r="E211" s="55" t="s">
        <v>9</v>
      </c>
      <c r="F211" s="130">
        <v>61480</v>
      </c>
      <c r="G211" s="130">
        <v>82750</v>
      </c>
      <c r="H211" s="130">
        <v>62120</v>
      </c>
      <c r="I211" s="130">
        <v>166980</v>
      </c>
      <c r="J211" s="349">
        <v>147640</v>
      </c>
      <c r="K211" s="349">
        <v>84470</v>
      </c>
      <c r="L211" s="130">
        <v>84100</v>
      </c>
      <c r="M211" s="130">
        <v>127220</v>
      </c>
      <c r="N211" s="130">
        <v>0</v>
      </c>
      <c r="O211" s="130">
        <v>0</v>
      </c>
      <c r="P211" s="130">
        <v>60000</v>
      </c>
      <c r="Q211" s="349">
        <v>0</v>
      </c>
      <c r="R211" s="349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K211" s="89">
        <f>SUM(F211:AI211)</f>
        <v>876760</v>
      </c>
    </row>
    <row r="212" spans="2:569" hidden="1">
      <c r="B212" s="50"/>
      <c r="C212" s="63" t="s">
        <v>34</v>
      </c>
      <c r="D212" s="54"/>
      <c r="E212" s="55" t="s">
        <v>9</v>
      </c>
      <c r="F212" s="130">
        <v>0</v>
      </c>
      <c r="G212" s="130">
        <v>532990</v>
      </c>
      <c r="H212" s="130">
        <v>0</v>
      </c>
      <c r="I212" s="130">
        <v>973870</v>
      </c>
      <c r="J212" s="349">
        <v>485940</v>
      </c>
      <c r="K212" s="349">
        <v>432600</v>
      </c>
      <c r="L212" s="130">
        <v>750120</v>
      </c>
      <c r="M212" s="130">
        <v>664440</v>
      </c>
      <c r="N212" s="130">
        <v>431630</v>
      </c>
      <c r="O212" s="130">
        <v>244650</v>
      </c>
      <c r="P212" s="130">
        <v>1430420</v>
      </c>
      <c r="Q212" s="349">
        <v>0</v>
      </c>
      <c r="R212" s="349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K212" s="89">
        <f>SUM(F212:AI212)</f>
        <v>5946660</v>
      </c>
    </row>
    <row r="213" spans="2:569" hidden="1">
      <c r="B213" s="50"/>
      <c r="C213" s="63" t="s">
        <v>43</v>
      </c>
      <c r="D213" s="54"/>
      <c r="E213" s="55" t="s">
        <v>9</v>
      </c>
      <c r="F213" s="130"/>
      <c r="G213" s="130"/>
      <c r="H213" s="130"/>
      <c r="I213" s="130"/>
      <c r="J213" s="349"/>
      <c r="K213" s="349"/>
      <c r="L213" s="130"/>
      <c r="M213" s="130"/>
      <c r="N213" s="130"/>
      <c r="O213" s="130"/>
      <c r="P213" s="130"/>
      <c r="Q213" s="349"/>
      <c r="R213" s="349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K213" s="89">
        <f>SUM(F213:AI213)</f>
        <v>0</v>
      </c>
    </row>
    <row r="214" spans="2:569" hidden="1">
      <c r="B214" s="50"/>
      <c r="C214" s="63" t="s">
        <v>50</v>
      </c>
      <c r="D214" s="54"/>
      <c r="E214" s="55" t="s">
        <v>9</v>
      </c>
      <c r="F214" s="130">
        <v>412220</v>
      </c>
      <c r="G214" s="130">
        <v>112790</v>
      </c>
      <c r="H214" s="130">
        <v>83610</v>
      </c>
      <c r="I214" s="130">
        <v>537040</v>
      </c>
      <c r="J214" s="349">
        <v>320790</v>
      </c>
      <c r="K214" s="349">
        <v>312750</v>
      </c>
      <c r="L214" s="130">
        <v>413960</v>
      </c>
      <c r="M214" s="130">
        <v>403080</v>
      </c>
      <c r="N214" s="130">
        <v>168100</v>
      </c>
      <c r="O214" s="130">
        <v>0</v>
      </c>
      <c r="P214" s="130">
        <v>212150</v>
      </c>
      <c r="Q214" s="349">
        <v>222110</v>
      </c>
      <c r="R214" s="349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0"/>
      <c r="AK214" s="89">
        <f>SUM(F214:AI214)</f>
        <v>3198600</v>
      </c>
    </row>
    <row r="215" spans="2:569" s="5" customFormat="1" hidden="1" thickBot="1">
      <c r="B215" s="141"/>
      <c r="C215" s="153" t="s">
        <v>90</v>
      </c>
      <c r="D215" s="154"/>
      <c r="E215" s="155" t="s">
        <v>9</v>
      </c>
      <c r="F215" s="156">
        <f t="shared" ref="F215:AI215" si="98">SUM(F210:F214)</f>
        <v>473700</v>
      </c>
      <c r="G215" s="156">
        <f t="shared" si="98"/>
        <v>728530</v>
      </c>
      <c r="H215" s="156">
        <f t="shared" si="98"/>
        <v>145730</v>
      </c>
      <c r="I215" s="156">
        <f t="shared" si="98"/>
        <v>1677890</v>
      </c>
      <c r="J215" s="369">
        <f t="shared" si="98"/>
        <v>954370</v>
      </c>
      <c r="K215" s="369">
        <f t="shared" si="98"/>
        <v>829820</v>
      </c>
      <c r="L215" s="156">
        <f t="shared" si="98"/>
        <v>1248180</v>
      </c>
      <c r="M215" s="156">
        <f t="shared" si="98"/>
        <v>1194740</v>
      </c>
      <c r="N215" s="156">
        <f t="shared" si="98"/>
        <v>599730</v>
      </c>
      <c r="O215" s="156">
        <f t="shared" si="98"/>
        <v>244650</v>
      </c>
      <c r="P215" s="156">
        <f t="shared" si="98"/>
        <v>1702570</v>
      </c>
      <c r="Q215" s="369">
        <f t="shared" si="98"/>
        <v>222110</v>
      </c>
      <c r="R215" s="369">
        <f t="shared" si="98"/>
        <v>0</v>
      </c>
      <c r="S215" s="156">
        <f t="shared" si="98"/>
        <v>0</v>
      </c>
      <c r="T215" s="156">
        <f t="shared" si="98"/>
        <v>0</v>
      </c>
      <c r="U215" s="156">
        <f t="shared" si="98"/>
        <v>0</v>
      </c>
      <c r="V215" s="156">
        <f t="shared" si="98"/>
        <v>0</v>
      </c>
      <c r="W215" s="156">
        <f t="shared" si="98"/>
        <v>0</v>
      </c>
      <c r="X215" s="156">
        <f t="shared" si="98"/>
        <v>0</v>
      </c>
      <c r="Y215" s="156">
        <f t="shared" si="98"/>
        <v>0</v>
      </c>
      <c r="Z215" s="156">
        <f t="shared" si="98"/>
        <v>0</v>
      </c>
      <c r="AA215" s="156">
        <f t="shared" si="98"/>
        <v>0</v>
      </c>
      <c r="AB215" s="156">
        <f t="shared" si="98"/>
        <v>0</v>
      </c>
      <c r="AC215" s="156">
        <f t="shared" si="98"/>
        <v>0</v>
      </c>
      <c r="AD215" s="156">
        <f t="shared" si="98"/>
        <v>0</v>
      </c>
      <c r="AE215" s="156">
        <f t="shared" si="98"/>
        <v>0</v>
      </c>
      <c r="AF215" s="156">
        <f t="shared" si="98"/>
        <v>0</v>
      </c>
      <c r="AG215" s="156">
        <f t="shared" si="98"/>
        <v>0</v>
      </c>
      <c r="AH215" s="156">
        <f t="shared" si="98"/>
        <v>0</v>
      </c>
      <c r="AI215" s="156">
        <f t="shared" si="98"/>
        <v>0</v>
      </c>
      <c r="AK215" s="173">
        <f>SUM(AK210:AK214)</f>
        <v>10022020</v>
      </c>
      <c r="AM215" s="134"/>
      <c r="EA215" s="238"/>
      <c r="EB215" s="238"/>
      <c r="FH215" s="238"/>
      <c r="GP215" s="247"/>
      <c r="GQ215" s="238"/>
      <c r="GR215" s="238"/>
      <c r="GS215" s="238"/>
      <c r="GT215" s="238"/>
      <c r="IW215" s="238"/>
      <c r="MR215" s="238"/>
      <c r="MS215" s="238"/>
      <c r="MT215" s="238"/>
      <c r="MU215" s="238"/>
      <c r="RY215" s="238"/>
      <c r="RZ215" s="238"/>
      <c r="SB215" s="238"/>
      <c r="SP215" s="298"/>
      <c r="ST215" s="238"/>
      <c r="UW215" s="298"/>
    </row>
    <row r="216" spans="2:569" hidden="1"/>
    <row r="223" spans="2:569">
      <c r="AI223" s="219"/>
      <c r="AJ223" s="219"/>
    </row>
    <row r="224" spans="2:569">
      <c r="AI224" s="219"/>
      <c r="AJ224" s="219"/>
    </row>
    <row r="225" spans="35:36">
      <c r="AI225" s="219"/>
      <c r="AJ225" s="219"/>
    </row>
    <row r="226" spans="35:36">
      <c r="AI226" s="204"/>
    </row>
    <row r="227" spans="35:36">
      <c r="AI227" s="204"/>
    </row>
  </sheetData>
  <mergeCells count="11">
    <mergeCell ref="B2:AI2"/>
    <mergeCell ref="B5:B6"/>
    <mergeCell ref="C5:C6"/>
    <mergeCell ref="D5:D6"/>
    <mergeCell ref="E5:E6"/>
    <mergeCell ref="F5:AI5"/>
    <mergeCell ref="AK5:AK6"/>
    <mergeCell ref="GO27:GP28"/>
    <mergeCell ref="GQ27:GS27"/>
    <mergeCell ref="GO38:GP39"/>
    <mergeCell ref="GR38:GS38"/>
  </mergeCells>
  <pageMargins left="0.7" right="0.7" top="0.75" bottom="0.75" header="0.3" footer="0.3"/>
  <pageSetup paperSize="9" orientation="portrait" horizontalDpi="300" verticalDpi="300" r:id="rId1"/>
  <ignoredErrors>
    <ignoredError sqref="AK33:AK35 AK68:AK71" formulaRange="1"/>
    <ignoredError sqref="AK61:AK63 AK66" evalError="1" formulaRange="1"/>
    <ignoredError sqref="AK65 AK67" evalError="1" formula="1" formulaRange="1"/>
    <ignoredError sqref="S55:T62 Q59:R62 F59:P62 AE65:AI70 AM67 AE55:AI62" evalError="1"/>
    <ignoredError sqref="AH86 AH7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C25C-F181-4E54-896C-1A04379BF2BE}">
  <dimension ref="C2:G37"/>
  <sheetViews>
    <sheetView showGridLines="0" workbookViewId="0">
      <selection activeCell="C2" sqref="C2:G37"/>
    </sheetView>
  </sheetViews>
  <sheetFormatPr defaultColWidth="9.109375" defaultRowHeight="13.8"/>
  <cols>
    <col min="1" max="2" width="9.109375" style="1"/>
    <col min="3" max="3" width="9.109375" style="1" customWidth="1"/>
    <col min="4" max="5" width="18.6640625" style="1" customWidth="1"/>
    <col min="6" max="7" width="13.109375" style="1" customWidth="1"/>
    <col min="8" max="16384" width="9.109375" style="1"/>
  </cols>
  <sheetData>
    <row r="2" spans="3:7">
      <c r="C2" s="344" t="s">
        <v>150</v>
      </c>
      <c r="D2" s="344"/>
      <c r="E2" s="344"/>
      <c r="F2" s="344"/>
      <c r="G2" s="344"/>
    </row>
    <row r="3" spans="3:7" ht="14.4" thickBot="1"/>
    <row r="4" spans="3:7">
      <c r="C4" s="342" t="s">
        <v>149</v>
      </c>
      <c r="D4" s="338" t="s">
        <v>147</v>
      </c>
      <c r="E4" s="339"/>
      <c r="F4" s="340" t="s">
        <v>148</v>
      </c>
      <c r="G4" s="341"/>
    </row>
    <row r="5" spans="3:7" ht="14.4" thickBot="1">
      <c r="C5" s="343"/>
      <c r="D5" s="275" t="s">
        <v>146</v>
      </c>
      <c r="E5" s="276" t="s">
        <v>34</v>
      </c>
      <c r="F5" s="276" t="s">
        <v>146</v>
      </c>
      <c r="G5" s="277" t="s">
        <v>34</v>
      </c>
    </row>
    <row r="6" spans="3:7">
      <c r="C6" s="274">
        <v>1</v>
      </c>
      <c r="D6" s="263">
        <v>1451910</v>
      </c>
      <c r="E6" s="249">
        <v>1233100</v>
      </c>
      <c r="F6" s="249">
        <f>D6/1000</f>
        <v>1451.91</v>
      </c>
      <c r="G6" s="250">
        <f>E6/1000</f>
        <v>1233.0999999999999</v>
      </c>
    </row>
    <row r="7" spans="3:7">
      <c r="C7" s="274">
        <f>C6+1</f>
        <v>2</v>
      </c>
      <c r="D7" s="263">
        <v>1404560</v>
      </c>
      <c r="E7" s="249">
        <v>1028400</v>
      </c>
      <c r="F7" s="249">
        <f t="shared" ref="F7:F36" si="0">D7/1000</f>
        <v>1404.56</v>
      </c>
      <c r="G7" s="250">
        <f t="shared" ref="G7:G36" si="1">E7/1000</f>
        <v>1028.4000000000001</v>
      </c>
    </row>
    <row r="8" spans="3:7">
      <c r="C8" s="274">
        <f t="shared" ref="C8:C36" si="2">C7+1</f>
        <v>3</v>
      </c>
      <c r="D8" s="263">
        <v>1435110</v>
      </c>
      <c r="E8" s="249">
        <v>1079800</v>
      </c>
      <c r="F8" s="249">
        <f t="shared" si="0"/>
        <v>1435.11</v>
      </c>
      <c r="G8" s="250">
        <f t="shared" si="1"/>
        <v>1079.8</v>
      </c>
    </row>
    <row r="9" spans="3:7">
      <c r="C9" s="274">
        <f t="shared" si="2"/>
        <v>4</v>
      </c>
      <c r="D9" s="263">
        <v>1439300</v>
      </c>
      <c r="E9" s="249">
        <v>1111900</v>
      </c>
      <c r="F9" s="249">
        <f t="shared" si="0"/>
        <v>1439.3</v>
      </c>
      <c r="G9" s="250">
        <f t="shared" si="1"/>
        <v>1111.9000000000001</v>
      </c>
    </row>
    <row r="10" spans="3:7">
      <c r="C10" s="274">
        <f t="shared" si="2"/>
        <v>5</v>
      </c>
      <c r="D10" s="263">
        <v>1440260</v>
      </c>
      <c r="E10" s="249">
        <v>1192600</v>
      </c>
      <c r="F10" s="249">
        <f t="shared" si="0"/>
        <v>1440.26</v>
      </c>
      <c r="G10" s="250">
        <f t="shared" si="1"/>
        <v>1192.5999999999999</v>
      </c>
    </row>
    <row r="11" spans="3:7">
      <c r="C11" s="274">
        <f t="shared" si="2"/>
        <v>6</v>
      </c>
      <c r="D11" s="263">
        <v>1281190</v>
      </c>
      <c r="E11" s="249">
        <v>924700</v>
      </c>
      <c r="F11" s="249">
        <f t="shared" si="0"/>
        <v>1281.19</v>
      </c>
      <c r="G11" s="250">
        <f t="shared" si="1"/>
        <v>924.7</v>
      </c>
    </row>
    <row r="12" spans="3:7">
      <c r="C12" s="274">
        <f t="shared" si="2"/>
        <v>7</v>
      </c>
      <c r="D12" s="263">
        <v>1440210.00000001</v>
      </c>
      <c r="E12" s="249">
        <v>760600</v>
      </c>
      <c r="F12" s="249">
        <f t="shared" si="0"/>
        <v>1440.21000000001</v>
      </c>
      <c r="G12" s="250">
        <f t="shared" si="1"/>
        <v>760.6</v>
      </c>
    </row>
    <row r="13" spans="3:7">
      <c r="C13" s="274">
        <f t="shared" si="2"/>
        <v>8</v>
      </c>
      <c r="D13" s="263">
        <v>1422420</v>
      </c>
      <c r="E13" s="249">
        <v>0</v>
      </c>
      <c r="F13" s="249">
        <f t="shared" si="0"/>
        <v>1422.42</v>
      </c>
      <c r="G13" s="250">
        <f t="shared" si="1"/>
        <v>0</v>
      </c>
    </row>
    <row r="14" spans="3:7">
      <c r="C14" s="274">
        <f t="shared" si="2"/>
        <v>9</v>
      </c>
      <c r="D14" s="263">
        <v>1440190</v>
      </c>
      <c r="E14" s="249">
        <v>0</v>
      </c>
      <c r="F14" s="249">
        <f t="shared" si="0"/>
        <v>1440.19</v>
      </c>
      <c r="G14" s="250">
        <f t="shared" si="1"/>
        <v>0</v>
      </c>
    </row>
    <row r="15" spans="3:7">
      <c r="C15" s="274">
        <f t="shared" si="2"/>
        <v>10</v>
      </c>
      <c r="D15" s="263">
        <v>1440060</v>
      </c>
      <c r="E15" s="249">
        <v>0</v>
      </c>
      <c r="F15" s="249">
        <f t="shared" si="0"/>
        <v>1440.06</v>
      </c>
      <c r="G15" s="250">
        <f t="shared" si="1"/>
        <v>0</v>
      </c>
    </row>
    <row r="16" spans="3:7">
      <c r="C16" s="274">
        <f t="shared" si="2"/>
        <v>11</v>
      </c>
      <c r="D16" s="263">
        <v>1439830</v>
      </c>
      <c r="E16" s="249">
        <v>771100</v>
      </c>
      <c r="F16" s="249">
        <f t="shared" si="0"/>
        <v>1439.83</v>
      </c>
      <c r="G16" s="250">
        <f t="shared" si="1"/>
        <v>771.1</v>
      </c>
    </row>
    <row r="17" spans="3:7">
      <c r="C17" s="274">
        <f t="shared" si="2"/>
        <v>12</v>
      </c>
      <c r="D17" s="263">
        <v>1440190</v>
      </c>
      <c r="E17" s="249">
        <v>1580500</v>
      </c>
      <c r="F17" s="249">
        <f t="shared" si="0"/>
        <v>1440.19</v>
      </c>
      <c r="G17" s="250">
        <f t="shared" si="1"/>
        <v>1580.5</v>
      </c>
    </row>
    <row r="18" spans="3:7">
      <c r="C18" s="274">
        <f t="shared" si="2"/>
        <v>13</v>
      </c>
      <c r="D18" s="263">
        <v>1440170</v>
      </c>
      <c r="E18" s="249">
        <v>1614600</v>
      </c>
      <c r="F18" s="249">
        <f t="shared" si="0"/>
        <v>1440.17</v>
      </c>
      <c r="G18" s="250">
        <f t="shared" si="1"/>
        <v>1614.6</v>
      </c>
    </row>
    <row r="19" spans="3:7">
      <c r="C19" s="274">
        <f t="shared" si="2"/>
        <v>14</v>
      </c>
      <c r="D19" s="263">
        <v>1440170.00000001</v>
      </c>
      <c r="E19" s="249">
        <v>1096900</v>
      </c>
      <c r="F19" s="249">
        <f t="shared" si="0"/>
        <v>1440.1700000000101</v>
      </c>
      <c r="G19" s="250">
        <f t="shared" si="1"/>
        <v>1096.9000000000001</v>
      </c>
    </row>
    <row r="20" spans="3:7">
      <c r="C20" s="274">
        <f t="shared" si="2"/>
        <v>15</v>
      </c>
      <c r="D20" s="263">
        <v>1426079.99999999</v>
      </c>
      <c r="E20" s="249">
        <v>1074400</v>
      </c>
      <c r="F20" s="249">
        <f t="shared" si="0"/>
        <v>1426.0799999999899</v>
      </c>
      <c r="G20" s="250">
        <f t="shared" si="1"/>
        <v>1074.4000000000001</v>
      </c>
    </row>
    <row r="21" spans="3:7">
      <c r="C21" s="274">
        <f t="shared" si="2"/>
        <v>16</v>
      </c>
      <c r="D21" s="263">
        <v>1282780.00000001</v>
      </c>
      <c r="E21" s="249">
        <v>844600.00000000198</v>
      </c>
      <c r="F21" s="249">
        <f t="shared" si="0"/>
        <v>1282.78000000001</v>
      </c>
      <c r="G21" s="250">
        <f t="shared" si="1"/>
        <v>844.60000000000196</v>
      </c>
    </row>
    <row r="22" spans="3:7">
      <c r="C22" s="274">
        <f t="shared" si="2"/>
        <v>17</v>
      </c>
      <c r="D22" s="263">
        <v>1606730</v>
      </c>
      <c r="E22" s="249">
        <v>1157800</v>
      </c>
      <c r="F22" s="249">
        <f t="shared" si="0"/>
        <v>1606.73</v>
      </c>
      <c r="G22" s="250">
        <f t="shared" si="1"/>
        <v>1157.8</v>
      </c>
    </row>
    <row r="23" spans="3:7">
      <c r="C23" s="274">
        <f t="shared" si="2"/>
        <v>18</v>
      </c>
      <c r="D23" s="263">
        <v>1564810</v>
      </c>
      <c r="E23" s="249">
        <v>968399.99999999802</v>
      </c>
      <c r="F23" s="249">
        <f t="shared" si="0"/>
        <v>1564.81</v>
      </c>
      <c r="G23" s="250">
        <f t="shared" si="1"/>
        <v>968.39999999999804</v>
      </c>
    </row>
    <row r="24" spans="3:7">
      <c r="C24" s="274">
        <f t="shared" si="2"/>
        <v>19</v>
      </c>
      <c r="D24" s="263">
        <v>1536710.00000001</v>
      </c>
      <c r="E24" s="249">
        <v>1074900</v>
      </c>
      <c r="F24" s="249">
        <f t="shared" si="0"/>
        <v>1536.71000000001</v>
      </c>
      <c r="G24" s="250">
        <f t="shared" si="1"/>
        <v>1074.9000000000001</v>
      </c>
    </row>
    <row r="25" spans="3:7">
      <c r="C25" s="274">
        <f t="shared" si="2"/>
        <v>20</v>
      </c>
      <c r="D25" s="263">
        <v>1466610</v>
      </c>
      <c r="E25" s="249">
        <v>1150000</v>
      </c>
      <c r="F25" s="249">
        <f t="shared" si="0"/>
        <v>1466.61</v>
      </c>
      <c r="G25" s="250">
        <f t="shared" si="1"/>
        <v>1150</v>
      </c>
    </row>
    <row r="26" spans="3:7">
      <c r="C26" s="274">
        <f t="shared" si="2"/>
        <v>21</v>
      </c>
      <c r="D26" s="263">
        <v>1381459.99999999</v>
      </c>
      <c r="E26" s="249">
        <v>1156900</v>
      </c>
      <c r="F26" s="249">
        <f t="shared" si="0"/>
        <v>1381.45999999999</v>
      </c>
      <c r="G26" s="250">
        <f t="shared" si="1"/>
        <v>1156.9000000000001</v>
      </c>
    </row>
    <row r="27" spans="3:7">
      <c r="C27" s="274">
        <f t="shared" si="2"/>
        <v>22</v>
      </c>
      <c r="D27" s="263">
        <v>1461290.00000001</v>
      </c>
      <c r="E27" s="249">
        <v>1019400</v>
      </c>
      <c r="F27" s="249">
        <f t="shared" si="0"/>
        <v>1461.29000000001</v>
      </c>
      <c r="G27" s="250">
        <f t="shared" si="1"/>
        <v>1019.4</v>
      </c>
    </row>
    <row r="28" spans="3:7">
      <c r="C28" s="274">
        <f t="shared" si="2"/>
        <v>23</v>
      </c>
      <c r="D28" s="263">
        <v>1513269.99999999</v>
      </c>
      <c r="E28" s="249">
        <v>0</v>
      </c>
      <c r="F28" s="249">
        <f t="shared" si="0"/>
        <v>1513.26999999999</v>
      </c>
      <c r="G28" s="250">
        <f t="shared" si="1"/>
        <v>0</v>
      </c>
    </row>
    <row r="29" spans="3:7">
      <c r="C29" s="274">
        <f t="shared" si="2"/>
        <v>24</v>
      </c>
      <c r="D29" s="263">
        <v>1929940</v>
      </c>
      <c r="E29" s="249">
        <v>1200200</v>
      </c>
      <c r="F29" s="249">
        <f t="shared" si="0"/>
        <v>1929.94</v>
      </c>
      <c r="G29" s="250">
        <f t="shared" si="1"/>
        <v>1200.2</v>
      </c>
    </row>
    <row r="30" spans="3:7">
      <c r="C30" s="274">
        <f t="shared" si="2"/>
        <v>25</v>
      </c>
      <c r="D30" s="263">
        <v>2013530</v>
      </c>
      <c r="E30" s="249">
        <v>1714000</v>
      </c>
      <c r="F30" s="249">
        <f t="shared" si="0"/>
        <v>2013.53</v>
      </c>
      <c r="G30" s="250">
        <f t="shared" si="1"/>
        <v>1714</v>
      </c>
    </row>
    <row r="31" spans="3:7">
      <c r="C31" s="274">
        <f t="shared" si="2"/>
        <v>26</v>
      </c>
      <c r="D31" s="263">
        <v>1983490.00000001</v>
      </c>
      <c r="E31" s="249">
        <v>1681600</v>
      </c>
      <c r="F31" s="249">
        <f t="shared" si="0"/>
        <v>1983.49000000001</v>
      </c>
      <c r="G31" s="250">
        <f t="shared" si="1"/>
        <v>1681.6</v>
      </c>
    </row>
    <row r="32" spans="3:7">
      <c r="C32" s="274">
        <f t="shared" si="2"/>
        <v>27</v>
      </c>
      <c r="D32" s="263">
        <v>1864370</v>
      </c>
      <c r="E32" s="249">
        <v>1467500</v>
      </c>
      <c r="F32" s="249">
        <f t="shared" si="0"/>
        <v>1864.37</v>
      </c>
      <c r="G32" s="250">
        <f t="shared" si="1"/>
        <v>1467.5</v>
      </c>
    </row>
    <row r="33" spans="3:7">
      <c r="C33" s="274">
        <f t="shared" si="2"/>
        <v>28</v>
      </c>
      <c r="D33" s="263">
        <v>1724320.00000001</v>
      </c>
      <c r="E33" s="249">
        <v>958200.00000000093</v>
      </c>
      <c r="F33" s="249">
        <f t="shared" si="0"/>
        <v>1724.3200000000099</v>
      </c>
      <c r="G33" s="250">
        <f t="shared" si="1"/>
        <v>958.20000000000095</v>
      </c>
    </row>
    <row r="34" spans="3:7">
      <c r="C34" s="274">
        <f t="shared" si="2"/>
        <v>29</v>
      </c>
      <c r="D34" s="263">
        <v>1971319.99999999</v>
      </c>
      <c r="E34" s="249">
        <v>0</v>
      </c>
      <c r="F34" s="249">
        <f t="shared" si="0"/>
        <v>1971.3199999999899</v>
      </c>
      <c r="G34" s="250">
        <f t="shared" si="1"/>
        <v>0</v>
      </c>
    </row>
    <row r="35" spans="3:7">
      <c r="C35" s="274">
        <f t="shared" si="2"/>
        <v>30</v>
      </c>
      <c r="D35" s="263">
        <v>2015120.0000000098</v>
      </c>
      <c r="E35" s="249">
        <v>1056900</v>
      </c>
      <c r="F35" s="249">
        <f t="shared" si="0"/>
        <v>2015.1200000000097</v>
      </c>
      <c r="G35" s="250">
        <f t="shared" si="1"/>
        <v>1056.9000000000001</v>
      </c>
    </row>
    <row r="36" spans="3:7" ht="14.4" thickBot="1">
      <c r="C36" s="274">
        <f t="shared" si="2"/>
        <v>31</v>
      </c>
      <c r="D36" s="263">
        <v>2015230</v>
      </c>
      <c r="E36" s="249">
        <v>1725200</v>
      </c>
      <c r="F36" s="249">
        <f t="shared" si="0"/>
        <v>2015.23</v>
      </c>
      <c r="G36" s="250">
        <f t="shared" si="1"/>
        <v>1725.2</v>
      </c>
    </row>
    <row r="37" spans="3:7" s="5" customFormat="1" ht="14.4" thickBot="1">
      <c r="C37" s="278" t="s">
        <v>90</v>
      </c>
      <c r="D37" s="279">
        <f>SUM(D6:D36)</f>
        <v>48712630.00000003</v>
      </c>
      <c r="E37" s="280">
        <f>SUM(E6:E36)</f>
        <v>30644200</v>
      </c>
      <c r="F37" s="280">
        <f t="shared" ref="F37:G37" si="3">SUM(F6:F36)</f>
        <v>48712.630000000048</v>
      </c>
      <c r="G37" s="281">
        <f t="shared" si="3"/>
        <v>30644.200000000008</v>
      </c>
    </row>
  </sheetData>
  <mergeCells count="4">
    <mergeCell ref="D4:E4"/>
    <mergeCell ref="F4:G4"/>
    <mergeCell ref="C4:C5"/>
    <mergeCell ref="C2:G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C28F-4447-4346-A2C6-AA06F99ABA48}">
  <dimension ref="D4:D21"/>
  <sheetViews>
    <sheetView showGridLines="0" workbookViewId="0">
      <selection activeCell="D3" sqref="D3"/>
    </sheetView>
  </sheetViews>
  <sheetFormatPr defaultRowHeight="14.4"/>
  <cols>
    <col min="4" max="4" width="21" bestFit="1" customWidth="1"/>
  </cols>
  <sheetData>
    <row r="4" spans="4:4">
      <c r="D4" s="1" t="s">
        <v>125</v>
      </c>
    </row>
    <row r="5" spans="4:4">
      <c r="D5" s="1" t="s">
        <v>126</v>
      </c>
    </row>
    <row r="6" spans="4:4">
      <c r="D6" s="1" t="s">
        <v>127</v>
      </c>
    </row>
    <row r="7" spans="4:4">
      <c r="D7" s="1" t="s">
        <v>128</v>
      </c>
    </row>
    <row r="8" spans="4:4">
      <c r="D8" s="1" t="s">
        <v>129</v>
      </c>
    </row>
    <row r="9" spans="4:4">
      <c r="D9" s="4" t="s">
        <v>130</v>
      </c>
    </row>
    <row r="10" spans="4:4">
      <c r="D10" s="1" t="s">
        <v>131</v>
      </c>
    </row>
    <row r="11" spans="4:4">
      <c r="D11" s="1" t="s">
        <v>132</v>
      </c>
    </row>
    <row r="12" spans="4:4">
      <c r="D12" s="1" t="s">
        <v>133</v>
      </c>
    </row>
    <row r="13" spans="4:4">
      <c r="D13" s="1" t="s">
        <v>134</v>
      </c>
    </row>
    <row r="15" spans="4:4">
      <c r="D15" s="1" t="s">
        <v>135</v>
      </c>
    </row>
    <row r="16" spans="4:4">
      <c r="D16" s="1" t="s">
        <v>131</v>
      </c>
    </row>
    <row r="17" spans="4:4">
      <c r="D17" s="1" t="s">
        <v>131</v>
      </c>
    </row>
    <row r="18" spans="4:4">
      <c r="D18" s="1" t="s">
        <v>132</v>
      </c>
    </row>
    <row r="19" spans="4:4">
      <c r="D19" s="1" t="s">
        <v>133</v>
      </c>
    </row>
    <row r="20" spans="4:4">
      <c r="D20" s="1" t="s">
        <v>134</v>
      </c>
    </row>
    <row r="21" spans="4:4">
      <c r="D21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Juni</vt:lpstr>
      <vt:lpstr>Juni v.1</vt:lpstr>
      <vt:lpstr>Sheet2</vt:lpstr>
      <vt:lpstr>Sheet1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N2N0CX10H27707B@outlook.com</cp:lastModifiedBy>
  <cp:lastPrinted>2022-04-04T08:13:35Z</cp:lastPrinted>
  <dcterms:created xsi:type="dcterms:W3CDTF">2019-05-08T06:22:00Z</dcterms:created>
  <dcterms:modified xsi:type="dcterms:W3CDTF">2025-05-06T05:36:16Z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